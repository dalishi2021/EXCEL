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AB25842B-B835-4F4F-AEC1-2C538C1026E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5" i="1"/>
  <c r="B9" i="1"/>
  <c r="C9" i="1"/>
  <c r="C8" i="1"/>
  <c r="B14" i="1" l="1"/>
  <c r="C14" i="1"/>
</calcChain>
</file>

<file path=xl/sharedStrings.xml><?xml version="1.0" encoding="utf-8"?>
<sst xmlns="http://schemas.openxmlformats.org/spreadsheetml/2006/main" count="14" uniqueCount="14">
  <si>
    <t>ABN-AMRO AIRBAG</t>
  </si>
  <si>
    <t>Y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</si>
  <si>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</si>
  <si>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</si>
  <si>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S</t>
    </r>
    <r>
      <rPr>
        <vertAlign val="subscript"/>
        <sz val="10"/>
        <rFont val="Arial"/>
        <family val="2"/>
      </rPr>
      <t>T</t>
    </r>
  </si>
  <si>
    <t>Airbag payoff</t>
  </si>
  <si>
    <t xml:space="preserve">    By Airbag definition</t>
  </si>
  <si>
    <t xml:space="preserve">    Option formula</t>
  </si>
  <si>
    <t>Data table of payoffs</t>
  </si>
  <si>
    <r>
      <t>S</t>
    </r>
    <r>
      <rPr>
        <b/>
        <vertAlign val="subscript"/>
        <sz val="10"/>
        <rFont val="Arial"/>
        <family val="2"/>
      </rPr>
      <t>T</t>
    </r>
  </si>
  <si>
    <t>Airbag definition</t>
  </si>
  <si>
    <t>Option formula</t>
  </si>
  <si>
    <t>&lt;-- Data table headers hidden</t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</si>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</sst>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#,##0.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/>
    <xf numFmtId="4" fontId="0" fillId="0" borderId="0" xfId="0" applyNumberFormat="1" applyAlignment="1"/>
    <xf numFmtId="0" fontId="0" fillId="2" borderId="0" xfId="0" applyFill="1" applyAlignment="1"/>
    <xf numFmtId="2" fontId="0" fillId="2" borderId="0" xfId="0" applyNumberFormat="1" applyFill="1" applyAlignment="1"/>
    <xf numFmtId="2" fontId="0" fillId="0" borderId="0" xfId="0" applyNumberFormat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0" fillId="0" borderId="0" xfId="0" applyNumberFormat="1" applyAlignment="1"/>
    <xf numFmtId="3" fontId="0" fillId="0" borderId="0" xfId="0" applyNumberFormat="1" applyAlignment="1">
      <alignment horizontal="center"/>
    </xf>
    <xf numFmtId="177" fontId="0" fillId="2" borderId="0" xfId="0" applyNumberFormat="1" applyFill="1" applyAlignment="1">
      <alignment horizontal="center"/>
    </xf>
    <xf numFmtId="4" fontId="0" fillId="2" borderId="0" xfId="0" applyNumberFormat="1" applyFill="1" applyAlignment="1"/>
    <xf numFmtId="3" fontId="0" fillId="0" borderId="0" xfId="0" applyNumberFormat="1" applyAlignment="1"/>
    <xf numFmtId="0" fontId="0" fillId="3" borderId="0" xfId="0" applyFill="1" applyAlignment="1"/>
    <xf numFmtId="4" fontId="0" fillId="3" borderId="0" xfId="0" applyNumberFormat="1" applyFill="1" applyAlignme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100303951367782"/>
          <c:y val="9.0000073242247097E-2"/>
          <c:w val="0.5957446808510638"/>
          <c:h val="0.68666722547788528"/>
        </c:manualLayout>
      </c:layout>
      <c:scatterChart>
        <c:scatterStyle val="lineMarker"/>
        <c:varyColors val="0"/>
        <c:ser>
          <c:idx val="0"/>
          <c:order val="0"/>
          <c:tx>
            <c:strRef>
              <c:f>'[2]Page 531'!$B$12</c:f>
              <c:strCache>
                <c:ptCount val="1"/>
                <c:pt idx="0">
                  <c:v>Airbag definition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'[2]Page 531'!$A$13:$A$29</c:f>
              <c:numCache>
                <c:formatCode>General</c:formatCode>
                <c:ptCount val="17"/>
                <c:pt idx="1">
                  <c:v>0</c:v>
                </c:pt>
                <c:pt idx="2">
                  <c:v>100</c:v>
                </c:pt>
                <c:pt idx="3">
                  <c:v>500</c:v>
                </c:pt>
                <c:pt idx="4">
                  <c:v>750</c:v>
                </c:pt>
                <c:pt idx="5">
                  <c:v>1000</c:v>
                </c:pt>
                <c:pt idx="6">
                  <c:v>1250</c:v>
                </c:pt>
                <c:pt idx="7">
                  <c:v>1618.5</c:v>
                </c:pt>
                <c:pt idx="8">
                  <c:v>1750</c:v>
                </c:pt>
                <c:pt idx="9">
                  <c:v>2000</c:v>
                </c:pt>
                <c:pt idx="10">
                  <c:v>2158</c:v>
                </c:pt>
                <c:pt idx="11">
                  <c:v>2500</c:v>
                </c:pt>
                <c:pt idx="12">
                  <c:v>2750</c:v>
                </c:pt>
                <c:pt idx="13">
                  <c:v>3000</c:v>
                </c:pt>
                <c:pt idx="14">
                  <c:v>3250</c:v>
                </c:pt>
                <c:pt idx="15">
                  <c:v>3500</c:v>
                </c:pt>
                <c:pt idx="16">
                  <c:v>3750</c:v>
                </c:pt>
              </c:numCache>
            </c:numRef>
          </c:xVal>
          <c:yVal>
            <c:numRef>
              <c:f>'[2]Page 531'!$B$13:$B$29</c:f>
              <c:numCache>
                <c:formatCode>General</c:formatCode>
                <c:ptCount val="17"/>
                <c:pt idx="0">
                  <c:v>1100</c:v>
                </c:pt>
                <c:pt idx="1">
                  <c:v>0</c:v>
                </c:pt>
                <c:pt idx="2">
                  <c:v>61.785603954278642</c:v>
                </c:pt>
                <c:pt idx="3">
                  <c:v>308.92801977139322</c:v>
                </c:pt>
                <c:pt idx="4">
                  <c:v>463.39202965708989</c:v>
                </c:pt>
                <c:pt idx="5">
                  <c:v>617.85603954278645</c:v>
                </c:pt>
                <c:pt idx="6">
                  <c:v>772.32004942848312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1158.4800741427248</c:v>
                </c:pt>
                <c:pt idx="12">
                  <c:v>1274.3280815569972</c:v>
                </c:pt>
                <c:pt idx="13">
                  <c:v>1390.1760889712698</c:v>
                </c:pt>
                <c:pt idx="14">
                  <c:v>1506.0240963855422</c:v>
                </c:pt>
                <c:pt idx="15">
                  <c:v>1621.8721037998146</c:v>
                </c:pt>
                <c:pt idx="16">
                  <c:v>1737.7201112140872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4-480A-A3FF-24FAC138EDD7}"/>
            </c:ext>
          </c:extLst>
        </c:ser>
        <c:ser>
          <c:idx val="1"/>
          <c:order val="1"/>
          <c:tx>
            <c:strRef>
              <c:f>'[2]Page 531'!$C$12</c:f>
              <c:strCache>
                <c:ptCount val="1"/>
                <c:pt idx="0">
                  <c:v>Option formula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'[2]Page 531'!$A$13:$A$29</c:f>
              <c:numCache>
                <c:formatCode>General</c:formatCode>
                <c:ptCount val="17"/>
                <c:pt idx="1">
                  <c:v>0</c:v>
                </c:pt>
                <c:pt idx="2">
                  <c:v>100</c:v>
                </c:pt>
                <c:pt idx="3">
                  <c:v>500</c:v>
                </c:pt>
                <c:pt idx="4">
                  <c:v>750</c:v>
                </c:pt>
                <c:pt idx="5">
                  <c:v>1000</c:v>
                </c:pt>
                <c:pt idx="6">
                  <c:v>1250</c:v>
                </c:pt>
                <c:pt idx="7">
                  <c:v>1618.5</c:v>
                </c:pt>
                <c:pt idx="8">
                  <c:v>1750</c:v>
                </c:pt>
                <c:pt idx="9">
                  <c:v>2000</c:v>
                </c:pt>
                <c:pt idx="10">
                  <c:v>2158</c:v>
                </c:pt>
                <c:pt idx="11">
                  <c:v>2500</c:v>
                </c:pt>
                <c:pt idx="12">
                  <c:v>2750</c:v>
                </c:pt>
                <c:pt idx="13">
                  <c:v>3000</c:v>
                </c:pt>
                <c:pt idx="14">
                  <c:v>3250</c:v>
                </c:pt>
                <c:pt idx="15">
                  <c:v>3500</c:v>
                </c:pt>
                <c:pt idx="16">
                  <c:v>3750</c:v>
                </c:pt>
              </c:numCache>
            </c:numRef>
          </c:xVal>
          <c:yVal>
            <c:numRef>
              <c:f>'[2]Page 531'!$C$13:$C$29</c:f>
              <c:numCache>
                <c:formatCode>General</c:formatCode>
                <c:ptCount val="17"/>
                <c:pt idx="0">
                  <c:v>1100</c:v>
                </c:pt>
                <c:pt idx="1">
                  <c:v>0</c:v>
                </c:pt>
                <c:pt idx="2">
                  <c:v>61.785603954278599</c:v>
                </c:pt>
                <c:pt idx="3">
                  <c:v>308.92801977139322</c:v>
                </c:pt>
                <c:pt idx="4">
                  <c:v>463.39202965708989</c:v>
                </c:pt>
                <c:pt idx="5">
                  <c:v>617.85603954278645</c:v>
                </c:pt>
                <c:pt idx="6">
                  <c:v>772.32004942848312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1158.4800741427248</c:v>
                </c:pt>
                <c:pt idx="12">
                  <c:v>1274.3280815569972</c:v>
                </c:pt>
                <c:pt idx="13">
                  <c:v>1390.1760889712698</c:v>
                </c:pt>
                <c:pt idx="14">
                  <c:v>1506.0240963855422</c:v>
                </c:pt>
                <c:pt idx="15">
                  <c:v>1621.8721037998148</c:v>
                </c:pt>
                <c:pt idx="16">
                  <c:v>1737.7201112140872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64-480A-A3FF-24FAC138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37688"/>
        <c:axId val="1"/>
      </c:scatterChart>
      <c:valAx>
        <c:axId val="941837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Stoxx50 at Airbag expiration</a:t>
                </a:r>
              </a:p>
            </c:rich>
          </c:tx>
          <c:layout>
            <c:manualLayout>
              <c:xMode val="edge"/>
              <c:yMode val="edge"/>
              <c:x val="0.370820800684586"/>
              <c:y val="0.880000699912510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Airbag payoff</a:t>
                </a:r>
              </a:p>
            </c:rich>
          </c:tx>
          <c:layout>
            <c:manualLayout>
              <c:xMode val="edge"/>
              <c:yMode val="edge"/>
              <c:x val="6.6869424168694236E-2"/>
              <c:y val="0.350000349956255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1837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5258348180929938"/>
          <c:y val="0.50000034995625542"/>
          <c:w val="0.62917919931541388"/>
          <c:h val="0.2300003499562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234315</xdr:colOff>
      <xdr:row>30</xdr:row>
      <xdr:rowOff>165734</xdr:rowOff>
    </xdr:from>
    <xdr:to>
      <xdr:col>3</xdr:col>
      <xdr:colOff>2272665</xdr:colOff>
      <xdr:row>55</xdr:row>
      <xdr:rowOff>140970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F2AE600A-B982-425D-B1B5-B267720BD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3192235</xdr:colOff>
      <xdr:row>9</xdr:row>
      <xdr:rowOff>134710</xdr:rowOff>
    </xdr:from>
    <xdr:to>
      <xdr:col>14</xdr:col>
      <xdr:colOff>42454</xdr:colOff>
      <xdr:row>40</xdr:row>
      <xdr:rowOff>149134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24627D1-1650-0A5E-A6FC-6BB58EF99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125935" y="1854653"/>
          <a:ext cx="7158990" cy="559879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>
        <row r="12">
          <cell r="B12" t="str">
            <v>Airbag definition</v>
          </cell>
          <cell r="C12" t="str">
            <v>Option formula</v>
          </cell>
        </row>
        <row r="13">
          <cell r="B13">
            <v>1100</v>
          </cell>
          <cell r="C13">
            <v>1100</v>
          </cell>
        </row>
        <row r="14">
          <cell r="A14">
            <v>0</v>
          </cell>
          <cell r="B14">
            <v>0</v>
          </cell>
          <cell r="C14">
            <v>0</v>
          </cell>
        </row>
        <row r="15">
          <cell r="A15">
            <v>100</v>
          </cell>
          <cell r="B15">
            <v>61.785603954278642</v>
          </cell>
          <cell r="C15">
            <v>61.785603954278599</v>
          </cell>
        </row>
        <row r="16">
          <cell r="A16">
            <v>500</v>
          </cell>
          <cell r="B16">
            <v>308.92801977139322</v>
          </cell>
          <cell r="C16">
            <v>308.92801977139322</v>
          </cell>
        </row>
        <row r="17">
          <cell r="A17">
            <v>750</v>
          </cell>
          <cell r="B17">
            <v>463.39202965708989</v>
          </cell>
          <cell r="C17">
            <v>463.39202965708989</v>
          </cell>
        </row>
        <row r="18">
          <cell r="A18">
            <v>1000</v>
          </cell>
          <cell r="B18">
            <v>617.85603954278645</v>
          </cell>
          <cell r="C18">
            <v>617.85603954278645</v>
          </cell>
        </row>
        <row r="19">
          <cell r="A19">
            <v>1250</v>
          </cell>
          <cell r="B19">
            <v>772.32004942848312</v>
          </cell>
          <cell r="C19">
            <v>772.32004942848312</v>
          </cell>
        </row>
        <row r="20">
          <cell r="A20">
            <v>1618.5</v>
          </cell>
          <cell r="B20">
            <v>1000</v>
          </cell>
          <cell r="C20">
            <v>1000</v>
          </cell>
        </row>
        <row r="21">
          <cell r="A21">
            <v>1750</v>
          </cell>
          <cell r="B21">
            <v>1000</v>
          </cell>
          <cell r="C21">
            <v>1000</v>
          </cell>
        </row>
        <row r="22">
          <cell r="A22">
            <v>2000</v>
          </cell>
          <cell r="B22">
            <v>1000</v>
          </cell>
          <cell r="C22">
            <v>1000</v>
          </cell>
        </row>
        <row r="23">
          <cell r="A23">
            <v>2158</v>
          </cell>
          <cell r="B23">
            <v>1000</v>
          </cell>
          <cell r="C23">
            <v>1000</v>
          </cell>
        </row>
        <row r="24">
          <cell r="A24">
            <v>2500</v>
          </cell>
          <cell r="B24">
            <v>1158.4800741427248</v>
          </cell>
          <cell r="C24">
            <v>1158.4800741427248</v>
          </cell>
        </row>
        <row r="25">
          <cell r="A25">
            <v>2750</v>
          </cell>
          <cell r="B25">
            <v>1274.3280815569972</v>
          </cell>
          <cell r="C25">
            <v>1274.3280815569972</v>
          </cell>
        </row>
        <row r="26">
          <cell r="A26">
            <v>3000</v>
          </cell>
          <cell r="B26">
            <v>1390.1760889712698</v>
          </cell>
          <cell r="C26">
            <v>1390.1760889712698</v>
          </cell>
        </row>
        <row r="27">
          <cell r="A27">
            <v>3250</v>
          </cell>
          <cell r="B27">
            <v>1506.0240963855422</v>
          </cell>
          <cell r="C27">
            <v>1506.0240963855422</v>
          </cell>
        </row>
        <row r="28">
          <cell r="A28">
            <v>3500</v>
          </cell>
          <cell r="B28">
            <v>1621.8721037998146</v>
          </cell>
          <cell r="C28">
            <v>1621.8721037998148</v>
          </cell>
        </row>
        <row r="29">
          <cell r="A29">
            <v>3750</v>
          </cell>
          <cell r="B29">
            <v>1737.7201112140872</v>
          </cell>
          <cell r="C29">
            <v>1737.7201112140872</v>
          </cell>
        </row>
      </sheetData>
      <sheetData sheetId="30" refreshError="1"/>
      <sheetData sheetId="31">
        <row r="18">
          <cell r="A18">
            <v>1.0000000000000001E-5</v>
          </cell>
        </row>
      </sheetData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D31"/>
  <sheetViews>
    <sheetView tabSelected="1" zoomScale="130" zoomScaleNormal="130" workbookViewId="0">
      <selection activeCell="S5" sqref="S5"/>
    </sheetView>
  </sheetViews>
  <sheetFormatPr defaultRowHeight="13.8" x14ac:dyDescent="0.25"/>
  <cols>
    <col min="1" max="1" width="20.44140625" style="1" customWidth="1"/>
    <col min="2" max="2" width="9.88671875" style="1" customWidth="1"/>
    <col min="3" max="3" width="12.44140625" style="1" customWidth="1"/>
    <col min="4" max="4" width="61.44140625" style="1" customWidth="1"/>
  </cols>
  <sheetData>
    <row r="1" spans="1:4" ht="17.399999999999999" x14ac:dyDescent="0.3">
      <c r="A1" s="15" t="s">
        <v>0</v>
      </c>
      <c r="B1" s="15"/>
      <c r="C1" s="15"/>
      <c r="D1" s="15"/>
    </row>
    <row r="2" spans="1:4" x14ac:dyDescent="0.25">
      <c r="A2" s="1" t="s">
        <v>1</v>
      </c>
      <c r="B2" s="2">
        <v>1000</v>
      </c>
    </row>
    <row r="3" spans="1:4" ht="15.6" x14ac:dyDescent="0.35">
      <c r="A3" s="1" t="s">
        <v>2</v>
      </c>
      <c r="B3" s="2">
        <v>1618.5</v>
      </c>
    </row>
    <row r="4" spans="1:4" ht="15.6" x14ac:dyDescent="0.35">
      <c r="A4" s="1" t="s">
        <v>3</v>
      </c>
      <c r="B4" s="2">
        <v>2158</v>
      </c>
    </row>
    <row r="5" spans="1:4" ht="15.6" x14ac:dyDescent="0.35">
      <c r="A5" s="13" t="s">
        <v>4</v>
      </c>
      <c r="B5" s="14">
        <f>B4*1.1</f>
        <v>2373.8000000000002</v>
      </c>
    </row>
    <row r="6" spans="1:4" ht="15.6" x14ac:dyDescent="0.35">
      <c r="A6" s="1" t="s">
        <v>13</v>
      </c>
      <c r="B6" s="2">
        <v>1.33</v>
      </c>
    </row>
    <row r="7" spans="1:4" x14ac:dyDescent="0.25">
      <c r="A7" s="1" t="s">
        <v>5</v>
      </c>
    </row>
    <row r="8" spans="1:4" x14ac:dyDescent="0.25">
      <c r="A8" s="3" t="s">
        <v>6</v>
      </c>
      <c r="B8" s="4">
        <f>IF(B5&lt;B3,(IF(B5&lt;B3,B2*B5/B3,IF(B5&gt;B4,B2*B5/B4,1000)))*B6,IF(B5&lt;B3,B2*B5/B3,IF(B5&gt;B4,B2*B5/B4,1000)))</f>
        <v>1100</v>
      </c>
      <c r="C8" s="1" t="str">
        <f ca="1">[1]!getformula(B8)</f>
        <v>&lt;--  =IF(B5&lt;B3,(IF(B5&lt;B3,B2*B5/B3,IF(B5&gt;B4,B2*B5/B4,1000)))*B6,IF(B5&lt;B3,B2*B5/B3,IF(B5&gt;B4,B2*B5/B4,1000)))</v>
      </c>
    </row>
    <row r="9" spans="1:4" x14ac:dyDescent="0.25">
      <c r="A9" s="3" t="s">
        <v>7</v>
      </c>
      <c r="B9" s="4">
        <f>IF(B5&lt;B3,(B2-B2/B3*MAX(B3-B5,0)+B2/B4*MAX(B5-B4,0))*B6,B2-B2/B3*MAX(B3-B5,0)+B2/B4*MAX(B5-B4,0))</f>
        <v>1100</v>
      </c>
      <c r="C9" s="1" t="str">
        <f ca="1">[1]!getformula(B9)</f>
        <v>&lt;--  =IF(B5&lt;B3,(B2-B2/B3*MAX(B3-B5,0)+B2/B4*MAX(B5-B4,0))*B6,B2-B2/B3*MAX(B3-B5,0)+B2/B4*MAX(B5-B4,0))</v>
      </c>
    </row>
    <row r="11" spans="1:4" x14ac:dyDescent="0.25">
      <c r="B11" s="5"/>
    </row>
    <row r="12" spans="1:4" ht="15.6" x14ac:dyDescent="0.3">
      <c r="A12" s="16" t="s">
        <v>8</v>
      </c>
      <c r="B12" s="16"/>
      <c r="C12" s="16"/>
    </row>
    <row r="13" spans="1:4" ht="26.4" x14ac:dyDescent="0.35">
      <c r="A13" s="6" t="s">
        <v>9</v>
      </c>
      <c r="B13" s="7" t="s">
        <v>10</v>
      </c>
      <c r="C13" s="7" t="s">
        <v>11</v>
      </c>
    </row>
    <row r="14" spans="1:4" x14ac:dyDescent="0.25">
      <c r="B14" s="8">
        <f>B8</f>
        <v>1100</v>
      </c>
      <c r="C14" s="8">
        <f>B9</f>
        <v>1100</v>
      </c>
      <c r="D14" s="1" t="s">
        <v>12</v>
      </c>
    </row>
    <row r="15" spans="1:4" x14ac:dyDescent="0.25">
      <c r="A15" s="9">
        <v>0</v>
      </c>
      <c r="B15" s="2">
        <f t="dataTable" ref="B15:C30" dt2D="0" dtr="0" r1="B5"/>
        <v>0</v>
      </c>
      <c r="C15" s="2">
        <v>0</v>
      </c>
    </row>
    <row r="16" spans="1:4" x14ac:dyDescent="0.25">
      <c r="A16" s="9">
        <v>100</v>
      </c>
      <c r="B16" s="2">
        <v>82.174853259190613</v>
      </c>
      <c r="C16" s="2">
        <v>82.174853259190542</v>
      </c>
    </row>
    <row r="17" spans="1:3" x14ac:dyDescent="0.25">
      <c r="A17" s="9">
        <v>500</v>
      </c>
      <c r="B17" s="2">
        <v>410.87426629595308</v>
      </c>
      <c r="C17" s="2">
        <v>410.87426629595302</v>
      </c>
    </row>
    <row r="18" spans="1:3" x14ac:dyDescent="0.25">
      <c r="A18" s="9">
        <v>750</v>
      </c>
      <c r="B18" s="2">
        <v>616.31139944392964</v>
      </c>
      <c r="C18" s="2">
        <v>616.31139944392964</v>
      </c>
    </row>
    <row r="19" spans="1:3" x14ac:dyDescent="0.25">
      <c r="A19" s="9">
        <v>1000</v>
      </c>
      <c r="B19" s="2">
        <v>821.74853259190616</v>
      </c>
      <c r="C19" s="2">
        <v>821.74853259190604</v>
      </c>
    </row>
    <row r="20" spans="1:3" x14ac:dyDescent="0.25">
      <c r="A20" s="9">
        <v>1250</v>
      </c>
      <c r="B20" s="2">
        <v>1027.1856657398826</v>
      </c>
      <c r="C20" s="2">
        <v>1027.1856657398826</v>
      </c>
    </row>
    <row r="21" spans="1:3" x14ac:dyDescent="0.25">
      <c r="A21" s="10">
        <v>1618.5</v>
      </c>
      <c r="B21" s="11">
        <v>1000</v>
      </c>
      <c r="C21" s="11">
        <v>1000</v>
      </c>
    </row>
    <row r="22" spans="1:3" x14ac:dyDescent="0.25">
      <c r="A22" s="9">
        <v>1750</v>
      </c>
      <c r="B22" s="2">
        <v>1000</v>
      </c>
      <c r="C22" s="2">
        <v>1000</v>
      </c>
    </row>
    <row r="23" spans="1:3" x14ac:dyDescent="0.25">
      <c r="A23" s="9">
        <v>2000</v>
      </c>
      <c r="B23" s="2">
        <v>1000</v>
      </c>
      <c r="C23" s="2">
        <v>1000</v>
      </c>
    </row>
    <row r="24" spans="1:3" x14ac:dyDescent="0.25">
      <c r="A24" s="9">
        <v>2158</v>
      </c>
      <c r="B24" s="2">
        <v>1000</v>
      </c>
      <c r="C24" s="2">
        <v>1000</v>
      </c>
    </row>
    <row r="25" spans="1:3" x14ac:dyDescent="0.25">
      <c r="A25" s="9">
        <v>2500</v>
      </c>
      <c r="B25" s="2">
        <v>1158.4800741427248</v>
      </c>
      <c r="C25" s="2">
        <v>1158.4800741427248</v>
      </c>
    </row>
    <row r="26" spans="1:3" x14ac:dyDescent="0.25">
      <c r="A26" s="9">
        <v>2750</v>
      </c>
      <c r="B26" s="2">
        <v>1274.3280815569972</v>
      </c>
      <c r="C26" s="2">
        <v>1274.3280815569972</v>
      </c>
    </row>
    <row r="27" spans="1:3" x14ac:dyDescent="0.25">
      <c r="A27" s="9">
        <v>3000</v>
      </c>
      <c r="B27" s="2">
        <v>1390.1760889712698</v>
      </c>
      <c r="C27" s="2">
        <v>1390.1760889712698</v>
      </c>
    </row>
    <row r="28" spans="1:3" x14ac:dyDescent="0.25">
      <c r="A28" s="9">
        <v>3250</v>
      </c>
      <c r="B28" s="2">
        <v>1506.0240963855422</v>
      </c>
      <c r="C28" s="2">
        <v>1506.0240963855422</v>
      </c>
    </row>
    <row r="29" spans="1:3" x14ac:dyDescent="0.25">
      <c r="A29" s="9">
        <v>3500</v>
      </c>
      <c r="B29" s="2">
        <v>1621.8721037998146</v>
      </c>
      <c r="C29" s="2">
        <v>1621.8721037998148</v>
      </c>
    </row>
    <row r="30" spans="1:3" x14ac:dyDescent="0.25">
      <c r="A30" s="9">
        <v>3750</v>
      </c>
      <c r="B30" s="2">
        <v>1737.7201112140872</v>
      </c>
      <c r="C30" s="2">
        <v>1737.7201112140872</v>
      </c>
    </row>
    <row r="31" spans="1:3" x14ac:dyDescent="0.25">
      <c r="A31" s="12"/>
    </row>
  </sheetData>
  <mergeCells count="2">
    <mergeCell ref="A1:D1"/>
    <mergeCell ref="A12:C1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2024-11-28T09:40:08Z</dcterms:modified>
</cp:coreProperties>
</file>