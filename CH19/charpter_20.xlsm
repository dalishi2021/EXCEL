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6CD458C2-A0D4-4355-A50C-1D8F79F9CF6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9" i="1"/>
  <c r="B10" i="1" s="1"/>
  <c r="C13" i="1"/>
  <c r="C8" i="1"/>
  <c r="C4" i="1"/>
  <c r="B4" i="1"/>
  <c r="B13" i="1" l="1"/>
</calcChain>
</file>

<file path=xl/sharedStrings.xml><?xml version="1.0" encoding="utf-8"?>
<sst xmlns="http://schemas.openxmlformats.org/spreadsheetml/2006/main" count="19" uniqueCount="19">
  <si>
    <t>CREATING A RISKLESS SECURITY WITH THE
UBS GOALS AND 25.641 PUTS</t>
  </si>
  <si>
    <t>Initial cash flows</t>
  </si>
  <si>
    <t xml:space="preserve">    Buy UBS security</t>
  </si>
  <si>
    <t xml:space="preserve">    Buy 25.641 puts</t>
  </si>
  <si>
    <t>Cash flow of "engineered" security:
GOALS + 25.641 bought puts</t>
  </si>
  <si>
    <t>Date</t>
  </si>
  <si>
    <t>Cash flow</t>
  </si>
  <si>
    <t>IRR of above</t>
  </si>
  <si>
    <t>Inputs for Black-Scholes formula in cell B4</t>
  </si>
  <si>
    <t>S</t>
  </si>
  <si>
    <t>Current stock price</t>
  </si>
  <si>
    <t>X</t>
  </si>
  <si>
    <t>Exercise price</t>
  </si>
  <si>
    <t>r</t>
  </si>
  <si>
    <t>Risk-free rate of interest</t>
  </si>
  <si>
    <t>T</t>
  </si>
  <si>
    <t>Time to maturity of option (in years)</t>
  </si>
  <si>
    <t>Sigma</t>
  </si>
  <si>
    <t>Stock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</si>
</sst>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Alignment="1">
      <alignment horizontal="center" wrapText="1"/>
    </xf>
    <xf numFmtId="0" fontId="4" fillId="0" borderId="0" xfId="0" applyFont="1" applyAlignment="1"/>
    <xf numFmtId="9" fontId="0" fillId="0" borderId="0" xfId="0" applyNumberFormat="1" applyAlignment="1"/>
    <xf numFmtId="0" fontId="0" fillId="0" borderId="0" xfId="0" applyAlignment="1"/>
    <xf numFmtId="4" fontId="2" fillId="0" borderId="0" xfId="1" applyNumberFormat="1" applyAlignment="1"/>
    <xf numFmtId="4" fontId="0" fillId="0" borderId="0" xfId="0" applyNumberFormat="1" applyAlignment="1"/>
    <xf numFmtId="3" fontId="0" fillId="0" borderId="0" xfId="0" applyNumberFormat="1" applyAlignment="1"/>
    <xf numFmtId="0" fontId="6" fillId="0" borderId="0" xfId="0" applyFont="1" applyAlignment="1">
      <alignment horizontal="center" wrapText="1"/>
    </xf>
    <xf numFmtId="9" fontId="4" fillId="0" borderId="0" xfId="2" applyFont="1" applyAlignment="1">
      <alignment horizontal="center"/>
    </xf>
    <xf numFmtId="15" fontId="0" fillId="0" borderId="0" xfId="0" applyNumberFormat="1" applyAlignment="1">
      <alignment horizontal="center"/>
    </xf>
    <xf numFmtId="43" fontId="2" fillId="0" borderId="0" xfId="1" applyAlignment="1"/>
    <xf numFmtId="0" fontId="0" fillId="2" borderId="0" xfId="0" applyFill="1" applyAlignment="1">
      <alignment horizontal="left"/>
    </xf>
    <xf numFmtId="10" fontId="2" fillId="2" borderId="0" xfId="2" applyNumberFormat="1" applyFill="1" applyAlignment="1"/>
    <xf numFmtId="9" fontId="4" fillId="0" borderId="0" xfId="2" applyFont="1" applyAlignment="1">
      <alignment horizontal="left"/>
    </xf>
    <xf numFmtId="9" fontId="7" fillId="0" borderId="0" xfId="2" applyFont="1" applyAlignment="1">
      <alignment horizontal="centerContinuous"/>
    </xf>
    <xf numFmtId="9" fontId="2" fillId="0" borderId="0" xfId="2" applyAlignment="1"/>
    <xf numFmtId="0" fontId="2" fillId="0" borderId="0" xfId="2" applyNumberFormat="1" applyAlignment="1"/>
    <xf numFmtId="9" fontId="5" fillId="0" borderId="0" xfId="2" applyFont="1" applyAlignment="1"/>
    <xf numFmtId="10" fontId="2" fillId="0" borderId="0" xfId="2" applyNumberFormat="1" applyAlignment="1"/>
    <xf numFmtId="0" fontId="5" fillId="0" borderId="0" xfId="2" applyNumberFormat="1" applyFont="1" applyAlignment="1"/>
    <xf numFmtId="9" fontId="5" fillId="0" borderId="0" xfId="2" applyFont="1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144780</xdr:colOff>
      <xdr:row>2</xdr:row>
      <xdr:rowOff>83820</xdr:rowOff>
    </xdr:from>
    <xdr:to>
      <xdr:col>12</xdr:col>
      <xdr:colOff>342901</xdr:colOff>
      <xdr:row>27</xdr:row>
      <xdr:rowOff>38100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6225F7D-5245-715A-5640-ABC5E80AC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21680" y="480060"/>
          <a:ext cx="5074920" cy="43510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>
        <row r="12">
          <cell r="B12" t="str">
            <v>Airbag definition</v>
          </cell>
        </row>
      </sheetData>
      <sheetData sheetId="30" refreshError="1"/>
      <sheetData sheetId="31">
        <row r="18">
          <cell r="A18">
            <v>1.0000000000000001E-5</v>
          </cell>
        </row>
      </sheetData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21"/>
  <sheetViews>
    <sheetView tabSelected="1" zoomScale="145" zoomScaleNormal="145" workbookViewId="0">
      <selection activeCell="S14" sqref="S14"/>
    </sheetView>
  </sheetViews>
  <sheetFormatPr defaultRowHeight="13.8" x14ac:dyDescent="0.25"/>
  <cols>
    <col min="1" max="1" width="21.33203125" style="4" customWidth="1"/>
    <col min="2" max="2" width="10.77734375" style="4" bestFit="1" customWidth="1"/>
    <col min="3" max="3" width="42.6640625" style="4" bestFit="1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/>
    </row>
    <row r="3" spans="1:3" x14ac:dyDescent="0.25">
      <c r="A3" s="4" t="s">
        <v>2</v>
      </c>
      <c r="B3" s="5">
        <v>-1000</v>
      </c>
    </row>
    <row r="4" spans="1:3" x14ac:dyDescent="0.25">
      <c r="A4" s="4" t="s">
        <v>3</v>
      </c>
      <c r="B4" s="6">
        <f>-25.641*[2]!BSPut(B16,B17,B19,B18,B20)</f>
        <v>-300.21388467672136</v>
      </c>
      <c r="C4" s="4" t="str">
        <f ca="1">[2]!getformula(B4)</f>
        <v>&lt;--  =-25.641*BSPut(B16,B17,B19,B18,B20)</v>
      </c>
    </row>
    <row r="5" spans="1:3" x14ac:dyDescent="0.25">
      <c r="B5" s="7"/>
    </row>
    <row r="6" spans="1:3" x14ac:dyDescent="0.25">
      <c r="A6" s="8" t="s">
        <v>4</v>
      </c>
      <c r="B6" s="8"/>
      <c r="C6" s="8"/>
    </row>
    <row r="7" spans="1:3" x14ac:dyDescent="0.25">
      <c r="A7" s="9" t="s">
        <v>5</v>
      </c>
      <c r="B7" s="2" t="s">
        <v>6</v>
      </c>
    </row>
    <row r="8" spans="1:3" x14ac:dyDescent="0.25">
      <c r="A8" s="10">
        <v>36914</v>
      </c>
      <c r="B8" s="11">
        <f>SUM(B3:B4)</f>
        <v>-1300.2138846767214</v>
      </c>
      <c r="C8" s="4" t="str">
        <f ca="1">[2]!getformula(B8)</f>
        <v>&lt;--  =SUM(B3:B4)</v>
      </c>
    </row>
    <row r="9" spans="1:3" x14ac:dyDescent="0.25">
      <c r="A9" s="10">
        <v>37095</v>
      </c>
      <c r="B9" s="11">
        <f>-19.5%*B3/2</f>
        <v>97.5</v>
      </c>
    </row>
    <row r="10" spans="1:3" x14ac:dyDescent="0.25">
      <c r="A10" s="10">
        <v>37279</v>
      </c>
      <c r="B10" s="11">
        <f>B9</f>
        <v>97.5</v>
      </c>
    </row>
    <row r="11" spans="1:3" x14ac:dyDescent="0.25">
      <c r="A11" s="10">
        <v>37460</v>
      </c>
      <c r="B11" s="11">
        <v>1097.5</v>
      </c>
    </row>
    <row r="12" spans="1:3" x14ac:dyDescent="0.25">
      <c r="A12" s="10"/>
      <c r="B12" s="11"/>
    </row>
    <row r="13" spans="1:3" x14ac:dyDescent="0.25">
      <c r="A13" s="12" t="s">
        <v>7</v>
      </c>
      <c r="B13" s="13">
        <f>XIRR(B8:B11,A8:A11)</f>
        <v>-4.2926341295242317E-3</v>
      </c>
      <c r="C13" s="4" t="str">
        <f ca="1">[2]!getformula(B13)</f>
        <v>&lt;--  =XIRR(B8:B11,A8:A11)</v>
      </c>
    </row>
    <row r="15" spans="1:3" ht="15" x14ac:dyDescent="0.25">
      <c r="A15" s="14" t="s">
        <v>8</v>
      </c>
      <c r="B15" s="15"/>
      <c r="C15" s="15"/>
    </row>
    <row r="16" spans="1:3" x14ac:dyDescent="0.25">
      <c r="A16" s="16" t="s">
        <v>9</v>
      </c>
      <c r="B16" s="17">
        <v>42.625</v>
      </c>
      <c r="C16" s="18" t="s">
        <v>10</v>
      </c>
    </row>
    <row r="17" spans="1:3" x14ac:dyDescent="0.25">
      <c r="A17" s="16" t="s">
        <v>11</v>
      </c>
      <c r="B17" s="17">
        <v>39</v>
      </c>
      <c r="C17" s="18" t="s">
        <v>12</v>
      </c>
    </row>
    <row r="18" spans="1:3" x14ac:dyDescent="0.25">
      <c r="A18" s="16" t="s">
        <v>13</v>
      </c>
      <c r="B18" s="19">
        <v>5.1999999999999998E-2</v>
      </c>
      <c r="C18" s="18" t="s">
        <v>14</v>
      </c>
    </row>
    <row r="19" spans="1:3" x14ac:dyDescent="0.25">
      <c r="A19" s="16" t="s">
        <v>15</v>
      </c>
      <c r="B19" s="20">
        <v>1.5</v>
      </c>
      <c r="C19" s="18" t="s">
        <v>16</v>
      </c>
    </row>
    <row r="20" spans="1:3" x14ac:dyDescent="0.25">
      <c r="A20" s="21" t="s">
        <v>17</v>
      </c>
      <c r="B20" s="21">
        <v>0.8</v>
      </c>
      <c r="C20" s="18" t="s">
        <v>18</v>
      </c>
    </row>
    <row r="21" spans="1:3" x14ac:dyDescent="0.25">
      <c r="A21" s="16"/>
      <c r="B21" s="18"/>
      <c r="C21" s="18"/>
    </row>
  </sheetData>
  <mergeCells count="2">
    <mergeCell ref="A1:C1"/>
    <mergeCell ref="A6:C6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2024-11-28T09:40:01Z</dcterms:modified>
</cp:coreProperties>
</file>