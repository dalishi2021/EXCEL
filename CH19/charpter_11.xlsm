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D4478D4F-B3B7-4C87-84CA-0862632DBDD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_xlnm.Print_Area" localSheetId="0">Sheet1!$A$1:$D$31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2" i="1"/>
  <c r="B8" i="1" l="1"/>
  <c r="B9" i="1" l="1"/>
  <c r="B13" i="1"/>
  <c r="B14" i="1" l="1"/>
  <c r="B16" i="1" s="1"/>
  <c r="B17" i="1"/>
</calcChain>
</file>

<file path=xl/sharedStrings.xml><?xml version="1.0" encoding="utf-8"?>
<sst xmlns="http://schemas.openxmlformats.org/spreadsheetml/2006/main" count="29" uniqueCount="29">
  <si>
    <t>Pricing Currency Options</t>
  </si>
  <si>
    <t>S</t>
  </si>
  <si>
    <t>Current exchange rate:  U.S. dollar price of one Euro</t>
  </si>
  <si>
    <t>X</t>
  </si>
  <si>
    <t>Exercise price</t>
  </si>
  <si>
    <r>
      <t>r</t>
    </r>
    <r>
      <rPr>
        <vertAlign val="subscript"/>
        <sz val="10"/>
        <rFont val="Arial"/>
        <family val="2"/>
      </rPr>
      <t>US</t>
    </r>
  </si>
  <si>
    <t>U.S. interest rate</t>
  </si>
  <si>
    <r>
      <t>r</t>
    </r>
    <r>
      <rPr>
        <vertAlign val="subscript"/>
        <sz val="10"/>
        <rFont val="Arial"/>
        <family val="2"/>
      </rPr>
      <t>€</t>
    </r>
  </si>
  <si>
    <t>Euro interest rate</t>
  </si>
  <si>
    <t>T</t>
  </si>
  <si>
    <t>Time to maturity of option (in years)</t>
  </si>
  <si>
    <t>Sigma</t>
  </si>
  <si>
    <t>Euro volatility in dollars</t>
  </si>
  <si>
    <r>
      <t>d</t>
    </r>
    <r>
      <rPr>
        <vertAlign val="subscript"/>
        <sz val="10"/>
        <rFont val="Arial"/>
        <family val="2"/>
      </rPr>
      <t>1</t>
    </r>
  </si>
  <si>
    <r>
      <t>&lt;--(LN(S/X)+(r</t>
    </r>
    <r>
      <rPr>
        <vertAlign val="subscript"/>
        <sz val="10"/>
        <rFont val="Arial"/>
        <family val="2"/>
      </rPr>
      <t>US</t>
    </r>
    <r>
      <rPr>
        <sz val="10"/>
        <rFont val="Arial"/>
        <family val="2"/>
      </rPr>
      <t>-r</t>
    </r>
    <r>
      <rPr>
        <vertAlign val="subscript"/>
        <sz val="10"/>
        <rFont val="Arial"/>
        <family val="2"/>
      </rPr>
      <t>€</t>
    </r>
    <r>
      <rPr>
        <sz val="10"/>
        <rFont val="Arial"/>
        <family val="2"/>
      </rPr>
      <t>+0.5*sigma^2)*T)/(sigma*SQRT(T))</t>
    </r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</si>
  <si>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</si>
  <si>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 xml:space="preserve">1 </t>
    </r>
    <r>
      <rPr>
        <sz val="11"/>
        <color theme="1"/>
        <rFont val="等线"/>
        <family val="2"/>
        <charset val="134"/>
        <scheme val="minor"/>
      </rPr>
      <t>- sigma*SQRT(T)</t>
    </r>
  </si>
  <si>
    <t>Number of Euros per call contract</t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</si>
  <si>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</si>
  <si>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</si>
  <si>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</si>
  <si>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</si>
  <si>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Call price</t>
  </si>
  <si>
    <r>
      <t>&lt;-- (S*Exp(-r</t>
    </r>
    <r>
      <rPr>
        <vertAlign val="subscript"/>
        <sz val="10"/>
        <rFont val="Arial"/>
        <family val="2"/>
      </rPr>
      <t>€</t>
    </r>
    <r>
      <rPr>
        <sz val="11"/>
        <color theme="1"/>
        <rFont val="等线"/>
        <family val="2"/>
        <charset val="134"/>
        <scheme val="minor"/>
      </rPr>
      <t>*T)*N(d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</t>
    </r>
    <r>
      <rPr>
        <vertAlign val="subscript"/>
        <sz val="10"/>
        <rFont val="Arial"/>
        <family val="2"/>
      </rPr>
      <t>US</t>
    </r>
    <r>
      <rPr>
        <sz val="11"/>
        <color theme="1"/>
        <rFont val="等线"/>
        <family val="2"/>
        <charset val="134"/>
        <scheme val="minor"/>
      </rPr>
      <t>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))*B11</t>
    </r>
  </si>
  <si>
    <t>Put price</t>
  </si>
  <si>
    <r>
      <t>&lt;-- (X*exp(-r</t>
    </r>
    <r>
      <rPr>
        <vertAlign val="subscript"/>
        <sz val="10"/>
        <rFont val="Arial"/>
        <family val="2"/>
      </rPr>
      <t>US</t>
    </r>
    <r>
      <rPr>
        <sz val="11"/>
        <color theme="1"/>
        <rFont val="等线"/>
        <family val="2"/>
        <charset val="134"/>
        <scheme val="minor"/>
      </rPr>
      <t>*T)*N(-d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)-S*Exp(-r</t>
    </r>
    <r>
      <rPr>
        <vertAlign val="subscript"/>
        <sz val="10"/>
        <rFont val="Arial"/>
        <family val="2"/>
      </rPr>
      <t>€</t>
    </r>
    <r>
      <rPr>
        <sz val="11"/>
        <color theme="1"/>
        <rFont val="等线"/>
        <family val="2"/>
        <charset val="134"/>
        <scheme val="minor"/>
      </rPr>
      <t>*T)*N(-d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))*B11:  direct formula</t>
    </r>
  </si>
  <si>
    <t>Dates</t>
  </si>
  <si>
    <t>Current date</t>
  </si>
  <si>
    <t>Option expiration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</si>
</sst>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0.000"/>
    <numFmt numFmtId="177" formatCode="0.0000"/>
    <numFmt numFmtId="179" formatCode="_(* #,##0_);_(* \(#,##0\);_(* &quot;-&quot;??_);_(@_)"/>
    <numFmt numFmtId="180" formatCode=";;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9" fontId="4" fillId="0" borderId="0" xfId="2" applyFont="1" applyAlignment="1">
      <alignment horizontal="center"/>
    </xf>
    <xf numFmtId="9" fontId="5" fillId="0" borderId="0" xfId="2" applyFont="1" applyAlignment="1">
      <alignment horizontal="centerContinuous"/>
    </xf>
    <xf numFmtId="9" fontId="2" fillId="0" borderId="0" xfId="2" applyAlignment="1"/>
    <xf numFmtId="176" fontId="2" fillId="0" borderId="0" xfId="2" applyNumberFormat="1" applyAlignment="1"/>
    <xf numFmtId="9" fontId="3" fillId="0" borderId="0" xfId="2" applyFont="1" applyAlignment="1"/>
    <xf numFmtId="9" fontId="2" fillId="0" borderId="0" xfId="2" quotePrefix="1" applyAlignment="1"/>
    <xf numFmtId="10" fontId="2" fillId="0" borderId="0" xfId="2" applyNumberFormat="1" applyAlignment="1"/>
    <xf numFmtId="177" fontId="3" fillId="0" borderId="0" xfId="2" applyNumberFormat="1" applyFont="1" applyAlignment="1"/>
    <xf numFmtId="10" fontId="3" fillId="0" borderId="0" xfId="2" applyNumberFormat="1" applyFont="1" applyAlignment="1"/>
    <xf numFmtId="177" fontId="2" fillId="0" borderId="0" xfId="2" quotePrefix="1" applyNumberFormat="1" applyAlignment="1"/>
    <xf numFmtId="179" fontId="2" fillId="0" borderId="0" xfId="1" quotePrefix="1" applyNumberFormat="1" applyAlignment="1"/>
    <xf numFmtId="177" fontId="2" fillId="0" borderId="0" xfId="2" applyNumberFormat="1" applyAlignment="1"/>
    <xf numFmtId="9" fontId="3" fillId="2" borderId="0" xfId="2" applyFont="1" applyFill="1" applyAlignment="1"/>
    <xf numFmtId="2" fontId="2" fillId="2" borderId="0" xfId="2" applyNumberFormat="1" applyFill="1" applyAlignment="1"/>
    <xf numFmtId="0" fontId="0" fillId="0" borderId="0" xfId="0" applyAlignment="1"/>
    <xf numFmtId="180" fontId="0" fillId="0" borderId="0" xfId="0" applyNumberFormat="1" applyAlignment="1"/>
    <xf numFmtId="2" fontId="0" fillId="0" borderId="0" xfId="0" applyNumberFormat="1" applyAlignment="1"/>
    <xf numFmtId="15" fontId="0" fillId="0" borderId="0" xfId="0" applyNumberFormat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2057400</xdr:colOff>
      <xdr:row>18</xdr:row>
      <xdr:rowOff>104775</xdr:rowOff>
    </xdr:from>
    <xdr:to>
      <xdr:col>3</xdr:col>
      <xdr:colOff>809625</xdr:colOff>
      <xdr:row>30</xdr:row>
      <xdr:rowOff>28575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A2AA0A96-EE2F-4674-A589-8C6CF4A3EDDA}"/>
            </a:ext>
          </a:extLst>
        </xdr:cNvPr>
        <xdr:cNvSpPr txBox="1">
          <a:spLocks noChangeArrowheads="1"/>
        </xdr:cNvSpPr>
      </xdr:nvSpPr>
      <xdr:spPr bwMode="auto">
        <a:xfrm>
          <a:off x="4705350" y="3467100"/>
          <a:ext cx="25241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Intuition:  The underlying asset of the currency option is a Euro.  The Euro pays a dividend, which is the Euro interest rate.  Therefore the Merton model applies, with the underlying asset price being S*exp(-r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€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*T), where r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€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is the interest rate on Euros.  Note also the change in d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, where r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US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-r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€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appears instead of r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US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as in the regular Black-Scholes formula.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121920</xdr:colOff>
          <xdr:row>10</xdr:row>
          <xdr:rowOff>0</xdr:rowOff>
        </xdr:from>
        <xdr:to>
          <xdr:col>19</xdr:col>
          <xdr:colOff>144780</xdr:colOff>
          <xdr:row>38</xdr:row>
          <xdr:rowOff>60960</xdr:rowOff>
        </xdr:to>
        <xdr:pic>
          <xdr:nvPicPr>
            <xdr:cNvPr id="3" name="图片 2">
              <a:extLst>
                <a:ext uri="{FF2B5EF4-FFF2-40B4-BE49-F238E27FC236}">
                  <a16:creationId xmlns:a16="http://schemas.microsoft.com/office/drawing/2014/main" id="{612DFA60-A283-E1FC-E234-E28AE7AF17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Page 524, bottom'!$A$1:$D$28" spid="_x0000_s10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281160" y="1889760"/>
              <a:ext cx="8557260" cy="5059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/>
      <sheetData sheetId="1"/>
      <sheetData sheetId="2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7"/>
      <sheetData sheetId="48"/>
      <sheetData sheetId="49"/>
      <sheetData sheetId="50"/>
      <sheetData sheetId="51"/>
      <sheetData sheetId="5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>
    <pageSetUpPr fitToPage="1"/>
  </sheetPr>
  <dimension ref="A1:D26"/>
  <sheetViews>
    <sheetView tabSelected="1" zoomScale="145" zoomScaleNormal="145" workbookViewId="0">
      <selection activeCell="C21" sqref="C21"/>
    </sheetView>
  </sheetViews>
  <sheetFormatPr defaultRowHeight="13.8" x14ac:dyDescent="0.25"/>
  <cols>
    <col min="1" max="1" width="28.109375" style="15" customWidth="1"/>
    <col min="2" max="2" width="10.5546875" style="15" bestFit="1" customWidth="1"/>
    <col min="3" max="3" width="55" style="15" customWidth="1"/>
    <col min="4" max="4" width="31" style="15" customWidth="1"/>
  </cols>
  <sheetData>
    <row r="1" spans="1:4" ht="17.399999999999999" x14ac:dyDescent="0.3">
      <c r="A1" s="1" t="s">
        <v>0</v>
      </c>
      <c r="B1" s="1"/>
      <c r="C1" s="1"/>
      <c r="D1" s="2"/>
    </row>
    <row r="2" spans="1:4" x14ac:dyDescent="0.25">
      <c r="A2" s="3" t="s">
        <v>1</v>
      </c>
      <c r="B2" s="4">
        <f>1/0.7834</f>
        <v>1.2764871074802144</v>
      </c>
      <c r="C2" s="5" t="s">
        <v>2</v>
      </c>
      <c r="D2" s="3"/>
    </row>
    <row r="3" spans="1:4" x14ac:dyDescent="0.25">
      <c r="A3" s="3" t="s">
        <v>3</v>
      </c>
      <c r="B3" s="4">
        <v>1.2849999999999999</v>
      </c>
      <c r="C3" s="5" t="s">
        <v>4</v>
      </c>
      <c r="D3" s="6"/>
    </row>
    <row r="4" spans="1:4" ht="15.6" x14ac:dyDescent="0.35">
      <c r="A4" s="5" t="s">
        <v>5</v>
      </c>
      <c r="B4" s="7">
        <v>0.05</v>
      </c>
      <c r="C4" s="5" t="s">
        <v>6</v>
      </c>
      <c r="D4" s="3"/>
    </row>
    <row r="5" spans="1:4" ht="15.6" x14ac:dyDescent="0.35">
      <c r="A5" s="5" t="s">
        <v>7</v>
      </c>
      <c r="B5" s="7">
        <v>5.5E-2</v>
      </c>
      <c r="C5" s="5" t="s">
        <v>8</v>
      </c>
      <c r="D5" s="3"/>
    </row>
    <row r="6" spans="1:4" x14ac:dyDescent="0.25">
      <c r="A6" s="3" t="s">
        <v>9</v>
      </c>
      <c r="B6" s="8">
        <f>(B26-B25)/365</f>
        <v>5.7534246575342465E-2</v>
      </c>
      <c r="C6" s="5" t="s">
        <v>10</v>
      </c>
      <c r="D6" s="3"/>
    </row>
    <row r="7" spans="1:4" x14ac:dyDescent="0.25">
      <c r="A7" s="5" t="s">
        <v>11</v>
      </c>
      <c r="B7" s="9">
        <v>4.7E-2</v>
      </c>
      <c r="C7" s="5" t="s">
        <v>12</v>
      </c>
      <c r="D7" s="3"/>
    </row>
    <row r="8" spans="1:4" ht="15.6" x14ac:dyDescent="0.35">
      <c r="A8" s="5" t="s">
        <v>13</v>
      </c>
      <c r="B8" s="10">
        <f>(LN(B2/B3)+(B4+0.5*B7^2-B5)*B6)/(B7*SQRT(B6))</f>
        <v>-0.60947787326652592</v>
      </c>
      <c r="C8" s="5" t="s">
        <v>14</v>
      </c>
      <c r="D8" s="3"/>
    </row>
    <row r="9" spans="1:4" ht="15.6" x14ac:dyDescent="0.35">
      <c r="A9" s="5" t="s">
        <v>15</v>
      </c>
      <c r="B9" s="10">
        <f>B8-SQRT(B6)*B7</f>
        <v>-0.62075143307188163</v>
      </c>
      <c r="C9" s="5" t="s">
        <v>16</v>
      </c>
      <c r="D9" s="3"/>
    </row>
    <row r="10" spans="1:4" x14ac:dyDescent="0.25">
      <c r="A10" s="5"/>
      <c r="B10" s="10"/>
      <c r="C10" s="5"/>
      <c r="D10" s="3"/>
    </row>
    <row r="11" spans="1:4" x14ac:dyDescent="0.25">
      <c r="A11" s="5" t="s">
        <v>17</v>
      </c>
      <c r="B11" s="11">
        <v>10000</v>
      </c>
      <c r="C11" s="5"/>
      <c r="D11" s="3"/>
    </row>
    <row r="12" spans="1:4" x14ac:dyDescent="0.25">
      <c r="A12" s="3"/>
      <c r="B12" s="12"/>
      <c r="C12" s="3"/>
      <c r="D12" s="3"/>
    </row>
    <row r="13" spans="1:4" ht="15.6" x14ac:dyDescent="0.35">
      <c r="A13" s="5" t="s">
        <v>18</v>
      </c>
      <c r="B13" s="12">
        <f>NORMSDIST(B8)</f>
        <v>0.27110386735694847</v>
      </c>
      <c r="C13" s="5" t="s">
        <v>19</v>
      </c>
      <c r="D13" s="3"/>
    </row>
    <row r="14" spans="1:4" ht="15.6" x14ac:dyDescent="0.35">
      <c r="A14" s="5" t="s">
        <v>20</v>
      </c>
      <c r="B14" s="12">
        <f>NORMSDIST(B9)</f>
        <v>0.26738159138947404</v>
      </c>
      <c r="C14" s="5" t="s">
        <v>21</v>
      </c>
      <c r="D14" s="3"/>
    </row>
    <row r="15" spans="1:4" x14ac:dyDescent="0.25">
      <c r="A15" s="3"/>
      <c r="B15" s="12"/>
      <c r="C15" s="3"/>
      <c r="D15" s="3"/>
    </row>
    <row r="16" spans="1:4" ht="15.6" x14ac:dyDescent="0.35">
      <c r="A16" s="13" t="s">
        <v>22</v>
      </c>
      <c r="B16" s="14">
        <f>(B2*EXP(-B5*B6)*B13-B3*EXP(-B4*B6)*B14)*B11</f>
        <v>23.688847631713195</v>
      </c>
      <c r="C16" s="5" t="s">
        <v>23</v>
      </c>
      <c r="D16" s="3"/>
    </row>
    <row r="17" spans="1:4" ht="15.6" x14ac:dyDescent="0.35">
      <c r="A17" s="13" t="s">
        <v>24</v>
      </c>
      <c r="B17" s="14">
        <f>(B3*EXP(-B4*B6)*NORMSDIST(-B9)-B2*EXP(-B5*B6)*NORMSDIST(-B8))*B11</f>
        <v>112.23424453896014</v>
      </c>
      <c r="C17" s="5" t="s">
        <v>25</v>
      </c>
      <c r="D17" s="3"/>
    </row>
    <row r="18" spans="1:4" x14ac:dyDescent="0.25">
      <c r="A18" s="3"/>
      <c r="C18" s="5"/>
      <c r="D18" s="3"/>
    </row>
    <row r="20" spans="1:4" x14ac:dyDescent="0.25">
      <c r="D20" s="16"/>
    </row>
    <row r="21" spans="1:4" x14ac:dyDescent="0.25">
      <c r="C21" s="17"/>
      <c r="D21" s="17"/>
    </row>
    <row r="24" spans="1:4" x14ac:dyDescent="0.25">
      <c r="A24" s="15" t="s">
        <v>26</v>
      </c>
    </row>
    <row r="25" spans="1:4" x14ac:dyDescent="0.25">
      <c r="A25" s="15" t="s">
        <v>27</v>
      </c>
      <c r="B25" s="18">
        <v>38926</v>
      </c>
    </row>
    <row r="26" spans="1:4" x14ac:dyDescent="0.25">
      <c r="A26" s="15" t="s">
        <v>28</v>
      </c>
      <c r="B26" s="18">
        <v>38947</v>
      </c>
    </row>
  </sheetData>
  <mergeCells count="1">
    <mergeCell ref="A1:C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2024-11-27T09:24:05Z</cp:lastPrinted>
  <dcterms:created xsi:type="dcterms:W3CDTF">2024-10-05T13:27:14Z</dcterms:created>
  <dcterms:modified xsi:type="dcterms:W3CDTF">2024-11-27T09:24:22Z</dcterms:modified>
</cp:coreProperties>
</file>