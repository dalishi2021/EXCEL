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8DAF1B70-E743-4038-ABA9-DFA136811F2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3" i="1"/>
  <c r="C12" i="1"/>
  <c r="C11" i="1"/>
  <c r="B11" i="1"/>
  <c r="C10" i="1"/>
  <c r="B12" i="1" l="1"/>
</calcChain>
</file>

<file path=xl/sharedStrings.xml><?xml version="1.0" encoding="utf-8"?>
<sst xmlns="http://schemas.openxmlformats.org/spreadsheetml/2006/main" count="13" uniqueCount="13">
  <si>
    <t>ANALYZING A SIMPLE STRUCTURED PRODUCT
$1,000 Deposit with 50% Participation in S&amp;P Increase over 5 Years</t>
  </si>
  <si>
    <t>Initial S&amp;P 500 price, S0</t>
  </si>
  <si>
    <t>&lt;-- The price of the S&amp;P 500 at PPUP issuance</t>
  </si>
  <si>
    <t>Structured exercise price, X</t>
  </si>
  <si>
    <t>Risk-free interest rate for 5 years, r</t>
  </si>
  <si>
    <t>Time to maturity, T</t>
  </si>
  <si>
    <t>Volatility of S&amp;P 500, sSP</t>
  </si>
  <si>
    <t>Participation rate</t>
  </si>
  <si>
    <t>&lt;-- Percentage of increase in the S&amp;P going to PPUP owner</t>
  </si>
  <si>
    <t>Strutured components, value today</t>
  </si>
  <si>
    <t xml:space="preserve">     Bond paying $1000 at maturity</t>
  </si>
  <si>
    <t xml:space="preserve">     Participation rate /S0*at-the-money call on S&amp;P 500</t>
  </si>
  <si>
    <t>Value of structured security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</si>
</sst>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3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9" fontId="0" fillId="0" borderId="0" xfId="0" applyNumberFormat="1" applyAlignment="1"/>
    <xf numFmtId="2" fontId="0" fillId="0" borderId="0" xfId="0" applyNumberFormat="1" applyAlignment="1"/>
    <xf numFmtId="2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563880</xdr:colOff>
      <xdr:row>6</xdr:row>
      <xdr:rowOff>22860</xdr:rowOff>
    </xdr:from>
    <xdr:to>
      <xdr:col>18</xdr:col>
      <xdr:colOff>19050</xdr:colOff>
      <xdr:row>19</xdr:row>
      <xdr:rowOff>114300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B550A17-E2C2-1F69-6838-B20805CBC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59240" y="1120140"/>
          <a:ext cx="7383780" cy="2369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2124371</xdr:colOff>
      <xdr:row>24</xdr:row>
      <xdr:rowOff>93277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3B6E0C1-C9A9-D830-E651-43520565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404" y="2579077"/>
          <a:ext cx="2124371" cy="16099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2"/>
  <sheetViews>
    <sheetView tabSelected="1" zoomScale="130" zoomScaleNormal="130" workbookViewId="0">
      <selection activeCell="D19" sqref="D19"/>
    </sheetView>
  </sheetViews>
  <sheetFormatPr defaultRowHeight="13.8" x14ac:dyDescent="0.25"/>
  <cols>
    <col min="1" max="1" width="47.33203125" style="3" customWidth="1"/>
    <col min="2" max="2" width="12.6640625" style="3" customWidth="1"/>
    <col min="3" max="3" width="51.33203125" style="3" bestFit="1" customWidth="1"/>
  </cols>
  <sheetData>
    <row r="1" spans="1:3" ht="17.399999999999999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v>950</v>
      </c>
      <c r="C2" s="3" t="s">
        <v>2</v>
      </c>
    </row>
    <row r="3" spans="1:3" x14ac:dyDescent="0.25">
      <c r="A3" s="3" t="s">
        <v>3</v>
      </c>
      <c r="B3" s="4">
        <f>B2</f>
        <v>950</v>
      </c>
    </row>
    <row r="4" spans="1:3" x14ac:dyDescent="0.25">
      <c r="A4" s="3" t="s">
        <v>4</v>
      </c>
      <c r="B4" s="5">
        <v>0.05</v>
      </c>
    </row>
    <row r="5" spans="1:3" x14ac:dyDescent="0.25">
      <c r="A5" s="3" t="s">
        <v>5</v>
      </c>
      <c r="B5" s="3">
        <v>5</v>
      </c>
    </row>
    <row r="6" spans="1:3" x14ac:dyDescent="0.25">
      <c r="A6" s="6" t="s">
        <v>6</v>
      </c>
      <c r="B6" s="7">
        <v>0.41996777860911827</v>
      </c>
    </row>
    <row r="7" spans="1:3" x14ac:dyDescent="0.25">
      <c r="A7" s="3" t="s">
        <v>7</v>
      </c>
      <c r="B7" s="8">
        <v>0.5</v>
      </c>
      <c r="C7" s="3" t="s">
        <v>8</v>
      </c>
    </row>
    <row r="9" spans="1:3" x14ac:dyDescent="0.25">
      <c r="A9" s="3" t="s">
        <v>9</v>
      </c>
    </row>
    <row r="10" spans="1:3" x14ac:dyDescent="0.25">
      <c r="A10" s="3" t="s">
        <v>10</v>
      </c>
      <c r="B10" s="9">
        <f>EXP(-B4*B5)*1000</f>
        <v>778.80078307140491</v>
      </c>
      <c r="C10" s="3" t="str">
        <f ca="1">[2]!getformula(B10)</f>
        <v>&lt;--  =EXP(-B4*B5)*1000</v>
      </c>
    </row>
    <row r="11" spans="1:3" x14ac:dyDescent="0.25">
      <c r="A11" s="3" t="s">
        <v>11</v>
      </c>
      <c r="B11" s="9">
        <f>1000*B7/B2*[2]!BSCall(B2,B3,B5,B4,B6)</f>
        <v>221.19921660984701</v>
      </c>
      <c r="C11" s="3" t="str">
        <f ca="1">[2]!getformula(B11)</f>
        <v>&lt;--  =1000*B7/B2*BSCall(B2,B3,B5,B4,B6)</v>
      </c>
    </row>
    <row r="12" spans="1:3" x14ac:dyDescent="0.25">
      <c r="A12" s="6" t="s">
        <v>12</v>
      </c>
      <c r="B12" s="10">
        <f>SUM(B10:B11)</f>
        <v>999.99999968125189</v>
      </c>
      <c r="C12" s="3" t="str">
        <f ca="1">[2]!getformula(B12)</f>
        <v>&lt;--  =SUM(B10:B11)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2024-11-28T02:30:12Z</dcterms:modified>
</cp:coreProperties>
</file>