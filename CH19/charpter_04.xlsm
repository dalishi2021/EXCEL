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4DFB54A5-C483-4CFD-BB1A-29A7AEE6480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C12" i="1"/>
  <c r="C11" i="1"/>
  <c r="B12" i="1"/>
  <c r="B11" i="1"/>
  <c r="C7" i="1"/>
</calcChain>
</file>

<file path=xl/sharedStrings.xml><?xml version="1.0" encoding="utf-8"?>
<sst xmlns="http://schemas.openxmlformats.org/spreadsheetml/2006/main" count="13" uniqueCount="13">
  <si>
    <r>
      <t xml:space="preserve">PRICING THE AUGUST 2006 QQQQ OPTIONS
Using the historical volatility </t>
    </r>
    <r>
      <rPr>
        <b/>
        <sz val="14"/>
        <rFont val="Symbol"/>
        <family val="1"/>
        <charset val="2"/>
      </rPr>
      <t>s</t>
    </r>
  </si>
  <si>
    <t>Current date</t>
  </si>
  <si>
    <t>Option expiration date</t>
  </si>
  <si>
    <t>S</t>
  </si>
  <si>
    <t>X</t>
  </si>
  <si>
    <t>T</t>
  </si>
  <si>
    <t>Interest</t>
  </si>
  <si>
    <t>Sigma</t>
  </si>
  <si>
    <t>Call price</t>
  </si>
  <si>
    <t>Put price</t>
  </si>
  <si>
    <t>Actual prices</t>
  </si>
  <si>
    <t xml:space="preserve">     Call</t>
  </si>
  <si>
    <t xml:space="preserve">    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</si>
</sst>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4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15" fontId="0" fillId="0" borderId="0" xfId="0" applyNumberFormat="1" applyAlignment="1"/>
    <xf numFmtId="4" fontId="0" fillId="0" borderId="0" xfId="0" applyNumberFormat="1" applyAlignment="1"/>
    <xf numFmtId="10" fontId="0" fillId="0" borderId="0" xfId="0" applyNumberFormat="1" applyAlignment="1"/>
    <xf numFmtId="0" fontId="0" fillId="2" borderId="0" xfId="0" applyFill="1" applyAlignment="1"/>
    <xf numFmtId="176" fontId="0" fillId="2" borderId="0" xfId="0" quotePrefix="1" applyNumberFormat="1" applyFill="1" applyAlignment="1"/>
    <xf numFmtId="176" fontId="0" fillId="2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198120</xdr:colOff>
      <xdr:row>4</xdr:row>
      <xdr:rowOff>0</xdr:rowOff>
    </xdr:from>
    <xdr:to>
      <xdr:col>21</xdr:col>
      <xdr:colOff>434340</xdr:colOff>
      <xdr:row>53</xdr:row>
      <xdr:rowOff>91440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9A6AB9-4993-4401-AE0F-145478B3FE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0" y="990600"/>
          <a:ext cx="10601325" cy="84963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CAEACE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213360</xdr:colOff>
      <xdr:row>54</xdr:row>
      <xdr:rowOff>15240</xdr:rowOff>
    </xdr:from>
    <xdr:to>
      <xdr:col>21</xdr:col>
      <xdr:colOff>396240</xdr:colOff>
      <xdr:row>88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A4DCB1C-A18F-4D8C-9358-76E7BF8D1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7775" y="9582150"/>
          <a:ext cx="10553700" cy="5924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CAEACE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106680</xdr:colOff>
          <xdr:row>1</xdr:row>
          <xdr:rowOff>144780</xdr:rowOff>
        </xdr:from>
        <xdr:to>
          <xdr:col>50</xdr:col>
          <xdr:colOff>91440</xdr:colOff>
          <xdr:row>93</xdr:row>
          <xdr:rowOff>93345</xdr:rowOff>
        </xdr:to>
        <xdr:pic>
          <xdr:nvPicPr>
            <xdr:cNvPr id="4" name="图片 3">
              <a:extLst>
                <a:ext uri="{FF2B5EF4-FFF2-40B4-BE49-F238E27FC236}">
                  <a16:creationId xmlns:a16="http://schemas.microsoft.com/office/drawing/2014/main" id="{A7BD281D-8A7B-6760-DAD5-E5D8A4FF93A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 515, bottom'!$A$1:$V$92" spid="_x0000_s103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145000" y="365760"/>
              <a:ext cx="15826740" cy="160858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9</xdr:col>
      <xdr:colOff>161925</xdr:colOff>
      <xdr:row>46</xdr:row>
      <xdr:rowOff>114300</xdr:rowOff>
    </xdr:from>
    <xdr:to>
      <xdr:col>10</xdr:col>
      <xdr:colOff>9525</xdr:colOff>
      <xdr:row>47</xdr:row>
      <xdr:rowOff>114300</xdr:rowOff>
    </xdr:to>
    <xdr:sp macro="" textlink="">
      <xdr:nvSpPr>
        <xdr:cNvPr id="5" name="椭圆 4">
          <a:extLst>
            <a:ext uri="{FF2B5EF4-FFF2-40B4-BE49-F238E27FC236}">
              <a16:creationId xmlns:a16="http://schemas.microsoft.com/office/drawing/2014/main" id="{0A832670-377A-9C5C-2CF4-5C03DCCAB408}"/>
            </a:ext>
          </a:extLst>
        </xdr:cNvPr>
        <xdr:cNvSpPr/>
      </xdr:nvSpPr>
      <xdr:spPr>
        <a:xfrm>
          <a:off x="8248650" y="8048625"/>
          <a:ext cx="457200" cy="17145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_functions.xla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_functions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thing Here"/>
    </sheetNames>
    <definedNames>
      <definedName name="getformul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V16"/>
  <sheetViews>
    <sheetView tabSelected="1" workbookViewId="0">
      <selection activeCell="C26" sqref="C26"/>
    </sheetView>
  </sheetViews>
  <sheetFormatPr defaultRowHeight="13.8" x14ac:dyDescent="0.25"/>
  <cols>
    <col min="1" max="1" width="23.44140625" style="2" customWidth="1"/>
    <col min="2" max="2" width="12.21875" style="2" bestFit="1" customWidth="1"/>
    <col min="3" max="3" width="28.88671875" style="2" customWidth="1"/>
    <col min="4" max="22" width="8.88671875" style="2"/>
  </cols>
  <sheetData>
    <row r="1" spans="1:3" ht="17.399999999999999" x14ac:dyDescent="0.25">
      <c r="A1" s="1" t="s">
        <v>0</v>
      </c>
      <c r="B1" s="1"/>
      <c r="C1" s="1"/>
    </row>
    <row r="2" spans="1:3" x14ac:dyDescent="0.25">
      <c r="A2" s="2" t="s">
        <v>1</v>
      </c>
      <c r="B2" s="3">
        <v>38926</v>
      </c>
    </row>
    <row r="3" spans="1:3" x14ac:dyDescent="0.25">
      <c r="A3" s="2" t="s">
        <v>2</v>
      </c>
      <c r="B3" s="3">
        <v>38947</v>
      </c>
    </row>
    <row r="5" spans="1:3" x14ac:dyDescent="0.25">
      <c r="A5" s="2" t="s">
        <v>3</v>
      </c>
      <c r="B5" s="2">
        <v>37.11</v>
      </c>
    </row>
    <row r="6" spans="1:3" x14ac:dyDescent="0.25">
      <c r="A6" s="2" t="s">
        <v>4</v>
      </c>
      <c r="B6" s="2">
        <v>37</v>
      </c>
    </row>
    <row r="7" spans="1:3" x14ac:dyDescent="0.25">
      <c r="A7" s="2" t="s">
        <v>5</v>
      </c>
      <c r="B7" s="4">
        <f>(B3-B2)/365</f>
        <v>5.7534246575342465E-2</v>
      </c>
      <c r="C7" s="2" t="str">
        <f ca="1">[2]!getformula(B7)</f>
        <v>&lt;-- =(B3-B2)/365</v>
      </c>
    </row>
    <row r="8" spans="1:3" x14ac:dyDescent="0.25">
      <c r="A8" s="2" t="s">
        <v>6</v>
      </c>
      <c r="B8" s="5">
        <v>0.05</v>
      </c>
    </row>
    <row r="9" spans="1:3" x14ac:dyDescent="0.25">
      <c r="A9" s="2" t="s">
        <v>7</v>
      </c>
      <c r="B9" s="5">
        <v>0.20660000000000001</v>
      </c>
    </row>
    <row r="11" spans="1:3" x14ac:dyDescent="0.25">
      <c r="A11" s="6" t="s">
        <v>8</v>
      </c>
      <c r="B11" s="7">
        <f>[3]!BSCall(B5,B6,B7,B8,B9)</f>
        <v>0.84467078705179333</v>
      </c>
      <c r="C11" s="2" t="str">
        <f ca="1">[2]!getformula(B11)</f>
        <v>&lt;-- =BSCall(B5,B6,B7,B8,B9)</v>
      </c>
    </row>
    <row r="12" spans="1:3" x14ac:dyDescent="0.25">
      <c r="A12" s="6" t="s">
        <v>9</v>
      </c>
      <c r="B12" s="8">
        <f>[3]!BSPut(B5,B6,B7,B8,B9)</f>
        <v>0.62838538045400583</v>
      </c>
      <c r="C12" s="2" t="str">
        <f ca="1">[2]!getformula(B12)</f>
        <v>&lt;-- =BSPut(B5,B6,B7,B8,B9)</v>
      </c>
    </row>
    <row r="14" spans="1:3" x14ac:dyDescent="0.25">
      <c r="A14" s="2" t="s">
        <v>10</v>
      </c>
    </row>
    <row r="15" spans="1:3" x14ac:dyDescent="0.25">
      <c r="A15" s="6" t="s">
        <v>11</v>
      </c>
      <c r="B15" s="6">
        <v>0.75</v>
      </c>
    </row>
    <row r="16" spans="1:3" x14ac:dyDescent="0.25">
      <c r="A16" s="6" t="s">
        <v>12</v>
      </c>
      <c r="B16" s="6">
        <v>0.55000000000000004</v>
      </c>
    </row>
  </sheetData>
  <mergeCells count="1">
    <mergeCell ref="A1:C1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2024-11-27T07:37:35Z</dcterms:modified>
</cp:coreProperties>
</file>