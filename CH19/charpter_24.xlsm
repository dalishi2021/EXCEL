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6FC4F96D-08B8-42C8-9927-AA1156EC843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3" i="1"/>
  <c r="C9" i="1"/>
</calcChain>
</file>

<file path=xl/sharedStrings.xml><?xml version="1.0" encoding="utf-8"?>
<sst xmlns="http://schemas.openxmlformats.org/spreadsheetml/2006/main" count="7" uniqueCount="7">
  <si>
    <t>DETERMINING THE FORWARD PRICE 
OF THE BOND</t>
  </si>
  <si>
    <t>Bond's maturity, N</t>
  </si>
  <si>
    <t>Option maturity, T</t>
  </si>
  <si>
    <t>Bond maturity value</t>
  </si>
  <si>
    <t>Interest rate to N</t>
  </si>
  <si>
    <t>Interest rate to T</t>
  </si>
  <si>
    <t>Bond forward price to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</si>
</sst>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3" fontId="0" fillId="0" borderId="0" xfId="0" applyNumberFormat="1" applyAlignment="1"/>
    <xf numFmtId="9" fontId="0" fillId="0" borderId="0" xfId="0" applyNumberFormat="1" applyAlignment="1"/>
    <xf numFmtId="0" fontId="0" fillId="2" borderId="0" xfId="0" applyFill="1" applyAlignment="1"/>
    <xf numFmtId="176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251460</xdr:colOff>
      <xdr:row>3</xdr:row>
      <xdr:rowOff>144780</xdr:rowOff>
    </xdr:from>
    <xdr:to>
      <xdr:col>12</xdr:col>
      <xdr:colOff>53340</xdr:colOff>
      <xdr:row>14</xdr:row>
      <xdr:rowOff>62865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9193DB7-4438-C686-808E-307C1BA30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532120" y="716280"/>
          <a:ext cx="4061460" cy="18516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>
        <row r="5">
          <cell r="B5">
            <v>0.5</v>
          </cell>
        </row>
      </sheetData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zoomScale="175" zoomScaleNormal="175" workbookViewId="0">
      <selection activeCell="C17" sqref="C17"/>
    </sheetView>
  </sheetViews>
  <sheetFormatPr defaultRowHeight="13.8" x14ac:dyDescent="0.25"/>
  <cols>
    <col min="1" max="1" width="20.33203125" style="2" bestFit="1" customWidth="1"/>
    <col min="2" max="2" width="8.88671875" style="2"/>
    <col min="3" max="3" width="30" style="2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2">
        <v>2</v>
      </c>
    </row>
    <row r="3" spans="1:3" x14ac:dyDescent="0.25">
      <c r="A3" s="2" t="s">
        <v>2</v>
      </c>
      <c r="B3" s="2">
        <f>'[1]Page 542'!B5</f>
        <v>0.5</v>
      </c>
    </row>
    <row r="4" spans="1:3" x14ac:dyDescent="0.25">
      <c r="A4" s="2" t="s">
        <v>3</v>
      </c>
      <c r="B4" s="3">
        <v>147</v>
      </c>
    </row>
    <row r="6" spans="1:3" x14ac:dyDescent="0.25">
      <c r="A6" s="2" t="s">
        <v>4</v>
      </c>
      <c r="B6" s="4">
        <v>0.06</v>
      </c>
    </row>
    <row r="7" spans="1:3" x14ac:dyDescent="0.25">
      <c r="A7" s="2" t="s">
        <v>5</v>
      </c>
      <c r="B7" s="4">
        <v>0.04</v>
      </c>
    </row>
    <row r="9" spans="1:3" x14ac:dyDescent="0.25">
      <c r="A9" s="5" t="s">
        <v>6</v>
      </c>
      <c r="B9" s="6">
        <f>B4*EXP(-B6*B2)*EXP(B7*B3)</f>
        <v>133.01110045128604</v>
      </c>
      <c r="C9" s="2" t="str">
        <f ca="1">[2]!getformula(B9)</f>
        <v>&lt;--  =B4*EXP(-B6*B2)*EXP(B7*B3)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2024-11-29T04:28:38Z</dcterms:modified>
</cp:coreProperties>
</file>