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E6C6644E-54FD-4589-A50F-6AF95B21E49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17" i="1"/>
  <c r="B11" i="1" l="1"/>
  <c r="C14" i="1"/>
  <c r="C13" i="1"/>
  <c r="C12" i="1"/>
  <c r="C11" i="1"/>
  <c r="B13" i="1"/>
  <c r="B12" i="1"/>
  <c r="B14" i="1" l="1"/>
  <c r="B17" i="1" s="1"/>
</calcChain>
</file>

<file path=xl/sharedStrings.xml><?xml version="1.0" encoding="utf-8"?>
<sst xmlns="http://schemas.openxmlformats.org/spreadsheetml/2006/main" count="14" uniqueCount="14">
  <si>
    <t>PRICING THE ABN-AIRBAG
Find the Implied Volatility</t>
  </si>
  <si>
    <r>
      <t>Stoxx50 price today, S</t>
    </r>
    <r>
      <rPr>
        <vertAlign val="subscript"/>
        <sz val="10"/>
        <rFont val="Arial"/>
        <family val="2"/>
      </rPr>
      <t>0</t>
    </r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</si>
  <si>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</si>
  <si>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</si>
  <si>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t>Y</t>
  </si>
  <si>
    <t>Risk-free interest rate for 5 years, r</t>
  </si>
  <si>
    <t>Time to maturity, T</t>
  </si>
  <si>
    <t>Volatility of the Stoxx50, sigma</t>
  </si>
  <si>
    <t>Airbag components, value today</t>
  </si>
  <si>
    <r>
      <t xml:space="preserve">     Bond paying 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at maturity</t>
    </r>
  </si>
  <si>
    <r>
      <t xml:space="preserve">     Y/X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* written puts with exercise X</t>
    </r>
    <r>
      <rPr>
        <vertAlign val="subscript"/>
        <sz val="10"/>
        <rFont val="Arial"/>
        <family val="2"/>
      </rPr>
      <t>1</t>
    </r>
  </si>
  <si>
    <r>
      <t xml:space="preserve">     Purchased call with exercise X</t>
    </r>
    <r>
      <rPr>
        <vertAlign val="subscript"/>
        <sz val="10"/>
        <rFont val="Arial"/>
        <family val="2"/>
      </rPr>
      <t>2</t>
    </r>
  </si>
  <si>
    <t>Value of structured security today</t>
  </si>
  <si>
    <t>Table:  Sensitivity of Airbag to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</si>
</sst>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176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4" fontId="0" fillId="0" borderId="0" xfId="0" applyNumberFormat="1" applyAlignment="1"/>
    <xf numFmtId="176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2" fontId="0" fillId="0" borderId="0" xfId="0" applyNumberFormat="1" applyAlignment="1"/>
    <xf numFmtId="2" fontId="0" fillId="2" borderId="0" xfId="0" applyNumberFormat="1" applyFill="1" applyAlignment="1"/>
    <xf numFmtId="0" fontId="5" fillId="0" borderId="0" xfId="0" applyFont="1" applyAlignment="1"/>
    <xf numFmtId="9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82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Airbag Pricing:  Sensitivity to </a:t>
            </a:r>
            <a:r>
              <a:rPr lang="zh-CN" altLang="en-US" sz="825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s</a:t>
            </a:r>
            <a:endParaRPr lang="zh-CN" altLang="en-US" sz="825" b="1" i="0" u="none" strike="noStrike" baseline="0">
              <a:solidFill>
                <a:srgbClr val="000000"/>
              </a:solidFill>
              <a:latin typeface="Symbol"/>
            </a:endParaRPr>
          </a:p>
        </c:rich>
      </c:tx>
      <c:layout>
        <c:manualLayout>
          <c:xMode val="edge"/>
          <c:yMode val="edge"/>
          <c:x val="0.23511074273610535"/>
          <c:y val="4.1420177087793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08849404455316"/>
          <c:y val="0.1331362389229197"/>
          <c:w val="0.73354512677375727"/>
          <c:h val="0.698225608573534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532'!$A$18:$A$38</c:f>
              <c:numCache>
                <c:formatCode>0%</c:formatCode>
                <c:ptCount val="21"/>
                <c:pt idx="0">
                  <c:v>1.0000000000000001E-5</c:v>
                </c:pt>
                <c:pt idx="1">
                  <c:v>0.01</c:v>
                </c:pt>
                <c:pt idx="2">
                  <c:v>0.03</c:v>
                </c:pt>
                <c:pt idx="3">
                  <c:v>0.06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</c:numCache>
            </c:numRef>
          </c:xVal>
          <c:yVal>
            <c:numRef>
              <c:f>'[1]Page 532'!$B$18:$B$38</c:f>
              <c:numCache>
                <c:formatCode>#,##0.00</c:formatCode>
                <c:ptCount val="21"/>
                <c:pt idx="0">
                  <c:v>1000</c:v>
                </c:pt>
                <c:pt idx="1">
                  <c:v>1000</c:v>
                </c:pt>
                <c:pt idx="2">
                  <c:v>1000.0000009168439</c:v>
                </c:pt>
                <c:pt idx="3">
                  <c:v>1000.1600080487723</c:v>
                </c:pt>
                <c:pt idx="4">
                  <c:v>1002.7554417561612</c:v>
                </c:pt>
                <c:pt idx="5">
                  <c:v>1004.573643263951</c:v>
                </c:pt>
                <c:pt idx="6">
                  <c:v>1006.8028030430859</c:v>
                </c:pt>
                <c:pt idx="7">
                  <c:v>1009.3433942118429</c:v>
                </c:pt>
                <c:pt idx="8">
                  <c:v>1012.0908067355442</c:v>
                </c:pt>
                <c:pt idx="9">
                  <c:v>1014.9497081070572</c:v>
                </c:pt>
                <c:pt idx="10">
                  <c:v>1017.8405928278039</c:v>
                </c:pt>
                <c:pt idx="11">
                  <c:v>1020.7012384357389</c:v>
                </c:pt>
                <c:pt idx="12">
                  <c:v>1023.4854304865357</c:v>
                </c:pt>
                <c:pt idx="13">
                  <c:v>1026.1605398635172</c:v>
                </c:pt>
                <c:pt idx="14">
                  <c:v>1028.7048553145437</c:v>
                </c:pt>
                <c:pt idx="15">
                  <c:v>1031.1051141048365</c:v>
                </c:pt>
                <c:pt idx="16">
                  <c:v>1033.3544038832583</c:v>
                </c:pt>
                <c:pt idx="17">
                  <c:v>1035.4504674617997</c:v>
                </c:pt>
                <c:pt idx="18">
                  <c:v>1037.3943771008167</c:v>
                </c:pt>
                <c:pt idx="19">
                  <c:v>1039.1895211584228</c:v>
                </c:pt>
                <c:pt idx="20">
                  <c:v>1040.8408427455786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80-4BAE-B63F-0BCEE7011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38408"/>
        <c:axId val="1"/>
      </c:scatterChart>
      <c:valAx>
        <c:axId val="941838408"/>
        <c:scaling>
          <c:orientation val="minMax"/>
          <c:max val="0.2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Stoxx50 volatility,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s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57993967859280748"/>
              <c:y val="0.884616196025142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Airbag initial price</a:t>
                </a:r>
              </a:p>
            </c:rich>
          </c:tx>
          <c:layout>
            <c:manualLayout>
              <c:xMode val="edge"/>
              <c:yMode val="edge"/>
              <c:x val="5.6426499319164047E-2"/>
              <c:y val="0.399408673206629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18384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17</xdr:row>
      <xdr:rowOff>76200</xdr:rowOff>
    </xdr:from>
    <xdr:to>
      <xdr:col>3</xdr:col>
      <xdr:colOff>133350</xdr:colOff>
      <xdr:row>39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DED19ED-F79B-4599-B04A-5444F2749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182880</xdr:colOff>
      <xdr:row>2</xdr:row>
      <xdr:rowOff>99060</xdr:rowOff>
    </xdr:from>
    <xdr:to>
      <xdr:col>17</xdr:col>
      <xdr:colOff>95250</xdr:colOff>
      <xdr:row>43</xdr:row>
      <xdr:rowOff>55245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16A5290-D091-E35E-3A47-68FFA9482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625840" y="518160"/>
          <a:ext cx="7840980" cy="72694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18">
          <cell r="A18">
            <v>1.0000000000000001E-5</v>
          </cell>
          <cell r="B18">
            <v>1000</v>
          </cell>
        </row>
        <row r="19">
          <cell r="A19">
            <v>0.01</v>
          </cell>
          <cell r="B19">
            <v>1000</v>
          </cell>
        </row>
        <row r="20">
          <cell r="A20">
            <v>0.03</v>
          </cell>
          <cell r="B20">
            <v>1000.0000009168439</v>
          </cell>
        </row>
        <row r="21">
          <cell r="A21">
            <v>0.06</v>
          </cell>
          <cell r="B21">
            <v>1000.1600080487723</v>
          </cell>
        </row>
        <row r="22">
          <cell r="A22">
            <v>0.09</v>
          </cell>
          <cell r="B22">
            <v>1002.7554417561612</v>
          </cell>
        </row>
        <row r="23">
          <cell r="A23">
            <v>0.1</v>
          </cell>
          <cell r="B23">
            <v>1004.573643263951</v>
          </cell>
        </row>
        <row r="24">
          <cell r="A24">
            <v>0.11</v>
          </cell>
          <cell r="B24">
            <v>1006.8028030430859</v>
          </cell>
        </row>
        <row r="25">
          <cell r="A25">
            <v>0.12</v>
          </cell>
          <cell r="B25">
            <v>1009.3433942118429</v>
          </cell>
        </row>
        <row r="26">
          <cell r="A26">
            <v>0.13</v>
          </cell>
          <cell r="B26">
            <v>1012.0908067355442</v>
          </cell>
        </row>
        <row r="27">
          <cell r="A27">
            <v>0.14000000000000001</v>
          </cell>
          <cell r="B27">
            <v>1014.9497081070572</v>
          </cell>
        </row>
        <row r="28">
          <cell r="A28">
            <v>0.15</v>
          </cell>
          <cell r="B28">
            <v>1017.8405928278039</v>
          </cell>
        </row>
        <row r="29">
          <cell r="A29">
            <v>0.16</v>
          </cell>
          <cell r="B29">
            <v>1020.7012384357389</v>
          </cell>
        </row>
        <row r="30">
          <cell r="A30">
            <v>0.17</v>
          </cell>
          <cell r="B30">
            <v>1023.4854304865357</v>
          </cell>
        </row>
        <row r="31">
          <cell r="A31">
            <v>0.18</v>
          </cell>
          <cell r="B31">
            <v>1026.1605398635172</v>
          </cell>
        </row>
        <row r="32">
          <cell r="A32">
            <v>0.19</v>
          </cell>
          <cell r="B32">
            <v>1028.7048553145437</v>
          </cell>
        </row>
        <row r="33">
          <cell r="A33">
            <v>0.2</v>
          </cell>
          <cell r="B33">
            <v>1031.1051141048365</v>
          </cell>
        </row>
        <row r="34">
          <cell r="A34">
            <v>0.21</v>
          </cell>
          <cell r="B34">
            <v>1033.3544038832583</v>
          </cell>
        </row>
        <row r="35">
          <cell r="A35">
            <v>0.22</v>
          </cell>
          <cell r="B35">
            <v>1035.4504674617997</v>
          </cell>
        </row>
        <row r="36">
          <cell r="A36">
            <v>0.23</v>
          </cell>
          <cell r="B36">
            <v>1037.3943771008167</v>
          </cell>
        </row>
        <row r="37">
          <cell r="A37">
            <v>0.24</v>
          </cell>
          <cell r="B37">
            <v>1039.1895211584228</v>
          </cell>
        </row>
        <row r="38">
          <cell r="A38">
            <v>0.25</v>
          </cell>
          <cell r="B38">
            <v>1040.8408427455786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38"/>
  <sheetViews>
    <sheetView tabSelected="1" zoomScale="130" zoomScaleNormal="130" workbookViewId="0">
      <selection activeCell="C18" sqref="C18"/>
    </sheetView>
  </sheetViews>
  <sheetFormatPr defaultRowHeight="13.8" x14ac:dyDescent="0.25"/>
  <cols>
    <col min="1" max="1" width="47.33203125" style="5" customWidth="1"/>
    <col min="2" max="2" width="8.88671875" style="5"/>
    <col min="3" max="3" width="58" style="5" customWidth="1"/>
  </cols>
  <sheetData>
    <row r="1" spans="1:3" ht="17.399999999999999" x14ac:dyDescent="0.25">
      <c r="A1" s="1" t="s">
        <v>0</v>
      </c>
      <c r="B1" s="1"/>
      <c r="C1" s="1"/>
    </row>
    <row r="2" spans="1:3" ht="15.6" x14ac:dyDescent="0.25">
      <c r="A2" s="2" t="s">
        <v>1</v>
      </c>
      <c r="B2" s="3">
        <f>B4</f>
        <v>2158</v>
      </c>
      <c r="C2" s="4"/>
    </row>
    <row r="3" spans="1:3" ht="15.6" x14ac:dyDescent="0.35">
      <c r="A3" s="5" t="s">
        <v>2</v>
      </c>
      <c r="B3" s="6">
        <v>1618.5</v>
      </c>
    </row>
    <row r="4" spans="1:3" ht="15.6" x14ac:dyDescent="0.35">
      <c r="A4" s="5" t="s">
        <v>3</v>
      </c>
      <c r="B4" s="7">
        <v>2158</v>
      </c>
    </row>
    <row r="5" spans="1:3" x14ac:dyDescent="0.25">
      <c r="A5" s="5" t="s">
        <v>4</v>
      </c>
      <c r="B5" s="7">
        <v>1000</v>
      </c>
    </row>
    <row r="6" spans="1:3" x14ac:dyDescent="0.25">
      <c r="A6" s="5" t="s">
        <v>5</v>
      </c>
      <c r="B6" s="8">
        <v>7.0000000000000007E-2</v>
      </c>
    </row>
    <row r="7" spans="1:3" x14ac:dyDescent="0.25">
      <c r="A7" s="5" t="s">
        <v>6</v>
      </c>
      <c r="B7" s="5">
        <v>5</v>
      </c>
    </row>
    <row r="8" spans="1:3" x14ac:dyDescent="0.25">
      <c r="A8" s="9" t="s">
        <v>7</v>
      </c>
      <c r="B8" s="10">
        <v>0.15752983070001214</v>
      </c>
    </row>
    <row r="10" spans="1:3" x14ac:dyDescent="0.25">
      <c r="A10" s="5" t="s">
        <v>8</v>
      </c>
    </row>
    <row r="11" spans="1:3" ht="15.6" x14ac:dyDescent="0.35">
      <c r="A11" s="5" t="s">
        <v>9</v>
      </c>
      <c r="B11" s="11">
        <f>EXP(-B6*B7)*B5</f>
        <v>704.6880897187134</v>
      </c>
      <c r="C11" s="5" t="str">
        <f ca="1">[2]!getformula(B11)</f>
        <v>&lt;--  =EXP(-B6*B7)*B5</v>
      </c>
    </row>
    <row r="12" spans="1:3" ht="15.6" x14ac:dyDescent="0.35">
      <c r="A12" s="5" t="s">
        <v>10</v>
      </c>
      <c r="B12" s="11">
        <f>-B5/B3*[2]!BSPut(B2,B3,B7,B6,B8)</f>
        <v>-4.6930582752159689</v>
      </c>
      <c r="C12" s="5" t="str">
        <f ca="1">[2]!getformula(B12)</f>
        <v>&lt;--  =-B5/B3*BSPut(B2,B3,B7,B6,B8)</v>
      </c>
    </row>
    <row r="13" spans="1:3" ht="15.6" x14ac:dyDescent="0.35">
      <c r="A13" s="5" t="s">
        <v>11</v>
      </c>
      <c r="B13" s="11">
        <f>B5/B4*[2]!BSCall(B2,B4,B7,B6,B8)</f>
        <v>320.00515321814885</v>
      </c>
      <c r="C13" s="5" t="str">
        <f ca="1">[2]!getformula(B13)</f>
        <v>&lt;--  =B5/B4*BSCall(B2,B4,B7,B6,B8)</v>
      </c>
    </row>
    <row r="14" spans="1:3" x14ac:dyDescent="0.25">
      <c r="A14" s="9" t="s">
        <v>12</v>
      </c>
      <c r="B14" s="12">
        <f>SUM(B11:B13)</f>
        <v>1020.0001846616462</v>
      </c>
      <c r="C14" s="5" t="str">
        <f ca="1">[2]!getformula(B14)</f>
        <v>&lt;--  =SUM(B11:B13)</v>
      </c>
    </row>
    <row r="17" spans="1:3" x14ac:dyDescent="0.25">
      <c r="A17" s="13" t="s">
        <v>13</v>
      </c>
      <c r="B17" s="6">
        <f>B14</f>
        <v>1020.0001846616462</v>
      </c>
      <c r="C17" s="5" t="str">
        <f ca="1">[2]!getformula(B17)&amp;", data table header"</f>
        <v>&lt;--  =B14, data table header</v>
      </c>
    </row>
    <row r="18" spans="1:3" x14ac:dyDescent="0.25">
      <c r="A18" s="14">
        <v>1.0000000000000001E-5</v>
      </c>
      <c r="B18" s="6">
        <v>1000</v>
      </c>
    </row>
    <row r="19" spans="1:3" x14ac:dyDescent="0.25">
      <c r="A19" s="14">
        <v>0.01</v>
      </c>
      <c r="B19" s="6">
        <v>1000</v>
      </c>
    </row>
    <row r="20" spans="1:3" x14ac:dyDescent="0.25">
      <c r="A20" s="14">
        <v>0.03</v>
      </c>
      <c r="B20" s="6">
        <v>1000.0000009168439</v>
      </c>
    </row>
    <row r="21" spans="1:3" x14ac:dyDescent="0.25">
      <c r="A21" s="14">
        <v>0.06</v>
      </c>
      <c r="B21" s="6">
        <v>1000.1600080487723</v>
      </c>
    </row>
    <row r="22" spans="1:3" x14ac:dyDescent="0.25">
      <c r="A22" s="14">
        <v>0.09</v>
      </c>
      <c r="B22" s="6">
        <v>1002.7554417561612</v>
      </c>
    </row>
    <row r="23" spans="1:3" x14ac:dyDescent="0.25">
      <c r="A23" s="14">
        <v>0.1</v>
      </c>
      <c r="B23" s="6">
        <v>1004.573643263951</v>
      </c>
    </row>
    <row r="24" spans="1:3" x14ac:dyDescent="0.25">
      <c r="A24" s="14">
        <v>0.11</v>
      </c>
      <c r="B24" s="6">
        <v>1006.8028030430859</v>
      </c>
    </row>
    <row r="25" spans="1:3" x14ac:dyDescent="0.25">
      <c r="A25" s="14">
        <v>0.12</v>
      </c>
      <c r="B25" s="6">
        <v>1009.3433942118429</v>
      </c>
    </row>
    <row r="26" spans="1:3" x14ac:dyDescent="0.25">
      <c r="A26" s="14">
        <v>0.13</v>
      </c>
      <c r="B26" s="6">
        <v>1012.0908067355442</v>
      </c>
    </row>
    <row r="27" spans="1:3" x14ac:dyDescent="0.25">
      <c r="A27" s="14">
        <v>0.14000000000000001</v>
      </c>
      <c r="B27" s="6">
        <v>1014.9497081070572</v>
      </c>
    </row>
    <row r="28" spans="1:3" x14ac:dyDescent="0.25">
      <c r="A28" s="14">
        <v>0.15</v>
      </c>
      <c r="B28" s="6">
        <v>1017.8405928278039</v>
      </c>
    </row>
    <row r="29" spans="1:3" x14ac:dyDescent="0.25">
      <c r="A29" s="14">
        <v>0.16</v>
      </c>
      <c r="B29" s="6">
        <v>1020.7012384357389</v>
      </c>
    </row>
    <row r="30" spans="1:3" x14ac:dyDescent="0.25">
      <c r="A30" s="14">
        <v>0.17</v>
      </c>
      <c r="B30" s="6">
        <v>1023.4854304865357</v>
      </c>
    </row>
    <row r="31" spans="1:3" x14ac:dyDescent="0.25">
      <c r="A31" s="14">
        <v>0.18</v>
      </c>
      <c r="B31" s="6">
        <v>1026.1605398635172</v>
      </c>
    </row>
    <row r="32" spans="1:3" x14ac:dyDescent="0.25">
      <c r="A32" s="14">
        <v>0.19</v>
      </c>
      <c r="B32" s="6">
        <v>1028.7048553145437</v>
      </c>
    </row>
    <row r="33" spans="1:2" x14ac:dyDescent="0.25">
      <c r="A33" s="14">
        <v>0.2</v>
      </c>
      <c r="B33" s="6">
        <v>1031.1051141048365</v>
      </c>
    </row>
    <row r="34" spans="1:2" x14ac:dyDescent="0.25">
      <c r="A34" s="14">
        <v>0.21</v>
      </c>
      <c r="B34" s="6">
        <v>1033.3544038832583</v>
      </c>
    </row>
    <row r="35" spans="1:2" x14ac:dyDescent="0.25">
      <c r="A35" s="14">
        <v>0.22</v>
      </c>
      <c r="B35" s="6">
        <v>1035.4504674617997</v>
      </c>
    </row>
    <row r="36" spans="1:2" x14ac:dyDescent="0.25">
      <c r="A36" s="14">
        <v>0.23</v>
      </c>
      <c r="B36" s="6">
        <v>1037.3943771008167</v>
      </c>
    </row>
    <row r="37" spans="1:2" x14ac:dyDescent="0.25">
      <c r="A37" s="14">
        <v>0.24</v>
      </c>
      <c r="B37" s="6">
        <v>1039.1895211584228</v>
      </c>
    </row>
    <row r="38" spans="1:2" x14ac:dyDescent="0.25">
      <c r="A38" s="14">
        <v>0.25</v>
      </c>
      <c r="B38" s="6">
        <v>1040.8408427455786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2024-11-28T03:42:12Z</dcterms:modified>
</cp:coreProperties>
</file>