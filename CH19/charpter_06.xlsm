
<file path=[Content_Types].xml><?xml version="1.0" encoding="utf-8"?>
<Types xmlns="http://schemas.openxmlformats.org/package/2006/content-types"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4C2954E5-1D61-43E1-AD7D-8CE387EBB6E9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  <externalReference r:id="rId4"/>
  </externalReferences>
  <definedNames>
    <definedName name="solver_adj" localSheetId="0" hidden="1">Sheet1!$B$9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Sheet1!$C$18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0.75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C12" i="1"/>
  <c r="C11" i="1"/>
  <c r="B12" i="1"/>
  <c r="B11" i="1"/>
  <c r="C7" i="1"/>
</calcChain>
</file>

<file path=xl/sharedStrings.xml><?xml version="1.0" encoding="utf-8"?>
<sst xmlns="http://schemas.openxmlformats.org/spreadsheetml/2006/main" count="13" uniqueCount="13">
  <si>
    <t>IMPLIED VOLATILITY FOR THE 
AUGUST 2006 QQQQ OPTIONS</t>
  </si>
  <si>
    <t>Current date</t>
  </si>
  <si>
    <t>Option expiration date</t>
  </si>
  <si>
    <t>S</t>
  </si>
  <si>
    <t>X</t>
  </si>
  <si>
    <t>T</t>
  </si>
  <si>
    <t>Interest</t>
  </si>
  <si>
    <r>
      <t xml:space="preserve">Implied volatility, </t>
    </r>
    <r>
      <rPr>
        <sz val="10"/>
        <rFont val="Symbol"/>
        <family val="1"/>
        <charset val="2"/>
      </rPr>
      <t>s</t>
    </r>
  </si>
  <si>
    <t>Call price</t>
  </si>
  <si>
    <t>Put price</t>
  </si>
  <si>
    <t>Actual prices</t>
  </si>
  <si>
    <t xml:space="preserve">     Call</t>
  </si>
  <si>
    <t xml:space="preserve">     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</si>
</sst>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sz val="10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/>
    <xf numFmtId="15" fontId="0" fillId="0" borderId="0" xfId="0" applyNumberFormat="1" applyAlignment="1"/>
    <xf numFmtId="4" fontId="0" fillId="0" borderId="0" xfId="0" applyNumberFormat="1" applyAlignment="1"/>
    <xf numFmtId="10" fontId="0" fillId="0" borderId="0" xfId="0" applyNumberFormat="1" applyAlignment="1"/>
    <xf numFmtId="0" fontId="0" fillId="2" borderId="0" xfId="0" applyFill="1" applyAlignment="1"/>
    <xf numFmtId="10" fontId="0" fillId="2" borderId="0" xfId="0" applyNumberFormat="1" applyFill="1" applyAlignment="1"/>
    <xf numFmtId="176" fontId="0" fillId="2" borderId="0" xfId="0" quotePrefix="1" applyNumberFormat="1" applyFill="1" applyAlignment="1"/>
    <xf numFmtId="176" fontId="0" fillId="0" borderId="0" xfId="0" applyNumberFormat="1" applyAlignment="1"/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213360</xdr:colOff>
      <xdr:row>4</xdr:row>
      <xdr:rowOff>114300</xdr:rowOff>
    </xdr:from>
    <xdr:to>
      <xdr:col>12</xdr:col>
      <xdr:colOff>1</xdr:colOff>
      <xdr:row>22</xdr:row>
      <xdr:rowOff>95250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50B6AF7C-D2DC-AD0F-21E5-836A47D847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478780" y="861060"/>
          <a:ext cx="4053840" cy="31394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19</xdr:row>
      <xdr:rowOff>19707</xdr:rowOff>
    </xdr:from>
    <xdr:to>
      <xdr:col>5</xdr:col>
      <xdr:colOff>174265</xdr:colOff>
      <xdr:row>49</xdr:row>
      <xdr:rowOff>135395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C9D0A060-8E5A-ECC5-2527-DAE33191A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310759"/>
          <a:ext cx="5580524" cy="523948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_functions.xla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_functions.xla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10-11"/>
      <sheetName val="Page 510-11 中文"/>
      <sheetName val="Page 513"/>
      <sheetName val="Optionfunctions"/>
      <sheetName val="Page 513 中文"/>
      <sheetName val="Page 515, top"/>
      <sheetName val="Page 515, top 中文"/>
      <sheetName val="Page 515, bottom"/>
      <sheetName val="Page 515, bottom 中文"/>
      <sheetName val="Page 516"/>
      <sheetName val="Page 516中文"/>
      <sheetName val="Page 517"/>
      <sheetName val="Page 517 中文"/>
      <sheetName val="Page 518"/>
      <sheetName val="Page 518 中文"/>
      <sheetName val="Page 520"/>
      <sheetName val="Page 520 中文"/>
      <sheetName val="Page 521"/>
      <sheetName val="Page 521 中文"/>
      <sheetName val="Page 523"/>
      <sheetName val="Page 523 中文"/>
      <sheetName val="Page 524, top"/>
      <sheetName val="Page 524, top 中文"/>
      <sheetName val="Page 524, bottom"/>
      <sheetName val="Page 524, bottom 中文"/>
      <sheetName val="Page 526, top"/>
      <sheetName val="Page 526, top 中文"/>
      <sheetName val="page 526, bottom"/>
      <sheetName val="page 526, bottom 中文"/>
      <sheetName val="Page 531"/>
      <sheetName val="Page 531 中文"/>
      <sheetName val="Page 532"/>
      <sheetName val="Page 532 中文"/>
      <sheetName val="Page 533"/>
      <sheetName val="Page 533 中文"/>
      <sheetName val="Page 535, picture"/>
      <sheetName val="Page 535, picture 中文"/>
      <sheetName val="Page 535"/>
      <sheetName val="Page 535 中文"/>
      <sheetName val="Page 537"/>
      <sheetName val="Page 537中文"/>
      <sheetName val="Page 538"/>
      <sheetName val="Page 538 中文"/>
      <sheetName val="Page 539-41"/>
      <sheetName val="Page 539-41 中文"/>
      <sheetName val="Page 540"/>
      <sheetName val="Page 540中文"/>
      <sheetName val="Page 542"/>
      <sheetName val="Page 542中文"/>
      <sheetName val="Page 543"/>
      <sheetName val="Page 543 中文"/>
      <sheetName val="Page 544"/>
      <sheetName val="Page 544 中文"/>
    </sheetNames>
    <sheetDataSet>
      <sheetData sheetId="0"/>
      <sheetData sheetId="1"/>
      <sheetData sheetId="2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thing Here"/>
    </sheetNames>
    <definedNames>
      <definedName name="getformula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  <definedName name="BS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C16"/>
  <sheetViews>
    <sheetView tabSelected="1" zoomScale="145" zoomScaleNormal="145" workbookViewId="0">
      <selection activeCell="J26" sqref="J26"/>
    </sheetView>
  </sheetViews>
  <sheetFormatPr defaultRowHeight="13.8" x14ac:dyDescent="0.25"/>
  <cols>
    <col min="1" max="1" width="23.44140625" style="2" customWidth="1"/>
    <col min="2" max="2" width="11.33203125" style="2" bestFit="1" customWidth="1"/>
    <col min="3" max="3" width="26.109375" style="2" bestFit="1" customWidth="1"/>
  </cols>
  <sheetData>
    <row r="1" spans="1:3" ht="17.399999999999999" x14ac:dyDescent="0.25">
      <c r="A1" s="1" t="s">
        <v>0</v>
      </c>
      <c r="B1" s="1"/>
      <c r="C1" s="1"/>
    </row>
    <row r="2" spans="1:3" x14ac:dyDescent="0.25">
      <c r="A2" s="2" t="s">
        <v>1</v>
      </c>
      <c r="B2" s="3">
        <v>38926</v>
      </c>
    </row>
    <row r="3" spans="1:3" x14ac:dyDescent="0.25">
      <c r="A3" s="2" t="s">
        <v>2</v>
      </c>
      <c r="B3" s="3">
        <v>38947</v>
      </c>
    </row>
    <row r="5" spans="1:3" x14ac:dyDescent="0.25">
      <c r="A5" s="2" t="s">
        <v>3</v>
      </c>
      <c r="B5" s="2">
        <v>37.11</v>
      </c>
    </row>
    <row r="6" spans="1:3" x14ac:dyDescent="0.25">
      <c r="A6" s="2" t="s">
        <v>4</v>
      </c>
      <c r="B6" s="2">
        <v>37</v>
      </c>
    </row>
    <row r="7" spans="1:3" x14ac:dyDescent="0.25">
      <c r="A7" s="2" t="s">
        <v>5</v>
      </c>
      <c r="B7" s="4">
        <f>(B3-B2)/365</f>
        <v>5.7534246575342465E-2</v>
      </c>
      <c r="C7" s="2" t="str">
        <f ca="1">[2]!getformula(B7)</f>
        <v>&lt;-- =(B3-B2)/365</v>
      </c>
    </row>
    <row r="8" spans="1:3" x14ac:dyDescent="0.25">
      <c r="A8" s="2" t="s">
        <v>6</v>
      </c>
      <c r="B8" s="5">
        <v>0.05</v>
      </c>
    </row>
    <row r="9" spans="1:3" x14ac:dyDescent="0.25">
      <c r="A9" s="6" t="s">
        <v>7</v>
      </c>
      <c r="B9" s="7">
        <v>0.1796404654224287</v>
      </c>
    </row>
    <row r="11" spans="1:3" x14ac:dyDescent="0.25">
      <c r="A11" s="6" t="s">
        <v>8</v>
      </c>
      <c r="B11" s="8">
        <f>[3]!BSCall(B5,B6,B7,B8,B9)</f>
        <v>0.74999996204467578</v>
      </c>
      <c r="C11" s="2" t="str">
        <f ca="1">[2]!getformula(B11)</f>
        <v>&lt;-- =BSCall(B5,B6,B7,B8,B9)</v>
      </c>
    </row>
    <row r="12" spans="1:3" x14ac:dyDescent="0.25">
      <c r="A12" s="2" t="s">
        <v>9</v>
      </c>
      <c r="B12" s="9">
        <f>[3]!BSPut(B5,B6,B7,B8,B9)</f>
        <v>0.53371455544688473</v>
      </c>
      <c r="C12" s="2" t="str">
        <f ca="1">[2]!getformula(B12)</f>
        <v>&lt;-- =BSPut(B5,B6,B7,B8,B9)</v>
      </c>
    </row>
    <row r="14" spans="1:3" x14ac:dyDescent="0.25">
      <c r="A14" s="2" t="s">
        <v>10</v>
      </c>
    </row>
    <row r="15" spans="1:3" x14ac:dyDescent="0.25">
      <c r="A15" s="6" t="s">
        <v>11</v>
      </c>
      <c r="B15" s="6">
        <v>0.75</v>
      </c>
    </row>
    <row r="16" spans="1:3" x14ac:dyDescent="0.25">
      <c r="A16" s="2" t="s">
        <v>12</v>
      </c>
      <c r="B16" s="2">
        <v>0.55000000000000004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2024-11-27T07:37:45Z</dcterms:modified>
</cp:coreProperties>
</file>