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451AE988-97E4-4A8F-8002-566DDBFBEF6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C9" i="1"/>
  <c r="B9" i="1"/>
  <c r="C8" i="1"/>
  <c r="B8" i="1"/>
  <c r="F4" i="1" l="1"/>
  <c r="E4" i="1"/>
</calcChain>
</file>

<file path=xl/sharedStrings.xml><?xml version="1.0" encoding="utf-8"?>
<sst xmlns="http://schemas.openxmlformats.org/spreadsheetml/2006/main" count="19" uniqueCount="19">
  <si>
    <t>BLACK-SCHOLES MODEL IN VBA</t>
  </si>
  <si>
    <t>S</t>
  </si>
  <si>
    <t>X</t>
  </si>
  <si>
    <t>Stock price</t>
  </si>
  <si>
    <t>Call</t>
  </si>
  <si>
    <t>Put</t>
  </si>
  <si>
    <t>T</t>
  </si>
  <si>
    <t>&lt;--This is the header of the Data Table</t>
  </si>
  <si>
    <t>start</t>
  </si>
  <si>
    <t>Interest</t>
  </si>
  <si>
    <t>step</t>
  </si>
  <si>
    <t>Sigma</t>
  </si>
  <si>
    <t>Call price</t>
  </si>
  <si>
    <t>Put price</t>
  </si>
  <si>
    <t>To the right is a data</t>
  </si>
  <si>
    <t>table that gives the</t>
  </si>
  <si>
    <t>call and put values for</t>
  </si>
  <si>
    <t xml:space="preserve">various stock </t>
  </si>
  <si>
    <t xml:space="preserve">prices.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</si>
</sst>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4" fontId="0" fillId="0" borderId="0" xfId="0" applyNumberFormat="1" applyAlignment="1"/>
    <xf numFmtId="176" fontId="0" fillId="0" borderId="0" xfId="0" applyNumberForma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quotePrefix="1" applyNumberFormat="1" applyAlignment="1"/>
    <xf numFmtId="0" fontId="0" fillId="0" borderId="0" xfId="0" quotePrefix="1" applyAlignment="1"/>
    <xf numFmtId="0" fontId="0" fillId="2" borderId="0" xfId="0" applyFill="1" applyAlignment="1">
      <alignment horizontal="center"/>
    </xf>
    <xf numFmtId="176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Call and Put Prices using Black-Scholes</a:t>
            </a:r>
          </a:p>
        </c:rich>
      </c:tx>
      <c:layout>
        <c:manualLayout>
          <c:xMode val="edge"/>
          <c:yMode val="edge"/>
          <c:x val="0.20506912442396316"/>
          <c:y val="4.0697674418604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38248847926269"/>
          <c:y val="0.19476744186046513"/>
          <c:w val="0.82949308755760376"/>
          <c:h val="0.630813953488371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Sheet1!$E$3</c:f>
              <c:strCache>
                <c:ptCount val="1"/>
                <c:pt idx="0">
                  <c:v>Call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Sheet1!$D$4:$D$23</c:f>
              <c:numCache>
                <c:formatCode>General</c:formatCode>
                <c:ptCount val="20"/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75</c:v>
                </c:pt>
                <c:pt idx="9">
                  <c:v>80</c:v>
                </c:pt>
                <c:pt idx="10">
                  <c:v>85</c:v>
                </c:pt>
                <c:pt idx="11">
                  <c:v>90</c:v>
                </c:pt>
                <c:pt idx="12">
                  <c:v>95</c:v>
                </c:pt>
                <c:pt idx="13">
                  <c:v>100</c:v>
                </c:pt>
                <c:pt idx="14">
                  <c:v>105</c:v>
                </c:pt>
                <c:pt idx="15">
                  <c:v>110</c:v>
                </c:pt>
                <c:pt idx="16">
                  <c:v>115</c:v>
                </c:pt>
                <c:pt idx="17">
                  <c:v>120</c:v>
                </c:pt>
                <c:pt idx="18">
                  <c:v>125</c:v>
                </c:pt>
                <c:pt idx="19">
                  <c:v>130</c:v>
                </c:pt>
              </c:numCache>
            </c:numRef>
          </c:xVal>
          <c:yVal>
            <c:numRef>
              <c:f>Sheet1!$E$4:$E$23</c:f>
              <c:numCache>
                <c:formatCode>0.0000</c:formatCode>
                <c:ptCount val="20"/>
                <c:pt idx="0">
                  <c:v>20.318469310058703</c:v>
                </c:pt>
                <c:pt idx="1">
                  <c:v>0.18020476311681133</c:v>
                </c:pt>
                <c:pt idx="2">
                  <c:v>0.41039579377629254</c:v>
                </c:pt>
                <c:pt idx="3">
                  <c:v>0.80807997174514057</c:v>
                </c:pt>
                <c:pt idx="4">
                  <c:v>1.4241195876596979</c:v>
                </c:pt>
                <c:pt idx="5">
                  <c:v>2.3019265787551895</c:v>
                </c:pt>
                <c:pt idx="6">
                  <c:v>3.4738738145430048</c:v>
                </c:pt>
                <c:pt idx="7">
                  <c:v>4.9599677243885516</c:v>
                </c:pt>
                <c:pt idx="8">
                  <c:v>6.7682859293386173</c:v>
                </c:pt>
                <c:pt idx="9">
                  <c:v>8.8965345986862516</c:v>
                </c:pt>
                <c:pt idx="10">
                  <c:v>11.334145772963339</c:v>
                </c:pt>
                <c:pt idx="11">
                  <c:v>14.064485531015464</c:v>
                </c:pt>
                <c:pt idx="12">
                  <c:v>17.066901700449009</c:v>
                </c:pt>
                <c:pt idx="13">
                  <c:v>20.318469310058703</c:v>
                </c:pt>
                <c:pt idx="14">
                  <c:v>23.7953837501286</c:v>
                </c:pt>
                <c:pt idx="15">
                  <c:v>27.474009059781679</c:v>
                </c:pt>
                <c:pt idx="16">
                  <c:v>31.331619883117042</c:v>
                </c:pt>
                <c:pt idx="17">
                  <c:v>35.346888719769233</c:v>
                </c:pt>
                <c:pt idx="18">
                  <c:v>39.500171995862885</c:v>
                </c:pt>
                <c:pt idx="19">
                  <c:v>43.773644205137671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51-4A12-B7C5-9574AC6319A6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Put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Sheet1!$D$4:$D$23</c:f>
              <c:numCache>
                <c:formatCode>General</c:formatCode>
                <c:ptCount val="20"/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75</c:v>
                </c:pt>
                <c:pt idx="9">
                  <c:v>80</c:v>
                </c:pt>
                <c:pt idx="10">
                  <c:v>85</c:v>
                </c:pt>
                <c:pt idx="11">
                  <c:v>90</c:v>
                </c:pt>
                <c:pt idx="12">
                  <c:v>95</c:v>
                </c:pt>
                <c:pt idx="13">
                  <c:v>100</c:v>
                </c:pt>
                <c:pt idx="14">
                  <c:v>105</c:v>
                </c:pt>
                <c:pt idx="15">
                  <c:v>110</c:v>
                </c:pt>
                <c:pt idx="16">
                  <c:v>115</c:v>
                </c:pt>
                <c:pt idx="17">
                  <c:v>120</c:v>
                </c:pt>
                <c:pt idx="18">
                  <c:v>125</c:v>
                </c:pt>
                <c:pt idx="19">
                  <c:v>130</c:v>
                </c:pt>
              </c:numCache>
            </c:numRef>
          </c:xVal>
          <c:yVal>
            <c:numRef>
              <c:f>Sheet1!$F$4:$F$23</c:f>
              <c:numCache>
                <c:formatCode>0.0000</c:formatCode>
                <c:ptCount val="20"/>
                <c:pt idx="0">
                  <c:v>10.80221111365465</c:v>
                </c:pt>
                <c:pt idx="1">
                  <c:v>50.663946566712752</c:v>
                </c:pt>
                <c:pt idx="2">
                  <c:v>45.894137597372236</c:v>
                </c:pt>
                <c:pt idx="3">
                  <c:v>41.291821775341091</c:v>
                </c:pt>
                <c:pt idx="4">
                  <c:v>36.907861391255651</c:v>
                </c:pt>
                <c:pt idx="5">
                  <c:v>32.785668382351133</c:v>
                </c:pt>
                <c:pt idx="6">
                  <c:v>28.957615618138959</c:v>
                </c:pt>
                <c:pt idx="7">
                  <c:v>25.443709527984495</c:v>
                </c:pt>
                <c:pt idx="8">
                  <c:v>22.252027732934565</c:v>
                </c:pt>
                <c:pt idx="9">
                  <c:v>19.380276402282192</c:v>
                </c:pt>
                <c:pt idx="10">
                  <c:v>16.817887576559286</c:v>
                </c:pt>
                <c:pt idx="11">
                  <c:v>14.548227334611411</c:v>
                </c:pt>
                <c:pt idx="12">
                  <c:v>12.550643504044956</c:v>
                </c:pt>
                <c:pt idx="13">
                  <c:v>10.80221111365465</c:v>
                </c:pt>
                <c:pt idx="14">
                  <c:v>9.2791255537245547</c:v>
                </c:pt>
                <c:pt idx="15">
                  <c:v>7.9577508633776262</c:v>
                </c:pt>
                <c:pt idx="16">
                  <c:v>6.8153616867129898</c:v>
                </c:pt>
                <c:pt idx="17">
                  <c:v>5.8306305233651869</c:v>
                </c:pt>
                <c:pt idx="18">
                  <c:v>4.9839137994588327</c:v>
                </c:pt>
                <c:pt idx="19">
                  <c:v>4.2573860087336186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51-4A12-B7C5-9574AC631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102520"/>
        <c:axId val="1"/>
      </c:scatterChart>
      <c:valAx>
        <c:axId val="958102520"/>
        <c:scaling>
          <c:orientation val="minMax"/>
          <c:max val="13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price, S</a:t>
                </a:r>
              </a:p>
            </c:rich>
          </c:tx>
          <c:layout>
            <c:manualLayout>
              <c:xMode val="edge"/>
              <c:yMode val="edge"/>
              <c:x val="0.42626728110599088"/>
              <c:y val="0.915697674418604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5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81025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9400921658986182"/>
          <c:y val="0.34883720930232559"/>
          <c:w val="0.15437788018433182"/>
          <c:h val="0.1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1249680</xdr:colOff>
      <xdr:row>2</xdr:row>
      <xdr:rowOff>53340</xdr:rowOff>
    </xdr:from>
    <xdr:to>
      <xdr:col>2</xdr:col>
      <xdr:colOff>1516380</xdr:colOff>
      <xdr:row>3</xdr:row>
      <xdr:rowOff>83820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CEF078E9-54BE-4F75-B18B-9426172D3400}"/>
            </a:ext>
          </a:extLst>
        </xdr:cNvPr>
        <xdr:cNvSpPr txBox="1">
          <a:spLocks noChangeArrowheads="1"/>
        </xdr:cNvSpPr>
      </xdr:nvSpPr>
      <xdr:spPr bwMode="auto">
        <a:xfrm>
          <a:off x="2466975" y="447675"/>
          <a:ext cx="266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=B8</a:t>
          </a:r>
        </a:p>
      </xdr:txBody>
    </xdr:sp>
    <xdr:clientData/>
  </xdr:twoCellAnchor>
  <xdr:twoCellAnchor>
    <xdr:from>
      <xdr:col>6</xdr:col>
      <xdr:colOff>152400</xdr:colOff>
      <xdr:row>1</xdr:row>
      <xdr:rowOff>0</xdr:rowOff>
    </xdr:from>
    <xdr:to>
      <xdr:col>6</xdr:col>
      <xdr:colOff>419100</xdr:colOff>
      <xdr:row>2</xdr:row>
      <xdr:rowOff>15240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8BDF5810-48C3-4235-B90F-34B834D39BE1}"/>
            </a:ext>
          </a:extLst>
        </xdr:cNvPr>
        <xdr:cNvSpPr txBox="1">
          <a:spLocks noChangeArrowheads="1"/>
        </xdr:cNvSpPr>
      </xdr:nvSpPr>
      <xdr:spPr bwMode="auto">
        <a:xfrm>
          <a:off x="5534025" y="219075"/>
          <a:ext cx="2667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=B9</a:t>
          </a:r>
        </a:p>
      </xdr:txBody>
    </xdr:sp>
    <xdr:clientData/>
  </xdr:twoCellAnchor>
  <xdr:twoCellAnchor>
    <xdr:from>
      <xdr:col>5</xdr:col>
      <xdr:colOff>426720</xdr:colOff>
      <xdr:row>1</xdr:row>
      <xdr:rowOff>68580</xdr:rowOff>
    </xdr:from>
    <xdr:to>
      <xdr:col>6</xdr:col>
      <xdr:colOff>137160</xdr:colOff>
      <xdr:row>3</xdr:row>
      <xdr:rowOff>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20B3B5B7-C0B7-4AB5-9729-FAD5B46F3CAC}"/>
            </a:ext>
          </a:extLst>
        </xdr:cNvPr>
        <xdr:cNvSpPr>
          <a:spLocks noChangeShapeType="1"/>
        </xdr:cNvSpPr>
      </xdr:nvSpPr>
      <xdr:spPr bwMode="auto">
        <a:xfrm flipH="1">
          <a:off x="5200650" y="285750"/>
          <a:ext cx="314325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1531620</xdr:colOff>
      <xdr:row>3</xdr:row>
      <xdr:rowOff>15240</xdr:rowOff>
    </xdr:from>
    <xdr:to>
      <xdr:col>4</xdr:col>
      <xdr:colOff>30480</xdr:colOff>
      <xdr:row>3</xdr:row>
      <xdr:rowOff>45720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B3AC34A9-244D-4031-8846-AB7F8907E600}"/>
            </a:ext>
          </a:extLst>
        </xdr:cNvPr>
        <xdr:cNvSpPr>
          <a:spLocks noChangeShapeType="1"/>
        </xdr:cNvSpPr>
      </xdr:nvSpPr>
      <xdr:spPr bwMode="auto">
        <a:xfrm>
          <a:off x="2752725" y="581025"/>
          <a:ext cx="1438275" cy="28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25</xdr:row>
      <xdr:rowOff>85725</xdr:rowOff>
    </xdr:from>
    <xdr:to>
      <xdr:col>6</xdr:col>
      <xdr:colOff>161925</xdr:colOff>
      <xdr:row>44</xdr:row>
      <xdr:rowOff>104775</xdr:rowOff>
    </xdr:to>
    <xdr:graphicFrame macro="">
      <xdr:nvGraphicFramePr>
        <xdr:cNvPr id="6" name="图表 7">
          <a:extLst>
            <a:ext uri="{FF2B5EF4-FFF2-40B4-BE49-F238E27FC236}">
              <a16:creationId xmlns:a16="http://schemas.microsoft.com/office/drawing/2014/main" id="{27608267-4FBA-4876-A51D-C0003CF34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1371600</xdr:colOff>
      <xdr:row>11</xdr:row>
      <xdr:rowOff>95250</xdr:rowOff>
    </xdr:from>
    <xdr:to>
      <xdr:col>27</xdr:col>
      <xdr:colOff>472440</xdr:colOff>
      <xdr:row>58</xdr:row>
      <xdr:rowOff>131445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75B9C74E-0C2B-DC93-4D37-BDCCFED18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991600" y="2028825"/>
          <a:ext cx="12753975" cy="8105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>
        <row r="3">
          <cell r="E3" t="str">
            <v>Call</v>
          </cell>
          <cell r="F3" t="str">
            <v>Put</v>
          </cell>
        </row>
        <row r="4">
          <cell r="E4">
            <v>20.318469310058703</v>
          </cell>
          <cell r="F4">
            <v>10.80221111365465</v>
          </cell>
        </row>
        <row r="5">
          <cell r="D5">
            <v>40</v>
          </cell>
          <cell r="E5">
            <v>0.18020476311681133</v>
          </cell>
          <cell r="F5">
            <v>50.663946566712752</v>
          </cell>
        </row>
        <row r="6">
          <cell r="D6">
            <v>45</v>
          </cell>
          <cell r="E6">
            <v>0.41039579377629254</v>
          </cell>
          <cell r="F6">
            <v>45.894137597372236</v>
          </cell>
        </row>
        <row r="7">
          <cell r="D7">
            <v>50</v>
          </cell>
          <cell r="E7">
            <v>0.80807997174514057</v>
          </cell>
          <cell r="F7">
            <v>41.291821775341091</v>
          </cell>
        </row>
        <row r="8">
          <cell r="D8">
            <v>55</v>
          </cell>
          <cell r="E8">
            <v>1.4241195876596979</v>
          </cell>
          <cell r="F8">
            <v>36.907861391255651</v>
          </cell>
        </row>
        <row r="9">
          <cell r="D9">
            <v>60</v>
          </cell>
          <cell r="E9">
            <v>2.3019265787551895</v>
          </cell>
          <cell r="F9">
            <v>32.785668382351133</v>
          </cell>
        </row>
        <row r="10">
          <cell r="D10">
            <v>65</v>
          </cell>
          <cell r="E10">
            <v>3.4738738145430048</v>
          </cell>
          <cell r="F10">
            <v>28.957615618138959</v>
          </cell>
        </row>
        <row r="11">
          <cell r="D11">
            <v>70</v>
          </cell>
          <cell r="E11">
            <v>4.9599677243885516</v>
          </cell>
          <cell r="F11">
            <v>25.443709527984495</v>
          </cell>
        </row>
        <row r="12">
          <cell r="D12">
            <v>75</v>
          </cell>
          <cell r="E12">
            <v>6.7682859293386173</v>
          </cell>
          <cell r="F12">
            <v>22.252027732934565</v>
          </cell>
        </row>
        <row r="13">
          <cell r="D13">
            <v>80</v>
          </cell>
          <cell r="E13">
            <v>8.8965345986862516</v>
          </cell>
          <cell r="F13">
            <v>19.380276402282192</v>
          </cell>
        </row>
        <row r="14">
          <cell r="D14">
            <v>85</v>
          </cell>
          <cell r="E14">
            <v>11.334145772963339</v>
          </cell>
          <cell r="F14">
            <v>16.817887576559286</v>
          </cell>
        </row>
        <row r="15">
          <cell r="D15">
            <v>90</v>
          </cell>
          <cell r="E15">
            <v>14.064485531015464</v>
          </cell>
          <cell r="F15">
            <v>14.548227334611411</v>
          </cell>
        </row>
        <row r="16">
          <cell r="D16">
            <v>95</v>
          </cell>
          <cell r="E16">
            <v>17.066901700449009</v>
          </cell>
          <cell r="F16">
            <v>12.550643504044956</v>
          </cell>
        </row>
        <row r="17">
          <cell r="D17">
            <v>100</v>
          </cell>
          <cell r="E17">
            <v>20.318469310058703</v>
          </cell>
          <cell r="F17">
            <v>10.80221111365465</v>
          </cell>
        </row>
        <row r="18">
          <cell r="D18">
            <v>105</v>
          </cell>
          <cell r="E18">
            <v>23.7953837501286</v>
          </cell>
          <cell r="F18">
            <v>9.2791255537245547</v>
          </cell>
        </row>
        <row r="19">
          <cell r="D19">
            <v>110</v>
          </cell>
          <cell r="E19">
            <v>27.474009059781679</v>
          </cell>
          <cell r="F19">
            <v>7.9577508633776262</v>
          </cell>
        </row>
        <row r="20">
          <cell r="D20">
            <v>115</v>
          </cell>
          <cell r="E20">
            <v>31.331619883117042</v>
          </cell>
          <cell r="F20">
            <v>6.8153616867129898</v>
          </cell>
        </row>
        <row r="21">
          <cell r="D21">
            <v>120</v>
          </cell>
          <cell r="E21">
            <v>35.346888719769233</v>
          </cell>
          <cell r="F21">
            <v>5.8306305233651869</v>
          </cell>
        </row>
        <row r="22">
          <cell r="D22">
            <v>125</v>
          </cell>
          <cell r="E22">
            <v>39.500171995862885</v>
          </cell>
          <cell r="F22">
            <v>4.9839137994588327</v>
          </cell>
        </row>
        <row r="23">
          <cell r="D23">
            <v>130</v>
          </cell>
          <cell r="E23">
            <v>43.773644205137671</v>
          </cell>
          <cell r="F23">
            <v>4.2573860087336186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23"/>
  <sheetViews>
    <sheetView tabSelected="1" workbookViewId="0">
      <selection activeCell="G21" sqref="G21"/>
    </sheetView>
  </sheetViews>
  <sheetFormatPr defaultRowHeight="13.8" x14ac:dyDescent="0.25"/>
  <cols>
    <col min="1" max="2" width="8.88671875" style="3"/>
    <col min="3" max="3" width="31.5546875" style="3" bestFit="1" customWidth="1"/>
    <col min="4" max="4" width="11.33203125" style="3" customWidth="1"/>
    <col min="5" max="6" width="8.88671875" style="3"/>
    <col min="7" max="7" width="32.6640625" style="3" bestFit="1" customWidth="1"/>
    <col min="8" max="8" width="30.33203125" style="3" customWidth="1"/>
    <col min="9" max="13" width="8.88671875" style="3"/>
  </cols>
  <sheetData>
    <row r="1" spans="1:13" ht="17.399999999999999" x14ac:dyDescent="0.3">
      <c r="A1" s="1" t="s">
        <v>0</v>
      </c>
      <c r="B1" s="1"/>
      <c r="C1" s="1"/>
      <c r="D1" s="1"/>
      <c r="E1" s="1"/>
      <c r="F1" s="1"/>
      <c r="G1" s="1"/>
      <c r="H1" s="2"/>
    </row>
    <row r="2" spans="1:13" x14ac:dyDescent="0.25">
      <c r="A2" s="3" t="s">
        <v>1</v>
      </c>
      <c r="B2" s="3">
        <v>100</v>
      </c>
    </row>
    <row r="3" spans="1:13" x14ac:dyDescent="0.25">
      <c r="A3" s="3" t="s">
        <v>2</v>
      </c>
      <c r="B3" s="3">
        <v>100</v>
      </c>
      <c r="D3" s="4" t="s">
        <v>3</v>
      </c>
      <c r="E3" s="5" t="s">
        <v>4</v>
      </c>
      <c r="F3" s="5" t="s">
        <v>5</v>
      </c>
    </row>
    <row r="4" spans="1:13" x14ac:dyDescent="0.25">
      <c r="A4" s="3" t="s">
        <v>6</v>
      </c>
      <c r="B4" s="6">
        <v>1</v>
      </c>
      <c r="E4" s="7">
        <f>B8</f>
        <v>20.318469310058703</v>
      </c>
      <c r="F4" s="7">
        <f>B9</f>
        <v>10.80221111365465</v>
      </c>
      <c r="G4" s="3" t="s">
        <v>7</v>
      </c>
      <c r="L4" s="3" t="s">
        <v>8</v>
      </c>
      <c r="M4" s="3">
        <v>40</v>
      </c>
    </row>
    <row r="5" spans="1:13" x14ac:dyDescent="0.25">
      <c r="A5" s="3" t="s">
        <v>9</v>
      </c>
      <c r="B5" s="8">
        <v>0.1</v>
      </c>
      <c r="D5" s="9">
        <f>$M$4</f>
        <v>40</v>
      </c>
      <c r="E5" s="7">
        <f t="dataTable" ref="E5:F23" dt2D="0" dtr="0" r1="B2"/>
        <v>0.18020476311681133</v>
      </c>
      <c r="F5" s="7">
        <v>50.663946566712752</v>
      </c>
      <c r="L5" s="3" t="s">
        <v>10</v>
      </c>
      <c r="M5" s="3">
        <v>5</v>
      </c>
    </row>
    <row r="6" spans="1:13" x14ac:dyDescent="0.25">
      <c r="A6" s="3" t="s">
        <v>11</v>
      </c>
      <c r="B6" s="8">
        <v>0.4</v>
      </c>
      <c r="D6" s="9">
        <f>D5+$M$5</f>
        <v>45</v>
      </c>
      <c r="E6" s="7">
        <v>0.41039579377629254</v>
      </c>
      <c r="F6" s="7">
        <v>45.894137597372236</v>
      </c>
    </row>
    <row r="7" spans="1:13" x14ac:dyDescent="0.25">
      <c r="D7" s="9">
        <f t="shared" ref="D7:D22" si="0">D6+$M$5</f>
        <v>50</v>
      </c>
      <c r="E7" s="7">
        <v>0.80807997174514057</v>
      </c>
      <c r="F7" s="7">
        <v>41.291821775341091</v>
      </c>
    </row>
    <row r="8" spans="1:13" x14ac:dyDescent="0.25">
      <c r="A8" s="3" t="s">
        <v>12</v>
      </c>
      <c r="B8" s="10">
        <f>[2]!BSCall(B2,B3,B4,B5,B6)</f>
        <v>20.318469310058703</v>
      </c>
      <c r="C8" s="3" t="str">
        <f ca="1">[3]!getformula(B8)</f>
        <v>&lt;-- =BSCall(B2,B3,B4,B5,B6)</v>
      </c>
      <c r="D8" s="9">
        <f t="shared" si="0"/>
        <v>55</v>
      </c>
      <c r="E8" s="7">
        <v>1.4241195876596979</v>
      </c>
      <c r="F8" s="7">
        <v>36.907861391255651</v>
      </c>
    </row>
    <row r="9" spans="1:13" x14ac:dyDescent="0.25">
      <c r="A9" s="3" t="s">
        <v>13</v>
      </c>
      <c r="B9" s="7">
        <f>[2]!BSPut(B2,B3,B4,B5,B6)</f>
        <v>10.80221111365465</v>
      </c>
      <c r="C9" s="3" t="str">
        <f ca="1">[3]!getformula(B9)</f>
        <v>&lt;-- =BSPut(B2,B3,B4,B5,B6)</v>
      </c>
      <c r="D9" s="9">
        <f t="shared" si="0"/>
        <v>60</v>
      </c>
      <c r="E9" s="7">
        <v>2.3019265787551895</v>
      </c>
      <c r="F9" s="7">
        <v>32.785668382351133</v>
      </c>
    </row>
    <row r="10" spans="1:13" x14ac:dyDescent="0.25">
      <c r="B10" s="11"/>
      <c r="D10" s="9">
        <f t="shared" si="0"/>
        <v>65</v>
      </c>
      <c r="E10" s="7">
        <v>3.4738738145430048</v>
      </c>
      <c r="F10" s="7">
        <v>28.957615618138959</v>
      </c>
    </row>
    <row r="11" spans="1:13" x14ac:dyDescent="0.25">
      <c r="D11" s="9">
        <f t="shared" si="0"/>
        <v>70</v>
      </c>
      <c r="E11" s="7">
        <v>4.9599677243885516</v>
      </c>
      <c r="F11" s="7">
        <v>25.443709527984495</v>
      </c>
    </row>
    <row r="12" spans="1:13" x14ac:dyDescent="0.25">
      <c r="A12" s="3" t="s">
        <v>14</v>
      </c>
      <c r="D12" s="9">
        <f t="shared" si="0"/>
        <v>75</v>
      </c>
      <c r="E12" s="7">
        <v>6.7682859293386173</v>
      </c>
      <c r="F12" s="7">
        <v>22.252027732934565</v>
      </c>
    </row>
    <row r="13" spans="1:13" x14ac:dyDescent="0.25">
      <c r="A13" s="3" t="s">
        <v>15</v>
      </c>
      <c r="D13" s="9">
        <f t="shared" si="0"/>
        <v>80</v>
      </c>
      <c r="E13" s="7">
        <v>8.8965345986862516</v>
      </c>
      <c r="F13" s="7">
        <v>19.380276402282192</v>
      </c>
    </row>
    <row r="14" spans="1:13" x14ac:dyDescent="0.25">
      <c r="A14" s="3" t="s">
        <v>16</v>
      </c>
      <c r="D14" s="9">
        <f t="shared" si="0"/>
        <v>85</v>
      </c>
      <c r="E14" s="7">
        <v>11.334145772963339</v>
      </c>
      <c r="F14" s="7">
        <v>16.817887576559286</v>
      </c>
    </row>
    <row r="15" spans="1:13" x14ac:dyDescent="0.25">
      <c r="A15" s="3" t="s">
        <v>17</v>
      </c>
      <c r="D15" s="9">
        <f t="shared" si="0"/>
        <v>90</v>
      </c>
      <c r="E15" s="7">
        <v>14.064485531015464</v>
      </c>
      <c r="F15" s="7">
        <v>14.548227334611411</v>
      </c>
    </row>
    <row r="16" spans="1:13" x14ac:dyDescent="0.25">
      <c r="A16" s="3" t="s">
        <v>18</v>
      </c>
      <c r="D16" s="9">
        <f t="shared" si="0"/>
        <v>95</v>
      </c>
      <c r="E16" s="7">
        <v>17.066901700449009</v>
      </c>
      <c r="F16" s="7">
        <v>12.550643504044956</v>
      </c>
    </row>
    <row r="17" spans="4:6" x14ac:dyDescent="0.25">
      <c r="D17" s="12">
        <f t="shared" si="0"/>
        <v>100</v>
      </c>
      <c r="E17" s="13">
        <v>20.318469310058703</v>
      </c>
      <c r="F17" s="13">
        <v>10.80221111365465</v>
      </c>
    </row>
    <row r="18" spans="4:6" x14ac:dyDescent="0.25">
      <c r="D18" s="9">
        <f t="shared" si="0"/>
        <v>105</v>
      </c>
      <c r="E18" s="7">
        <v>23.7953837501286</v>
      </c>
      <c r="F18" s="7">
        <v>9.2791255537245547</v>
      </c>
    </row>
    <row r="19" spans="4:6" x14ac:dyDescent="0.25">
      <c r="D19" s="9">
        <f t="shared" si="0"/>
        <v>110</v>
      </c>
      <c r="E19" s="7">
        <v>27.474009059781679</v>
      </c>
      <c r="F19" s="7">
        <v>7.9577508633776262</v>
      </c>
    </row>
    <row r="20" spans="4:6" x14ac:dyDescent="0.25">
      <c r="D20" s="9">
        <f t="shared" si="0"/>
        <v>115</v>
      </c>
      <c r="E20" s="7">
        <v>31.331619883117042</v>
      </c>
      <c r="F20" s="7">
        <v>6.8153616867129898</v>
      </c>
    </row>
    <row r="21" spans="4:6" x14ac:dyDescent="0.25">
      <c r="D21" s="9">
        <f t="shared" si="0"/>
        <v>120</v>
      </c>
      <c r="E21" s="7">
        <v>35.346888719769233</v>
      </c>
      <c r="F21" s="7">
        <v>5.8306305233651869</v>
      </c>
    </row>
    <row r="22" spans="4:6" x14ac:dyDescent="0.25">
      <c r="D22" s="9">
        <f t="shared" si="0"/>
        <v>125</v>
      </c>
      <c r="E22" s="7">
        <v>39.500171995862885</v>
      </c>
      <c r="F22" s="7">
        <v>4.9839137994588327</v>
      </c>
    </row>
    <row r="23" spans="4:6" x14ac:dyDescent="0.25">
      <c r="D23" s="9">
        <f>D22+$M$5</f>
        <v>130</v>
      </c>
      <c r="E23" s="7">
        <v>43.773644205137671</v>
      </c>
      <c r="F23" s="7">
        <v>4.2573860087336186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2024-11-27T07:37:55Z</dcterms:modified>
</cp:coreProperties>
</file>