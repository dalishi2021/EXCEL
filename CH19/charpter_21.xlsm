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D31B93F5-B97A-4E7B-B18C-B585EA48368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11" i="1" s="1"/>
  <c r="C18" i="1"/>
  <c r="C17" i="1"/>
  <c r="B9" i="1" l="1"/>
  <c r="B12" i="1" s="1"/>
  <c r="B14" i="1" s="1"/>
  <c r="B15" i="1" l="1"/>
  <c r="B18" i="1" s="1"/>
  <c r="G4" i="1" s="1"/>
  <c r="B17" i="1"/>
  <c r="E26" i="1" l="1"/>
  <c r="F4" i="1"/>
</calcChain>
</file>

<file path=xl/sharedStrings.xml><?xml version="1.0" encoding="utf-8"?>
<sst xmlns="http://schemas.openxmlformats.org/spreadsheetml/2006/main" count="31" uniqueCount="31">
  <si>
    <t>"BANG FOR THE BUCK" WITH OPTIONS</t>
  </si>
  <si>
    <t>S</t>
  </si>
  <si>
    <t>Current stock price</t>
  </si>
  <si>
    <t>Data table:  Effect of S on "bang"</t>
  </si>
  <si>
    <t>X</t>
  </si>
  <si>
    <t>Exercise prie</t>
  </si>
  <si>
    <t>Calls</t>
  </si>
  <si>
    <t>Puts</t>
  </si>
  <si>
    <t>r</t>
  </si>
  <si>
    <t>Risk-free rate of interest</t>
  </si>
  <si>
    <t>&lt;-- Data table header</t>
  </si>
  <si>
    <t>T</t>
  </si>
  <si>
    <t>Time to maturity of option (in years)</t>
  </si>
  <si>
    <t>Sigma</t>
  </si>
  <si>
    <t>Stock volatility</t>
  </si>
  <si>
    <r>
      <t>d</t>
    </r>
    <r>
      <rPr>
        <vertAlign val="subscript"/>
        <sz val="10"/>
        <rFont val="Arial"/>
        <family val="2"/>
      </rPr>
      <t>1</t>
    </r>
  </si>
  <si>
    <t>&lt;-- 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</si>
  <si>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</si>
  <si>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-sigma*SQRT(T)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</si>
  <si>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</si>
  <si>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</si>
  <si>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</si>
  <si>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</si>
  <si>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Call price</t>
  </si>
  <si>
    <r>
      <t>&lt;-- S*N(d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)-X*exp(-r*T)*N(d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</si>
  <si>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Put price</t>
  </si>
  <si>
    <t>&lt;-- call price - S + X*Exp(-r*T):  by put-call parity</t>
  </si>
  <si>
    <t>Call bang</t>
  </si>
  <si>
    <t>Put bang</t>
  </si>
  <si>
    <t>Data table:  Effect of S and T on "call bang"</t>
  </si>
  <si>
    <t>T--option time to exercise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</si>
</sst>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"/>
    <numFmt numFmtId="177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9" fontId="3" fillId="0" borderId="0" xfId="1" applyFont="1" applyAlignment="1">
      <alignment horizontal="center"/>
    </xf>
    <xf numFmtId="0" fontId="0" fillId="0" borderId="0" xfId="0" applyAlignment="1"/>
    <xf numFmtId="9" fontId="0" fillId="0" borderId="0" xfId="1" applyFont="1" applyAlignment="1"/>
    <xf numFmtId="0" fontId="0" fillId="0" borderId="0" xfId="1" applyNumberFormat="1" applyFont="1" applyAlignment="1"/>
    <xf numFmtId="0" fontId="4" fillId="0" borderId="0" xfId="0" applyFont="1" applyAlignment="1"/>
    <xf numFmtId="10" fontId="0" fillId="0" borderId="0" xfId="1" applyNumberFormat="1" applyFont="1" applyAlignment="1"/>
    <xf numFmtId="176" fontId="0" fillId="0" borderId="0" xfId="0" applyNumberFormat="1" applyAlignment="1"/>
    <xf numFmtId="177" fontId="0" fillId="0" borderId="0" xfId="0" applyNumberFormat="1" applyAlignment="1"/>
    <xf numFmtId="177" fontId="0" fillId="0" borderId="0" xfId="1" quotePrefix="1" applyNumberFormat="1" applyFont="1" applyAlignment="1"/>
    <xf numFmtId="177" fontId="0" fillId="0" borderId="0" xfId="1" applyNumberFormat="1" applyFont="1" applyAlignment="1"/>
    <xf numFmtId="2" fontId="0" fillId="0" borderId="0" xfId="1" applyNumberFormat="1" applyFont="1" applyAlignment="1"/>
    <xf numFmtId="2" fontId="0" fillId="0" borderId="0" xfId="1" quotePrefix="1" applyNumberFormat="1" applyFont="1" applyAlignment="1"/>
    <xf numFmtId="0" fontId="0" fillId="2" borderId="0" xfId="0" applyFill="1" applyAlignment="1"/>
    <xf numFmtId="177" fontId="0" fillId="2" borderId="0" xfId="0" applyNumberFormat="1" applyFill="1" applyAlignment="1"/>
    <xf numFmtId="0" fontId="6" fillId="0" borderId="0" xfId="0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</xdr:colOff>
      <xdr:row>22</xdr:row>
      <xdr:rowOff>114300</xdr:rowOff>
    </xdr:from>
    <xdr:to>
      <xdr:col>3</xdr:col>
      <xdr:colOff>601980</xdr:colOff>
      <xdr:row>25</xdr:row>
      <xdr:rowOff>106680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2619D562-54AF-41A5-B565-B8498F87843B}"/>
            </a:ext>
          </a:extLst>
        </xdr:cNvPr>
        <xdr:cNvSpPr txBox="1">
          <a:spLocks noChangeArrowheads="1"/>
        </xdr:cNvSpPr>
      </xdr:nvSpPr>
      <xdr:spPr bwMode="auto">
        <a:xfrm>
          <a:off x="4152900" y="4105275"/>
          <a:ext cx="571500" cy="533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lnSpc>
              <a:spcPts val="1000"/>
            </a:lnSpc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Data table header:</a:t>
          </a:r>
        </a:p>
        <a:p>
          <a:pPr algn="l" rtl="0">
            <a:lnSpc>
              <a:spcPts val="900"/>
            </a:lnSpc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=B17</a:t>
          </a:r>
        </a:p>
      </xdr:txBody>
    </xdr:sp>
    <xdr:clientData/>
  </xdr:twoCellAnchor>
  <xdr:twoCellAnchor>
    <xdr:from>
      <xdr:col>3</xdr:col>
      <xdr:colOff>640080</xdr:colOff>
      <xdr:row>24</xdr:row>
      <xdr:rowOff>99060</xdr:rowOff>
    </xdr:from>
    <xdr:to>
      <xdr:col>4</xdr:col>
      <xdr:colOff>144780</xdr:colOff>
      <xdr:row>25</xdr:row>
      <xdr:rowOff>53340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9839AB90-1DBA-465D-93A2-C3FE5B211CC9}"/>
            </a:ext>
          </a:extLst>
        </xdr:cNvPr>
        <xdr:cNvSpPr>
          <a:spLocks noChangeShapeType="1"/>
        </xdr:cNvSpPr>
      </xdr:nvSpPr>
      <xdr:spPr bwMode="auto">
        <a:xfrm>
          <a:off x="4762500" y="4457700"/>
          <a:ext cx="333375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11</xdr:col>
      <xdr:colOff>68580</xdr:colOff>
      <xdr:row>6</xdr:row>
      <xdr:rowOff>30480</xdr:rowOff>
    </xdr:from>
    <xdr:to>
      <xdr:col>25</xdr:col>
      <xdr:colOff>316230</xdr:colOff>
      <xdr:row>47</xdr:row>
      <xdr:rowOff>140970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CB099CCD-1144-4B1F-B4F8-AE92BCE5E7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56420" y="1150620"/>
          <a:ext cx="8778240" cy="74371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/>
      <sheetData sheetId="1"/>
      <sheetData sheetId="2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J42"/>
  <sheetViews>
    <sheetView tabSelected="1" zoomScale="115" zoomScaleNormal="115" workbookViewId="0">
      <selection activeCell="I21" sqref="I21"/>
    </sheetView>
  </sheetViews>
  <sheetFormatPr defaultRowHeight="13.8" x14ac:dyDescent="0.25"/>
  <cols>
    <col min="1" max="2" width="8.88671875" style="2"/>
    <col min="3" max="3" width="42.33203125" style="2" customWidth="1"/>
    <col min="4" max="4" width="12.109375" style="2" customWidth="1"/>
    <col min="5" max="8" width="8.88671875" style="2"/>
    <col min="9" max="9" width="11.33203125" style="2" customWidth="1"/>
    <col min="10" max="10" width="8.88671875" style="2"/>
  </cols>
  <sheetData>
    <row r="1" spans="1:8" ht="17.399999999999999" x14ac:dyDescent="0.3">
      <c r="A1" s="1" t="s">
        <v>0</v>
      </c>
      <c r="B1" s="1"/>
      <c r="C1" s="1"/>
    </row>
    <row r="2" spans="1:8" ht="15.6" x14ac:dyDescent="0.3">
      <c r="A2" s="3" t="s">
        <v>1</v>
      </c>
      <c r="B2" s="4">
        <v>25</v>
      </c>
      <c r="C2" s="3" t="s">
        <v>2</v>
      </c>
      <c r="E2" s="5" t="s">
        <v>3</v>
      </c>
    </row>
    <row r="3" spans="1:8" x14ac:dyDescent="0.25">
      <c r="A3" s="3" t="s">
        <v>4</v>
      </c>
      <c r="B3" s="4">
        <v>25</v>
      </c>
      <c r="C3" s="3" t="s">
        <v>5</v>
      </c>
      <c r="F3" s="2" t="s">
        <v>6</v>
      </c>
      <c r="G3" s="2" t="s">
        <v>7</v>
      </c>
    </row>
    <row r="4" spans="1:8" x14ac:dyDescent="0.25">
      <c r="A4" s="3" t="s">
        <v>8</v>
      </c>
      <c r="B4" s="6">
        <v>0.06</v>
      </c>
      <c r="C4" s="3" t="s">
        <v>9</v>
      </c>
      <c r="F4" s="7">
        <f>B17</f>
        <v>6.0483112361359392</v>
      </c>
      <c r="G4" s="7">
        <f>B18</f>
        <v>5.807026492291822</v>
      </c>
      <c r="H4" s="2" t="s">
        <v>10</v>
      </c>
    </row>
    <row r="5" spans="1:8" x14ac:dyDescent="0.25">
      <c r="A5" s="3" t="s">
        <v>11</v>
      </c>
      <c r="B5" s="4">
        <v>0.5</v>
      </c>
      <c r="C5" s="3" t="s">
        <v>12</v>
      </c>
      <c r="E5" s="2">
        <v>15</v>
      </c>
      <c r="F5" s="8">
        <f t="dataTable" ref="F5:G20" dt2D="0" dtr="0" r1="B3" ca="1"/>
        <v>2.382819574348686</v>
      </c>
      <c r="G5" s="8">
        <v>14.307674389620162</v>
      </c>
    </row>
    <row r="6" spans="1:8" x14ac:dyDescent="0.25">
      <c r="A6" s="3" t="s">
        <v>13</v>
      </c>
      <c r="B6" s="3">
        <v>0.3</v>
      </c>
      <c r="C6" s="3" t="s">
        <v>14</v>
      </c>
      <c r="E6" s="2">
        <v>16</v>
      </c>
      <c r="F6" s="8">
        <v>2.6095090746996479</v>
      </c>
      <c r="G6" s="8">
        <v>13.092185816506026</v>
      </c>
    </row>
    <row r="7" spans="1:8" x14ac:dyDescent="0.25">
      <c r="A7" s="3"/>
      <c r="B7" s="3"/>
      <c r="C7" s="3"/>
      <c r="E7" s="2">
        <v>17</v>
      </c>
      <c r="F7" s="8">
        <v>2.8694936674549747</v>
      </c>
      <c r="G7" s="8">
        <v>11.977273307005271</v>
      </c>
    </row>
    <row r="8" spans="1:8" ht="15.6" x14ac:dyDescent="0.35">
      <c r="A8" s="3" t="s">
        <v>15</v>
      </c>
      <c r="B8" s="9">
        <f>(LN(B2/B3)+(B4+0.5*B6^2)*B5)/(B6*SQRT(B5))</f>
        <v>0.24748737341529162</v>
      </c>
      <c r="C8" s="3" t="s">
        <v>16</v>
      </c>
      <c r="E8" s="2">
        <v>18</v>
      </c>
      <c r="F8" s="8">
        <v>3.1641390654936417</v>
      </c>
      <c r="G8" s="8">
        <v>10.953637148040462</v>
      </c>
    </row>
    <row r="9" spans="1:8" ht="15.6" x14ac:dyDescent="0.35">
      <c r="A9" s="3" t="s">
        <v>17</v>
      </c>
      <c r="B9" s="9">
        <f>B8-SQRT(B5)*B6</f>
        <v>3.5355339059327362E-2</v>
      </c>
      <c r="C9" s="3" t="s">
        <v>18</v>
      </c>
      <c r="E9" s="2">
        <v>19</v>
      </c>
      <c r="F9" s="8">
        <v>3.4933265454894697</v>
      </c>
      <c r="G9" s="8">
        <v>10.013493559524854</v>
      </c>
    </row>
    <row r="10" spans="1:8" x14ac:dyDescent="0.25">
      <c r="A10" s="3"/>
      <c r="B10" s="10"/>
      <c r="C10" s="3"/>
      <c r="E10" s="2">
        <v>20</v>
      </c>
      <c r="F10" s="8">
        <v>3.8555304236503103</v>
      </c>
      <c r="G10" s="8">
        <v>9.1502220405025607</v>
      </c>
    </row>
    <row r="11" spans="1:8" ht="15.6" x14ac:dyDescent="0.35">
      <c r="A11" s="3" t="s">
        <v>19</v>
      </c>
      <c r="B11" s="10">
        <f>NORMSDIST(B8)</f>
        <v>0.59773446890843829</v>
      </c>
      <c r="C11" s="3" t="s">
        <v>20</v>
      </c>
      <c r="E11" s="2">
        <v>21</v>
      </c>
      <c r="F11" s="8">
        <v>4.2480841147247421</v>
      </c>
      <c r="G11" s="8">
        <v>8.3580938870403276</v>
      </c>
    </row>
    <row r="12" spans="1:8" ht="15.6" x14ac:dyDescent="0.35">
      <c r="A12" s="3" t="s">
        <v>21</v>
      </c>
      <c r="B12" s="10">
        <f>NORMSDIST(B9)</f>
        <v>0.51410180165216401</v>
      </c>
      <c r="C12" s="3" t="s">
        <v>22</v>
      </c>
      <c r="E12" s="2">
        <v>22</v>
      </c>
      <c r="F12" s="8">
        <v>4.6675385517960706</v>
      </c>
      <c r="G12" s="8">
        <v>7.6320607256439663</v>
      </c>
    </row>
    <row r="13" spans="1:8" x14ac:dyDescent="0.25">
      <c r="A13" s="3"/>
      <c r="B13" s="10"/>
      <c r="C13" s="3"/>
      <c r="E13" s="2">
        <v>23</v>
      </c>
      <c r="F13" s="8">
        <v>5.110025369651793</v>
      </c>
      <c r="G13" s="8">
        <v>6.9675890274120205</v>
      </c>
    </row>
    <row r="14" spans="1:8" ht="15.6" x14ac:dyDescent="0.35">
      <c r="A14" s="3" t="s">
        <v>23</v>
      </c>
      <c r="B14" s="11">
        <f>B2*B11-B3*EXP(-B4*B5)*B12</f>
        <v>2.4706667926463659</v>
      </c>
      <c r="C14" s="3" t="s">
        <v>24</v>
      </c>
      <c r="E14" s="2">
        <v>24</v>
      </c>
      <c r="F14" s="8">
        <v>5.571567399615641</v>
      </c>
      <c r="G14" s="8">
        <v>6.360531163842043</v>
      </c>
    </row>
    <row r="15" spans="1:8" x14ac:dyDescent="0.25">
      <c r="A15" s="3" t="s">
        <v>25</v>
      </c>
      <c r="B15" s="12">
        <f>B14-B2+B3*EXP(-B4*B5)</f>
        <v>1.7318051313590708</v>
      </c>
      <c r="C15" s="3" t="s">
        <v>26</v>
      </c>
      <c r="E15" s="2">
        <v>25</v>
      </c>
      <c r="F15" s="8">
        <v>6.0483112361359392</v>
      </c>
      <c r="G15" s="8">
        <v>5.807026492291822</v>
      </c>
    </row>
    <row r="16" spans="1:8" x14ac:dyDescent="0.25">
      <c r="A16" s="3"/>
      <c r="B16" s="11"/>
      <c r="C16" s="3"/>
      <c r="E16" s="2">
        <v>26</v>
      </c>
      <c r="F16" s="8">
        <v>6.5366804401324714</v>
      </c>
      <c r="G16" s="8">
        <v>5.3034277491072199</v>
      </c>
    </row>
    <row r="17" spans="1:9" x14ac:dyDescent="0.25">
      <c r="A17" s="13" t="s">
        <v>27</v>
      </c>
      <c r="B17" s="14">
        <f>B11*B2/B14</f>
        <v>6.0483112361359392</v>
      </c>
      <c r="C17" s="2" t="str">
        <f ca="1">[2]!getformula(B17)</f>
        <v>&lt;--  =B11*B2/B14</v>
      </c>
      <c r="E17" s="2">
        <v>27</v>
      </c>
      <c r="F17" s="8">
        <v>7.0334611234324473</v>
      </c>
      <c r="G17" s="8">
        <v>4.8462490363116011</v>
      </c>
    </row>
    <row r="18" spans="1:9" x14ac:dyDescent="0.25">
      <c r="A18" s="13" t="s">
        <v>28</v>
      </c>
      <c r="B18" s="14">
        <f>NORMSDIST(-B8)*B2/B15</f>
        <v>5.807026492291822</v>
      </c>
      <c r="C18" s="2" t="str">
        <f ca="1">[2]!getformula(B18)</f>
        <v>&lt;--  =NORMSDIST(-B8)*B2/B15</v>
      </c>
      <c r="E18" s="2">
        <v>28</v>
      </c>
      <c r="F18" s="8">
        <v>7.5358363960950516</v>
      </c>
      <c r="G18" s="8">
        <v>4.4321321730078642</v>
      </c>
    </row>
    <row r="19" spans="1:9" x14ac:dyDescent="0.25">
      <c r="E19" s="2">
        <v>29</v>
      </c>
      <c r="F19" s="8">
        <v>8.0413857629379208</v>
      </c>
      <c r="G19" s="8">
        <v>4.0578283503306878</v>
      </c>
    </row>
    <row r="20" spans="1:9" x14ac:dyDescent="0.25">
      <c r="E20" s="2">
        <v>30</v>
      </c>
      <c r="F20" s="8">
        <v>8.5480627871012285</v>
      </c>
      <c r="G20" s="8">
        <v>3.720192046046503</v>
      </c>
    </row>
    <row r="23" spans="1:9" ht="15.6" x14ac:dyDescent="0.3">
      <c r="E23" s="5" t="s">
        <v>29</v>
      </c>
    </row>
    <row r="25" spans="1:9" x14ac:dyDescent="0.25">
      <c r="F25" s="15" t="s">
        <v>30</v>
      </c>
    </row>
    <row r="26" spans="1:9" x14ac:dyDescent="0.25">
      <c r="E26" s="8">
        <f>B17</f>
        <v>6.0483112361359392</v>
      </c>
      <c r="F26" s="15">
        <v>0.25</v>
      </c>
      <c r="G26" s="15">
        <v>0.5</v>
      </c>
      <c r="H26" s="15">
        <v>0.75</v>
      </c>
      <c r="I26" s="15">
        <v>1</v>
      </c>
    </row>
    <row r="27" spans="1:9" x14ac:dyDescent="0.25">
      <c r="E27" s="15">
        <v>15</v>
      </c>
      <c r="F27" s="8">
        <f t="dataTable" ref="F27:I42" dt2D="1" dtr="1" r1="B5" r2="B2"/>
        <v>25.856598673711353</v>
      </c>
      <c r="G27" s="8">
        <v>14.176747915218089</v>
      </c>
      <c r="H27" s="8">
        <v>10.169773359213307</v>
      </c>
      <c r="I27" s="8">
        <v>8.1112934601295326</v>
      </c>
    </row>
    <row r="28" spans="1:9" x14ac:dyDescent="0.25">
      <c r="E28" s="15">
        <v>16</v>
      </c>
      <c r="F28" s="8">
        <v>23.320318330986062</v>
      </c>
      <c r="G28" s="8">
        <v>12.988614094072647</v>
      </c>
      <c r="H28" s="8">
        <v>9.4124314556762254</v>
      </c>
      <c r="I28" s="8">
        <v>7.5625018452361905</v>
      </c>
    </row>
    <row r="29" spans="1:9" x14ac:dyDescent="0.25">
      <c r="E29" s="15">
        <v>17</v>
      </c>
      <c r="F29" s="8">
        <v>20.993144007051061</v>
      </c>
      <c r="G29" s="8">
        <v>11.903513682338533</v>
      </c>
      <c r="H29" s="8">
        <v>8.7218102236852619</v>
      </c>
      <c r="I29" s="8">
        <v>7.0623077644016465</v>
      </c>
    </row>
    <row r="30" spans="1:9" x14ac:dyDescent="0.25">
      <c r="E30" s="15">
        <v>18</v>
      </c>
      <c r="F30" s="8">
        <v>18.859112880683227</v>
      </c>
      <c r="G30" s="8">
        <v>10.91215325925333</v>
      </c>
      <c r="H30" s="8">
        <v>8.0913201112942108</v>
      </c>
      <c r="I30" s="8">
        <v>6.6056400228998973</v>
      </c>
    </row>
    <row r="31" spans="1:9" x14ac:dyDescent="0.25">
      <c r="E31" s="15">
        <v>19</v>
      </c>
      <c r="F31" s="8">
        <v>16.905541095758828</v>
      </c>
      <c r="G31" s="8">
        <v>10.006700445173571</v>
      </c>
      <c r="H31" s="8">
        <v>7.5153569881315825</v>
      </c>
      <c r="I31" s="8">
        <v>6.1881838202831485</v>
      </c>
    </row>
    <row r="32" spans="1:9" x14ac:dyDescent="0.25">
      <c r="E32" s="15">
        <v>20</v>
      </c>
      <c r="F32" s="8">
        <v>15.122200348812258</v>
      </c>
      <c r="G32" s="8">
        <v>9.1804242894825538</v>
      </c>
      <c r="H32" s="8">
        <v>6.9890800139338953</v>
      </c>
      <c r="I32" s="8">
        <v>5.8062188602050915</v>
      </c>
    </row>
    <row r="33" spans="5:9" x14ac:dyDescent="0.25">
      <c r="E33" s="15">
        <v>21</v>
      </c>
      <c r="F33" s="8">
        <v>13.500607323755485</v>
      </c>
      <c r="G33" s="8">
        <v>8.4274192804785883</v>
      </c>
      <c r="H33" s="8">
        <v>6.5082453260573025</v>
      </c>
      <c r="I33" s="8">
        <v>5.4564983935795413</v>
      </c>
    </row>
    <row r="34" spans="5:9" x14ac:dyDescent="0.25">
      <c r="E34" s="15">
        <v>22</v>
      </c>
      <c r="F34" s="8">
        <v>12.033387369464307</v>
      </c>
      <c r="G34" s="8">
        <v>7.7423926907795479</v>
      </c>
      <c r="H34" s="8">
        <v>6.069080750590599</v>
      </c>
      <c r="I34" s="8">
        <v>5.1361579140730997</v>
      </c>
    </row>
    <row r="35" spans="5:9" x14ac:dyDescent="0.25">
      <c r="E35" s="15">
        <v>23</v>
      </c>
      <c r="F35" s="8">
        <v>10.713698497851514</v>
      </c>
      <c r="G35" s="8">
        <v>7.1205018989449043</v>
      </c>
      <c r="H35" s="8">
        <v>5.6681912735105664</v>
      </c>
      <c r="I35" s="8">
        <v>4.8426456793966191</v>
      </c>
    </row>
    <row r="36" spans="5:9" x14ac:dyDescent="0.25">
      <c r="E36" s="15">
        <v>24</v>
      </c>
      <c r="F36" s="8">
        <v>9.5347227803252235</v>
      </c>
      <c r="G36" s="8">
        <v>6.5572325915985976</v>
      </c>
      <c r="H36" s="8">
        <v>5.3024879377525878</v>
      </c>
      <c r="I36" s="8">
        <v>4.5736695030126668</v>
      </c>
    </row>
    <row r="37" spans="5:9" x14ac:dyDescent="0.25">
      <c r="E37" s="15">
        <v>25</v>
      </c>
      <c r="F37" s="8">
        <v>8.4892481865641933</v>
      </c>
      <c r="G37" s="8">
        <v>6.0483112361359392</v>
      </c>
      <c r="H37" s="8">
        <v>4.9691347583703154</v>
      </c>
      <c r="I37" s="8">
        <v>4.3271557887944452</v>
      </c>
    </row>
    <row r="38" spans="5:9" x14ac:dyDescent="0.25">
      <c r="E38" s="15">
        <v>26</v>
      </c>
      <c r="F38" s="8">
        <v>7.5693718582572478</v>
      </c>
      <c r="G38" s="8">
        <v>5.589646511801619</v>
      </c>
      <c r="H38" s="8">
        <v>4.665509540523284</v>
      </c>
      <c r="I38" s="8">
        <v>4.1012178329173476</v>
      </c>
    </row>
    <row r="39" spans="5:9" x14ac:dyDescent="0.25">
      <c r="E39" s="15">
        <v>27</v>
      </c>
      <c r="F39" s="8">
        <v>6.7663528435070956</v>
      </c>
      <c r="G39" s="8">
        <v>5.1772949307195688</v>
      </c>
      <c r="H39" s="8">
        <v>4.3891753771790203</v>
      </c>
      <c r="I39" s="8">
        <v>3.8941311584214637</v>
      </c>
    </row>
    <row r="40" spans="5:9" x14ac:dyDescent="0.25">
      <c r="E40" s="15">
        <v>28</v>
      </c>
      <c r="F40" s="8">
        <v>6.070627735360123</v>
      </c>
      <c r="G40" s="8">
        <v>4.8074460138264943</v>
      </c>
      <c r="H40" s="8">
        <v>4.1378602445467267</v>
      </c>
      <c r="I40" s="8">
        <v>3.7043141829011565</v>
      </c>
    </row>
    <row r="41" spans="5:9" x14ac:dyDescent="0.25">
      <c r="E41" s="15">
        <v>29</v>
      </c>
      <c r="F41" s="8">
        <v>5.4719795228242925</v>
      </c>
      <c r="G41" s="8">
        <v>4.4764223832380203</v>
      </c>
      <c r="H41" s="8">
        <v>3.9094425988483268</v>
      </c>
      <c r="I41" s="8">
        <v>3.5303129154117725</v>
      </c>
    </row>
    <row r="42" spans="5:9" x14ac:dyDescent="0.25">
      <c r="E42" s="15">
        <v>30</v>
      </c>
      <c r="F42" s="8">
        <v>4.9598249683823248</v>
      </c>
      <c r="G42" s="8">
        <v>4.1806901947159893</v>
      </c>
      <c r="H42" s="8">
        <v>3.7019412676877916</v>
      </c>
      <c r="I42" s="8">
        <v>3.3707886780088434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2024-11-28T06:04:29Z</dcterms:modified>
</cp:coreProperties>
</file>