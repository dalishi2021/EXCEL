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99FF1B5C-5A07-4A6A-9AB3-21380BE190D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9" i="1"/>
  <c r="B9" i="1"/>
  <c r="E3" i="1" l="1"/>
  <c r="B13" i="1"/>
</calcChain>
</file>

<file path=xl/sharedStrings.xml><?xml version="1.0" encoding="utf-8"?>
<sst xmlns="http://schemas.openxmlformats.org/spreadsheetml/2006/main" count="14" uniqueCount="14">
  <si>
    <t>BLACK-SCHOLES IMPLIED VOLATILITY</t>
  </si>
  <si>
    <r>
      <t xml:space="preserve">The VBA module attached to this spreadsheet defines a function called </t>
    </r>
    <r>
      <rPr>
        <b/>
        <sz val="10"/>
        <rFont val="Arial"/>
        <family val="2"/>
      </rPr>
      <t>CallVolatility(S,X,T,interest,target_call_price)</t>
    </r>
    <r>
      <rPr>
        <sz val="11"/>
        <color theme="1"/>
        <rFont val="等线"/>
        <family val="2"/>
        <charset val="134"/>
        <scheme val="minor"/>
      </rPr>
      <t>.  To use this function fill in the relevant rows (in boldface).  The cell labeled "Implied call volatility" contains the function.</t>
    </r>
  </si>
  <si>
    <t>S</t>
  </si>
  <si>
    <t>sigma</t>
  </si>
  <si>
    <t>X</t>
  </si>
  <si>
    <t>T</t>
  </si>
  <si>
    <t>call price</t>
  </si>
  <si>
    <t>Interest</t>
  </si>
  <si>
    <t>put price</t>
  </si>
  <si>
    <t>Target call price</t>
  </si>
  <si>
    <t>Implied call volatility</t>
  </si>
  <si>
    <t>Data Table:  Implied volatility as a function of the call price</t>
  </si>
  <si>
    <t>Call price</t>
  </si>
  <si>
    <t>Implied
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</si>
</sst>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0" borderId="0" xfId="0" applyFont="1" applyAlignment="1"/>
    <xf numFmtId="2" fontId="4" fillId="0" borderId="0" xfId="0" applyNumberFormat="1" applyFont="1" applyAlignment="1"/>
    <xf numFmtId="2" fontId="0" fillId="0" borderId="0" xfId="0" applyNumberFormat="1" applyAlignment="1"/>
    <xf numFmtId="0" fontId="0" fillId="0" borderId="0" xfId="0" applyAlignment="1"/>
    <xf numFmtId="10" fontId="0" fillId="0" borderId="0" xfId="0" applyNumberFormat="1" applyAlignment="1"/>
    <xf numFmtId="2" fontId="0" fillId="0" borderId="0" xfId="0" quotePrefix="1" applyNumberFormat="1" applyAlignment="1"/>
    <xf numFmtId="10" fontId="4" fillId="0" borderId="0" xfId="0" applyNumberFormat="1" applyFont="1" applyAlignment="1"/>
    <xf numFmtId="0" fontId="5" fillId="2" borderId="0" xfId="0" applyFont="1" applyFill="1" applyAlignment="1"/>
    <xf numFmtId="10" fontId="0" fillId="2" borderId="0" xfId="0" quotePrefix="1" applyNumberFormat="1" applyFill="1" applyAlignment="1"/>
    <xf numFmtId="10" fontId="0" fillId="0" borderId="0" xfId="0" quotePrefix="1" applyNumberFormat="1" applyAlignment="1"/>
    <xf numFmtId="0" fontId="6" fillId="0" borderId="0" xfId="0" applyFont="1" applyAlignment="1"/>
    <xf numFmtId="0" fontId="4" fillId="0" borderId="0" xfId="0" applyFont="1" applyAlignment="1">
      <alignment horizontal="center" wrapText="1"/>
    </xf>
    <xf numFmtId="2" fontId="0" fillId="0" borderId="0" xfId="0" applyNumberFormat="1" applyAlignment="1">
      <alignment horizontal="center" wrapText="1"/>
    </xf>
    <xf numFmtId="10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Implied Call Volatility as Function of Call Price</a:t>
            </a:r>
          </a:p>
        </c:rich>
      </c:tx>
      <c:layout>
        <c:manualLayout>
          <c:xMode val="edge"/>
          <c:yMode val="edge"/>
          <c:x val="0.1355934541233802"/>
          <c:y val="4.10095584741252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33901811850703"/>
          <c:y val="0.14826532679106827"/>
          <c:w val="0.72881481591316843"/>
          <c:h val="0.64038002848057152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Sheet1!$B$12</c:f>
              <c:strCache>
                <c:ptCount val="1"/>
                <c:pt idx="0">
                  <c:v>Implied
volatility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Sheet1!$A$13:$A$25</c:f>
              <c:numCache>
                <c:formatCode>0.00</c:formatCode>
                <c:ptCount val="13"/>
                <c:pt idx="1">
                  <c:v>5</c:v>
                </c:pt>
                <c:pt idx="2">
                  <c:v>5.5</c:v>
                </c:pt>
                <c:pt idx="3">
                  <c:v>6</c:v>
                </c:pt>
                <c:pt idx="4">
                  <c:v>6.5</c:v>
                </c:pt>
                <c:pt idx="5">
                  <c:v>7</c:v>
                </c:pt>
                <c:pt idx="6">
                  <c:v>7.5</c:v>
                </c:pt>
                <c:pt idx="7">
                  <c:v>8</c:v>
                </c:pt>
                <c:pt idx="8">
                  <c:v>8.5</c:v>
                </c:pt>
                <c:pt idx="9">
                  <c:v>9</c:v>
                </c:pt>
                <c:pt idx="10">
                  <c:v>9.5</c:v>
                </c:pt>
                <c:pt idx="11">
                  <c:v>10</c:v>
                </c:pt>
                <c:pt idx="12">
                  <c:v>10.5</c:v>
                </c:pt>
              </c:numCache>
            </c:numRef>
          </c:xVal>
          <c:yVal>
            <c:numRef>
              <c:f>Sheet1!$B$13:$B$25</c:f>
              <c:numCache>
                <c:formatCode>0.00%</c:formatCode>
                <c:ptCount val="13"/>
                <c:pt idx="0">
                  <c:v>0.153533935546875</c:v>
                </c:pt>
                <c:pt idx="1">
                  <c:v>7.5103759765625E-2</c:v>
                </c:pt>
                <c:pt idx="2">
                  <c:v>0.119598388671875</c:v>
                </c:pt>
                <c:pt idx="3">
                  <c:v>0.153533935546875</c:v>
                </c:pt>
                <c:pt idx="4">
                  <c:v>0.184478759765625</c:v>
                </c:pt>
                <c:pt idx="5">
                  <c:v>0.213897705078125</c:v>
                </c:pt>
                <c:pt idx="6">
                  <c:v>0.242523193359375</c:v>
                </c:pt>
                <c:pt idx="7">
                  <c:v>0.270660400390625</c:v>
                </c:pt>
                <c:pt idx="8">
                  <c:v>0.298370361328125</c:v>
                </c:pt>
                <c:pt idx="9">
                  <c:v>0.325897216796875</c:v>
                </c:pt>
                <c:pt idx="10">
                  <c:v>0.353302001953125</c:v>
                </c:pt>
                <c:pt idx="11">
                  <c:v>0.380523681640625</c:v>
                </c:pt>
                <c:pt idx="12">
                  <c:v>0.407745361328125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10-46A1-BC98-E45741BB6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794672"/>
        <c:axId val="1"/>
      </c:scatterChart>
      <c:valAx>
        <c:axId val="958794672"/>
        <c:scaling>
          <c:orientation val="minMax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Call price</a:t>
                </a:r>
              </a:p>
            </c:rich>
          </c:tx>
          <c:layout>
            <c:manualLayout>
              <c:xMode val="edge"/>
              <c:yMode val="edge"/>
              <c:x val="0.49152627119725317"/>
              <c:y val="0.867509890798803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Volatility, </a:t>
                </a: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Symbol"/>
                    <a:cs typeface="Arial"/>
                  </a:rPr>
                  <a:t>s</a:t>
                </a:r>
                <a:endParaRPr lang="zh-CN" altLang="en-US" sz="800" b="1" i="0" u="none" strike="noStrike" baseline="0">
                  <a:solidFill>
                    <a:srgbClr val="000000"/>
                  </a:solidFill>
                  <a:latin typeface="Symbol"/>
                </a:endParaRPr>
              </a:p>
            </c:rich>
          </c:tx>
          <c:layout>
            <c:manualLayout>
              <c:xMode val="edge"/>
              <c:yMode val="edge"/>
              <c:x val="6.7796727061690085E-2"/>
              <c:y val="0.365931444846040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87946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13</xdr:row>
      <xdr:rowOff>0</xdr:rowOff>
    </xdr:from>
    <xdr:to>
      <xdr:col>6</xdr:col>
      <xdr:colOff>1234440</xdr:colOff>
      <xdr:row>30</xdr:row>
      <xdr:rowOff>106680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A88B3EFF-AED1-4308-8C3C-8FFC0926B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68580</xdr:colOff>
      <xdr:row>4</xdr:row>
      <xdr:rowOff>114300</xdr:rowOff>
    </xdr:from>
    <xdr:to>
      <xdr:col>18</xdr:col>
      <xdr:colOff>114300</xdr:colOff>
      <xdr:row>37</xdr:row>
      <xdr:rowOff>76200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BB5A9C0-9137-411F-B6B3-9801AA528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696200" y="861060"/>
          <a:ext cx="6141720" cy="59283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_functions.xla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2">
          <cell r="B12" t="str">
            <v>Implied
volatility</v>
          </cell>
        </row>
        <row r="13">
          <cell r="B13">
            <v>0.153533935546875</v>
          </cell>
        </row>
        <row r="14">
          <cell r="A14">
            <v>5</v>
          </cell>
          <cell r="B14">
            <v>7.5103759765625E-2</v>
          </cell>
        </row>
        <row r="15">
          <cell r="A15">
            <v>5.5</v>
          </cell>
          <cell r="B15">
            <v>0.119598388671875</v>
          </cell>
        </row>
        <row r="16">
          <cell r="A16">
            <v>6</v>
          </cell>
          <cell r="B16">
            <v>0.153533935546875</v>
          </cell>
        </row>
        <row r="17">
          <cell r="A17">
            <v>6.5</v>
          </cell>
          <cell r="B17">
            <v>0.184478759765625</v>
          </cell>
        </row>
        <row r="18">
          <cell r="A18">
            <v>7</v>
          </cell>
          <cell r="B18">
            <v>0.213897705078125</v>
          </cell>
        </row>
        <row r="19">
          <cell r="A19">
            <v>7.5</v>
          </cell>
          <cell r="B19">
            <v>0.242523193359375</v>
          </cell>
        </row>
        <row r="20">
          <cell r="A20">
            <v>8</v>
          </cell>
          <cell r="B20">
            <v>0.270660400390625</v>
          </cell>
        </row>
        <row r="21">
          <cell r="A21">
            <v>8.5</v>
          </cell>
          <cell r="B21">
            <v>0.298370361328125</v>
          </cell>
        </row>
        <row r="22">
          <cell r="A22">
            <v>9</v>
          </cell>
          <cell r="B22">
            <v>0.325897216796875</v>
          </cell>
        </row>
        <row r="23">
          <cell r="A23">
            <v>9.5</v>
          </cell>
          <cell r="B23">
            <v>0.353302001953125</v>
          </cell>
        </row>
        <row r="24">
          <cell r="A24">
            <v>10</v>
          </cell>
          <cell r="B24">
            <v>0.380523681640625</v>
          </cell>
        </row>
        <row r="25">
          <cell r="A25">
            <v>10.5</v>
          </cell>
          <cell r="B25">
            <v>0.407745361328125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CallVolatility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thing Here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25"/>
  <sheetViews>
    <sheetView tabSelected="1" zoomScale="145" zoomScaleNormal="145" workbookViewId="0">
      <selection activeCell="G8" sqref="G8"/>
    </sheetView>
  </sheetViews>
  <sheetFormatPr defaultRowHeight="13.8" x14ac:dyDescent="0.25"/>
  <cols>
    <col min="1" max="1" width="18.88671875" style="6" customWidth="1"/>
    <col min="2" max="2" width="8.88671875" style="6"/>
    <col min="3" max="3" width="4.6640625" style="6" hidden="1" customWidth="1"/>
    <col min="4" max="5" width="0" style="6" hidden="1" customWidth="1"/>
    <col min="6" max="6" width="44.88671875" style="6" customWidth="1"/>
    <col min="7" max="7" width="29.6640625" style="6" customWidth="1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2"/>
      <c r="C2" s="2"/>
      <c r="D2" s="2"/>
      <c r="E2" s="2"/>
      <c r="F2" s="2"/>
      <c r="G2" s="2"/>
    </row>
    <row r="3" spans="1:7" x14ac:dyDescent="0.25">
      <c r="A3" s="3" t="s">
        <v>2</v>
      </c>
      <c r="B3" s="4">
        <v>51</v>
      </c>
      <c r="C3" s="5"/>
      <c r="D3" s="6" t="s">
        <v>3</v>
      </c>
      <c r="E3" s="7">
        <f>B9</f>
        <v>0.153533935546875</v>
      </c>
    </row>
    <row r="4" spans="1:7" x14ac:dyDescent="0.25">
      <c r="A4" s="3" t="s">
        <v>4</v>
      </c>
      <c r="B4" s="4">
        <v>50</v>
      </c>
      <c r="C4" s="5"/>
    </row>
    <row r="5" spans="1:7" x14ac:dyDescent="0.25">
      <c r="A5" s="3" t="s">
        <v>5</v>
      </c>
      <c r="B5" s="3">
        <v>1</v>
      </c>
      <c r="D5" s="6" t="s">
        <v>6</v>
      </c>
      <c r="E5" s="8" t="e">
        <v>#NAME?</v>
      </c>
    </row>
    <row r="6" spans="1:7" x14ac:dyDescent="0.25">
      <c r="A6" s="3" t="s">
        <v>7</v>
      </c>
      <c r="B6" s="9">
        <v>0.08</v>
      </c>
      <c r="C6" s="7"/>
      <c r="D6" s="6" t="s">
        <v>8</v>
      </c>
      <c r="E6" s="5" t="e">
        <v>#NAME?</v>
      </c>
    </row>
    <row r="7" spans="1:7" x14ac:dyDescent="0.25">
      <c r="A7" s="3" t="s">
        <v>9</v>
      </c>
      <c r="B7" s="4">
        <v>6</v>
      </c>
      <c r="C7" s="5"/>
    </row>
    <row r="9" spans="1:7" x14ac:dyDescent="0.25">
      <c r="A9" s="10" t="s">
        <v>10</v>
      </c>
      <c r="B9" s="11">
        <f>[2]!CallVolatility(B3,B4,B5,B6,B7)</f>
        <v>0.153533935546875</v>
      </c>
      <c r="C9" s="12"/>
      <c r="F9" s="6" t="str">
        <f ca="1">[3]!getformula(B9)</f>
        <v>&lt;-- =CallVolatility(B3,B4,B5,B6,B7)</v>
      </c>
    </row>
    <row r="11" spans="1:7" ht="15.6" x14ac:dyDescent="0.3">
      <c r="A11" s="13" t="s">
        <v>11</v>
      </c>
    </row>
    <row r="12" spans="1:7" ht="26.4" x14ac:dyDescent="0.25">
      <c r="A12" s="14" t="s">
        <v>12</v>
      </c>
      <c r="B12" s="14" t="s">
        <v>13</v>
      </c>
    </row>
    <row r="13" spans="1:7" x14ac:dyDescent="0.25">
      <c r="B13" s="7">
        <f>B9</f>
        <v>0.153533935546875</v>
      </c>
      <c r="F13" s="6" t="str">
        <f ca="1">[3]!getformula(B13)&amp;", table header"</f>
        <v>&lt;-- =B9, table header</v>
      </c>
    </row>
    <row r="14" spans="1:7" x14ac:dyDescent="0.25">
      <c r="A14" s="15">
        <v>5</v>
      </c>
      <c r="B14" s="16">
        <v>7.5103759765625E-2</v>
      </c>
    </row>
    <row r="15" spans="1:7" x14ac:dyDescent="0.25">
      <c r="A15" s="15">
        <v>5.5</v>
      </c>
      <c r="B15" s="16">
        <v>0.119598388671875</v>
      </c>
    </row>
    <row r="16" spans="1:7" x14ac:dyDescent="0.25">
      <c r="A16" s="15">
        <v>6</v>
      </c>
      <c r="B16" s="16">
        <v>0.153533935546875</v>
      </c>
    </row>
    <row r="17" spans="1:2" x14ac:dyDescent="0.25">
      <c r="A17" s="15">
        <v>6.5</v>
      </c>
      <c r="B17" s="16">
        <v>0.184478759765625</v>
      </c>
    </row>
    <row r="18" spans="1:2" x14ac:dyDescent="0.25">
      <c r="A18" s="15">
        <v>7</v>
      </c>
      <c r="B18" s="16">
        <v>0.213897705078125</v>
      </c>
    </row>
    <row r="19" spans="1:2" x14ac:dyDescent="0.25">
      <c r="A19" s="15">
        <v>7.5</v>
      </c>
      <c r="B19" s="16">
        <v>0.242523193359375</v>
      </c>
    </row>
    <row r="20" spans="1:2" x14ac:dyDescent="0.25">
      <c r="A20" s="15">
        <v>8</v>
      </c>
      <c r="B20" s="16">
        <v>0.270660400390625</v>
      </c>
    </row>
    <row r="21" spans="1:2" x14ac:dyDescent="0.25">
      <c r="A21" s="15">
        <v>8.5</v>
      </c>
      <c r="B21" s="16">
        <v>0.298370361328125</v>
      </c>
    </row>
    <row r="22" spans="1:2" x14ac:dyDescent="0.25">
      <c r="A22" s="15">
        <v>9</v>
      </c>
      <c r="B22" s="16">
        <v>0.325897216796875</v>
      </c>
    </row>
    <row r="23" spans="1:2" x14ac:dyDescent="0.25">
      <c r="A23" s="15">
        <v>9.5</v>
      </c>
      <c r="B23" s="16">
        <v>0.353302001953125</v>
      </c>
    </row>
    <row r="24" spans="1:2" x14ac:dyDescent="0.25">
      <c r="A24" s="15">
        <v>10</v>
      </c>
      <c r="B24" s="16">
        <v>0.380523681640625</v>
      </c>
    </row>
    <row r="25" spans="1:2" x14ac:dyDescent="0.25">
      <c r="A25" s="15">
        <v>10.5</v>
      </c>
      <c r="B25" s="16">
        <v>0.407745361328125</v>
      </c>
    </row>
  </sheetData>
  <mergeCells count="2">
    <mergeCell ref="A1:G1"/>
    <mergeCell ref="A2:G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2024-11-27T07:37:26Z</dcterms:modified>
</cp:coreProperties>
</file>