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C1174BC5-5609-4CFE-8AF5-E8A0D9F8E0B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1" i="1"/>
  <c r="B9" i="1"/>
  <c r="B8" i="1"/>
  <c r="C12" i="1"/>
  <c r="C11" i="1"/>
  <c r="C9" i="1"/>
  <c r="C8" i="1"/>
</calcChain>
</file>

<file path=xl/sharedStrings.xml><?xml version="1.0" encoding="utf-8"?>
<sst xmlns="http://schemas.openxmlformats.org/spreadsheetml/2006/main" count="14" uniqueCount="14">
  <si>
    <t>USING THE BLACK (1976) MODEL 
TO PRICE A BOND OPTION</t>
  </si>
  <si>
    <t>F</t>
  </si>
  <si>
    <t>&lt;-- Bond forward price</t>
  </si>
  <si>
    <t>X</t>
  </si>
  <si>
    <t>&lt;-- Exercise price</t>
  </si>
  <si>
    <t>r</t>
  </si>
  <si>
    <t>&lt;--Risk-free rate of interest</t>
  </si>
  <si>
    <t>T</t>
  </si>
  <si>
    <t>Sigma</t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</si>
  <si>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</si>
  <si>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</si>
  <si>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t>Call price</t>
  </si>
  <si>
    <t>Put price</t>
  </si>
  <si>
    <r>
      <t xml:space="preserve">&lt;-- Bond forward price volatility, </t>
    </r>
    <r>
      <rPr>
        <sz val="10"/>
        <rFont val="Symbol"/>
        <family val="1"/>
        <charset val="2"/>
      </rPr>
      <t>s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</si>
</sst>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9" fontId="4" fillId="0" borderId="0" xfId="1" applyFont="1" applyAlignment="1">
      <alignment horizontal="center" vertical="center" wrapText="1"/>
    </xf>
    <xf numFmtId="9" fontId="3" fillId="0" borderId="0" xfId="1" applyFont="1" applyFill="1" applyAlignment="1"/>
    <xf numFmtId="176" fontId="2" fillId="0" borderId="0" xfId="1" applyNumberFormat="1" applyFill="1" applyAlignment="1"/>
    <xf numFmtId="9" fontId="2" fillId="0" borderId="0" xfId="1" applyFill="1" applyAlignment="1"/>
    <xf numFmtId="10" fontId="2" fillId="0" borderId="0" xfId="1" applyNumberFormat="1" applyFill="1" applyAlignment="1"/>
    <xf numFmtId="0" fontId="3" fillId="0" borderId="0" xfId="1" applyNumberFormat="1" applyFont="1" applyFill="1" applyAlignment="1"/>
    <xf numFmtId="177" fontId="2" fillId="0" borderId="0" xfId="1" quotePrefix="1" applyNumberFormat="1" applyFill="1" applyAlignment="1"/>
    <xf numFmtId="177" fontId="2" fillId="0" borderId="0" xfId="1" applyNumberFormat="1" applyFill="1" applyAlignment="1"/>
    <xf numFmtId="9" fontId="3" fillId="2" borderId="0" xfId="1" applyFont="1" applyFill="1" applyAlignment="1"/>
    <xf numFmtId="2" fontId="2" fillId="2" borderId="0" xfId="1" applyNumberFormat="1" applyFill="1" applyAlignment="1"/>
    <xf numFmtId="0" fontId="0" fillId="0" borderId="0" xfId="0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579120</xdr:colOff>
      <xdr:row>4</xdr:row>
      <xdr:rowOff>30480</xdr:rowOff>
    </xdr:from>
    <xdr:to>
      <xdr:col>13</xdr:col>
      <xdr:colOff>495300</xdr:colOff>
      <xdr:row>17</xdr:row>
      <xdr:rowOff>129540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997EE64-FA30-8DF2-3737-01FD31C1A2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83680" y="777240"/>
          <a:ext cx="5402580" cy="24307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2"/>
  <sheetViews>
    <sheetView tabSelected="1" zoomScale="160" zoomScaleNormal="160" workbookViewId="0">
      <selection activeCell="C21" sqref="C21"/>
    </sheetView>
  </sheetViews>
  <sheetFormatPr defaultRowHeight="13.8" x14ac:dyDescent="0.25"/>
  <cols>
    <col min="1" max="2" width="12.33203125" style="11" customWidth="1"/>
    <col min="3" max="3" width="54" style="11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v>133.011</v>
      </c>
      <c r="C2" s="2" t="s">
        <v>2</v>
      </c>
    </row>
    <row r="3" spans="1:3" x14ac:dyDescent="0.25">
      <c r="A3" s="4" t="s">
        <v>3</v>
      </c>
      <c r="B3" s="3">
        <v>130</v>
      </c>
      <c r="C3" s="2" t="s">
        <v>4</v>
      </c>
    </row>
    <row r="4" spans="1:3" x14ac:dyDescent="0.25">
      <c r="A4" s="4" t="s">
        <v>5</v>
      </c>
      <c r="B4" s="5">
        <v>0.04</v>
      </c>
      <c r="C4" s="2" t="s">
        <v>6</v>
      </c>
    </row>
    <row r="5" spans="1:3" x14ac:dyDescent="0.25">
      <c r="A5" s="2" t="s">
        <v>7</v>
      </c>
      <c r="B5" s="6">
        <v>0.5</v>
      </c>
      <c r="C5" s="2"/>
    </row>
    <row r="6" spans="1:3" x14ac:dyDescent="0.25">
      <c r="A6" s="2" t="s">
        <v>8</v>
      </c>
      <c r="B6" s="2">
        <v>0.06</v>
      </c>
      <c r="C6" s="2" t="s">
        <v>13</v>
      </c>
    </row>
    <row r="7" spans="1:3" x14ac:dyDescent="0.25">
      <c r="A7" s="2"/>
      <c r="B7" s="2"/>
      <c r="C7" s="2"/>
    </row>
    <row r="8" spans="1:3" ht="15.6" x14ac:dyDescent="0.35">
      <c r="A8" s="2" t="s">
        <v>9</v>
      </c>
      <c r="B8" s="7">
        <f>(LN(B2/B3)+B6^2*B5/2)/(B6*SQRT(B5))</f>
        <v>0.56090965198447584</v>
      </c>
      <c r="C8" s="2" t="str">
        <f ca="1">[2]!getformula(B8)</f>
        <v>&lt;--  =(LN(B2/B3)+B6^2*B5/2)/(B6*SQRT(B5))</v>
      </c>
    </row>
    <row r="9" spans="1:3" ht="15.6" x14ac:dyDescent="0.35">
      <c r="A9" s="2" t="s">
        <v>10</v>
      </c>
      <c r="B9" s="7">
        <f>B8-B6*SQRT(B5)</f>
        <v>0.51848324511328303</v>
      </c>
      <c r="C9" s="2" t="str">
        <f ca="1">[2]!getformula(B9)</f>
        <v>&lt;--  =B8-B6*SQRT(B5)</v>
      </c>
    </row>
    <row r="10" spans="1:3" x14ac:dyDescent="0.25">
      <c r="A10" s="4"/>
      <c r="B10" s="8"/>
      <c r="C10" s="4"/>
    </row>
    <row r="11" spans="1:3" x14ac:dyDescent="0.25">
      <c r="A11" s="9" t="s">
        <v>11</v>
      </c>
      <c r="B11" s="10">
        <f>EXP(-B4*B5)*(B2*_xlfn.NORM.S.DIST(B8,TRUE)-B3*_xlfn.NORM.S.DIST(B9,TRUE))</f>
        <v>3.9674332368847005</v>
      </c>
      <c r="C11" s="2" t="str">
        <f ca="1">[2]!getformula(B11)</f>
        <v>&lt;--  =EXP(-B4*B5)*(B2*NORM.S.DIST(B8,TRUE)-B3*NORM.S.DIST(B9,TRUE))</v>
      </c>
    </row>
    <row r="12" spans="1:3" x14ac:dyDescent="0.25">
      <c r="A12" s="9" t="s">
        <v>12</v>
      </c>
      <c r="B12" s="10">
        <f>EXP(-B4*B5)*(B3*_xlfn.NORM.S.DIST(-B9,TRUE)-B2*_xlfn.NORM.S.DIST(-B8,TRUE))</f>
        <v>1.0160550315580719</v>
      </c>
      <c r="C12" s="2" t="str">
        <f ca="1">[2]!getformula(B12)</f>
        <v>&lt;--  =EXP(-B4*B5)*(B3*NORM.S.DIST(-B9,TRUE)-B2*NORM.S.DIST(-B8,TRUE))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2024-11-29T03:33:09Z</dcterms:modified>
</cp:coreProperties>
</file>