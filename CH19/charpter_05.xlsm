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FEB1532B-B310-41B9-B2F5-3569C7E5269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5" i="1" l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F6" i="1" s="1"/>
  <c r="F9" i="1" s="1"/>
  <c r="C13" i="1"/>
  <c r="C12" i="1"/>
  <c r="C11" i="1"/>
  <c r="C10" i="1"/>
  <c r="C9" i="1"/>
  <c r="C8" i="1"/>
  <c r="C7" i="1"/>
  <c r="C6" i="1"/>
  <c r="F5" i="1"/>
  <c r="F8" i="1" s="1"/>
  <c r="C5" i="1"/>
  <c r="C4" i="1"/>
  <c r="G9" i="1"/>
  <c r="G8" i="1"/>
  <c r="G6" i="1"/>
  <c r="G5" i="1"/>
  <c r="D4" i="1"/>
</calcChain>
</file>

<file path=xl/sharedStrings.xml><?xml version="1.0" encoding="utf-8"?>
<sst xmlns="http://schemas.openxmlformats.org/spreadsheetml/2006/main" count="9" uniqueCount="9">
  <si>
    <t>QQQQ HISTORICAL PRICES, MONTHLY DATA
and resulting statistics</t>
  </si>
  <si>
    <t>Date</t>
  </si>
  <si>
    <t>Closing price</t>
  </si>
  <si>
    <t>Return</t>
  </si>
  <si>
    <t>Return statistics</t>
  </si>
  <si>
    <t>Average monthly return</t>
  </si>
  <si>
    <t>Standard deviation of monthly return</t>
  </si>
  <si>
    <t>Annualized mean return</t>
  </si>
  <si>
    <t>Annualized 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</si>
</sst>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/>
    <xf numFmtId="15" fontId="0" fillId="0" borderId="0" xfId="0" applyNumberFormat="1" applyAlignment="1"/>
    <xf numFmtId="2" fontId="0" fillId="0" borderId="0" xfId="0" applyNumberFormat="1" applyAlignment="1"/>
    <xf numFmtId="10" fontId="2" fillId="0" borderId="0" xfId="1" applyNumberFormat="1" applyAlignment="1"/>
    <xf numFmtId="0" fontId="4" fillId="0" borderId="0" xfId="0" applyFont="1" applyAlignment="1"/>
    <xf numFmtId="10" fontId="0" fillId="0" borderId="0" xfId="0" applyNumberFormat="1" applyAlignment="1"/>
    <xf numFmtId="0" fontId="0" fillId="2" borderId="0" xfId="0" applyFill="1" applyAlignment="1"/>
    <xf numFmtId="10" fontId="2" fillId="2" borderId="0" xfId="1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45720</xdr:colOff>
      <xdr:row>3</xdr:row>
      <xdr:rowOff>121920</xdr:rowOff>
    </xdr:from>
    <xdr:to>
      <xdr:col>20</xdr:col>
      <xdr:colOff>169546</xdr:colOff>
      <xdr:row>29</xdr:row>
      <xdr:rowOff>167640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CB8DC36-0452-43FD-E8BC-9B9DD7A9B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00060" y="853440"/>
          <a:ext cx="6842760" cy="45948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_functions.xla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thing Here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G80"/>
  <sheetViews>
    <sheetView tabSelected="1" zoomScale="115" zoomScaleNormal="115" workbookViewId="0">
      <selection activeCell="G31" sqref="G31"/>
    </sheetView>
  </sheetViews>
  <sheetFormatPr defaultRowHeight="13.8" x14ac:dyDescent="0.25"/>
  <cols>
    <col min="1" max="1" width="10.88671875" style="6" customWidth="1"/>
    <col min="2" max="3" width="8.88671875" style="6"/>
    <col min="4" max="4" width="12.109375" style="6" bestFit="1" customWidth="1"/>
    <col min="5" max="5" width="31.33203125" style="6" customWidth="1"/>
    <col min="6" max="6" width="8.88671875" style="6"/>
    <col min="7" max="7" width="21.88671875" style="6" bestFit="1" customWidth="1"/>
  </cols>
  <sheetData>
    <row r="1" spans="1:7" ht="17.399999999999999" x14ac:dyDescent="0.3">
      <c r="A1" s="1" t="s">
        <v>0</v>
      </c>
      <c r="B1" s="2"/>
      <c r="C1" s="2"/>
      <c r="D1" s="2"/>
      <c r="E1" s="2"/>
      <c r="F1" s="2"/>
      <c r="G1" s="2"/>
    </row>
    <row r="2" spans="1:7" ht="26.4" x14ac:dyDescent="0.25">
      <c r="A2" s="3" t="s">
        <v>1</v>
      </c>
      <c r="B2" s="4" t="s">
        <v>2</v>
      </c>
      <c r="C2" s="5" t="s">
        <v>3</v>
      </c>
    </row>
    <row r="3" spans="1:7" x14ac:dyDescent="0.25">
      <c r="A3" s="7">
        <v>38198</v>
      </c>
      <c r="B3" s="8">
        <v>34.4</v>
      </c>
    </row>
    <row r="4" spans="1:7" x14ac:dyDescent="0.25">
      <c r="A4" s="7">
        <v>38201</v>
      </c>
      <c r="B4" s="8">
        <v>33.54</v>
      </c>
      <c r="C4" s="9">
        <f t="shared" ref="C4:C45" si="0">LN(B4/B3)</f>
        <v>-2.5317807984289897E-2</v>
      </c>
      <c r="D4" s="6" t="str">
        <f ca="1">_xlfn.FORMULATEXT(C4)</f>
        <v>=LN(B4/B3)</v>
      </c>
      <c r="E4" s="10" t="s">
        <v>4</v>
      </c>
    </row>
    <row r="5" spans="1:7" x14ac:dyDescent="0.25">
      <c r="A5" s="7">
        <v>38231</v>
      </c>
      <c r="B5" s="8">
        <v>34.64</v>
      </c>
      <c r="C5" s="9">
        <f t="shared" si="0"/>
        <v>3.2270327299171571E-2</v>
      </c>
      <c r="E5" s="6" t="s">
        <v>5</v>
      </c>
      <c r="F5" s="11">
        <f>AVERAGE(C4:C45)</f>
        <v>1.8054740641227033E-3</v>
      </c>
      <c r="G5" s="6" t="str">
        <f ca="1">[2]!getformula(F5)</f>
        <v>&lt;-- =AVERAGE(C4:C45)</v>
      </c>
    </row>
    <row r="6" spans="1:7" x14ac:dyDescent="0.25">
      <c r="A6" s="7">
        <v>38261</v>
      </c>
      <c r="B6" s="8">
        <v>36.380000000000003</v>
      </c>
      <c r="C6" s="9">
        <f t="shared" si="0"/>
        <v>4.9010089395741772E-2</v>
      </c>
      <c r="E6" s="6" t="s">
        <v>6</v>
      </c>
      <c r="F6" s="9">
        <f>STDEVP(C4:C45)</f>
        <v>3.3133880136969385E-2</v>
      </c>
      <c r="G6" s="6" t="str">
        <f ca="1">[2]!getformula(F6)</f>
        <v>&lt;-- =STDEVP(C4:C45)</v>
      </c>
    </row>
    <row r="7" spans="1:7" x14ac:dyDescent="0.25">
      <c r="A7" s="7">
        <v>38292</v>
      </c>
      <c r="B7" s="8">
        <v>38.57</v>
      </c>
      <c r="C7" s="9">
        <f t="shared" si="0"/>
        <v>5.8455599130160248E-2</v>
      </c>
    </row>
    <row r="8" spans="1:7" x14ac:dyDescent="0.25">
      <c r="A8" s="7">
        <v>38322</v>
      </c>
      <c r="B8" s="8">
        <v>39.729999999999997</v>
      </c>
      <c r="C8" s="9">
        <f t="shared" si="0"/>
        <v>2.9631797606371149E-2</v>
      </c>
      <c r="E8" s="6" t="s">
        <v>7</v>
      </c>
      <c r="F8" s="9">
        <f>12*F5</f>
        <v>2.166568876947244E-2</v>
      </c>
      <c r="G8" s="6" t="str">
        <f ca="1">[2]!getformula(F8)</f>
        <v>&lt;-- =12*F5</v>
      </c>
    </row>
    <row r="9" spans="1:7" x14ac:dyDescent="0.25">
      <c r="A9" s="7">
        <v>38355</v>
      </c>
      <c r="B9" s="8">
        <v>37.22</v>
      </c>
      <c r="C9" s="9">
        <f t="shared" si="0"/>
        <v>-6.5260318612402793E-2</v>
      </c>
      <c r="E9" s="12" t="s">
        <v>8</v>
      </c>
      <c r="F9" s="13">
        <f>F6*SQRT(12)</f>
        <v>0.11477912769825641</v>
      </c>
      <c r="G9" s="6" t="str">
        <f ca="1">[2]!getformula(F9)</f>
        <v>&lt;-- =F6*SQRT(12)</v>
      </c>
    </row>
    <row r="10" spans="1:7" x14ac:dyDescent="0.25">
      <c r="A10" s="7">
        <v>38384</v>
      </c>
      <c r="B10" s="8">
        <v>37.049999999999997</v>
      </c>
      <c r="C10" s="9">
        <f t="shared" si="0"/>
        <v>-4.5778994720087982E-3</v>
      </c>
    </row>
    <row r="11" spans="1:7" x14ac:dyDescent="0.25">
      <c r="A11" s="7">
        <v>38412</v>
      </c>
      <c r="B11" s="8">
        <v>36.4</v>
      </c>
      <c r="C11" s="9">
        <f t="shared" si="0"/>
        <v>-1.769957709940086E-2</v>
      </c>
    </row>
    <row r="12" spans="1:7" x14ac:dyDescent="0.25">
      <c r="A12" s="7">
        <v>38443</v>
      </c>
      <c r="B12" s="8">
        <v>34.82</v>
      </c>
      <c r="C12" s="9">
        <f t="shared" si="0"/>
        <v>-4.4376840302651946E-2</v>
      </c>
    </row>
    <row r="13" spans="1:7" x14ac:dyDescent="0.25">
      <c r="A13" s="7">
        <v>38474</v>
      </c>
      <c r="B13" s="8">
        <v>37.9</v>
      </c>
      <c r="C13" s="9">
        <f t="shared" si="0"/>
        <v>8.4759177748337647E-2</v>
      </c>
    </row>
    <row r="14" spans="1:7" x14ac:dyDescent="0.25">
      <c r="A14" s="7">
        <v>38504</v>
      </c>
      <c r="B14" s="8">
        <v>36.64</v>
      </c>
      <c r="C14" s="9">
        <f t="shared" si="0"/>
        <v>-3.3810572282451101E-2</v>
      </c>
    </row>
    <row r="15" spans="1:7" x14ac:dyDescent="0.25">
      <c r="A15" s="7">
        <v>38534</v>
      </c>
      <c r="B15" s="8">
        <v>39.43</v>
      </c>
      <c r="C15" s="9">
        <f t="shared" si="0"/>
        <v>7.3386408083606205E-2</v>
      </c>
    </row>
    <row r="16" spans="1:7" x14ac:dyDescent="0.25">
      <c r="A16" s="7">
        <v>38565</v>
      </c>
      <c r="B16" s="8">
        <v>38.83</v>
      </c>
      <c r="C16" s="9">
        <f t="shared" si="0"/>
        <v>-1.53338041459599E-2</v>
      </c>
    </row>
    <row r="17" spans="1:3" x14ac:dyDescent="0.25">
      <c r="A17" s="7">
        <v>38596</v>
      </c>
      <c r="B17" s="8">
        <v>39.31</v>
      </c>
      <c r="C17" s="9">
        <f t="shared" si="0"/>
        <v>1.2285795690193148E-2</v>
      </c>
    </row>
    <row r="18" spans="1:3" x14ac:dyDescent="0.25">
      <c r="A18" s="7">
        <v>38628</v>
      </c>
      <c r="B18" s="8">
        <v>38.72</v>
      </c>
      <c r="C18" s="9">
        <f t="shared" si="0"/>
        <v>-1.5122677025392798E-2</v>
      </c>
    </row>
    <row r="19" spans="1:3" x14ac:dyDescent="0.25">
      <c r="A19" s="7">
        <v>38657</v>
      </c>
      <c r="B19" s="8">
        <v>41.08</v>
      </c>
      <c r="C19" s="9">
        <f t="shared" si="0"/>
        <v>5.916512265198115E-2</v>
      </c>
    </row>
    <row r="20" spans="1:3" x14ac:dyDescent="0.25">
      <c r="A20" s="7">
        <v>38687</v>
      </c>
      <c r="B20" s="8">
        <v>40.35</v>
      </c>
      <c r="C20" s="9">
        <f t="shared" si="0"/>
        <v>-1.7929990344399627E-2</v>
      </c>
    </row>
    <row r="21" spans="1:3" x14ac:dyDescent="0.25">
      <c r="A21" s="7">
        <v>38720</v>
      </c>
      <c r="B21" s="8">
        <v>41.94</v>
      </c>
      <c r="C21" s="9">
        <f t="shared" si="0"/>
        <v>3.8648630757816056E-2</v>
      </c>
    </row>
    <row r="22" spans="1:3" x14ac:dyDescent="0.25">
      <c r="A22" s="7">
        <v>38749</v>
      </c>
      <c r="B22" s="8">
        <v>41.04</v>
      </c>
      <c r="C22" s="9">
        <f t="shared" si="0"/>
        <v>-2.1692824611259785E-2</v>
      </c>
    </row>
    <row r="23" spans="1:3" x14ac:dyDescent="0.25">
      <c r="A23" s="7">
        <v>38777</v>
      </c>
      <c r="B23" s="8">
        <v>41.9</v>
      </c>
      <c r="C23" s="9">
        <f t="shared" si="0"/>
        <v>2.0738626065577883E-2</v>
      </c>
    </row>
    <row r="24" spans="1:3" x14ac:dyDescent="0.25">
      <c r="A24" s="7">
        <v>38810</v>
      </c>
      <c r="B24" s="8">
        <v>41.82</v>
      </c>
      <c r="C24" s="9">
        <f t="shared" si="0"/>
        <v>-1.9111329276044809E-3</v>
      </c>
    </row>
    <row r="25" spans="1:3" x14ac:dyDescent="0.25">
      <c r="A25" s="7">
        <v>38838</v>
      </c>
      <c r="B25" s="8">
        <v>38.79</v>
      </c>
      <c r="C25" s="9">
        <f t="shared" si="0"/>
        <v>-7.5212212548611768E-2</v>
      </c>
    </row>
    <row r="26" spans="1:3" x14ac:dyDescent="0.25">
      <c r="A26" s="7">
        <v>38869</v>
      </c>
      <c r="B26" s="8">
        <v>38.770000000000003</v>
      </c>
      <c r="C26" s="9">
        <f t="shared" si="0"/>
        <v>-5.1572976903793537E-4</v>
      </c>
    </row>
    <row r="27" spans="1:3" x14ac:dyDescent="0.25">
      <c r="A27" s="7">
        <v>38901</v>
      </c>
      <c r="B27" s="8">
        <v>37.11</v>
      </c>
      <c r="C27" s="9">
        <f t="shared" si="0"/>
        <v>-4.3760276610331633E-2</v>
      </c>
    </row>
    <row r="28" spans="1:3" x14ac:dyDescent="0.25">
      <c r="A28" s="7">
        <v>38903</v>
      </c>
      <c r="B28" s="8">
        <v>38.15</v>
      </c>
      <c r="C28" s="9">
        <f t="shared" si="0"/>
        <v>2.7639282657959761E-2</v>
      </c>
    </row>
    <row r="29" spans="1:3" x14ac:dyDescent="0.25">
      <c r="A29" s="7">
        <v>38904</v>
      </c>
      <c r="B29" s="8">
        <v>38.11</v>
      </c>
      <c r="C29" s="9">
        <f t="shared" si="0"/>
        <v>-1.0490428446971174E-3</v>
      </c>
    </row>
    <row r="30" spans="1:3" x14ac:dyDescent="0.25">
      <c r="A30" s="7">
        <v>38905</v>
      </c>
      <c r="B30" s="8">
        <v>37.69</v>
      </c>
      <c r="C30" s="9">
        <f t="shared" si="0"/>
        <v>-1.1081907606724834E-2</v>
      </c>
    </row>
    <row r="31" spans="1:3" x14ac:dyDescent="0.25">
      <c r="A31" s="7">
        <v>38908</v>
      </c>
      <c r="B31" s="8">
        <v>37.36</v>
      </c>
      <c r="C31" s="9">
        <f t="shared" si="0"/>
        <v>-8.7941939184021205E-3</v>
      </c>
    </row>
    <row r="32" spans="1:3" x14ac:dyDescent="0.25">
      <c r="A32" s="7">
        <v>38909</v>
      </c>
      <c r="B32" s="8">
        <v>37.64</v>
      </c>
      <c r="C32" s="9">
        <f t="shared" si="0"/>
        <v>7.4667013565370699E-3</v>
      </c>
    </row>
    <row r="33" spans="1:3" x14ac:dyDescent="0.25">
      <c r="A33" s="7">
        <v>38910</v>
      </c>
      <c r="B33" s="8">
        <v>36.93</v>
      </c>
      <c r="C33" s="9">
        <f t="shared" si="0"/>
        <v>-1.9043085852707087E-2</v>
      </c>
    </row>
    <row r="34" spans="1:3" x14ac:dyDescent="0.25">
      <c r="A34" s="7">
        <v>38911</v>
      </c>
      <c r="B34" s="8">
        <v>36.31</v>
      </c>
      <c r="C34" s="9">
        <f t="shared" si="0"/>
        <v>-1.6931043438227305E-2</v>
      </c>
    </row>
    <row r="35" spans="1:3" x14ac:dyDescent="0.25">
      <c r="A35" s="7">
        <v>38912</v>
      </c>
      <c r="B35" s="8">
        <v>35.94</v>
      </c>
      <c r="C35" s="9">
        <f t="shared" si="0"/>
        <v>-1.024230407083157E-2</v>
      </c>
    </row>
    <row r="36" spans="1:3" x14ac:dyDescent="0.25">
      <c r="A36" s="7">
        <v>38915</v>
      </c>
      <c r="B36" s="8">
        <v>36.03</v>
      </c>
      <c r="C36" s="9">
        <f t="shared" si="0"/>
        <v>2.5010434045888729E-3</v>
      </c>
    </row>
    <row r="37" spans="1:3" x14ac:dyDescent="0.25">
      <c r="A37" s="7">
        <v>38916</v>
      </c>
      <c r="B37" s="8">
        <v>36.15</v>
      </c>
      <c r="C37" s="9">
        <f t="shared" si="0"/>
        <v>3.3250238447716947E-3</v>
      </c>
    </row>
    <row r="38" spans="1:3" x14ac:dyDescent="0.25">
      <c r="A38" s="7">
        <v>38917</v>
      </c>
      <c r="B38" s="8">
        <v>36.619999999999997</v>
      </c>
      <c r="C38" s="9">
        <f t="shared" si="0"/>
        <v>1.2917590641590914E-2</v>
      </c>
    </row>
    <row r="39" spans="1:3" x14ac:dyDescent="0.25">
      <c r="A39" s="7">
        <v>38918</v>
      </c>
      <c r="B39" s="8">
        <v>36.08</v>
      </c>
      <c r="C39" s="9">
        <f t="shared" si="0"/>
        <v>-1.4855844051941671E-2</v>
      </c>
    </row>
    <row r="40" spans="1:3" x14ac:dyDescent="0.25">
      <c r="A40" s="7">
        <v>38919</v>
      </c>
      <c r="B40" s="8">
        <v>35.700000000000003</v>
      </c>
      <c r="C40" s="9">
        <f t="shared" si="0"/>
        <v>-1.0588006408829372E-2</v>
      </c>
    </row>
    <row r="41" spans="1:3" x14ac:dyDescent="0.25">
      <c r="A41" s="7">
        <v>38922</v>
      </c>
      <c r="B41" s="8">
        <v>36.409999999999997</v>
      </c>
      <c r="C41" s="9">
        <f t="shared" si="0"/>
        <v>1.9692773401748614E-2</v>
      </c>
    </row>
    <row r="42" spans="1:3" x14ac:dyDescent="0.25">
      <c r="A42" s="7">
        <v>38923</v>
      </c>
      <c r="B42" s="8">
        <v>36.619999999999997</v>
      </c>
      <c r="C42" s="9">
        <f t="shared" si="0"/>
        <v>5.751077059022518E-3</v>
      </c>
    </row>
    <row r="43" spans="1:3" x14ac:dyDescent="0.25">
      <c r="A43" s="7">
        <v>38924</v>
      </c>
      <c r="B43" s="8">
        <v>36.590000000000003</v>
      </c>
      <c r="C43" s="9">
        <f t="shared" si="0"/>
        <v>-8.195602152490459E-4</v>
      </c>
    </row>
    <row r="44" spans="1:3" x14ac:dyDescent="0.25">
      <c r="A44" s="7">
        <v>38925</v>
      </c>
      <c r="B44" s="8">
        <v>36.35</v>
      </c>
      <c r="C44" s="9">
        <f t="shared" si="0"/>
        <v>-6.5807750515870884E-3</v>
      </c>
    </row>
    <row r="45" spans="1:3" x14ac:dyDescent="0.25">
      <c r="A45" s="7">
        <v>38926</v>
      </c>
      <c r="B45" s="8">
        <v>37.11</v>
      </c>
      <c r="C45" s="9">
        <f t="shared" si="0"/>
        <v>2.0692271092977815E-2</v>
      </c>
    </row>
    <row r="56" spans="5:5" x14ac:dyDescent="0.25">
      <c r="E56" s="7"/>
    </row>
    <row r="57" spans="5:5" x14ac:dyDescent="0.25">
      <c r="E57" s="7"/>
    </row>
    <row r="58" spans="5:5" x14ac:dyDescent="0.25">
      <c r="E58" s="7"/>
    </row>
    <row r="59" spans="5:5" x14ac:dyDescent="0.25">
      <c r="E59" s="7"/>
    </row>
    <row r="60" spans="5:5" x14ac:dyDescent="0.25">
      <c r="E60" s="7"/>
    </row>
    <row r="61" spans="5:5" x14ac:dyDescent="0.25">
      <c r="E61" s="7"/>
    </row>
    <row r="62" spans="5:5" x14ac:dyDescent="0.25">
      <c r="E62" s="7"/>
    </row>
    <row r="63" spans="5:5" x14ac:dyDescent="0.25">
      <c r="E63" s="7"/>
    </row>
    <row r="64" spans="5:5" x14ac:dyDescent="0.25">
      <c r="E64" s="7"/>
    </row>
    <row r="65" spans="5:5" x14ac:dyDescent="0.25">
      <c r="E65" s="7"/>
    </row>
    <row r="66" spans="5:5" x14ac:dyDescent="0.25">
      <c r="E66" s="7"/>
    </row>
    <row r="67" spans="5:5" x14ac:dyDescent="0.25">
      <c r="E67" s="7"/>
    </row>
    <row r="68" spans="5:5" x14ac:dyDescent="0.25">
      <c r="E68" s="7"/>
    </row>
    <row r="69" spans="5:5" x14ac:dyDescent="0.25">
      <c r="E69" s="7"/>
    </row>
    <row r="70" spans="5:5" x14ac:dyDescent="0.25">
      <c r="E70" s="7"/>
    </row>
    <row r="71" spans="5:5" x14ac:dyDescent="0.25">
      <c r="E71" s="7"/>
    </row>
    <row r="72" spans="5:5" x14ac:dyDescent="0.25">
      <c r="E72" s="7"/>
    </row>
    <row r="73" spans="5:5" x14ac:dyDescent="0.25">
      <c r="E73" s="7"/>
    </row>
    <row r="74" spans="5:5" x14ac:dyDescent="0.25">
      <c r="E74" s="7"/>
    </row>
    <row r="75" spans="5:5" x14ac:dyDescent="0.25">
      <c r="E75" s="7"/>
    </row>
    <row r="76" spans="5:5" x14ac:dyDescent="0.25">
      <c r="E76" s="7"/>
    </row>
    <row r="77" spans="5:5" x14ac:dyDescent="0.25">
      <c r="E77" s="7"/>
    </row>
    <row r="78" spans="5:5" x14ac:dyDescent="0.25">
      <c r="E78" s="7"/>
    </row>
    <row r="79" spans="5:5" x14ac:dyDescent="0.25">
      <c r="E79" s="7"/>
    </row>
    <row r="80" spans="5:5" x14ac:dyDescent="0.25">
      <c r="E80" s="7"/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2024-11-27T07:37:40Z</dcterms:modified>
</cp:coreProperties>
</file>