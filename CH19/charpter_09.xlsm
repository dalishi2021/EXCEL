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"/>
    </mc:Choice>
  </mc:AlternateContent>
  <xr:revisionPtr revIDLastSave="0" documentId="13_ncr:1_{3190A7F7-7013-47EE-AFDF-96C7B9D69256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  <sheet name="Page 521" sheetId="2" r:id="rId2"/>
  </sheets>
  <externalReferences>
    <externalReference r:id="rId3"/>
    <externalReference r:id="rId4"/>
    <externalReference r:id="rId5"/>
    <externalReference r:id="rId6"/>
  </externalReferences>
  <definedNames>
    <definedName name="Call">'[1]UN16A, UN16B'!$B$15</definedName>
    <definedName name="implied_call_volatility">[1]UN16F!$B$13</definedName>
    <definedName name="interest">[1]UN16C!$B$6</definedName>
    <definedName name="r_">[1]UN16C!$B$6</definedName>
    <definedName name="S">[1]UN16C!$B$3</definedName>
    <definedName name="sigma">[1]UN16C!$B$7</definedName>
    <definedName name="T">[1]UN16C!$B$5</definedName>
    <definedName name="target_call_price">[1]UN16F!$B$11</definedName>
    <definedName name="X">[1]UN16C!$B$4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1" l="1"/>
  <c r="D8" i="1"/>
  <c r="B14" i="1"/>
  <c r="B13" i="1"/>
  <c r="C23" i="1"/>
  <c r="C22" i="1"/>
  <c r="B23" i="1"/>
  <c r="B22" i="1"/>
  <c r="C20" i="1"/>
  <c r="C19" i="1"/>
  <c r="B20" i="1"/>
  <c r="B19" i="1"/>
  <c r="C13" i="1"/>
  <c r="C11" i="1"/>
  <c r="E9" i="1"/>
  <c r="E8" i="1"/>
  <c r="B11" i="1" l="1"/>
</calcChain>
</file>

<file path=xl/sharedStrings.xml><?xml version="1.0" encoding="utf-8"?>
<sst xmlns="http://schemas.openxmlformats.org/spreadsheetml/2006/main" count="32" uniqueCount="32">
  <si>
    <t>Time 0</t>
  </si>
  <si>
    <t>Time t
Dividend payment</t>
  </si>
  <si>
    <t>Time T
Option expiration</t>
  </si>
  <si>
    <t>Stock price = S</t>
  </si>
  <si>
    <t>Div</t>
  </si>
  <si>
    <r>
      <t>Max[S</t>
    </r>
    <r>
      <rPr>
        <vertAlign val="subscript"/>
        <sz val="10"/>
        <rFont val="Arial"/>
        <family val="2"/>
      </rPr>
      <t xml:space="preserve">T </t>
    </r>
    <r>
      <rPr>
        <sz val="11"/>
        <color theme="1"/>
        <rFont val="等线"/>
        <family val="2"/>
        <charset val="134"/>
        <scheme val="minor"/>
      </rPr>
      <t>- X,0]</t>
    </r>
  </si>
  <si>
    <t>Stock price minus PV(dividend) = 
S - Div*exp[-rt]</t>
  </si>
  <si>
    <t>PRICING THE COCA COLA JAN07 CALLS AND PUTS</t>
  </si>
  <si>
    <t>Current date</t>
  </si>
  <si>
    <t>Option expiration date</t>
  </si>
  <si>
    <t>Current stock price</t>
  </si>
  <si>
    <t>Interest rate</t>
  </si>
  <si>
    <t>Date</t>
  </si>
  <si>
    <t>Anticipated dividend</t>
  </si>
  <si>
    <t>Present value</t>
  </si>
  <si>
    <t>Mid September</t>
  </si>
  <si>
    <t>End November</t>
  </si>
  <si>
    <t>Stock price net of PV(dividends)</t>
  </si>
  <si>
    <t>Exercise price, X</t>
  </si>
  <si>
    <t>&lt;-- Approximately at the money</t>
  </si>
  <si>
    <t>Time to maturity, T</t>
  </si>
  <si>
    <t>Interest rate, r</t>
  </si>
  <si>
    <t>Risk-free rate of interest</t>
  </si>
  <si>
    <t>Call price</t>
  </si>
  <si>
    <t>&lt;-- Call price on 28jul06</t>
  </si>
  <si>
    <t>Put price</t>
  </si>
  <si>
    <t>&lt;-- Put price on 28jul06</t>
  </si>
  <si>
    <t>Implied volatility</t>
  </si>
  <si>
    <t xml:space="preserve">    Call, S net of dividends</t>
  </si>
  <si>
    <t xml:space="preserve">    Put, S net of dividends</t>
  </si>
  <si>
    <t xml:space="preserve">    Call, S with dividends</t>
  </si>
  <si>
    <t xml:space="preserve">    Put, S with dividends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</si>
</sst>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b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</cellStyleXfs>
  <cellXfs count="43">
    <xf numFmtId="0" fontId="0" fillId="0" borderId="0" xfId="0">
      <alignment vertical="center"/>
    </xf>
    <xf numFmtId="0" fontId="4" fillId="0" borderId="1" xfId="2" applyFont="1" applyBorder="1" applyAlignment="1">
      <alignment horizontal="center" vertical="center"/>
    </xf>
    <xf numFmtId="0" fontId="4" fillId="0" borderId="2" xfId="2" applyFont="1" applyBorder="1" applyAlignment="1">
      <alignment horizontal="center" vertical="center"/>
    </xf>
    <xf numFmtId="0" fontId="4" fillId="0" borderId="2" xfId="2" applyFont="1" applyBorder="1" applyAlignment="1">
      <alignment horizontal="center" vertical="center" wrapText="1"/>
    </xf>
    <xf numFmtId="0" fontId="4" fillId="0" borderId="3" xfId="2" applyFont="1" applyBorder="1" applyAlignment="1">
      <alignment horizontal="center" vertical="center" wrapText="1"/>
    </xf>
    <xf numFmtId="0" fontId="3" fillId="0" borderId="0" xfId="2"/>
    <xf numFmtId="0" fontId="3" fillId="0" borderId="4" xfId="2" applyBorder="1"/>
    <xf numFmtId="0" fontId="3" fillId="0" borderId="5" xfId="2" applyBorder="1"/>
    <xf numFmtId="0" fontId="3" fillId="0" borderId="4" xfId="2" applyBorder="1" applyAlignment="1">
      <alignment horizontal="center" wrapText="1"/>
    </xf>
    <xf numFmtId="0" fontId="3" fillId="0" borderId="0" xfId="2" applyAlignment="1">
      <alignment horizontal="center" wrapText="1"/>
    </xf>
    <xf numFmtId="0" fontId="3" fillId="0" borderId="5" xfId="2" applyBorder="1" applyAlignment="1">
      <alignment horizontal="center" wrapText="1"/>
    </xf>
    <xf numFmtId="0" fontId="3" fillId="0" borderId="0" xfId="2" applyAlignment="1">
      <alignment wrapText="1"/>
    </xf>
    <xf numFmtId="0" fontId="3" fillId="0" borderId="6" xfId="2" applyBorder="1" applyAlignment="1">
      <alignment horizontal="center" wrapText="1"/>
    </xf>
    <xf numFmtId="0" fontId="3" fillId="0" borderId="7" xfId="2" applyBorder="1"/>
    <xf numFmtId="0" fontId="3" fillId="0" borderId="8" xfId="2" applyBorder="1"/>
    <xf numFmtId="9" fontId="6" fillId="0" borderId="0" xfId="1" applyFont="1" applyAlignment="1">
      <alignment horizontal="center" vertical="center"/>
    </xf>
    <xf numFmtId="9" fontId="3" fillId="0" borderId="0" xfId="1" applyFont="1" applyAlignment="1">
      <alignment horizontal="left"/>
    </xf>
    <xf numFmtId="15" fontId="3" fillId="0" borderId="0" xfId="1" applyNumberFormat="1" applyFont="1" applyAlignment="1">
      <alignment horizontal="center"/>
    </xf>
    <xf numFmtId="9" fontId="4" fillId="0" borderId="0" xfId="1" applyFont="1" applyAlignment="1">
      <alignment horizontal="center"/>
    </xf>
    <xf numFmtId="0" fontId="3" fillId="0" borderId="0" xfId="0" applyFont="1" applyAlignment="1"/>
    <xf numFmtId="0" fontId="3" fillId="0" borderId="0" xfId="1" applyNumberFormat="1" applyFont="1" applyAlignment="1">
      <alignment horizontal="right"/>
    </xf>
    <xf numFmtId="10" fontId="3" fillId="0" borderId="0" xfId="1" applyNumberFormat="1" applyFont="1" applyAlignment="1">
      <alignment horizontal="right"/>
    </xf>
    <xf numFmtId="9" fontId="4" fillId="0" borderId="0" xfId="1" applyFont="1" applyAlignment="1">
      <alignment horizontal="lef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 wrapText="1"/>
    </xf>
    <xf numFmtId="9" fontId="3" fillId="0" borderId="0" xfId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0" xfId="1" applyNumberFormat="1" applyFont="1" applyAlignment="1">
      <alignment horizontal="left"/>
    </xf>
    <xf numFmtId="2" fontId="3" fillId="0" borderId="0" xfId="0" applyNumberFormat="1" applyFont="1" applyAlignment="1"/>
    <xf numFmtId="2" fontId="3" fillId="0" borderId="0" xfId="1" applyNumberFormat="1" applyFont="1" applyAlignment="1">
      <alignment horizontal="right"/>
    </xf>
    <xf numFmtId="9" fontId="3" fillId="0" borderId="0" xfId="1" applyFont="1" applyAlignment="1">
      <alignment horizontal="center"/>
    </xf>
    <xf numFmtId="9" fontId="3" fillId="0" borderId="0" xfId="1" applyFont="1" applyAlignment="1"/>
    <xf numFmtId="2" fontId="2" fillId="0" borderId="0" xfId="1" applyNumberFormat="1" applyAlignment="1"/>
    <xf numFmtId="0" fontId="0" fillId="0" borderId="0" xfId="0" applyAlignment="1"/>
    <xf numFmtId="176" fontId="3" fillId="0" borderId="0" xfId="1" applyNumberFormat="1" applyFont="1" applyAlignment="1"/>
    <xf numFmtId="10" fontId="2" fillId="0" borderId="0" xfId="1" applyNumberFormat="1" applyAlignment="1"/>
    <xf numFmtId="9" fontId="3" fillId="2" borderId="0" xfId="1" applyFont="1" applyFill="1" applyAlignment="1"/>
    <xf numFmtId="2" fontId="2" fillId="2" borderId="0" xfId="1" applyNumberFormat="1" applyFill="1" applyAlignment="1"/>
    <xf numFmtId="2" fontId="0" fillId="2" borderId="0" xfId="0" applyNumberFormat="1" applyFill="1" applyAlignment="1"/>
    <xf numFmtId="0" fontId="4" fillId="0" borderId="0" xfId="0" applyFont="1" applyAlignment="1"/>
    <xf numFmtId="0" fontId="0" fillId="2" borderId="0" xfId="0" applyFill="1" applyAlignment="1"/>
    <xf numFmtId="10" fontId="0" fillId="2" borderId="0" xfId="1" applyNumberFormat="1" applyFont="1" applyFill="1" applyAlignment="1"/>
    <xf numFmtId="10" fontId="0" fillId="0" borderId="0" xfId="1" applyNumberFormat="1" applyFont="1" applyAlignment="1"/>
  </cellXfs>
  <cellStyles count="3">
    <cellStyle name="百分比" xfId="1" builtinId="5"/>
    <cellStyle name="常规" xfId="0" builtinId="0"/>
    <cellStyle name="常规 2" xfId="2" xr:uid="{4DAB400E-6E4D-4792-B660-39F19AE21C21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541020</xdr:colOff>
      <xdr:row>4</xdr:row>
      <xdr:rowOff>152400</xdr:rowOff>
    </xdr:from>
    <xdr:to>
      <xdr:col>17</xdr:col>
      <xdr:colOff>342900</xdr:colOff>
      <xdr:row>28</xdr:row>
      <xdr:rowOff>19050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7D808F43-A0D3-2B24-5BBB-6F2659755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650480" y="899160"/>
          <a:ext cx="6507480" cy="42214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6</xdr:row>
      <xdr:rowOff>0</xdr:rowOff>
    </xdr:from>
    <xdr:to>
      <xdr:col>11</xdr:col>
      <xdr:colOff>22860</xdr:colOff>
      <xdr:row>6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DD66EC25-6330-4BDF-BE44-4EB9EE88BC2F}"/>
            </a:ext>
          </a:extLst>
        </xdr:cNvPr>
        <xdr:cNvSpPr>
          <a:spLocks noChangeShapeType="1"/>
        </xdr:cNvSpPr>
      </xdr:nvSpPr>
      <xdr:spPr bwMode="auto">
        <a:xfrm>
          <a:off x="628650" y="1409700"/>
          <a:ext cx="72294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525780</xdr:colOff>
      <xdr:row>5</xdr:row>
      <xdr:rowOff>68580</xdr:rowOff>
    </xdr:from>
    <xdr:to>
      <xdr:col>1</xdr:col>
      <xdr:colOff>525780</xdr:colOff>
      <xdr:row>6</xdr:row>
      <xdr:rowOff>68580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51051557-0E5E-4C8A-BA8B-C0772A7E3DD3}"/>
            </a:ext>
          </a:extLst>
        </xdr:cNvPr>
        <xdr:cNvSpPr>
          <a:spLocks noChangeShapeType="1"/>
        </xdr:cNvSpPr>
      </xdr:nvSpPr>
      <xdr:spPr bwMode="auto">
        <a:xfrm>
          <a:off x="1133475" y="1304925"/>
          <a:ext cx="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251460</xdr:colOff>
      <xdr:row>5</xdr:row>
      <xdr:rowOff>68580</xdr:rowOff>
    </xdr:from>
    <xdr:to>
      <xdr:col>4</xdr:col>
      <xdr:colOff>251460</xdr:colOff>
      <xdr:row>6</xdr:row>
      <xdr:rowOff>68580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0D524CD5-3885-45FD-B6E2-DAEC2433C557}"/>
            </a:ext>
          </a:extLst>
        </xdr:cNvPr>
        <xdr:cNvSpPr>
          <a:spLocks noChangeShapeType="1"/>
        </xdr:cNvSpPr>
      </xdr:nvSpPr>
      <xdr:spPr bwMode="auto">
        <a:xfrm>
          <a:off x="3409950" y="1304925"/>
          <a:ext cx="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441960</xdr:colOff>
      <xdr:row>5</xdr:row>
      <xdr:rowOff>76200</xdr:rowOff>
    </xdr:from>
    <xdr:to>
      <xdr:col>10</xdr:col>
      <xdr:colOff>441960</xdr:colOff>
      <xdr:row>6</xdr:row>
      <xdr:rowOff>76200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CCACDCC1-C22B-4D57-8869-3EBEA2CEE863}"/>
            </a:ext>
          </a:extLst>
        </xdr:cNvPr>
        <xdr:cNvSpPr>
          <a:spLocks noChangeShapeType="1"/>
        </xdr:cNvSpPr>
      </xdr:nvSpPr>
      <xdr:spPr bwMode="auto">
        <a:xfrm>
          <a:off x="7258050" y="1314450"/>
          <a:ext cx="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imon/WORK/FM2/Disk%20with%20book/Problem%20files/Cchapter%2016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9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9_functions.xla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9_functions.xla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N16A, UN16B"/>
      <sheetName val="VBA functions, pp. 199-200, 203"/>
      <sheetName val="UN16C"/>
      <sheetName val="UN16D"/>
      <sheetName val="UN16E"/>
      <sheetName val="UN16F"/>
      <sheetName val="UN16G, UN16I"/>
      <sheetName val="UN16H"/>
      <sheetName val="UN16J"/>
    </sheetNames>
    <sheetDataSet>
      <sheetData sheetId="0">
        <row r="15">
          <cell r="B15">
            <v>2.4706641071103697</v>
          </cell>
        </row>
      </sheetData>
      <sheetData sheetId="1" refreshError="1"/>
      <sheetData sheetId="2">
        <row r="3">
          <cell r="B3">
            <v>100</v>
          </cell>
        </row>
        <row r="4">
          <cell r="B4">
            <v>100</v>
          </cell>
        </row>
        <row r="5">
          <cell r="B5">
            <v>1</v>
          </cell>
        </row>
        <row r="6">
          <cell r="B6">
            <v>0.1</v>
          </cell>
        </row>
        <row r="7">
          <cell r="B7">
            <v>0.4</v>
          </cell>
        </row>
      </sheetData>
      <sheetData sheetId="3"/>
      <sheetData sheetId="4"/>
      <sheetData sheetId="5">
        <row r="11">
          <cell r="B11">
            <v>6</v>
          </cell>
        </row>
        <row r="13">
          <cell r="B13">
            <v>0.153533935546875</v>
          </cell>
        </row>
      </sheetData>
      <sheetData sheetId="6"/>
      <sheetData sheetId="7" refreshError="1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510-11"/>
      <sheetName val="Page 510-11 中文"/>
      <sheetName val="Page 513"/>
      <sheetName val="Optionfunctions"/>
      <sheetName val="Page 513 中文"/>
      <sheetName val="Page 515, top"/>
      <sheetName val="Page 515, top 中文"/>
      <sheetName val="Page 515, bottom"/>
      <sheetName val="Page 515, bottom 中文"/>
      <sheetName val="Page 516"/>
      <sheetName val="Page 516中文"/>
      <sheetName val="Page 517"/>
      <sheetName val="Page 517 中文"/>
      <sheetName val="Page 518"/>
      <sheetName val="Page 518 中文"/>
      <sheetName val="Page 520"/>
      <sheetName val="Page 520 中文"/>
      <sheetName val="Page 521"/>
      <sheetName val="Page 521 中文"/>
      <sheetName val="Page 523"/>
      <sheetName val="Page 523 中文"/>
      <sheetName val="Page 524, top"/>
      <sheetName val="Page 524, top 中文"/>
      <sheetName val="Page 524, bottom"/>
      <sheetName val="Page 524, bottom 中文"/>
      <sheetName val="Page 526, top"/>
      <sheetName val="Page 526, top 中文"/>
      <sheetName val="page 526, bottom"/>
      <sheetName val="page 526, bottom 中文"/>
      <sheetName val="Page 531"/>
      <sheetName val="Page 531 中文"/>
      <sheetName val="Page 532"/>
      <sheetName val="Page 532 中文"/>
      <sheetName val="Page 533"/>
      <sheetName val="Page 533 中文"/>
      <sheetName val="Page 535, picture"/>
      <sheetName val="Page 535, picture 中文"/>
      <sheetName val="Page 535"/>
      <sheetName val="Page 535 中文"/>
      <sheetName val="Page 537"/>
      <sheetName val="Page 537中文"/>
      <sheetName val="Page 538"/>
      <sheetName val="Page 538 中文"/>
      <sheetName val="Page 539-41"/>
      <sheetName val="Page 539-41 中文"/>
      <sheetName val="Page 540"/>
      <sheetName val="Page 540中文"/>
      <sheetName val="Page 542"/>
      <sheetName val="Page 542中文"/>
      <sheetName val="Page 543"/>
      <sheetName val="Page 543 中文"/>
      <sheetName val="Page 544"/>
      <sheetName val="Page 544 中文"/>
    </sheetNames>
    <sheetDataSet>
      <sheetData sheetId="0"/>
      <sheetData sheetId="1"/>
      <sheetData sheetId="2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7"/>
      <sheetData sheetId="48"/>
      <sheetData sheetId="49"/>
      <sheetData sheetId="50"/>
      <sheetData sheetId="51"/>
      <sheetData sheetId="5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othing Here"/>
    </sheetNames>
    <definedNames>
      <definedName name="getformula"/>
    </definedNames>
    <sheetDataSet>
      <sheetData sheetId="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CallVolatility"/>
      <definedName name="PutVolatility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E23"/>
  <sheetViews>
    <sheetView tabSelected="1" zoomScale="145" zoomScaleNormal="145" workbookViewId="0">
      <selection activeCell="E25" sqref="E25"/>
    </sheetView>
  </sheetViews>
  <sheetFormatPr defaultRowHeight="13.8" x14ac:dyDescent="0.25"/>
  <cols>
    <col min="1" max="1" width="29.109375" style="33" customWidth="1"/>
    <col min="2" max="2" width="9.44140625" style="33" bestFit="1" customWidth="1"/>
    <col min="3" max="3" width="15.33203125" style="33" customWidth="1"/>
    <col min="4" max="4" width="8.88671875" style="33"/>
    <col min="5" max="5" width="32" style="33" bestFit="1" customWidth="1"/>
  </cols>
  <sheetData>
    <row r="1" spans="1:5" ht="17.399999999999999" x14ac:dyDescent="0.25">
      <c r="A1" s="15" t="s">
        <v>7</v>
      </c>
      <c r="B1" s="15"/>
      <c r="C1" s="15"/>
      <c r="D1" s="15"/>
      <c r="E1" s="15"/>
    </row>
    <row r="2" spans="1:5" x14ac:dyDescent="0.25">
      <c r="A2" s="16" t="s">
        <v>8</v>
      </c>
      <c r="B2" s="17">
        <v>38926</v>
      </c>
      <c r="C2" s="18"/>
      <c r="D2" s="19"/>
      <c r="E2" s="19"/>
    </row>
    <row r="3" spans="1:5" x14ac:dyDescent="0.25">
      <c r="A3" s="16" t="s">
        <v>9</v>
      </c>
      <c r="B3" s="17">
        <v>39101</v>
      </c>
      <c r="C3" s="18"/>
      <c r="D3" s="19"/>
      <c r="E3" s="19"/>
    </row>
    <row r="4" spans="1:5" x14ac:dyDescent="0.25">
      <c r="A4" s="16" t="s">
        <v>10</v>
      </c>
      <c r="B4" s="20">
        <v>44.52</v>
      </c>
      <c r="C4" s="18"/>
      <c r="D4" s="19"/>
      <c r="E4" s="19"/>
    </row>
    <row r="5" spans="1:5" x14ac:dyDescent="0.25">
      <c r="A5" s="16" t="s">
        <v>11</v>
      </c>
      <c r="B5" s="21">
        <v>0.05</v>
      </c>
      <c r="C5" s="18"/>
      <c r="D5" s="19"/>
      <c r="E5" s="19"/>
    </row>
    <row r="6" spans="1:5" x14ac:dyDescent="0.25">
      <c r="A6" s="22"/>
      <c r="B6" s="23"/>
      <c r="C6" s="18"/>
      <c r="D6" s="19"/>
      <c r="E6" s="19"/>
    </row>
    <row r="7" spans="1:5" ht="26.4" x14ac:dyDescent="0.25">
      <c r="A7" s="22"/>
      <c r="B7" s="24" t="s">
        <v>12</v>
      </c>
      <c r="C7" s="25" t="s">
        <v>13</v>
      </c>
      <c r="D7" s="26" t="s">
        <v>14</v>
      </c>
      <c r="E7" s="19"/>
    </row>
    <row r="8" spans="1:5" x14ac:dyDescent="0.25">
      <c r="A8" s="27" t="s">
        <v>15</v>
      </c>
      <c r="B8" s="17">
        <v>38973</v>
      </c>
      <c r="C8" s="23">
        <v>0.31</v>
      </c>
      <c r="D8" s="28">
        <f>C8*EXP(-$B$5*(B8-$B$2)/365)</f>
        <v>0.30801052094878811</v>
      </c>
      <c r="E8" s="19" t="str">
        <f ca="1">[3]!getformula(D8)</f>
        <v>&lt;-- =C8*EXP(-$B$5*(B8-$B$2)/365)</v>
      </c>
    </row>
    <row r="9" spans="1:5" x14ac:dyDescent="0.25">
      <c r="A9" s="27" t="s">
        <v>16</v>
      </c>
      <c r="B9" s="17">
        <v>39050</v>
      </c>
      <c r="C9" s="23">
        <v>0.31</v>
      </c>
      <c r="D9" s="28">
        <f>C9*EXP(-$B$5*(B9-$B$2)/365)</f>
        <v>0.30477871725914724</v>
      </c>
      <c r="E9" s="19" t="str">
        <f ca="1">[3]!getformula(D9)</f>
        <v>&lt;-- =C9*EXP(-$B$5*(B9-$B$2)/365)</v>
      </c>
    </row>
    <row r="10" spans="1:5" x14ac:dyDescent="0.25">
      <c r="A10" s="27"/>
      <c r="B10" s="23"/>
      <c r="C10" s="23"/>
      <c r="D10" s="19"/>
      <c r="E10" s="19"/>
    </row>
    <row r="11" spans="1:5" x14ac:dyDescent="0.25">
      <c r="A11" s="16" t="s">
        <v>17</v>
      </c>
      <c r="B11" s="29">
        <f>B4-SUM(D8:D9)</f>
        <v>43.907210761792065</v>
      </c>
      <c r="C11" s="30" t="str">
        <f ca="1">[3]!getformula(B11)</f>
        <v>&lt;-- =B4-SUM(D8:D9)</v>
      </c>
      <c r="D11" s="19"/>
      <c r="E11" s="19"/>
    </row>
    <row r="12" spans="1:5" x14ac:dyDescent="0.25">
      <c r="A12" s="31" t="s">
        <v>18</v>
      </c>
      <c r="B12" s="32">
        <v>45</v>
      </c>
      <c r="C12" s="31" t="s">
        <v>19</v>
      </c>
    </row>
    <row r="13" spans="1:5" x14ac:dyDescent="0.25">
      <c r="A13" s="31" t="s">
        <v>20</v>
      </c>
      <c r="B13" s="34">
        <f>(B3-B2)/365</f>
        <v>0.47945205479452052</v>
      </c>
      <c r="C13" s="31" t="str">
        <f ca="1">[3]!getformula(B13)</f>
        <v>&lt;-- =(B3-B2)/365</v>
      </c>
    </row>
    <row r="14" spans="1:5" x14ac:dyDescent="0.25">
      <c r="A14" s="31" t="s">
        <v>21</v>
      </c>
      <c r="B14" s="35">
        <f>B5</f>
        <v>0.05</v>
      </c>
      <c r="C14" s="31" t="s">
        <v>22</v>
      </c>
    </row>
    <row r="15" spans="1:5" x14ac:dyDescent="0.25">
      <c r="A15" s="36" t="s">
        <v>23</v>
      </c>
      <c r="B15" s="37">
        <v>1.8</v>
      </c>
      <c r="C15" s="31" t="s">
        <v>24</v>
      </c>
    </row>
    <row r="16" spans="1:5" x14ac:dyDescent="0.25">
      <c r="A16" s="36" t="s">
        <v>25</v>
      </c>
      <c r="B16" s="38">
        <v>1.85</v>
      </c>
      <c r="C16" s="31" t="s">
        <v>26</v>
      </c>
    </row>
    <row r="18" spans="1:3" x14ac:dyDescent="0.25">
      <c r="A18" s="39" t="s">
        <v>27</v>
      </c>
    </row>
    <row r="19" spans="1:3" x14ac:dyDescent="0.25">
      <c r="A19" s="40" t="s">
        <v>28</v>
      </c>
      <c r="B19" s="41">
        <f>[4]!CallVolatility(B11,B12,B13,B14,B15)</f>
        <v>0.149505615234375</v>
      </c>
      <c r="C19" s="33" t="str">
        <f ca="1">[3]!getformula(B19)</f>
        <v>&lt;-- =CallVolatility(B11,B12,B13,B14,B15)</v>
      </c>
    </row>
    <row r="20" spans="1:3" x14ac:dyDescent="0.25">
      <c r="A20" s="40" t="s">
        <v>29</v>
      </c>
      <c r="B20" s="41">
        <f>[4]!PutVolatility(B11,B12,B13,B14,B16)</f>
        <v>0.151458740234375</v>
      </c>
      <c r="C20" s="33" t="str">
        <f ca="1">[3]!getformula(B20)</f>
        <v>&lt;-- =PutVolatility(B11,B12,B13,B14,B16)</v>
      </c>
    </row>
    <row r="21" spans="1:3" x14ac:dyDescent="0.25">
      <c r="B21" s="42"/>
    </row>
    <row r="22" spans="1:3" x14ac:dyDescent="0.25">
      <c r="A22" s="40" t="s">
        <v>30</v>
      </c>
      <c r="B22" s="41">
        <f>[4]!CallVolatility(B4,B12,B13,B14,B15)</f>
        <v>0.121917724609375</v>
      </c>
      <c r="C22" s="33" t="str">
        <f ca="1">[3]!getformula(B22)</f>
        <v>&lt;-- =CallVolatility(B4,B12,B13,B14,B15)</v>
      </c>
    </row>
    <row r="23" spans="1:3" x14ac:dyDescent="0.25">
      <c r="A23" s="40" t="s">
        <v>31</v>
      </c>
      <c r="B23" s="41">
        <f>[4]!PutVolatility(B4,B12,B13,B14,B16)</f>
        <v>0.174468994140625</v>
      </c>
      <c r="C23" s="33" t="str">
        <f ca="1">[3]!getformula(B23)</f>
        <v>&lt;-- =PutVolatility(B4,B12,B13,B14,B16)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A0E54-6DBD-4C0D-894A-B69D71B6A53F}">
  <sheetPr codeName="Sheet4"/>
  <dimension ref="B5:K10"/>
  <sheetViews>
    <sheetView workbookViewId="0"/>
  </sheetViews>
  <sheetFormatPr defaultRowHeight="13.2" x14ac:dyDescent="0.25"/>
  <cols>
    <col min="1" max="1" width="8.88671875" style="5"/>
    <col min="2" max="2" width="19.44140625" style="5" customWidth="1"/>
    <col min="3" max="10" width="8.88671875" style="5"/>
    <col min="11" max="11" width="14.88671875" style="5" customWidth="1"/>
    <col min="12" max="257" width="8.88671875" style="5"/>
    <col min="258" max="258" width="19.44140625" style="5" customWidth="1"/>
    <col min="259" max="266" width="8.88671875" style="5"/>
    <col min="267" max="267" width="14.88671875" style="5" customWidth="1"/>
    <col min="268" max="513" width="8.88671875" style="5"/>
    <col min="514" max="514" width="19.44140625" style="5" customWidth="1"/>
    <col min="515" max="522" width="8.88671875" style="5"/>
    <col min="523" max="523" width="14.88671875" style="5" customWidth="1"/>
    <col min="524" max="769" width="8.88671875" style="5"/>
    <col min="770" max="770" width="19.44140625" style="5" customWidth="1"/>
    <col min="771" max="778" width="8.88671875" style="5"/>
    <col min="779" max="779" width="14.88671875" style="5" customWidth="1"/>
    <col min="780" max="1025" width="8.88671875" style="5"/>
    <col min="1026" max="1026" width="19.44140625" style="5" customWidth="1"/>
    <col min="1027" max="1034" width="8.88671875" style="5"/>
    <col min="1035" max="1035" width="14.88671875" style="5" customWidth="1"/>
    <col min="1036" max="1281" width="8.88671875" style="5"/>
    <col min="1282" max="1282" width="19.44140625" style="5" customWidth="1"/>
    <col min="1283" max="1290" width="8.88671875" style="5"/>
    <col min="1291" max="1291" width="14.88671875" style="5" customWidth="1"/>
    <col min="1292" max="1537" width="8.88671875" style="5"/>
    <col min="1538" max="1538" width="19.44140625" style="5" customWidth="1"/>
    <col min="1539" max="1546" width="8.88671875" style="5"/>
    <col min="1547" max="1547" width="14.88671875" style="5" customWidth="1"/>
    <col min="1548" max="1793" width="8.88671875" style="5"/>
    <col min="1794" max="1794" width="19.44140625" style="5" customWidth="1"/>
    <col min="1795" max="1802" width="8.88671875" style="5"/>
    <col min="1803" max="1803" width="14.88671875" style="5" customWidth="1"/>
    <col min="1804" max="2049" width="8.88671875" style="5"/>
    <col min="2050" max="2050" width="19.44140625" style="5" customWidth="1"/>
    <col min="2051" max="2058" width="8.88671875" style="5"/>
    <col min="2059" max="2059" width="14.88671875" style="5" customWidth="1"/>
    <col min="2060" max="2305" width="8.88671875" style="5"/>
    <col min="2306" max="2306" width="19.44140625" style="5" customWidth="1"/>
    <col min="2307" max="2314" width="8.88671875" style="5"/>
    <col min="2315" max="2315" width="14.88671875" style="5" customWidth="1"/>
    <col min="2316" max="2561" width="8.88671875" style="5"/>
    <col min="2562" max="2562" width="19.44140625" style="5" customWidth="1"/>
    <col min="2563" max="2570" width="8.88671875" style="5"/>
    <col min="2571" max="2571" width="14.88671875" style="5" customWidth="1"/>
    <col min="2572" max="2817" width="8.88671875" style="5"/>
    <col min="2818" max="2818" width="19.44140625" style="5" customWidth="1"/>
    <col min="2819" max="2826" width="8.88671875" style="5"/>
    <col min="2827" max="2827" width="14.88671875" style="5" customWidth="1"/>
    <col min="2828" max="3073" width="8.88671875" style="5"/>
    <col min="3074" max="3074" width="19.44140625" style="5" customWidth="1"/>
    <col min="3075" max="3082" width="8.88671875" style="5"/>
    <col min="3083" max="3083" width="14.88671875" style="5" customWidth="1"/>
    <col min="3084" max="3329" width="8.88671875" style="5"/>
    <col min="3330" max="3330" width="19.44140625" style="5" customWidth="1"/>
    <col min="3331" max="3338" width="8.88671875" style="5"/>
    <col min="3339" max="3339" width="14.88671875" style="5" customWidth="1"/>
    <col min="3340" max="3585" width="8.88671875" style="5"/>
    <col min="3586" max="3586" width="19.44140625" style="5" customWidth="1"/>
    <col min="3587" max="3594" width="8.88671875" style="5"/>
    <col min="3595" max="3595" width="14.88671875" style="5" customWidth="1"/>
    <col min="3596" max="3841" width="8.88671875" style="5"/>
    <col min="3842" max="3842" width="19.44140625" style="5" customWidth="1"/>
    <col min="3843" max="3850" width="8.88671875" style="5"/>
    <col min="3851" max="3851" width="14.88671875" style="5" customWidth="1"/>
    <col min="3852" max="4097" width="8.88671875" style="5"/>
    <col min="4098" max="4098" width="19.44140625" style="5" customWidth="1"/>
    <col min="4099" max="4106" width="8.88671875" style="5"/>
    <col min="4107" max="4107" width="14.88671875" style="5" customWidth="1"/>
    <col min="4108" max="4353" width="8.88671875" style="5"/>
    <col min="4354" max="4354" width="19.44140625" style="5" customWidth="1"/>
    <col min="4355" max="4362" width="8.88671875" style="5"/>
    <col min="4363" max="4363" width="14.88671875" style="5" customWidth="1"/>
    <col min="4364" max="4609" width="8.88671875" style="5"/>
    <col min="4610" max="4610" width="19.44140625" style="5" customWidth="1"/>
    <col min="4611" max="4618" width="8.88671875" style="5"/>
    <col min="4619" max="4619" width="14.88671875" style="5" customWidth="1"/>
    <col min="4620" max="4865" width="8.88671875" style="5"/>
    <col min="4866" max="4866" width="19.44140625" style="5" customWidth="1"/>
    <col min="4867" max="4874" width="8.88671875" style="5"/>
    <col min="4875" max="4875" width="14.88671875" style="5" customWidth="1"/>
    <col min="4876" max="5121" width="8.88671875" style="5"/>
    <col min="5122" max="5122" width="19.44140625" style="5" customWidth="1"/>
    <col min="5123" max="5130" width="8.88671875" style="5"/>
    <col min="5131" max="5131" width="14.88671875" style="5" customWidth="1"/>
    <col min="5132" max="5377" width="8.88671875" style="5"/>
    <col min="5378" max="5378" width="19.44140625" style="5" customWidth="1"/>
    <col min="5379" max="5386" width="8.88671875" style="5"/>
    <col min="5387" max="5387" width="14.88671875" style="5" customWidth="1"/>
    <col min="5388" max="5633" width="8.88671875" style="5"/>
    <col min="5634" max="5634" width="19.44140625" style="5" customWidth="1"/>
    <col min="5635" max="5642" width="8.88671875" style="5"/>
    <col min="5643" max="5643" width="14.88671875" style="5" customWidth="1"/>
    <col min="5644" max="5889" width="8.88671875" style="5"/>
    <col min="5890" max="5890" width="19.44140625" style="5" customWidth="1"/>
    <col min="5891" max="5898" width="8.88671875" style="5"/>
    <col min="5899" max="5899" width="14.88671875" style="5" customWidth="1"/>
    <col min="5900" max="6145" width="8.88671875" style="5"/>
    <col min="6146" max="6146" width="19.44140625" style="5" customWidth="1"/>
    <col min="6147" max="6154" width="8.88671875" style="5"/>
    <col min="6155" max="6155" width="14.88671875" style="5" customWidth="1"/>
    <col min="6156" max="6401" width="8.88671875" style="5"/>
    <col min="6402" max="6402" width="19.44140625" style="5" customWidth="1"/>
    <col min="6403" max="6410" width="8.88671875" style="5"/>
    <col min="6411" max="6411" width="14.88671875" style="5" customWidth="1"/>
    <col min="6412" max="6657" width="8.88671875" style="5"/>
    <col min="6658" max="6658" width="19.44140625" style="5" customWidth="1"/>
    <col min="6659" max="6666" width="8.88671875" style="5"/>
    <col min="6667" max="6667" width="14.88671875" style="5" customWidth="1"/>
    <col min="6668" max="6913" width="8.88671875" style="5"/>
    <col min="6914" max="6914" width="19.44140625" style="5" customWidth="1"/>
    <col min="6915" max="6922" width="8.88671875" style="5"/>
    <col min="6923" max="6923" width="14.88671875" style="5" customWidth="1"/>
    <col min="6924" max="7169" width="8.88671875" style="5"/>
    <col min="7170" max="7170" width="19.44140625" style="5" customWidth="1"/>
    <col min="7171" max="7178" width="8.88671875" style="5"/>
    <col min="7179" max="7179" width="14.88671875" style="5" customWidth="1"/>
    <col min="7180" max="7425" width="8.88671875" style="5"/>
    <col min="7426" max="7426" width="19.44140625" style="5" customWidth="1"/>
    <col min="7427" max="7434" width="8.88671875" style="5"/>
    <col min="7435" max="7435" width="14.88671875" style="5" customWidth="1"/>
    <col min="7436" max="7681" width="8.88671875" style="5"/>
    <col min="7682" max="7682" width="19.44140625" style="5" customWidth="1"/>
    <col min="7683" max="7690" width="8.88671875" style="5"/>
    <col min="7691" max="7691" width="14.88671875" style="5" customWidth="1"/>
    <col min="7692" max="7937" width="8.88671875" style="5"/>
    <col min="7938" max="7938" width="19.44140625" style="5" customWidth="1"/>
    <col min="7939" max="7946" width="8.88671875" style="5"/>
    <col min="7947" max="7947" width="14.88671875" style="5" customWidth="1"/>
    <col min="7948" max="8193" width="8.88671875" style="5"/>
    <col min="8194" max="8194" width="19.44140625" style="5" customWidth="1"/>
    <col min="8195" max="8202" width="8.88671875" style="5"/>
    <col min="8203" max="8203" width="14.88671875" style="5" customWidth="1"/>
    <col min="8204" max="8449" width="8.88671875" style="5"/>
    <col min="8450" max="8450" width="19.44140625" style="5" customWidth="1"/>
    <col min="8451" max="8458" width="8.88671875" style="5"/>
    <col min="8459" max="8459" width="14.88671875" style="5" customWidth="1"/>
    <col min="8460" max="8705" width="8.88671875" style="5"/>
    <col min="8706" max="8706" width="19.44140625" style="5" customWidth="1"/>
    <col min="8707" max="8714" width="8.88671875" style="5"/>
    <col min="8715" max="8715" width="14.88671875" style="5" customWidth="1"/>
    <col min="8716" max="8961" width="8.88671875" style="5"/>
    <col min="8962" max="8962" width="19.44140625" style="5" customWidth="1"/>
    <col min="8963" max="8970" width="8.88671875" style="5"/>
    <col min="8971" max="8971" width="14.88671875" style="5" customWidth="1"/>
    <col min="8972" max="9217" width="8.88671875" style="5"/>
    <col min="9218" max="9218" width="19.44140625" style="5" customWidth="1"/>
    <col min="9219" max="9226" width="8.88671875" style="5"/>
    <col min="9227" max="9227" width="14.88671875" style="5" customWidth="1"/>
    <col min="9228" max="9473" width="8.88671875" style="5"/>
    <col min="9474" max="9474" width="19.44140625" style="5" customWidth="1"/>
    <col min="9475" max="9482" width="8.88671875" style="5"/>
    <col min="9483" max="9483" width="14.88671875" style="5" customWidth="1"/>
    <col min="9484" max="9729" width="8.88671875" style="5"/>
    <col min="9730" max="9730" width="19.44140625" style="5" customWidth="1"/>
    <col min="9731" max="9738" width="8.88671875" style="5"/>
    <col min="9739" max="9739" width="14.88671875" style="5" customWidth="1"/>
    <col min="9740" max="9985" width="8.88671875" style="5"/>
    <col min="9986" max="9986" width="19.44140625" style="5" customWidth="1"/>
    <col min="9987" max="9994" width="8.88671875" style="5"/>
    <col min="9995" max="9995" width="14.88671875" style="5" customWidth="1"/>
    <col min="9996" max="10241" width="8.88671875" style="5"/>
    <col min="10242" max="10242" width="19.44140625" style="5" customWidth="1"/>
    <col min="10243" max="10250" width="8.88671875" style="5"/>
    <col min="10251" max="10251" width="14.88671875" style="5" customWidth="1"/>
    <col min="10252" max="10497" width="8.88671875" style="5"/>
    <col min="10498" max="10498" width="19.44140625" style="5" customWidth="1"/>
    <col min="10499" max="10506" width="8.88671875" style="5"/>
    <col min="10507" max="10507" width="14.88671875" style="5" customWidth="1"/>
    <col min="10508" max="10753" width="8.88671875" style="5"/>
    <col min="10754" max="10754" width="19.44140625" style="5" customWidth="1"/>
    <col min="10755" max="10762" width="8.88671875" style="5"/>
    <col min="10763" max="10763" width="14.88671875" style="5" customWidth="1"/>
    <col min="10764" max="11009" width="8.88671875" style="5"/>
    <col min="11010" max="11010" width="19.44140625" style="5" customWidth="1"/>
    <col min="11011" max="11018" width="8.88671875" style="5"/>
    <col min="11019" max="11019" width="14.88671875" style="5" customWidth="1"/>
    <col min="11020" max="11265" width="8.88671875" style="5"/>
    <col min="11266" max="11266" width="19.44140625" style="5" customWidth="1"/>
    <col min="11267" max="11274" width="8.88671875" style="5"/>
    <col min="11275" max="11275" width="14.88671875" style="5" customWidth="1"/>
    <col min="11276" max="11521" width="8.88671875" style="5"/>
    <col min="11522" max="11522" width="19.44140625" style="5" customWidth="1"/>
    <col min="11523" max="11530" width="8.88671875" style="5"/>
    <col min="11531" max="11531" width="14.88671875" style="5" customWidth="1"/>
    <col min="11532" max="11777" width="8.88671875" style="5"/>
    <col min="11778" max="11778" width="19.44140625" style="5" customWidth="1"/>
    <col min="11779" max="11786" width="8.88671875" style="5"/>
    <col min="11787" max="11787" width="14.88671875" style="5" customWidth="1"/>
    <col min="11788" max="12033" width="8.88671875" style="5"/>
    <col min="12034" max="12034" width="19.44140625" style="5" customWidth="1"/>
    <col min="12035" max="12042" width="8.88671875" style="5"/>
    <col min="12043" max="12043" width="14.88671875" style="5" customWidth="1"/>
    <col min="12044" max="12289" width="8.88671875" style="5"/>
    <col min="12290" max="12290" width="19.44140625" style="5" customWidth="1"/>
    <col min="12291" max="12298" width="8.88671875" style="5"/>
    <col min="12299" max="12299" width="14.88671875" style="5" customWidth="1"/>
    <col min="12300" max="12545" width="8.88671875" style="5"/>
    <col min="12546" max="12546" width="19.44140625" style="5" customWidth="1"/>
    <col min="12547" max="12554" width="8.88671875" style="5"/>
    <col min="12555" max="12555" width="14.88671875" style="5" customWidth="1"/>
    <col min="12556" max="12801" width="8.88671875" style="5"/>
    <col min="12802" max="12802" width="19.44140625" style="5" customWidth="1"/>
    <col min="12803" max="12810" width="8.88671875" style="5"/>
    <col min="12811" max="12811" width="14.88671875" style="5" customWidth="1"/>
    <col min="12812" max="13057" width="8.88671875" style="5"/>
    <col min="13058" max="13058" width="19.44140625" style="5" customWidth="1"/>
    <col min="13059" max="13066" width="8.88671875" style="5"/>
    <col min="13067" max="13067" width="14.88671875" style="5" customWidth="1"/>
    <col min="13068" max="13313" width="8.88671875" style="5"/>
    <col min="13314" max="13314" width="19.44140625" style="5" customWidth="1"/>
    <col min="13315" max="13322" width="8.88671875" style="5"/>
    <col min="13323" max="13323" width="14.88671875" style="5" customWidth="1"/>
    <col min="13324" max="13569" width="8.88671875" style="5"/>
    <col min="13570" max="13570" width="19.44140625" style="5" customWidth="1"/>
    <col min="13571" max="13578" width="8.88671875" style="5"/>
    <col min="13579" max="13579" width="14.88671875" style="5" customWidth="1"/>
    <col min="13580" max="13825" width="8.88671875" style="5"/>
    <col min="13826" max="13826" width="19.44140625" style="5" customWidth="1"/>
    <col min="13827" max="13834" width="8.88671875" style="5"/>
    <col min="13835" max="13835" width="14.88671875" style="5" customWidth="1"/>
    <col min="13836" max="14081" width="8.88671875" style="5"/>
    <col min="14082" max="14082" width="19.44140625" style="5" customWidth="1"/>
    <col min="14083" max="14090" width="8.88671875" style="5"/>
    <col min="14091" max="14091" width="14.88671875" style="5" customWidth="1"/>
    <col min="14092" max="14337" width="8.88671875" style="5"/>
    <col min="14338" max="14338" width="19.44140625" style="5" customWidth="1"/>
    <col min="14339" max="14346" width="8.88671875" style="5"/>
    <col min="14347" max="14347" width="14.88671875" style="5" customWidth="1"/>
    <col min="14348" max="14593" width="8.88671875" style="5"/>
    <col min="14594" max="14594" width="19.44140625" style="5" customWidth="1"/>
    <col min="14595" max="14602" width="8.88671875" style="5"/>
    <col min="14603" max="14603" width="14.88671875" style="5" customWidth="1"/>
    <col min="14604" max="14849" width="8.88671875" style="5"/>
    <col min="14850" max="14850" width="19.44140625" style="5" customWidth="1"/>
    <col min="14851" max="14858" width="8.88671875" style="5"/>
    <col min="14859" max="14859" width="14.88671875" style="5" customWidth="1"/>
    <col min="14860" max="15105" width="8.88671875" style="5"/>
    <col min="15106" max="15106" width="19.44140625" style="5" customWidth="1"/>
    <col min="15107" max="15114" width="8.88671875" style="5"/>
    <col min="15115" max="15115" width="14.88671875" style="5" customWidth="1"/>
    <col min="15116" max="15361" width="8.88671875" style="5"/>
    <col min="15362" max="15362" width="19.44140625" style="5" customWidth="1"/>
    <col min="15363" max="15370" width="8.88671875" style="5"/>
    <col min="15371" max="15371" width="14.88671875" style="5" customWidth="1"/>
    <col min="15372" max="15617" width="8.88671875" style="5"/>
    <col min="15618" max="15618" width="19.44140625" style="5" customWidth="1"/>
    <col min="15619" max="15626" width="8.88671875" style="5"/>
    <col min="15627" max="15627" width="14.88671875" style="5" customWidth="1"/>
    <col min="15628" max="15873" width="8.88671875" style="5"/>
    <col min="15874" max="15874" width="19.44140625" style="5" customWidth="1"/>
    <col min="15875" max="15882" width="8.88671875" style="5"/>
    <col min="15883" max="15883" width="14.88671875" style="5" customWidth="1"/>
    <col min="15884" max="16129" width="8.88671875" style="5"/>
    <col min="16130" max="16130" width="19.44140625" style="5" customWidth="1"/>
    <col min="16131" max="16138" width="8.88671875" style="5"/>
    <col min="16139" max="16139" width="14.88671875" style="5" customWidth="1"/>
    <col min="16140" max="16384" width="8.88671875" style="5"/>
  </cols>
  <sheetData>
    <row r="5" spans="2:11" ht="44.25" customHeight="1" x14ac:dyDescent="0.25">
      <c r="B5" s="1" t="s">
        <v>0</v>
      </c>
      <c r="C5" s="2"/>
      <c r="D5" s="2"/>
      <c r="E5" s="3" t="s">
        <v>1</v>
      </c>
      <c r="F5" s="2"/>
      <c r="G5" s="2"/>
      <c r="H5" s="2"/>
      <c r="I5" s="2"/>
      <c r="J5" s="2"/>
      <c r="K5" s="4" t="s">
        <v>2</v>
      </c>
    </row>
    <row r="6" spans="2:11" x14ac:dyDescent="0.25">
      <c r="B6" s="6"/>
      <c r="K6" s="7"/>
    </row>
    <row r="7" spans="2:11" x14ac:dyDescent="0.25">
      <c r="B7" s="6"/>
      <c r="K7" s="7"/>
    </row>
    <row r="8" spans="2:11" s="11" customFormat="1" ht="15.6" x14ac:dyDescent="0.35">
      <c r="B8" s="8" t="s">
        <v>3</v>
      </c>
      <c r="C8" s="9"/>
      <c r="D8" s="9"/>
      <c r="E8" s="9" t="s">
        <v>4</v>
      </c>
      <c r="F8" s="9"/>
      <c r="G8" s="9"/>
      <c r="H8" s="9"/>
      <c r="I8" s="9"/>
      <c r="J8" s="9"/>
      <c r="K8" s="10" t="s">
        <v>5</v>
      </c>
    </row>
    <row r="9" spans="2:11" x14ac:dyDescent="0.25">
      <c r="B9" s="6"/>
      <c r="K9" s="7"/>
    </row>
    <row r="10" spans="2:11" ht="39.6" x14ac:dyDescent="0.25">
      <c r="B10" s="12" t="s">
        <v>6</v>
      </c>
      <c r="C10" s="13"/>
      <c r="D10" s="13"/>
      <c r="E10" s="13"/>
      <c r="F10" s="13"/>
      <c r="G10" s="13"/>
      <c r="H10" s="13"/>
      <c r="I10" s="13"/>
      <c r="J10" s="13"/>
      <c r="K10" s="14"/>
    </row>
  </sheetData>
  <phoneticPr fontId="1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521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2024-11-27T07:53:41Z</dcterms:modified>
</cp:coreProperties>
</file>