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9\"/>
    </mc:Choice>
  </mc:AlternateContent>
  <xr:revisionPtr revIDLastSave="0" documentId="13_ncr:1_{EC74616D-DA28-4310-8712-CE0883EDBCF4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" i="1" l="1"/>
  <c r="B3" i="1"/>
  <c r="C12" i="1"/>
  <c r="C11" i="1"/>
  <c r="B11" i="1"/>
  <c r="C10" i="1"/>
  <c r="B12" i="1" l="1"/>
</calcChain>
</file>

<file path=xl/sharedStrings.xml><?xml version="1.0" encoding="utf-8"?>
<sst xmlns="http://schemas.openxmlformats.org/spreadsheetml/2006/main" count="13" uniqueCount="13">
  <si>
    <t>ANALYZING A SIMPLE STRUCTURED PRODUCT
$1,000 Deposit with 50% Participation in S&amp;P Increase over 5 Years</t>
  </si>
  <si>
    <t>Initial S&amp;P 500 price, S0</t>
  </si>
  <si>
    <t>&lt;-- The price of the S&amp;P 500 at PPUP issuance</t>
  </si>
  <si>
    <t>Structured exercise price, X</t>
  </si>
  <si>
    <t>Risk-free interest rate for 5 years, r</t>
  </si>
  <si>
    <t>Time to maturity, T</t>
  </si>
  <si>
    <t>Volatility of S&amp;P 500, sSP</t>
  </si>
  <si>
    <t>Participation rate</t>
  </si>
  <si>
    <t>&lt;-- Percentage of increase in the S&amp;P going to PPUP owner</t>
  </si>
  <si>
    <t>Strutured components, value today</t>
  </si>
  <si>
    <t xml:space="preserve">     Bond paying $1000 at maturity</t>
  </si>
  <si>
    <t xml:space="preserve">     Participation rate /S0*at-the-money call on S&amp;P 500</t>
  </si>
  <si>
    <t>Value of structured security today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</si>
</sst>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4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0" xfId="0" applyAlignment="1"/>
    <xf numFmtId="3" fontId="0" fillId="0" borderId="0" xfId="0" applyNumberFormat="1" applyAlignment="1"/>
    <xf numFmtId="10" fontId="0" fillId="0" borderId="0" xfId="0" applyNumberFormat="1" applyAlignment="1"/>
    <xf numFmtId="9" fontId="0" fillId="0" borderId="0" xfId="0" applyNumberFormat="1" applyAlignment="1"/>
    <xf numFmtId="2" fontId="0" fillId="0" borderId="0" xfId="0" applyNumberFormat="1" applyAlignment="1"/>
    <xf numFmtId="0" fontId="0" fillId="2" borderId="0" xfId="0" applyFill="1" applyAlignment="1"/>
    <xf numFmtId="2" fontId="0" fillId="2" borderId="0" xfId="0" applyNumberFormat="1" applyFill="1" applyAlignment="1"/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533400</xdr:colOff>
      <xdr:row>2</xdr:row>
      <xdr:rowOff>137160</xdr:rowOff>
    </xdr:from>
    <xdr:to>
      <xdr:col>16</xdr:col>
      <xdr:colOff>590551</xdr:colOff>
      <xdr:row>16</xdr:row>
      <xdr:rowOff>53340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1A580A5-C91C-26C7-4A8E-8E8BD3A502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8496300" y="533400"/>
          <a:ext cx="7360920" cy="23774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19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19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510-11"/>
      <sheetName val="Page 510-11 中文"/>
      <sheetName val="Page 513"/>
      <sheetName val="Optionfunctions"/>
      <sheetName val="Page 513 中文"/>
      <sheetName val="Page 515, top"/>
      <sheetName val="Page 515, top 中文"/>
      <sheetName val="Page 515, bottom"/>
      <sheetName val="Page 515, bottom 中文"/>
      <sheetName val="Page 516"/>
      <sheetName val="Page 516中文"/>
      <sheetName val="Page 517"/>
      <sheetName val="Page 517 中文"/>
      <sheetName val="Page 518"/>
      <sheetName val="Page 518 中文"/>
      <sheetName val="Page 520"/>
      <sheetName val="Page 520 中文"/>
      <sheetName val="Page 521"/>
      <sheetName val="Page 521 中文"/>
      <sheetName val="Page 523"/>
      <sheetName val="Page 523 中文"/>
      <sheetName val="Page 524, top"/>
      <sheetName val="Page 524, top 中文"/>
      <sheetName val="Page 524, bottom"/>
      <sheetName val="Page 524, bottom 中文"/>
      <sheetName val="Page 526, top"/>
      <sheetName val="Page 526, top 中文"/>
      <sheetName val="page 526, bottom"/>
      <sheetName val="page 526, bottom 中文"/>
      <sheetName val="Page 531"/>
      <sheetName val="Page 531 中文"/>
      <sheetName val="Page 532"/>
      <sheetName val="Page 532 中文"/>
      <sheetName val="Page 533"/>
      <sheetName val="Page 533 中文"/>
      <sheetName val="Page 535, picture"/>
      <sheetName val="Page 535, picture 中文"/>
      <sheetName val="Page 535"/>
      <sheetName val="Page 535 中文"/>
      <sheetName val="Page 537"/>
      <sheetName val="Page 537中文"/>
      <sheetName val="Page 538"/>
      <sheetName val="Page 538 中文"/>
      <sheetName val="Page 539-41"/>
      <sheetName val="Page 539-41 中文"/>
      <sheetName val="Page 540"/>
      <sheetName val="Page 540中文"/>
      <sheetName val="Page 542"/>
      <sheetName val="Page 542中文"/>
      <sheetName val="Page 543"/>
      <sheetName val="Page 543 中文"/>
      <sheetName val="Page 544"/>
      <sheetName val="Page 544 中文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/>
      <sheetData sheetId="26" refreshError="1"/>
      <sheetData sheetId="27" refreshError="1"/>
      <sheetData sheetId="28" refreshError="1"/>
      <sheetData sheetId="29">
        <row r="12">
          <cell r="B12" t="str">
            <v>Airbag definition</v>
          </cell>
        </row>
      </sheetData>
      <sheetData sheetId="30" refreshError="1"/>
      <sheetData sheetId="31">
        <row r="18">
          <cell r="A18">
            <v>1.0000000000000001E-5</v>
          </cell>
        </row>
      </sheetData>
      <sheetData sheetId="32" refreshError="1"/>
      <sheetData sheetId="33"/>
      <sheetData sheetId="34" refreshError="1"/>
      <sheetData sheetId="35" refreshError="1"/>
      <sheetData sheetId="36" refreshError="1"/>
      <sheetData sheetId="37" refreshError="1"/>
      <sheetData sheetId="38" refreshError="1"/>
      <sheetData sheetId="39"/>
      <sheetData sheetId="40" refreshError="1"/>
      <sheetData sheetId="4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BSCall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:C12"/>
  <sheetViews>
    <sheetView tabSelected="1" zoomScale="145" zoomScaleNormal="145" workbookViewId="0">
      <selection activeCell="B6" sqref="B6"/>
    </sheetView>
  </sheetViews>
  <sheetFormatPr defaultRowHeight="13.8" x14ac:dyDescent="0.25"/>
  <cols>
    <col min="1" max="1" width="51.5546875" style="3" customWidth="1"/>
    <col min="2" max="2" width="8.88671875" style="3"/>
    <col min="3" max="3" width="51" style="3" customWidth="1"/>
  </cols>
  <sheetData>
    <row r="1" spans="1:3" ht="17.399999999999999" x14ac:dyDescent="0.25">
      <c r="A1" s="1" t="s">
        <v>0</v>
      </c>
      <c r="B1" s="2"/>
      <c r="C1" s="2"/>
    </row>
    <row r="2" spans="1:3" x14ac:dyDescent="0.25">
      <c r="A2" s="3" t="s">
        <v>1</v>
      </c>
      <c r="B2" s="4">
        <v>950</v>
      </c>
      <c r="C2" s="3" t="s">
        <v>2</v>
      </c>
    </row>
    <row r="3" spans="1:3" x14ac:dyDescent="0.25">
      <c r="A3" s="3" t="s">
        <v>3</v>
      </c>
      <c r="B3" s="4">
        <f>B2</f>
        <v>950</v>
      </c>
    </row>
    <row r="4" spans="1:3" x14ac:dyDescent="0.25">
      <c r="A4" s="3" t="s">
        <v>4</v>
      </c>
      <c r="B4" s="5">
        <v>0.05</v>
      </c>
    </row>
    <row r="5" spans="1:3" x14ac:dyDescent="0.25">
      <c r="A5" s="3" t="s">
        <v>5</v>
      </c>
      <c r="B5" s="3">
        <v>5</v>
      </c>
    </row>
    <row r="6" spans="1:3" x14ac:dyDescent="0.25">
      <c r="A6" s="3" t="s">
        <v>6</v>
      </c>
      <c r="B6" s="6">
        <v>0.25</v>
      </c>
    </row>
    <row r="7" spans="1:3" x14ac:dyDescent="0.25">
      <c r="A7" s="3" t="s">
        <v>7</v>
      </c>
      <c r="B7" s="6">
        <v>0.5</v>
      </c>
      <c r="C7" s="3" t="s">
        <v>8</v>
      </c>
    </row>
    <row r="9" spans="1:3" x14ac:dyDescent="0.25">
      <c r="A9" s="3" t="s">
        <v>9</v>
      </c>
    </row>
    <row r="10" spans="1:3" x14ac:dyDescent="0.25">
      <c r="A10" s="3" t="s">
        <v>10</v>
      </c>
      <c r="B10" s="7">
        <f>EXP(-B4*B5)*1000</f>
        <v>778.80078307140491</v>
      </c>
      <c r="C10" s="3" t="str">
        <f ca="1">_xlfn.FORMULATEXT(B10)</f>
        <v>=EXP(-B4*B5)*1000</v>
      </c>
    </row>
    <row r="11" spans="1:3" x14ac:dyDescent="0.25">
      <c r="A11" s="3" t="s">
        <v>11</v>
      </c>
      <c r="B11" s="7">
        <f>1000*B7/B2*[2]!BSCall(B2,B3,B5,B4,B6)</f>
        <v>162.51965997607712</v>
      </c>
      <c r="C11" s="3" t="str">
        <f ca="1">_xlfn.FORMULATEXT(B11)</f>
        <v>=1000*B7/B2*BSCall(B2,B3,B5,B4,B6)</v>
      </c>
    </row>
    <row r="12" spans="1:3" x14ac:dyDescent="0.25">
      <c r="A12" s="8" t="s">
        <v>12</v>
      </c>
      <c r="B12" s="9">
        <f>SUM(B10:B11)</f>
        <v>941.32044304748206</v>
      </c>
      <c r="C12" s="3" t="str">
        <f ca="1">_xlfn.FORMULATEXT(B12)</f>
        <v>=SUM(B10:B11)</v>
      </c>
    </row>
  </sheetData>
  <mergeCells count="1">
    <mergeCell ref="A1:C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2024-11-28T09:40:18Z</dcterms:modified>
</cp:coreProperties>
</file>