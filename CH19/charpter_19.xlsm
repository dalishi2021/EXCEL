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2FDD7411-65D3-429A-91B0-C2EC876B101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2" i="1" s="1"/>
  <c r="B14" i="1" s="1"/>
  <c r="B16" i="1" s="1"/>
  <c r="B17" i="1" s="1"/>
  <c r="B10" i="1"/>
  <c r="A7" i="1"/>
  <c r="B5" i="1"/>
  <c r="C28" i="1"/>
  <c r="C26" i="1"/>
  <c r="B26" i="1"/>
  <c r="C17" i="1"/>
  <c r="C16" i="1"/>
  <c r="C14" i="1"/>
  <c r="C11" i="1"/>
  <c r="C5" i="1"/>
  <c r="B28" i="1" l="1"/>
</calcChain>
</file>

<file path=xl/sharedStrings.xml><?xml version="1.0" encoding="utf-8"?>
<sst xmlns="http://schemas.openxmlformats.org/spreadsheetml/2006/main" count="26" uniqueCount="26">
  <si>
    <t>PRICING THE UBS GOALS IMPLICIT PUT</t>
  </si>
  <si>
    <t>Annual risk-free rate</t>
  </si>
  <si>
    <t>Coupon rate</t>
  </si>
  <si>
    <t>Initial cost</t>
  </si>
  <si>
    <t>Conversion ratio:  # of shares of Cisco
received if share price is low</t>
  </si>
  <si>
    <t>Fixed payments</t>
  </si>
  <si>
    <t>Date</t>
  </si>
  <si>
    <t>Cash flow</t>
  </si>
  <si>
    <t>PV of Goals bond component</t>
  </si>
  <si>
    <t>Value of 25.641 puts embedded in Goals</t>
  </si>
  <si>
    <t>Value per put</t>
  </si>
  <si>
    <r>
      <t xml:space="preserve">This is what UBS is </t>
    </r>
    <r>
      <rPr>
        <i/>
        <sz val="10"/>
        <rFont val="Arial"/>
        <family val="2"/>
      </rPr>
      <t>paying</t>
    </r>
    <r>
      <rPr>
        <sz val="10"/>
        <rFont val="Arial"/>
        <family val="2"/>
      </rPr>
      <t xml:space="preserve"> the Goals purchaser for the embedded puts.</t>
    </r>
  </si>
  <si>
    <t>Valuing the puts with Black-Scholes</t>
  </si>
  <si>
    <t>S</t>
  </si>
  <si>
    <t>Current stock price</t>
  </si>
  <si>
    <t>X</t>
  </si>
  <si>
    <t>Exercise price</t>
  </si>
  <si>
    <t>r</t>
  </si>
  <si>
    <t>Risk-free interest rate</t>
  </si>
  <si>
    <t>T</t>
  </si>
  <si>
    <t>Time to maturity of option (in years)</t>
  </si>
  <si>
    <t>Sigma</t>
  </si>
  <si>
    <t>Stock volatility</t>
  </si>
  <si>
    <t>Put price</t>
  </si>
  <si>
    <t>Is the Goals a good buy?</t>
  </si>
  <si>
    <r>
      <t>Technical note</t>
    </r>
    <r>
      <rPr>
        <sz val="10"/>
        <rFont val="Arial"/>
        <family val="2"/>
      </rPr>
      <t xml:space="preserve">:  For didactic clarity, the computations use 5.2% as the interest rate for valuing both the bond component of the Goals (rows 10-14) and for the option valuation.  Given a 2.6% semi-annual discrete interest rate, it would be technically more correct to use an equivalent continuously-compounded interest rate of </t>
    </r>
    <r>
      <rPr>
        <b/>
        <sz val="10"/>
        <rFont val="Arial"/>
        <family val="2"/>
      </rPr>
      <t>LN((1.026)^2)</t>
    </r>
    <r>
      <rPr>
        <sz val="10"/>
        <rFont val="Arial"/>
        <family val="2"/>
      </rPr>
      <t xml:space="preserve"> in the option computations.  The reader can confirm that the effect of this correction is negligible.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</si>
</sst>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10" fontId="0" fillId="0" borderId="0" xfId="0" applyNumberFormat="1" applyAlignment="1"/>
    <xf numFmtId="3" fontId="0" fillId="0" borderId="0" xfId="0" applyNumberFormat="1" applyAlignment="1"/>
    <xf numFmtId="0" fontId="0" fillId="0" borderId="0" xfId="0" applyAlignment="1">
      <alignment wrapText="1"/>
    </xf>
    <xf numFmtId="176" fontId="0" fillId="0" borderId="0" xfId="0" applyNumberFormat="1" applyAlignment="1"/>
    <xf numFmtId="0" fontId="4" fillId="0" borderId="0" xfId="0" applyFont="1" applyAlignment="1"/>
    <xf numFmtId="9" fontId="6" fillId="0" borderId="0" xfId="2" applyFont="1" applyAlignment="1">
      <alignment horizontal="center"/>
    </xf>
    <xf numFmtId="0" fontId="6" fillId="0" borderId="0" xfId="0" applyFont="1" applyAlignment="1"/>
    <xf numFmtId="15" fontId="0" fillId="0" borderId="0" xfId="0" applyNumberFormat="1" applyAlignment="1">
      <alignment horizontal="center"/>
    </xf>
    <xf numFmtId="39" fontId="2" fillId="0" borderId="0" xfId="1" applyNumberFormat="1" applyAlignment="1"/>
    <xf numFmtId="43" fontId="2" fillId="0" borderId="0" xfId="1" applyAlignment="1"/>
    <xf numFmtId="0" fontId="6" fillId="2" borderId="0" xfId="0" applyFont="1" applyFill="1" applyAlignment="1"/>
    <xf numFmtId="4" fontId="6" fillId="2" borderId="0" xfId="0" applyNumberFormat="1" applyFont="1" applyFill="1" applyAlignment="1"/>
    <xf numFmtId="4" fontId="0" fillId="0" borderId="0" xfId="0" applyNumberFormat="1" applyAlignment="1"/>
    <xf numFmtId="2" fontId="6" fillId="2" borderId="0" xfId="0" applyNumberFormat="1" applyFont="1" applyFill="1" applyAlignment="1"/>
    <xf numFmtId="9" fontId="2" fillId="0" borderId="0" xfId="2" applyAlignment="1"/>
    <xf numFmtId="0" fontId="2" fillId="0" borderId="0" xfId="2" applyNumberFormat="1" applyAlignment="1"/>
    <xf numFmtId="9" fontId="5" fillId="0" borderId="0" xfId="2" applyFont="1" applyAlignment="1"/>
    <xf numFmtId="10" fontId="2" fillId="0" borderId="0" xfId="2" applyNumberFormat="1" applyAlignment="1"/>
    <xf numFmtId="0" fontId="5" fillId="0" borderId="0" xfId="2" applyNumberFormat="1" applyFont="1" applyAlignment="1"/>
    <xf numFmtId="9" fontId="6" fillId="2" borderId="0" xfId="2" applyFont="1" applyFill="1" applyAlignment="1"/>
    <xf numFmtId="9" fontId="5" fillId="2" borderId="0" xfId="2" applyFont="1" applyFill="1" applyAlignment="1"/>
    <xf numFmtId="0" fontId="0" fillId="2" borderId="0" xfId="0" applyFill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426720</xdr:colOff>
      <xdr:row>3</xdr:row>
      <xdr:rowOff>68580</xdr:rowOff>
    </xdr:from>
    <xdr:to>
      <xdr:col>14</xdr:col>
      <xdr:colOff>287655</xdr:colOff>
      <xdr:row>38</xdr:row>
      <xdr:rowOff>91440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DAC3A5-4A7C-C08D-5B08-46A77EAD1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995160" y="640080"/>
          <a:ext cx="5356860" cy="63855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>
        <row r="12">
          <cell r="B12" t="str">
            <v>Airbag definition</v>
          </cell>
        </row>
      </sheetData>
      <sheetData sheetId="30" refreshError="1"/>
      <sheetData sheetId="31">
        <row r="18">
          <cell r="A18">
            <v>1.0000000000000001E-5</v>
          </cell>
        </row>
      </sheetData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30"/>
  <sheetViews>
    <sheetView tabSelected="1" zoomScale="145" zoomScaleNormal="145" workbookViewId="0">
      <selection activeCell="R6" sqref="R6"/>
    </sheetView>
  </sheetViews>
  <sheetFormatPr defaultRowHeight="13.8" x14ac:dyDescent="0.25"/>
  <cols>
    <col min="1" max="1" width="35.88671875" style="2" customWidth="1"/>
    <col min="2" max="2" width="9.44140625" style="2" bestFit="1" customWidth="1"/>
    <col min="3" max="3" width="32.6640625" style="2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5.1999999999999998E-2</v>
      </c>
    </row>
    <row r="3" spans="1:3" x14ac:dyDescent="0.25">
      <c r="A3" s="2" t="s">
        <v>2</v>
      </c>
      <c r="B3" s="3">
        <v>0.19500000000000001</v>
      </c>
    </row>
    <row r="4" spans="1:3" x14ac:dyDescent="0.25">
      <c r="A4" s="2" t="s">
        <v>3</v>
      </c>
      <c r="B4" s="4">
        <v>1000</v>
      </c>
    </row>
    <row r="5" spans="1:3" ht="27.6" x14ac:dyDescent="0.25">
      <c r="A5" s="5" t="s">
        <v>4</v>
      </c>
      <c r="B5" s="6">
        <f>1000/39</f>
        <v>25.641025641025642</v>
      </c>
      <c r="C5" s="2" t="str">
        <f ca="1">[2]!getformula(B5)</f>
        <v>&lt;--  =1000/39</v>
      </c>
    </row>
    <row r="6" spans="1:3" x14ac:dyDescent="0.25">
      <c r="B6" s="4"/>
    </row>
    <row r="7" spans="1:3" ht="15.6" x14ac:dyDescent="0.3">
      <c r="A7" s="7" t="str">
        <f>"Valuing the fixed payments at "&amp;TEXT(B2,"0.00%")</f>
        <v>Valuing the fixed payments at 5.20%</v>
      </c>
    </row>
    <row r="8" spans="1:3" x14ac:dyDescent="0.25">
      <c r="A8" s="2" t="s">
        <v>5</v>
      </c>
    </row>
    <row r="9" spans="1:3" x14ac:dyDescent="0.25">
      <c r="A9" s="8" t="s">
        <v>6</v>
      </c>
      <c r="B9" s="9" t="s">
        <v>7</v>
      </c>
    </row>
    <row r="10" spans="1:3" x14ac:dyDescent="0.25">
      <c r="A10" s="10">
        <v>36914</v>
      </c>
      <c r="B10" s="11">
        <f>-B4</f>
        <v>-1000</v>
      </c>
    </row>
    <row r="11" spans="1:3" x14ac:dyDescent="0.25">
      <c r="A11" s="10">
        <v>37095</v>
      </c>
      <c r="B11" s="12">
        <f>$B$3*B4/2</f>
        <v>97.5</v>
      </c>
      <c r="C11" s="2" t="str">
        <f ca="1">[2]!getformula(B11)</f>
        <v>&lt;--  =$B$3*B4/2</v>
      </c>
    </row>
    <row r="12" spans="1:3" x14ac:dyDescent="0.25">
      <c r="A12" s="10">
        <v>37279</v>
      </c>
      <c r="B12" s="12">
        <f>B11</f>
        <v>97.5</v>
      </c>
    </row>
    <row r="13" spans="1:3" x14ac:dyDescent="0.25">
      <c r="A13" s="10">
        <v>37460</v>
      </c>
      <c r="B13" s="12">
        <v>1097.5</v>
      </c>
    </row>
    <row r="14" spans="1:3" x14ac:dyDescent="0.25">
      <c r="A14" s="13" t="s">
        <v>8</v>
      </c>
      <c r="B14" s="14">
        <f>XNPV(B2,B10:B13,A10:A13)</f>
        <v>205.11253630735916</v>
      </c>
      <c r="C14" s="2" t="str">
        <f ca="1">[2]!getformula(B14)</f>
        <v>&lt;--  =XNPV(B2,B10:B13,A10:A13)</v>
      </c>
    </row>
    <row r="16" spans="1:3" x14ac:dyDescent="0.25">
      <c r="A16" s="2" t="s">
        <v>9</v>
      </c>
      <c r="B16" s="15">
        <f>B14</f>
        <v>205.11253630735916</v>
      </c>
      <c r="C16" s="2" t="str">
        <f ca="1">[2]!getformula(B16)</f>
        <v>&lt;--  =B14</v>
      </c>
    </row>
    <row r="17" spans="1:3" x14ac:dyDescent="0.25">
      <c r="A17" s="13" t="s">
        <v>10</v>
      </c>
      <c r="B17" s="16">
        <f>B16/25.641</f>
        <v>7.9993969153839233</v>
      </c>
      <c r="C17" s="2" t="str">
        <f ca="1">[2]!getformula(B17)</f>
        <v>&lt;--  =B16/25.641</v>
      </c>
    </row>
    <row r="18" spans="1:3" x14ac:dyDescent="0.25">
      <c r="A18" s="2" t="s">
        <v>11</v>
      </c>
    </row>
    <row r="20" spans="1:3" ht="15.6" x14ac:dyDescent="0.3">
      <c r="A20" s="7" t="s">
        <v>12</v>
      </c>
    </row>
    <row r="21" spans="1:3" x14ac:dyDescent="0.25">
      <c r="A21" s="17" t="s">
        <v>13</v>
      </c>
      <c r="B21" s="18">
        <v>42.625</v>
      </c>
      <c r="C21" s="19" t="s">
        <v>14</v>
      </c>
    </row>
    <row r="22" spans="1:3" x14ac:dyDescent="0.25">
      <c r="A22" s="17" t="s">
        <v>15</v>
      </c>
      <c r="B22" s="18">
        <v>39</v>
      </c>
      <c r="C22" s="19" t="s">
        <v>16</v>
      </c>
    </row>
    <row r="23" spans="1:3" x14ac:dyDescent="0.25">
      <c r="A23" s="17" t="s">
        <v>17</v>
      </c>
      <c r="B23" s="20">
        <v>5.1999999999999998E-2</v>
      </c>
      <c r="C23" s="19" t="s">
        <v>18</v>
      </c>
    </row>
    <row r="24" spans="1:3" x14ac:dyDescent="0.25">
      <c r="A24" s="17" t="s">
        <v>19</v>
      </c>
      <c r="B24" s="21">
        <v>1.5</v>
      </c>
      <c r="C24" s="19" t="s">
        <v>20</v>
      </c>
    </row>
    <row r="25" spans="1:3" x14ac:dyDescent="0.25">
      <c r="A25" s="19" t="s">
        <v>21</v>
      </c>
      <c r="B25" s="19">
        <v>0.8</v>
      </c>
      <c r="C25" s="19" t="s">
        <v>22</v>
      </c>
    </row>
    <row r="26" spans="1:3" x14ac:dyDescent="0.25">
      <c r="A26" s="22" t="s">
        <v>23</v>
      </c>
      <c r="B26" s="16">
        <f>[2]!BSPut(B21,B22,B24,B23,B25)</f>
        <v>11.708353210745344</v>
      </c>
      <c r="C26" s="2" t="str">
        <f ca="1">[2]!getformula(B26)</f>
        <v>&lt;--  =BSPut(B21,B22,B24,B23,B25)</v>
      </c>
    </row>
    <row r="28" spans="1:3" x14ac:dyDescent="0.25">
      <c r="A28" s="23" t="s">
        <v>24</v>
      </c>
      <c r="B28" s="24" t="str">
        <f>IF(B17&gt;B26,"Yes","No")</f>
        <v>No</v>
      </c>
      <c r="C28" s="2" t="str">
        <f ca="1">[2]!getformula(B28)</f>
        <v>&lt;--  =IF(B17&gt;B26,"Yes","No")</v>
      </c>
    </row>
    <row r="30" spans="1:3" x14ac:dyDescent="0.25">
      <c r="A30" s="25" t="s">
        <v>25</v>
      </c>
      <c r="B30" s="26"/>
      <c r="C30" s="26"/>
    </row>
  </sheetData>
  <mergeCells count="2">
    <mergeCell ref="A1:C1"/>
    <mergeCell ref="A30:C3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2024-11-28T09:40:04Z</dcterms:modified>
</cp:coreProperties>
</file>