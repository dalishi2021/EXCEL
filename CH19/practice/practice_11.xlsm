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11D5A2E8-C03D-4873-8194-2306F14452C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Sheet1!$A$1:$K$36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1" l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B7" i="1"/>
  <c r="B10" i="1" s="1"/>
  <c r="H6" i="1"/>
  <c r="H5" i="1"/>
  <c r="H4" i="1"/>
  <c r="C14" i="1"/>
  <c r="C13" i="1"/>
  <c r="B8" i="1" l="1"/>
  <c r="B11" i="1" s="1"/>
  <c r="B13" i="1" s="1"/>
  <c r="F3" i="1" l="1"/>
  <c r="B14" i="1"/>
  <c r="G3" i="1" s="1"/>
  <c r="B16" i="1" l="1"/>
</calcChain>
</file>

<file path=xl/sharedStrings.xml><?xml version="1.0" encoding="utf-8"?>
<sst xmlns="http://schemas.openxmlformats.org/spreadsheetml/2006/main" count="25" uniqueCount="23">
  <si>
    <t>Black-Scholes option pricing formula</t>
  </si>
  <si>
    <t>Ratio of S/X</t>
  </si>
  <si>
    <t>S/X</t>
  </si>
  <si>
    <t>C/X</t>
  </si>
  <si>
    <t>P/X</t>
  </si>
  <si>
    <t>difference</t>
  </si>
  <si>
    <t>&lt;-- Table header hidden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</si>
  <si>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</si>
  <si>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</si>
  <si>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</si>
  <si>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</si>
  <si>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</si>
  <si>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</si>
  <si>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</si>
  <si>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</si>
  <si>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</si>
  <si>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</si>
  <si>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</si>
  <si>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</si>
  <si>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</si>
  <si>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</si>
  <si>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Absolute difference between C/X and P/X</t>
  </si>
  <si>
    <t>&lt;-- Use Solver to set this = 0 by varying cell B3.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</si>
</sst>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5" fillId="0" borderId="0" xfId="1" applyFont="1" applyAlignment="1">
      <alignment horizontal="centerContinuous"/>
    </xf>
    <xf numFmtId="0" fontId="0" fillId="0" borderId="0" xfId="0" applyAlignment="1"/>
    <xf numFmtId="9" fontId="3" fillId="0" borderId="0" xfId="1" applyFont="1" applyAlignment="1">
      <alignment horizontal="left"/>
    </xf>
    <xf numFmtId="0" fontId="3" fillId="0" borderId="0" xfId="1" applyNumberFormat="1" applyFont="1" applyAlignment="1">
      <alignment horizontal="right"/>
    </xf>
    <xf numFmtId="0" fontId="3" fillId="0" borderId="0" xfId="0" applyFont="1" applyAlignment="1">
      <alignment horizontal="left"/>
    </xf>
    <xf numFmtId="176" fontId="0" fillId="0" borderId="0" xfId="0" applyNumberFormat="1" applyAlignment="1"/>
    <xf numFmtId="9" fontId="0" fillId="0" borderId="0" xfId="1" applyFont="1" applyAlignment="1"/>
    <xf numFmtId="10" fontId="0" fillId="0" borderId="0" xfId="1" applyNumberFormat="1" applyFont="1" applyAlignment="1"/>
    <xf numFmtId="0" fontId="0" fillId="0" borderId="0" xfId="1" applyNumberFormat="1" applyFont="1" applyAlignment="1"/>
    <xf numFmtId="177" fontId="0" fillId="0" borderId="0" xfId="1" quotePrefix="1" applyNumberFormat="1" applyFont="1" applyAlignment="1"/>
    <xf numFmtId="177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</cellXfs>
  <cellStyles count="2">
    <cellStyle name="百分比" xfId="1" builtinId="5"/>
    <cellStyle name="常规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C/X as a function of S/X</a:t>
            </a:r>
          </a:p>
        </c:rich>
      </c:tx>
      <c:layout>
        <c:manualLayout>
          <c:xMode val="edge"/>
          <c:yMode val="edge"/>
          <c:x val="0.29787260580030805"/>
          <c:y val="4.4280692789507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70243504617253"/>
          <c:y val="0.10332121937200792"/>
          <c:w val="0.6329795454043714"/>
          <c:h val="0.778599188839059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C/X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Sheet1!$E$3:$E$23</c:f>
              <c:numCache>
                <c:formatCode>General</c:formatCode>
                <c:ptCount val="21"/>
                <c:pt idx="1">
                  <c:v>1E-4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1.1000000000000001</c:v>
                </c:pt>
                <c:pt idx="13">
                  <c:v>1.2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1.6</c:v>
                </c:pt>
                <c:pt idx="18">
                  <c:v>1.7</c:v>
                </c:pt>
                <c:pt idx="19">
                  <c:v>1.8</c:v>
                </c:pt>
                <c:pt idx="20">
                  <c:v>1.9</c:v>
                </c:pt>
              </c:numCache>
            </c:numRef>
          </c:xVal>
          <c:yVal>
            <c:numRef>
              <c:f>Sheet1!$F$3:$F$23</c:f>
              <c:numCache>
                <c:formatCode>General</c:formatCode>
                <c:ptCount val="21"/>
                <c:pt idx="0" formatCode=";;">
                  <c:v>6.6996954930198138E-2</c:v>
                </c:pt>
                <c:pt idx="1">
                  <c:v>0</c:v>
                </c:pt>
                <c:pt idx="2">
                  <c:v>7.2226726192387929E-40</c:v>
                </c:pt>
                <c:pt idx="3">
                  <c:v>4.7973647704957043E-21</c:v>
                </c:pt>
                <c:pt idx="4">
                  <c:v>4.6047974941147546E-13</c:v>
                </c:pt>
                <c:pt idx="5">
                  <c:v>9.8577289965383659E-9</c:v>
                </c:pt>
                <c:pt idx="6">
                  <c:v>4.0651017735230765E-6</c:v>
                </c:pt>
                <c:pt idx="7">
                  <c:v>1.9066866470513356E-4</c:v>
                </c:pt>
                <c:pt idx="8">
                  <c:v>2.4151301810478656E-3</c:v>
                </c:pt>
                <c:pt idx="9">
                  <c:v>1.3325998188141203E-2</c:v>
                </c:pt>
                <c:pt idx="10">
                  <c:v>4.2739868135927395E-2</c:v>
                </c:pt>
                <c:pt idx="11">
                  <c:v>9.5822350605031414E-2</c:v>
                </c:pt>
                <c:pt idx="12">
                  <c:v>0.16962863603185629</c:v>
                </c:pt>
                <c:pt idx="13">
                  <c:v>0.25709024236548617</c:v>
                </c:pt>
                <c:pt idx="14">
                  <c:v>0.35180955335363751</c:v>
                </c:pt>
                <c:pt idx="15">
                  <c:v>0.44980406074148305</c:v>
                </c:pt>
                <c:pt idx="16">
                  <c:v>0.54910254014763138</c:v>
                </c:pt>
                <c:pt idx="17">
                  <c:v>0.64887252037250243</c:v>
                </c:pt>
                <c:pt idx="18">
                  <c:v>0.74880080951763761</c:v>
                </c:pt>
                <c:pt idx="19">
                  <c:v>0.84877930670017576</c:v>
                </c:pt>
                <c:pt idx="20">
                  <c:v>0.94877304744223467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2-420E-9F38-C62B949F639F}"/>
            </c:ext>
          </c:extLst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P/X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Sheet1!$E$3:$E$23</c:f>
              <c:numCache>
                <c:formatCode>General</c:formatCode>
                <c:ptCount val="21"/>
                <c:pt idx="1">
                  <c:v>1E-4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1.1000000000000001</c:v>
                </c:pt>
                <c:pt idx="13">
                  <c:v>1.2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1.6</c:v>
                </c:pt>
                <c:pt idx="18">
                  <c:v>1.7</c:v>
                </c:pt>
                <c:pt idx="19">
                  <c:v>1.8</c:v>
                </c:pt>
                <c:pt idx="20">
                  <c:v>1.9</c:v>
                </c:pt>
              </c:numCache>
            </c:numRef>
          </c:xVal>
          <c:yVal>
            <c:numRef>
              <c:f>Sheet1!$G$3:$G$23</c:f>
              <c:numCache>
                <c:formatCode>General</c:formatCode>
                <c:ptCount val="21"/>
                <c:pt idx="0" formatCode=";;">
                  <c:v>6.6996982405304328E-2</c:v>
                </c:pt>
                <c:pt idx="1">
                  <c:v>0.95112942450071403</c:v>
                </c:pt>
                <c:pt idx="2">
                  <c:v>0.85122942450071404</c:v>
                </c:pt>
                <c:pt idx="3">
                  <c:v>0.75122942450071406</c:v>
                </c:pt>
                <c:pt idx="4">
                  <c:v>0.6512294245011746</c:v>
                </c:pt>
                <c:pt idx="5">
                  <c:v>0.55122943435844296</c:v>
                </c:pt>
                <c:pt idx="6">
                  <c:v>0.4512334896024876</c:v>
                </c:pt>
                <c:pt idx="7">
                  <c:v>0.35142009316541911</c:v>
                </c:pt>
                <c:pt idx="8">
                  <c:v>0.25364455468176195</c:v>
                </c:pt>
                <c:pt idx="9">
                  <c:v>0.16455542268885515</c:v>
                </c:pt>
                <c:pt idx="10">
                  <c:v>9.3969292636641444E-2</c:v>
                </c:pt>
                <c:pt idx="11">
                  <c:v>4.705177510574543E-2</c:v>
                </c:pt>
                <c:pt idx="12">
                  <c:v>2.0858060532570305E-2</c:v>
                </c:pt>
                <c:pt idx="13">
                  <c:v>8.3196668662001427E-3</c:v>
                </c:pt>
                <c:pt idx="14">
                  <c:v>3.0389778543515808E-3</c:v>
                </c:pt>
                <c:pt idx="15">
                  <c:v>1.0334852421972768E-3</c:v>
                </c:pt>
                <c:pt idx="16">
                  <c:v>3.3196464834549157E-4</c:v>
                </c:pt>
                <c:pt idx="17">
                  <c:v>1.0194487321623941E-4</c:v>
                </c:pt>
                <c:pt idx="18">
                  <c:v>3.0234018351534345E-5</c:v>
                </c:pt>
                <c:pt idx="19">
                  <c:v>8.7312008898145167E-6</c:v>
                </c:pt>
                <c:pt idx="20">
                  <c:v>2.4719429486438674E-6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2-420E-9F38-C62B949F6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29256"/>
        <c:axId val="1"/>
      </c:scatterChart>
      <c:valAx>
        <c:axId val="688929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S/X</a:t>
                </a:r>
              </a:p>
            </c:rich>
          </c:tx>
          <c:layout>
            <c:manualLayout>
              <c:xMode val="edge"/>
              <c:yMode val="edge"/>
              <c:x val="0.51861754625713108"/>
              <c:y val="0.88930039718486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C/X</a:t>
                </a:r>
              </a:p>
            </c:rich>
          </c:tx>
          <c:layout>
            <c:manualLayout>
              <c:xMode val="edge"/>
              <c:yMode val="edge"/>
              <c:x val="5.3191362443330947E-2"/>
              <c:y val="0.44280537941606857"/>
            </c:manualLayout>
          </c:layout>
          <c:overlay val="0"/>
          <c:spPr>
            <a:noFill/>
            <a:ln w="25400">
              <a:noFill/>
            </a:ln>
          </c:spPr>
        </c:title>
        <c:numFmt formatCode=";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88929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51174594911179"/>
          <c:y val="0.37638453379168307"/>
          <c:w val="0.17287260580030805"/>
          <c:h val="0.15867186955612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1657350</xdr:colOff>
      <xdr:row>19</xdr:row>
      <xdr:rowOff>133350</xdr:rowOff>
    </xdr:from>
    <xdr:to>
      <xdr:col>2</xdr:col>
      <xdr:colOff>2590800</xdr:colOff>
      <xdr:row>34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3E7936C-8276-47FB-93F4-84569EEE8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480391</xdr:colOff>
      <xdr:row>6</xdr:row>
      <xdr:rowOff>76200</xdr:rowOff>
    </xdr:from>
    <xdr:to>
      <xdr:col>29</xdr:col>
      <xdr:colOff>378018</xdr:colOff>
      <xdr:row>43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FDB9735-A462-F76C-B282-E4ED2798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72021" y="1161222"/>
          <a:ext cx="10930062" cy="645877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>
        <row r="18">
          <cell r="A18">
            <v>1E-4</v>
          </cell>
        </row>
      </sheetData>
      <sheetData sheetId="21" refreshError="1"/>
      <sheetData sheetId="22">
        <row r="2">
          <cell r="F2" t="str">
            <v>C/X</v>
          </cell>
          <cell r="G2" t="str">
            <v>P/X</v>
          </cell>
        </row>
        <row r="3">
          <cell r="F3">
            <v>6.6996954930198138E-2</v>
          </cell>
          <cell r="G3">
            <v>6.6996982405304328E-2</v>
          </cell>
        </row>
        <row r="4">
          <cell r="E4">
            <v>1E-4</v>
          </cell>
          <cell r="F4">
            <v>0</v>
          </cell>
          <cell r="G4">
            <v>0.95112942450071403</v>
          </cell>
        </row>
        <row r="5">
          <cell r="E5">
            <v>0.1</v>
          </cell>
          <cell r="F5">
            <v>7.2226726192387929E-40</v>
          </cell>
          <cell r="G5">
            <v>0.85122942450071404</v>
          </cell>
        </row>
        <row r="6">
          <cell r="E6">
            <v>0.2</v>
          </cell>
          <cell r="F6">
            <v>4.7973647704957043E-21</v>
          </cell>
          <cell r="G6">
            <v>0.75122942450071406</v>
          </cell>
        </row>
        <row r="7">
          <cell r="E7">
            <v>0.3</v>
          </cell>
          <cell r="F7">
            <v>4.6047974941147546E-13</v>
          </cell>
          <cell r="G7">
            <v>0.6512294245011746</v>
          </cell>
        </row>
        <row r="8">
          <cell r="E8">
            <v>0.4</v>
          </cell>
          <cell r="F8">
            <v>9.8577289965383659E-9</v>
          </cell>
          <cell r="G8">
            <v>0.55122943435844296</v>
          </cell>
        </row>
        <row r="9">
          <cell r="E9">
            <v>0.5</v>
          </cell>
          <cell r="F9">
            <v>4.0651017735230765E-6</v>
          </cell>
          <cell r="G9">
            <v>0.4512334896024876</v>
          </cell>
        </row>
        <row r="10">
          <cell r="E10">
            <v>0.6</v>
          </cell>
          <cell r="F10">
            <v>1.9066866470513356E-4</v>
          </cell>
          <cell r="G10">
            <v>0.35142009316541911</v>
          </cell>
        </row>
        <row r="11">
          <cell r="E11">
            <v>0.7</v>
          </cell>
          <cell r="F11">
            <v>2.4151301810478656E-3</v>
          </cell>
          <cell r="G11">
            <v>0.25364455468176195</v>
          </cell>
        </row>
        <row r="12">
          <cell r="E12">
            <v>0.8</v>
          </cell>
          <cell r="F12">
            <v>1.3325998188141203E-2</v>
          </cell>
          <cell r="G12">
            <v>0.16455542268885515</v>
          </cell>
        </row>
        <row r="13">
          <cell r="E13">
            <v>0.9</v>
          </cell>
          <cell r="F13">
            <v>4.2739868135927395E-2</v>
          </cell>
          <cell r="G13">
            <v>9.3969292636641444E-2</v>
          </cell>
        </row>
        <row r="14">
          <cell r="E14">
            <v>1</v>
          </cell>
          <cell r="F14">
            <v>9.5822350605031414E-2</v>
          </cell>
          <cell r="G14">
            <v>4.705177510574543E-2</v>
          </cell>
        </row>
        <row r="15">
          <cell r="E15">
            <v>1.1000000000000001</v>
          </cell>
          <cell r="F15">
            <v>0.16962863603185629</v>
          </cell>
          <cell r="G15">
            <v>2.0858060532570305E-2</v>
          </cell>
        </row>
        <row r="16">
          <cell r="E16">
            <v>1.2</v>
          </cell>
          <cell r="F16">
            <v>0.25709024236548617</v>
          </cell>
          <cell r="G16">
            <v>8.3196668662001427E-3</v>
          </cell>
        </row>
        <row r="17">
          <cell r="E17">
            <v>1.3</v>
          </cell>
          <cell r="F17">
            <v>0.35180955335363751</v>
          </cell>
          <cell r="G17">
            <v>3.0389778543515808E-3</v>
          </cell>
        </row>
        <row r="18">
          <cell r="E18">
            <v>1.4</v>
          </cell>
          <cell r="F18">
            <v>0.44980406074148305</v>
          </cell>
          <cell r="G18">
            <v>1.0334852421972768E-3</v>
          </cell>
        </row>
        <row r="19">
          <cell r="E19">
            <v>1.5</v>
          </cell>
          <cell r="F19">
            <v>0.54910254014763138</v>
          </cell>
          <cell r="G19">
            <v>3.3196464834549157E-4</v>
          </cell>
        </row>
        <row r="20">
          <cell r="E20">
            <v>1.6</v>
          </cell>
          <cell r="F20">
            <v>0.64887252037250243</v>
          </cell>
          <cell r="G20">
            <v>1.0194487321623941E-4</v>
          </cell>
        </row>
        <row r="21">
          <cell r="E21">
            <v>1.7</v>
          </cell>
          <cell r="F21">
            <v>0.74880080951763761</v>
          </cell>
          <cell r="G21">
            <v>3.0234018351534345E-5</v>
          </cell>
        </row>
        <row r="22">
          <cell r="E22">
            <v>1.8</v>
          </cell>
          <cell r="F22">
            <v>0.84877930670017576</v>
          </cell>
          <cell r="G22">
            <v>8.7312008898145167E-6</v>
          </cell>
        </row>
        <row r="23">
          <cell r="E23">
            <v>1.9</v>
          </cell>
          <cell r="F23">
            <v>0.94877304744223467</v>
          </cell>
          <cell r="G23">
            <v>2.4719429486438674E-6</v>
          </cell>
        </row>
      </sheetData>
      <sheetData sheetId="23" refreshError="1"/>
      <sheetData sheetId="24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K23"/>
  <sheetViews>
    <sheetView tabSelected="1" zoomScale="115" zoomScaleNormal="115" workbookViewId="0">
      <selection activeCell="H28" sqref="H28"/>
    </sheetView>
  </sheetViews>
  <sheetFormatPr defaultRowHeight="13.8" x14ac:dyDescent="0.25"/>
  <cols>
    <col min="1" max="1" width="36.44140625" style="3" customWidth="1"/>
    <col min="2" max="2" width="8.88671875" style="3"/>
    <col min="3" max="3" width="42.109375" style="3" bestFit="1" customWidth="1"/>
    <col min="4" max="11" width="8.88671875" style="3"/>
  </cols>
  <sheetData>
    <row r="1" spans="1:11" ht="17.399999999999999" x14ac:dyDescent="0.3">
      <c r="A1" s="1" t="s">
        <v>0</v>
      </c>
      <c r="B1" s="1"/>
      <c r="C1" s="1"/>
      <c r="D1" s="2"/>
      <c r="E1" s="2"/>
      <c r="F1" s="2"/>
      <c r="G1" s="2"/>
    </row>
    <row r="2" spans="1:11" x14ac:dyDescent="0.25">
      <c r="A2" s="4" t="s">
        <v>1</v>
      </c>
      <c r="B2" s="5">
        <v>0.95122939702560794</v>
      </c>
      <c r="C2" s="4"/>
      <c r="D2" s="4"/>
      <c r="E2" s="3" t="s">
        <v>2</v>
      </c>
      <c r="F2" s="3" t="s">
        <v>3</v>
      </c>
      <c r="G2" s="3" t="s">
        <v>4</v>
      </c>
      <c r="H2" s="3" t="s">
        <v>5</v>
      </c>
      <c r="J2" s="6"/>
      <c r="K2" s="6"/>
    </row>
    <row r="3" spans="1:11" x14ac:dyDescent="0.25">
      <c r="A3" s="4"/>
      <c r="B3" s="5"/>
      <c r="C3" s="4"/>
      <c r="D3" s="4"/>
      <c r="F3" s="7">
        <f>B13</f>
        <v>6.6996954930198138E-2</v>
      </c>
      <c r="G3" s="7">
        <f>B14</f>
        <v>6.6996982405304328E-2</v>
      </c>
      <c r="I3" s="3" t="s">
        <v>6</v>
      </c>
      <c r="J3" s="6"/>
      <c r="K3" s="6"/>
    </row>
    <row r="4" spans="1:11" x14ac:dyDescent="0.25">
      <c r="A4" s="8" t="s">
        <v>7</v>
      </c>
      <c r="B4" s="9">
        <v>0.1</v>
      </c>
      <c r="C4" s="8" t="s">
        <v>8</v>
      </c>
      <c r="D4" s="8"/>
      <c r="E4" s="3">
        <v>1E-4</v>
      </c>
      <c r="F4" s="3">
        <f t="dataTable" ref="F4:G23" dt2D="0" dtr="0" r1="B2"/>
        <v>0</v>
      </c>
      <c r="G4" s="3">
        <v>0.95112942450071403</v>
      </c>
      <c r="H4" s="3">
        <f>ABS(G4-F4)</f>
        <v>0.95112942450071403</v>
      </c>
    </row>
    <row r="5" spans="1:11" x14ac:dyDescent="0.25">
      <c r="A5" s="8" t="s">
        <v>9</v>
      </c>
      <c r="B5" s="10">
        <v>0.5</v>
      </c>
      <c r="C5" s="8" t="s">
        <v>10</v>
      </c>
      <c r="D5" s="8"/>
      <c r="E5" s="3">
        <v>0.1</v>
      </c>
      <c r="F5" s="3">
        <v>7.2226726192387929E-40</v>
      </c>
      <c r="G5" s="3">
        <v>0.85122942450071404</v>
      </c>
      <c r="H5" s="3">
        <f t="shared" ref="H5:H23" si="0">ABS(G5-F5)</f>
        <v>0.85122942450071404</v>
      </c>
    </row>
    <row r="6" spans="1:11" x14ac:dyDescent="0.25">
      <c r="A6" s="8" t="s">
        <v>11</v>
      </c>
      <c r="B6" s="8">
        <v>0.25</v>
      </c>
      <c r="C6" s="8" t="s">
        <v>12</v>
      </c>
      <c r="D6" s="8"/>
      <c r="E6" s="3">
        <v>0.2</v>
      </c>
      <c r="F6" s="3">
        <v>4.7973647704957043E-21</v>
      </c>
      <c r="G6" s="3">
        <v>0.75122942450071406</v>
      </c>
      <c r="H6" s="3">
        <f t="shared" si="0"/>
        <v>0.75122942450071406</v>
      </c>
    </row>
    <row r="7" spans="1:11" ht="15.6" x14ac:dyDescent="0.35">
      <c r="A7" s="8" t="s">
        <v>13</v>
      </c>
      <c r="B7" s="11">
        <f>(LN(B2)+(B4+0.5*B6^2)*B5)/(B6*SQRT(B5))</f>
        <v>8.8388184256954813E-2</v>
      </c>
      <c r="C7" s="8" t="s">
        <v>14</v>
      </c>
      <c r="D7" s="8"/>
      <c r="E7" s="3">
        <v>0.3</v>
      </c>
      <c r="F7" s="3">
        <v>4.6047974941147546E-13</v>
      </c>
      <c r="G7" s="3">
        <v>0.6512294245011746</v>
      </c>
      <c r="H7" s="3">
        <f t="shared" si="0"/>
        <v>0.65122942450071408</v>
      </c>
    </row>
    <row r="8" spans="1:11" ht="15.6" x14ac:dyDescent="0.35">
      <c r="A8" s="8" t="s">
        <v>15</v>
      </c>
      <c r="B8" s="11">
        <f>B7-SQRT(B5)*B6</f>
        <v>-8.838851103968208E-2</v>
      </c>
      <c r="C8" s="8" t="s">
        <v>16</v>
      </c>
      <c r="D8" s="8"/>
      <c r="E8" s="3">
        <v>0.4</v>
      </c>
      <c r="F8" s="3">
        <v>9.8577289965383659E-9</v>
      </c>
      <c r="G8" s="3">
        <v>0.55122943435844296</v>
      </c>
      <c r="H8" s="3">
        <f t="shared" si="0"/>
        <v>0.55122942450071399</v>
      </c>
    </row>
    <row r="9" spans="1:11" x14ac:dyDescent="0.25">
      <c r="A9" s="8"/>
      <c r="B9" s="12"/>
      <c r="C9" s="8"/>
      <c r="D9" s="8"/>
      <c r="E9" s="3">
        <v>0.5</v>
      </c>
      <c r="F9" s="3">
        <v>4.0651017735230765E-6</v>
      </c>
      <c r="G9" s="3">
        <v>0.4512334896024876</v>
      </c>
      <c r="H9" s="3">
        <f t="shared" si="0"/>
        <v>0.45122942450071407</v>
      </c>
    </row>
    <row r="10" spans="1:11" ht="15.6" x14ac:dyDescent="0.35">
      <c r="A10" s="8" t="s">
        <v>17</v>
      </c>
      <c r="B10" s="12">
        <f>NORMSDIST(B7)</f>
        <v>0.53521592393159712</v>
      </c>
      <c r="C10" s="8" t="s">
        <v>18</v>
      </c>
      <c r="D10" s="8"/>
      <c r="E10" s="3">
        <v>0.6</v>
      </c>
      <c r="F10" s="3">
        <v>1.9066866470513356E-4</v>
      </c>
      <c r="G10" s="3">
        <v>0.35142009316541911</v>
      </c>
      <c r="H10" s="3">
        <f t="shared" si="0"/>
        <v>0.35122942450071398</v>
      </c>
    </row>
    <row r="11" spans="1:11" ht="15.6" x14ac:dyDescent="0.35">
      <c r="A11" s="8" t="s">
        <v>19</v>
      </c>
      <c r="B11" s="12">
        <f>NORMSDIST(B8)</f>
        <v>0.46478394620921099</v>
      </c>
      <c r="C11" s="8" t="s">
        <v>20</v>
      </c>
      <c r="D11" s="8"/>
      <c r="E11" s="3">
        <v>0.7</v>
      </c>
      <c r="F11" s="3">
        <v>2.4151301810478656E-3</v>
      </c>
      <c r="G11" s="3">
        <v>0.25364455468176195</v>
      </c>
      <c r="H11" s="3">
        <f t="shared" si="0"/>
        <v>0.25122942450071406</v>
      </c>
    </row>
    <row r="12" spans="1:11" x14ac:dyDescent="0.25">
      <c r="A12" s="8"/>
      <c r="B12" s="12"/>
      <c r="C12" s="8"/>
      <c r="D12" s="8"/>
      <c r="E12" s="3">
        <v>0.8</v>
      </c>
      <c r="F12" s="3">
        <v>1.3325998188141203E-2</v>
      </c>
      <c r="G12" s="3">
        <v>0.16455542268885515</v>
      </c>
      <c r="H12" s="3">
        <f t="shared" si="0"/>
        <v>0.15122942450071394</v>
      </c>
    </row>
    <row r="13" spans="1:11" x14ac:dyDescent="0.25">
      <c r="A13" s="8" t="s">
        <v>3</v>
      </c>
      <c r="B13" s="13">
        <f>B2*B10-EXP(-B4*B5)*B11</f>
        <v>6.6996954930198138E-2</v>
      </c>
      <c r="C13" s="8" t="str">
        <f ca="1">_xlfn.FORMULATEXT(B13)</f>
        <v>=B2*B10-EXP(-B4*B5)*B11</v>
      </c>
      <c r="D13" s="8"/>
      <c r="E13" s="3">
        <v>0.9</v>
      </c>
      <c r="F13" s="3">
        <v>4.2739868135927395E-2</v>
      </c>
      <c r="G13" s="3">
        <v>9.3969292636641444E-2</v>
      </c>
      <c r="H13" s="3">
        <f t="shared" si="0"/>
        <v>5.1229424500714049E-2</v>
      </c>
    </row>
    <row r="14" spans="1:11" x14ac:dyDescent="0.25">
      <c r="A14" s="8" t="s">
        <v>4</v>
      </c>
      <c r="B14" s="14">
        <f>-B2*NORMSDIST(-B7)+EXP(-B4*B5)*NORMSDIST(-B8)</f>
        <v>6.6996982405304328E-2</v>
      </c>
      <c r="C14" s="8" t="str">
        <f ca="1">_xlfn.FORMULATEXT(B14)</f>
        <v>=-B2*NORMSDIST(-B7)+EXP(-B4*B5)*NORMSDIST(-B8)</v>
      </c>
      <c r="D14" s="8"/>
      <c r="E14" s="3">
        <v>1</v>
      </c>
      <c r="F14" s="3">
        <v>9.5822350605031414E-2</v>
      </c>
      <c r="G14" s="3">
        <v>4.705177510574543E-2</v>
      </c>
      <c r="H14" s="3">
        <f t="shared" si="0"/>
        <v>4.8770575499285984E-2</v>
      </c>
    </row>
    <row r="15" spans="1:11" x14ac:dyDescent="0.25">
      <c r="A15" s="8"/>
      <c r="B15" s="14"/>
      <c r="C15" s="8"/>
      <c r="D15" s="8"/>
      <c r="E15" s="3">
        <v>1.1000000000000001</v>
      </c>
      <c r="F15" s="3">
        <v>0.16962863603185629</v>
      </c>
      <c r="G15" s="3">
        <v>2.0858060532570305E-2</v>
      </c>
      <c r="H15" s="3">
        <f t="shared" si="0"/>
        <v>0.14877057549928599</v>
      </c>
    </row>
    <row r="16" spans="1:11" x14ac:dyDescent="0.25">
      <c r="A16" s="8" t="s">
        <v>21</v>
      </c>
      <c r="B16" s="14">
        <f>ABS(B13-B14)</f>
        <v>2.7475106190166798E-8</v>
      </c>
      <c r="C16" s="8" t="s">
        <v>22</v>
      </c>
      <c r="D16" s="8"/>
      <c r="E16" s="3">
        <v>1.2</v>
      </c>
      <c r="F16" s="3">
        <v>0.25709024236548617</v>
      </c>
      <c r="G16" s="3">
        <v>8.3196668662001427E-3</v>
      </c>
      <c r="H16" s="3">
        <f t="shared" si="0"/>
        <v>0.24877057549928602</v>
      </c>
    </row>
    <row r="17" spans="1:8" x14ac:dyDescent="0.25">
      <c r="A17" s="8"/>
      <c r="B17" s="14"/>
      <c r="C17" s="8"/>
      <c r="D17" s="8"/>
      <c r="E17" s="3">
        <v>1.3</v>
      </c>
      <c r="F17" s="3">
        <v>0.35180955335363751</v>
      </c>
      <c r="G17" s="3">
        <v>3.0389778543515808E-3</v>
      </c>
      <c r="H17" s="3">
        <f t="shared" si="0"/>
        <v>0.34877057549928592</v>
      </c>
    </row>
    <row r="18" spans="1:8" x14ac:dyDescent="0.25">
      <c r="A18" s="8"/>
      <c r="B18" s="13"/>
      <c r="C18" s="8"/>
      <c r="D18" s="8"/>
      <c r="E18" s="3">
        <v>1.4</v>
      </c>
      <c r="F18" s="3">
        <v>0.44980406074148305</v>
      </c>
      <c r="G18" s="3">
        <v>1.0334852421972768E-3</v>
      </c>
      <c r="H18" s="3">
        <f t="shared" si="0"/>
        <v>0.44877057549928578</v>
      </c>
    </row>
    <row r="19" spans="1:8" x14ac:dyDescent="0.25">
      <c r="E19" s="3">
        <v>1.5</v>
      </c>
      <c r="F19" s="3">
        <v>0.54910254014763138</v>
      </c>
      <c r="G19" s="3">
        <v>3.3196464834549157E-4</v>
      </c>
      <c r="H19" s="3">
        <f t="shared" si="0"/>
        <v>0.54877057549928587</v>
      </c>
    </row>
    <row r="20" spans="1:8" x14ac:dyDescent="0.25">
      <c r="E20" s="3">
        <v>1.6</v>
      </c>
      <c r="F20" s="3">
        <v>0.64887252037250243</v>
      </c>
      <c r="G20" s="3">
        <v>1.0194487321623941E-4</v>
      </c>
      <c r="H20" s="3">
        <f t="shared" si="0"/>
        <v>0.64877057549928618</v>
      </c>
    </row>
    <row r="21" spans="1:8" x14ac:dyDescent="0.25">
      <c r="E21" s="3">
        <v>1.7</v>
      </c>
      <c r="F21" s="3">
        <v>0.74880080951763761</v>
      </c>
      <c r="G21" s="3">
        <v>3.0234018351534345E-5</v>
      </c>
      <c r="H21" s="3">
        <f t="shared" si="0"/>
        <v>0.74877057549928605</v>
      </c>
    </row>
    <row r="22" spans="1:8" x14ac:dyDescent="0.25">
      <c r="E22" s="3">
        <v>1.8</v>
      </c>
      <c r="F22" s="3">
        <v>0.84877930670017576</v>
      </c>
      <c r="G22" s="3">
        <v>8.7312008898145167E-6</v>
      </c>
      <c r="H22" s="3">
        <f t="shared" si="0"/>
        <v>0.84877057549928592</v>
      </c>
    </row>
    <row r="23" spans="1:8" x14ac:dyDescent="0.25">
      <c r="E23" s="3">
        <v>1.9</v>
      </c>
      <c r="F23" s="3">
        <v>0.94877304744223467</v>
      </c>
      <c r="G23" s="3">
        <v>2.4719429486438674E-6</v>
      </c>
      <c r="H23" s="3">
        <f t="shared" si="0"/>
        <v>0.94877057549928601</v>
      </c>
    </row>
  </sheetData>
  <mergeCells count="1">
    <mergeCell ref="A1:C1"/>
  </mergeCells>
  <phoneticPr fontId="1" type="noConversion"/>
  <conditionalFormatting sqref="E4:G23">
    <cfRule type="expression" dxfId="0" priority="1">
      <formula>($H4=MIN($H$4:$H$23))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2024-12-02T08:19:51Z</cp:lastPrinted>
  <dcterms:created xsi:type="dcterms:W3CDTF">2024-10-05T13:27:14Z</dcterms:created>
  <dcterms:modified xsi:type="dcterms:W3CDTF">2024-12-02T08:19:52Z</dcterms:modified>
</cp:coreProperties>
</file>