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D87233F7-1985-43C9-804F-BAA54E5374C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2" r:id="rId1"/>
  </sheets>
  <externalReferences>
    <externalReference r:id="rId2"/>
  </externalReferences>
  <calcPr calcId="191029" iterate="1" iterateCount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  <c r="C16" i="2"/>
  <c r="C15" i="2"/>
  <c r="C14" i="2"/>
  <c r="C12" i="2"/>
  <c r="C11" i="2"/>
  <c r="C9" i="2"/>
  <c r="C8" i="2"/>
  <c r="B9" i="2" l="1"/>
  <c r="B15" i="2" l="1"/>
  <c r="B12" i="2"/>
  <c r="B14" i="2" s="1"/>
  <c r="B42" i="2" l="1"/>
  <c r="B100" i="2"/>
  <c r="B61" i="2"/>
  <c r="B79" i="2"/>
  <c r="B16" i="2"/>
  <c r="B22" i="2"/>
</calcChain>
</file>

<file path=xl/sharedStrings.xml><?xml version="1.0" encoding="utf-8"?>
<sst xmlns="http://schemas.openxmlformats.org/spreadsheetml/2006/main" count="35" uniqueCount="30">
  <si>
    <t>Black-Scholes option pricing formula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</si>
  <si>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</si>
  <si>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</si>
  <si>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</si>
  <si>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</si>
  <si>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</si>
  <si>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</si>
  <si>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</si>
  <si>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</si>
  <si>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</si>
  <si>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</si>
  <si>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</si>
  <si>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</si>
  <si>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</si>
  <si>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</si>
  <si>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</si>
  <si>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t>put price</t>
  </si>
  <si>
    <t>Below:  Data tables for the sensitivities</t>
  </si>
  <si>
    <t>&lt;-- call price - S + X*Exp(-r*T):  by Put-Call parity</t>
  </si>
  <si>
    <r>
      <t>&lt;-- X*exp(-r*T)*N(-d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):  direct formula</t>
    </r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</si>
  <si>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</si>
  <si>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&lt;--(LN(S/X)+(r+0.5*sigma^2)*T)/(sigma*SQRT(T))</t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</si>
  <si>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</si>
  <si>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</si>
  <si>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</si>
  <si>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Sensitivity of Call Price to Initial Stock Price</t>
  </si>
  <si>
    <t>Sensitivity of Call Price to Initial Sigma</t>
    <phoneticPr fontId="1" type="noConversion"/>
  </si>
  <si>
    <t>Sensitivity of Call Price to time to Maturity</t>
  </si>
  <si>
    <t>Sensitivity of Call Price to Interest Rate</t>
  </si>
  <si>
    <t>Sensitivity of Put Price to exercise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</si>
</sst>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%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9" fontId="3" fillId="0" borderId="0" xfId="1" applyFont="1" applyAlignment="1">
      <alignment horizontal="center"/>
    </xf>
    <xf numFmtId="9" fontId="0" fillId="0" borderId="0" xfId="1" applyFont="1" applyAlignment="1"/>
    <xf numFmtId="0" fontId="0" fillId="0" borderId="0" xfId="1" applyNumberFormat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0" fillId="0" borderId="0" xfId="0" applyAlignment="1"/>
    <xf numFmtId="0" fontId="5" fillId="2" borderId="0" xfId="0" applyFont="1" applyFill="1" applyAlignment="1">
      <alignment horizontal="center"/>
    </xf>
    <xf numFmtId="0" fontId="6" fillId="0" borderId="0" xfId="0" applyFont="1" applyAlignment="1"/>
    <xf numFmtId="2" fontId="0" fillId="0" borderId="0" xfId="0" applyNumberFormat="1" applyAlignment="1"/>
    <xf numFmtId="177" fontId="0" fillId="0" borderId="0" xfId="0" applyNumberFormat="1" applyAlignment="1"/>
    <xf numFmtId="9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chemeClr val="tx1"/>
                </a:solidFill>
              </a:rPr>
              <a:t>Sensitvity of Call Price to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Sheet1!$A$23:$A$37</c:f>
              <c:numCache>
                <c:formatCode>General</c:formatCode>
                <c:ptCount val="15"/>
                <c:pt idx="0">
                  <c:v>36</c:v>
                </c:pt>
                <c:pt idx="1">
                  <c:v>38</c:v>
                </c:pt>
                <c:pt idx="2">
                  <c:v>40</c:v>
                </c:pt>
                <c:pt idx="3">
                  <c:v>42</c:v>
                </c:pt>
                <c:pt idx="4">
                  <c:v>44</c:v>
                </c:pt>
                <c:pt idx="5">
                  <c:v>46</c:v>
                </c:pt>
                <c:pt idx="6">
                  <c:v>48</c:v>
                </c:pt>
                <c:pt idx="7">
                  <c:v>50</c:v>
                </c:pt>
                <c:pt idx="8">
                  <c:v>52</c:v>
                </c:pt>
                <c:pt idx="9">
                  <c:v>54</c:v>
                </c:pt>
                <c:pt idx="10">
                  <c:v>56</c:v>
                </c:pt>
                <c:pt idx="11">
                  <c:v>58</c:v>
                </c:pt>
                <c:pt idx="12">
                  <c:v>60</c:v>
                </c:pt>
                <c:pt idx="13">
                  <c:v>62</c:v>
                </c:pt>
                <c:pt idx="14">
                  <c:v>64</c:v>
                </c:pt>
              </c:numCache>
            </c:numRef>
          </c:xVal>
          <c:yVal>
            <c:numRef>
              <c:f>Sheet1!$B$23:$B$37</c:f>
              <c:numCache>
                <c:formatCode>General</c:formatCode>
                <c:ptCount val="15"/>
                <c:pt idx="0">
                  <c:v>0.17958091021884259</c:v>
                </c:pt>
                <c:pt idx="1">
                  <c:v>0.36389174034930427</c:v>
                </c:pt>
                <c:pt idx="2">
                  <c:v>0.66629990940705852</c:v>
                </c:pt>
                <c:pt idx="3">
                  <c:v>1.1198204890967425</c:v>
                </c:pt>
                <c:pt idx="4">
                  <c:v>1.7502851506362216</c:v>
                </c:pt>
                <c:pt idx="5">
                  <c:v>2.5725360968244075</c:v>
                </c:pt>
                <c:pt idx="6">
                  <c:v>3.589078886617294</c:v>
                </c:pt>
                <c:pt idx="7">
                  <c:v>4.7911175302515723</c:v>
                </c:pt>
                <c:pt idx="8">
                  <c:v>6.1612413619941258</c:v>
                </c:pt>
                <c:pt idx="9">
                  <c:v>7.6768059532872357</c:v>
                </c:pt>
                <c:pt idx="10">
                  <c:v>9.313177818526178</c:v>
                </c:pt>
                <c:pt idx="11">
                  <c:v>11.046319282488071</c:v>
                </c:pt>
                <c:pt idx="12">
                  <c:v>12.854512118274307</c:v>
                </c:pt>
                <c:pt idx="13">
                  <c:v>14.719260027235933</c:v>
                </c:pt>
                <c:pt idx="14">
                  <c:v>16.625542835689039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AA-42A0-BF74-4C5A9B0D0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156648"/>
        <c:axId val="718157728"/>
      </c:scatterChart>
      <c:valAx>
        <c:axId val="718156648"/>
        <c:scaling>
          <c:orientation val="minMax"/>
          <c:max val="66"/>
          <c:min val="3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8157728"/>
        <c:crosses val="autoZero"/>
        <c:crossBetween val="midCat"/>
      </c:valAx>
      <c:valAx>
        <c:axId val="718157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Call Price</a:t>
                </a:r>
                <a:endParaRPr lang="zh-CN" alt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815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chemeClr val="tx1"/>
                </a:solidFill>
              </a:rPr>
              <a:t>Sensitivty of Put Price to Sigma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Sheet1!$A$43:$A$55</c:f>
              <c:numCache>
                <c:formatCode>0.0%</c:formatCode>
                <c:ptCount val="13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</c:numCache>
            </c:numRef>
          </c:xVal>
          <c:yVal>
            <c:numRef>
              <c:f>Sheet1!$B$43:$B$55</c:f>
              <c:numCache>
                <c:formatCode>General</c:formatCode>
                <c:ptCount val="13"/>
                <c:pt idx="0">
                  <c:v>0.48660771561656446</c:v>
                </c:pt>
                <c:pt idx="1">
                  <c:v>0.76804861803018376</c:v>
                </c:pt>
                <c:pt idx="2">
                  <c:v>1.0687042188491116</c:v>
                </c:pt>
                <c:pt idx="3">
                  <c:v>1.3808685381360561</c:v>
                </c:pt>
                <c:pt idx="4">
                  <c:v>1.7003732047584812</c:v>
                </c:pt>
                <c:pt idx="5">
                  <c:v>2.0247844767681542</c:v>
                </c:pt>
                <c:pt idx="6">
                  <c:v>2.3525887552872717</c:v>
                </c:pt>
                <c:pt idx="7">
                  <c:v>2.682794104928778</c:v>
                </c:pt>
                <c:pt idx="8">
                  <c:v>3.0147211510394065</c:v>
                </c:pt>
                <c:pt idx="9">
                  <c:v>3.3478866360794441</c:v>
                </c:pt>
                <c:pt idx="10">
                  <c:v>3.6819352361263995</c:v>
                </c:pt>
                <c:pt idx="11">
                  <c:v>4.0165978947650096</c:v>
                </c:pt>
                <c:pt idx="12">
                  <c:v>4.3516654122675718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C-4062-93BB-01378E576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985328"/>
        <c:axId val="1031987848"/>
      </c:scatterChart>
      <c:valAx>
        <c:axId val="103198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%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1987848"/>
        <c:crosses val="autoZero"/>
        <c:crossBetween val="midCat"/>
        <c:majorUnit val="0.1"/>
      </c:valAx>
      <c:valAx>
        <c:axId val="1031987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Put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198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Sensitivity of Call Price to Time to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Sheet1!$A$62:$A$74</c:f>
              <c:numCache>
                <c:formatCode>General</c:formatCode>
                <c:ptCount val="13"/>
                <c:pt idx="0">
                  <c:v>0.2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0.6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1</c:v>
                </c:pt>
                <c:pt idx="9">
                  <c:v>1.1000000000000001</c:v>
                </c:pt>
                <c:pt idx="10">
                  <c:v>1.2</c:v>
                </c:pt>
                <c:pt idx="11">
                  <c:v>1.3</c:v>
                </c:pt>
                <c:pt idx="12">
                  <c:v>1.4</c:v>
                </c:pt>
              </c:numCache>
            </c:numRef>
          </c:xVal>
          <c:yVal>
            <c:numRef>
              <c:f>Sheet1!$B$62:$B$74</c:f>
              <c:numCache>
                <c:formatCode>General</c:formatCode>
                <c:ptCount val="13"/>
                <c:pt idx="0">
                  <c:v>2.737137610987773</c:v>
                </c:pt>
                <c:pt idx="1">
                  <c:v>3.4919402668496105</c:v>
                </c:pt>
                <c:pt idx="2">
                  <c:v>4.167227217158068</c:v>
                </c:pt>
                <c:pt idx="3">
                  <c:v>4.7911175302515723</c:v>
                </c:pt>
                <c:pt idx="4">
                  <c:v>5.3779875486452227</c:v>
                </c:pt>
                <c:pt idx="5">
                  <c:v>5.9363523020829021</c:v>
                </c:pt>
                <c:pt idx="6">
                  <c:v>6.4717444751491335</c:v>
                </c:pt>
                <c:pt idx="7">
                  <c:v>6.9879973112485914</c:v>
                </c:pt>
                <c:pt idx="8">
                  <c:v>7.4878953891556499</c:v>
                </c:pt>
                <c:pt idx="9">
                  <c:v>7.9735366458189461</c:v>
                </c:pt>
                <c:pt idx="10">
                  <c:v>8.4465482455472412</c:v>
                </c:pt>
                <c:pt idx="11">
                  <c:v>8.908222483822982</c:v>
                </c:pt>
                <c:pt idx="12">
                  <c:v>9.3596061722668473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5-4493-A237-E928418E9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993248"/>
        <c:axId val="1031990728"/>
      </c:scatterChart>
      <c:valAx>
        <c:axId val="1031993248"/>
        <c:scaling>
          <c:orientation val="minMax"/>
          <c:min val="0.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Time to Maturity,T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1990728"/>
        <c:crosses val="autoZero"/>
        <c:crossBetween val="midCat"/>
      </c:valAx>
      <c:valAx>
        <c:axId val="1031990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Call Price</a:t>
                </a:r>
                <a:endParaRPr lang="zh-CN" alt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1993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Sensitivity of Call Price to Interest Rate</a:t>
            </a:r>
          </a:p>
        </c:rich>
      </c:tx>
      <c:layout>
        <c:manualLayout>
          <c:xMode val="edge"/>
          <c:yMode val="edge"/>
          <c:x val="0.24329970390938283"/>
          <c:y val="4.2071280512206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57778041774855"/>
          <c:y val="0.22006515960231071"/>
          <c:w val="0.77113634967889122"/>
          <c:h val="0.5372178896174055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Sheet1!$A$80:$A$93</c:f>
              <c:numCache>
                <c:formatCode>0%</c:formatCode>
                <c:ptCount val="14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</c:numCache>
            </c:numRef>
          </c:xVal>
          <c:yVal>
            <c:numRef>
              <c:f>Sheet1!$B$80:$B$93</c:f>
              <c:numCache>
                <c:formatCode>General</c:formatCode>
                <c:ptCount val="14"/>
                <c:pt idx="0">
                  <c:v>4.1300075996716146</c:v>
                </c:pt>
                <c:pt idx="1">
                  <c:v>4.2581288304143001</c:v>
                </c:pt>
                <c:pt idx="2">
                  <c:v>4.3883326063720993</c:v>
                </c:pt>
                <c:pt idx="3">
                  <c:v>4.5205876671990559</c:v>
                </c:pt>
                <c:pt idx="4">
                  <c:v>4.654860925726684</c:v>
                </c:pt>
                <c:pt idx="5">
                  <c:v>4.7911175302515723</c:v>
                </c:pt>
                <c:pt idx="6">
                  <c:v>4.9293209306487782</c:v>
                </c:pt>
                <c:pt idx="7">
                  <c:v>5.0694329480715581</c:v>
                </c:pt>
                <c:pt idx="8">
                  <c:v>5.2114138479851206</c:v>
                </c:pt>
                <c:pt idx="9">
                  <c:v>5.3552224162716087</c:v>
                </c:pt>
                <c:pt idx="10">
                  <c:v>5.5008160381337134</c:v>
                </c:pt>
                <c:pt idx="11">
                  <c:v>5.6481507795161505</c:v>
                </c:pt>
                <c:pt idx="12">
                  <c:v>5.797181470757792</c:v>
                </c:pt>
                <c:pt idx="13">
                  <c:v>5.9478617921812749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8-4CF9-8597-D333371E1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17304"/>
        <c:axId val="1"/>
      </c:scatterChart>
      <c:valAx>
        <c:axId val="560417304"/>
        <c:scaling>
          <c:orientation val="minMax"/>
          <c:min val="0.0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Interest Rate (r)</a:t>
                </a:r>
              </a:p>
            </c:rich>
          </c:tx>
          <c:layout>
            <c:manualLayout>
              <c:xMode val="edge"/>
              <c:yMode val="edge"/>
              <c:x val="0.44536216986802274"/>
              <c:y val="0.8576068719795930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3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Call Price</a:t>
                </a:r>
              </a:p>
            </c:rich>
          </c:tx>
          <c:layout>
            <c:manualLayout>
              <c:xMode val="edge"/>
              <c:yMode val="edge"/>
              <c:x val="4.9484685540891409E-2"/>
              <c:y val="0.401295291039507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604173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Sensitvity of Put Price to Exercise Price</a:t>
            </a:r>
          </a:p>
        </c:rich>
      </c:tx>
      <c:layout>
        <c:manualLayout>
          <c:xMode val="edge"/>
          <c:yMode val="edge"/>
          <c:x val="0.23700647760045562"/>
          <c:y val="4.33333685981189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60929745291534"/>
          <c:y val="0.22666685112862231"/>
          <c:w val="0.76091553334883111"/>
          <c:h val="0.5233337592234368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Sheet1!$A$101:$A$114</c:f>
              <c:numCache>
                <c:formatCode>General</c:formatCode>
                <c:ptCount val="14"/>
                <c:pt idx="0">
                  <c:v>38</c:v>
                </c:pt>
                <c:pt idx="1">
                  <c:v>40</c:v>
                </c:pt>
                <c:pt idx="2">
                  <c:v>42</c:v>
                </c:pt>
                <c:pt idx="3">
                  <c:v>44</c:v>
                </c:pt>
                <c:pt idx="4">
                  <c:v>46</c:v>
                </c:pt>
                <c:pt idx="5">
                  <c:v>48</c:v>
                </c:pt>
                <c:pt idx="6">
                  <c:v>50</c:v>
                </c:pt>
                <c:pt idx="7">
                  <c:v>52</c:v>
                </c:pt>
                <c:pt idx="8">
                  <c:v>54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62</c:v>
                </c:pt>
                <c:pt idx="13">
                  <c:v>64</c:v>
                </c:pt>
              </c:numCache>
            </c:numRef>
          </c:xVal>
          <c:yVal>
            <c:numRef>
              <c:f>Sheet1!$B$101:$B$114</c:f>
              <c:numCache>
                <c:formatCode>General</c:formatCode>
                <c:ptCount val="14"/>
                <c:pt idx="0">
                  <c:v>9.7823073892111756E-2</c:v>
                </c:pt>
                <c:pt idx="1">
                  <c:v>0.20313576111399545</c:v>
                </c:pt>
                <c:pt idx="2">
                  <c:v>0.38294498423861967</c:v>
                </c:pt>
                <c:pt idx="3">
                  <c:v>0.66447217983528528</c:v>
                </c:pt>
                <c:pt idx="4">
                  <c:v>1.0736903541545164</c:v>
                </c:pt>
                <c:pt idx="5">
                  <c:v>1.6318004814865397</c:v>
                </c:pt>
                <c:pt idx="6">
                  <c:v>2.3525887552872717</c:v>
                </c:pt>
                <c:pt idx="7">
                  <c:v>3.2411785273224609</c:v>
                </c:pt>
                <c:pt idx="8">
                  <c:v>4.2942379852788086</c:v>
                </c:pt>
                <c:pt idx="9">
                  <c:v>5.5013396883273913</c:v>
                </c:pt>
                <c:pt idx="10">
                  <c:v>6.8469839154333556</c:v>
                </c:pt>
                <c:pt idx="11">
                  <c:v>8.3127920546394591</c:v>
                </c:pt>
                <c:pt idx="12">
                  <c:v>9.879489239496607</c:v>
                </c:pt>
                <c:pt idx="13">
                  <c:v>11.528454250250768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0C-4B2D-BA6D-A3965DE22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14064"/>
        <c:axId val="1"/>
      </c:scatterChart>
      <c:valAx>
        <c:axId val="560414064"/>
        <c:scaling>
          <c:orientation val="minMax"/>
          <c:max val="68"/>
          <c:min val="38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Exercise Price (X)</a:t>
                </a:r>
              </a:p>
            </c:rich>
          </c:tx>
          <c:layout>
            <c:manualLayout>
              <c:xMode val="edge"/>
              <c:yMode val="edge"/>
              <c:x val="0.42411685465344684"/>
              <c:y val="0.85333402777834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Put Price</a:t>
                </a:r>
              </a:p>
            </c:rich>
          </c:tx>
          <c:layout>
            <c:manualLayout>
              <c:xMode val="edge"/>
              <c:yMode val="edge"/>
              <c:x val="5.1975104736942022E-2"/>
              <c:y val="0.400000325521098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604140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336921</xdr:colOff>
      <xdr:row>0</xdr:row>
      <xdr:rowOff>203835</xdr:rowOff>
    </xdr:from>
    <xdr:to>
      <xdr:col>23</xdr:col>
      <xdr:colOff>533664</xdr:colOff>
      <xdr:row>30</xdr:row>
      <xdr:rowOff>92372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CA1A63E-1B26-40D3-93C0-9BCE66886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69249" y="203835"/>
          <a:ext cx="7527708" cy="5235675"/>
        </a:xfrm>
        <a:prstGeom prst="rect">
          <a:avLst/>
        </a:prstGeom>
      </xdr:spPr>
    </xdr:pic>
    <xdr:clientData/>
  </xdr:twoCellAnchor>
  <xdr:twoCellAnchor>
    <xdr:from>
      <xdr:col>2</xdr:col>
      <xdr:colOff>319120</xdr:colOff>
      <xdr:row>21</xdr:row>
      <xdr:rowOff>61814</xdr:rowOff>
    </xdr:from>
    <xdr:to>
      <xdr:col>6</xdr:col>
      <xdr:colOff>133284</xdr:colOff>
      <xdr:row>37</xdr:row>
      <xdr:rowOff>78039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1E2D432-3F1B-8E7F-9798-AFC30CECBF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282469</xdr:colOff>
      <xdr:row>41</xdr:row>
      <xdr:rowOff>90520</xdr:rowOff>
    </xdr:from>
    <xdr:to>
      <xdr:col>6</xdr:col>
      <xdr:colOff>100443</xdr:colOff>
      <xdr:row>57</xdr:row>
      <xdr:rowOff>99125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CFF189B-7633-DF08-5970-78C9100E1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210210</xdr:colOff>
      <xdr:row>60</xdr:row>
      <xdr:rowOff>31399</xdr:rowOff>
    </xdr:from>
    <xdr:to>
      <xdr:col>6</xdr:col>
      <xdr:colOff>28184</xdr:colOff>
      <xdr:row>76</xdr:row>
      <xdr:rowOff>40004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D4E340CC-76D0-662D-88F9-369452F31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79</xdr:row>
      <xdr:rowOff>0</xdr:rowOff>
    </xdr:from>
    <xdr:to>
      <xdr:col>5</xdr:col>
      <xdr:colOff>478418</xdr:colOff>
      <xdr:row>96</xdr:row>
      <xdr:rowOff>37837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E8AB38AE-FF94-495C-886F-31379FAD0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100</xdr:row>
      <xdr:rowOff>0</xdr:rowOff>
    </xdr:from>
    <xdr:to>
      <xdr:col>5</xdr:col>
      <xdr:colOff>440318</xdr:colOff>
      <xdr:row>116</xdr:row>
      <xdr:rowOff>124810</xdr:rowOff>
    </xdr:to>
    <xdr:graphicFrame macro="">
      <xdr:nvGraphicFramePr>
        <xdr:cNvPr id="7" name="图表 5">
          <a:extLst>
            <a:ext uri="{FF2B5EF4-FFF2-40B4-BE49-F238E27FC236}">
              <a16:creationId xmlns:a16="http://schemas.microsoft.com/office/drawing/2014/main" id="{1AF3FF6B-841C-4618-AED1-B731B181D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>
        <row r="79">
          <cell r="A79">
            <v>0.05</v>
          </cell>
          <cell r="B79">
            <v>4.1300075996716146</v>
          </cell>
        </row>
        <row r="80">
          <cell r="A80">
            <v>0.06</v>
          </cell>
          <cell r="B80">
            <v>4.2581288304143001</v>
          </cell>
        </row>
        <row r="81">
          <cell r="A81">
            <v>7.0000000000000007E-2</v>
          </cell>
          <cell r="B81">
            <v>4.3883326063720993</v>
          </cell>
        </row>
        <row r="82">
          <cell r="A82">
            <v>0.08</v>
          </cell>
          <cell r="B82">
            <v>4.5205876671990559</v>
          </cell>
        </row>
        <row r="83">
          <cell r="A83">
            <v>0.09</v>
          </cell>
          <cell r="B83">
            <v>4.654860925726684</v>
          </cell>
        </row>
        <row r="84">
          <cell r="A84">
            <v>0.1</v>
          </cell>
          <cell r="B84">
            <v>4.7911175302515723</v>
          </cell>
        </row>
        <row r="85">
          <cell r="A85">
            <v>0.11</v>
          </cell>
          <cell r="B85">
            <v>4.9293209306487782</v>
          </cell>
        </row>
        <row r="86">
          <cell r="A86">
            <v>0.12</v>
          </cell>
          <cell r="B86">
            <v>5.0694329480715581</v>
          </cell>
        </row>
        <row r="87">
          <cell r="A87">
            <v>0.13</v>
          </cell>
          <cell r="B87">
            <v>5.2114138479851206</v>
          </cell>
        </row>
        <row r="88">
          <cell r="A88">
            <v>0.14000000000000001</v>
          </cell>
          <cell r="B88">
            <v>5.3552224162716087</v>
          </cell>
        </row>
        <row r="89">
          <cell r="A89">
            <v>0.15</v>
          </cell>
          <cell r="B89">
            <v>5.5008160381337134</v>
          </cell>
        </row>
        <row r="90">
          <cell r="A90">
            <v>0.16</v>
          </cell>
          <cell r="B90">
            <v>5.6481507795161505</v>
          </cell>
        </row>
        <row r="91">
          <cell r="A91">
            <v>0.17</v>
          </cell>
          <cell r="B91">
            <v>5.797181470757792</v>
          </cell>
        </row>
        <row r="92">
          <cell r="A92">
            <v>0.18</v>
          </cell>
          <cell r="B92">
            <v>5.9478617921812749</v>
          </cell>
        </row>
        <row r="99">
          <cell r="A99">
            <v>38</v>
          </cell>
          <cell r="B99">
            <v>9.7823073892115531E-2</v>
          </cell>
        </row>
        <row r="100">
          <cell r="A100">
            <v>40</v>
          </cell>
          <cell r="B100">
            <v>0.20313576111399101</v>
          </cell>
        </row>
        <row r="101">
          <cell r="A101">
            <v>42</v>
          </cell>
          <cell r="B101">
            <v>0.38294498423861967</v>
          </cell>
        </row>
        <row r="102">
          <cell r="A102">
            <v>44</v>
          </cell>
          <cell r="B102">
            <v>0.66447217983528617</v>
          </cell>
        </row>
        <row r="103">
          <cell r="A103">
            <v>46</v>
          </cell>
          <cell r="B103">
            <v>1.0736903541545146</v>
          </cell>
        </row>
        <row r="104">
          <cell r="A104">
            <v>48</v>
          </cell>
          <cell r="B104">
            <v>1.6318004814865361</v>
          </cell>
        </row>
        <row r="105">
          <cell r="A105">
            <v>50</v>
          </cell>
          <cell r="B105">
            <v>2.3525887552872717</v>
          </cell>
        </row>
        <row r="106">
          <cell r="A106">
            <v>52</v>
          </cell>
          <cell r="B106">
            <v>3.2411785273224609</v>
          </cell>
        </row>
        <row r="107">
          <cell r="A107">
            <v>54</v>
          </cell>
          <cell r="B107">
            <v>4.2942379852788122</v>
          </cell>
        </row>
        <row r="108">
          <cell r="A108">
            <v>56</v>
          </cell>
          <cell r="B108">
            <v>5.5013396883273842</v>
          </cell>
        </row>
        <row r="109">
          <cell r="A109">
            <v>58</v>
          </cell>
          <cell r="B109">
            <v>6.8469839154333556</v>
          </cell>
        </row>
        <row r="110">
          <cell r="A110">
            <v>60</v>
          </cell>
          <cell r="B110">
            <v>8.3127920546394591</v>
          </cell>
        </row>
        <row r="111">
          <cell r="A111">
            <v>62</v>
          </cell>
          <cell r="B111">
            <v>9.8794892394966141</v>
          </cell>
        </row>
        <row r="112">
          <cell r="A112">
            <v>64</v>
          </cell>
          <cell r="B112">
            <v>11.528454250250761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421B8-5E76-4FDB-AA97-1E56BC1A7B1E}">
  <dimension ref="A1:G114"/>
  <sheetViews>
    <sheetView tabSelected="1" zoomScale="145" zoomScaleNormal="145" workbookViewId="0">
      <pane xSplit="1" ySplit="16" topLeftCell="B100" activePane="bottomRight" state="frozen"/>
      <selection pane="topRight" activeCell="B1" sqref="B1"/>
      <selection pane="bottomLeft" activeCell="A17" sqref="A17"/>
      <selection pane="bottomRight" activeCell="N105" sqref="N105"/>
    </sheetView>
  </sheetViews>
  <sheetFormatPr defaultRowHeight="13.8" x14ac:dyDescent="0.25"/>
  <cols>
    <col min="1" max="2" width="8.88671875" style="9"/>
    <col min="3" max="3" width="42.6640625" style="9" bestFit="1" customWidth="1"/>
  </cols>
  <sheetData>
    <row r="1" spans="1:7" ht="17.399999999999999" x14ac:dyDescent="0.3">
      <c r="A1" s="1" t="s">
        <v>0</v>
      </c>
      <c r="B1" s="1"/>
      <c r="C1" s="1"/>
    </row>
    <row r="2" spans="1:7" x14ac:dyDescent="0.25">
      <c r="A2" s="2" t="s">
        <v>1</v>
      </c>
      <c r="B2" s="3">
        <v>50</v>
      </c>
      <c r="C2" s="2" t="s">
        <v>2</v>
      </c>
      <c r="G2" s="2" t="s">
        <v>2</v>
      </c>
    </row>
    <row r="3" spans="1:7" x14ac:dyDescent="0.25">
      <c r="A3" s="2" t="s">
        <v>3</v>
      </c>
      <c r="B3" s="3">
        <v>50</v>
      </c>
      <c r="C3" s="2" t="s">
        <v>4</v>
      </c>
      <c r="G3" s="2" t="s">
        <v>4</v>
      </c>
    </row>
    <row r="4" spans="1:7" x14ac:dyDescent="0.25">
      <c r="A4" s="2" t="s">
        <v>5</v>
      </c>
      <c r="B4" s="4">
        <v>0.1</v>
      </c>
      <c r="C4" s="2" t="s">
        <v>6</v>
      </c>
      <c r="G4" s="2" t="s">
        <v>6</v>
      </c>
    </row>
    <row r="5" spans="1:7" x14ac:dyDescent="0.25">
      <c r="A5" s="2" t="s">
        <v>7</v>
      </c>
      <c r="B5" s="3">
        <v>0.5</v>
      </c>
      <c r="C5" s="2" t="s">
        <v>8</v>
      </c>
      <c r="G5" s="2" t="s">
        <v>8</v>
      </c>
    </row>
    <row r="6" spans="1:7" x14ac:dyDescent="0.25">
      <c r="A6" s="2" t="s">
        <v>9</v>
      </c>
      <c r="B6" s="2">
        <v>0.25</v>
      </c>
      <c r="C6" s="2" t="s">
        <v>10</v>
      </c>
      <c r="G6" s="2" t="s">
        <v>10</v>
      </c>
    </row>
    <row r="7" spans="1:7" x14ac:dyDescent="0.25">
      <c r="A7" s="2"/>
      <c r="B7" s="2"/>
      <c r="C7" s="2"/>
      <c r="G7" s="2"/>
    </row>
    <row r="8" spans="1:7" ht="15.6" x14ac:dyDescent="0.35">
      <c r="A8" s="2" t="s">
        <v>11</v>
      </c>
      <c r="B8" s="5">
        <f>(LN(B2/B3)+(B4+B6^2/2)*B5)/(B6*SQRT(B5))</f>
        <v>0.37123106012293744</v>
      </c>
      <c r="C8" s="2" t="str">
        <f t="shared" ref="C8:C9" ca="1" si="0">_xlfn.FORMULATEXT(B8)</f>
        <v>=(LN(B2/B3)+(B4+B6^2/2)*B5)/(B6*SQRT(B5))</v>
      </c>
      <c r="G8" s="2" t="s">
        <v>21</v>
      </c>
    </row>
    <row r="9" spans="1:7" ht="15.6" x14ac:dyDescent="0.35">
      <c r="A9" s="2" t="s">
        <v>12</v>
      </c>
      <c r="B9" s="5">
        <f>B8-B6*SQRT(B5)</f>
        <v>0.19445436482630055</v>
      </c>
      <c r="C9" s="2" t="str">
        <f t="shared" ca="1" si="0"/>
        <v>=B8-B6*SQRT(B5)</v>
      </c>
      <c r="G9" s="2" t="s">
        <v>22</v>
      </c>
    </row>
    <row r="10" spans="1:7" x14ac:dyDescent="0.25">
      <c r="A10" s="2"/>
      <c r="B10" s="6"/>
      <c r="C10" s="2"/>
      <c r="G10" s="2"/>
    </row>
    <row r="11" spans="1:7" ht="15.6" x14ac:dyDescent="0.35">
      <c r="A11" s="2" t="s">
        <v>13</v>
      </c>
      <c r="B11" s="6">
        <f>_xlfn.NORM.S.DIST(B8,TRUE)</f>
        <v>0.64476727962935421</v>
      </c>
      <c r="C11" s="2" t="str">
        <f t="shared" ref="C11:C12" ca="1" si="1">_xlfn.FORMULATEXT(B11)</f>
        <v>=NORM.S.DIST(B8,TRUE)</v>
      </c>
      <c r="G11" s="2" t="s">
        <v>23</v>
      </c>
    </row>
    <row r="12" spans="1:7" ht="15.6" x14ac:dyDescent="0.35">
      <c r="A12" s="2" t="s">
        <v>14</v>
      </c>
      <c r="B12" s="6">
        <f>_xlfn.NORM.S.DIST(B9,TRUE)</f>
        <v>0.57708993738545855</v>
      </c>
      <c r="C12" s="2" t="str">
        <f t="shared" ca="1" si="1"/>
        <v>=NORM.S.DIST(B9,TRUE)</v>
      </c>
      <c r="G12" s="2" t="s">
        <v>24</v>
      </c>
    </row>
    <row r="13" spans="1:7" x14ac:dyDescent="0.25">
      <c r="A13" s="2"/>
      <c r="B13" s="6"/>
      <c r="C13" s="2"/>
    </row>
    <row r="14" spans="1:7" ht="15.6" x14ac:dyDescent="0.35">
      <c r="A14" s="2" t="s">
        <v>15</v>
      </c>
      <c r="B14" s="7">
        <f>B2*B11-B3*EXP(-B4*B5)*B12</f>
        <v>4.7911175302515723</v>
      </c>
      <c r="C14" s="2" t="str">
        <f t="shared" ref="C14:C16" ca="1" si="2">_xlfn.FORMULATEXT(B14)</f>
        <v>=B2*B11-B3*EXP(-B4*B5)*B12</v>
      </c>
      <c r="G14" s="2" t="s">
        <v>20</v>
      </c>
    </row>
    <row r="15" spans="1:7" ht="15.6" x14ac:dyDescent="0.35">
      <c r="A15" s="2" t="s">
        <v>16</v>
      </c>
      <c r="B15" s="8">
        <f>B3*EXP(-B4*B5)*_xlfn.NORM.S.DIST(-B9,TRUE)-B2*_xlfn.NORM.S.DIST(-B8,TRUE)</f>
        <v>2.3525887552872717</v>
      </c>
      <c r="C15" s="2" t="str">
        <f t="shared" ca="1" si="2"/>
        <v>=B3*EXP(-B4*B5)*NORM.S.DIST(-B9,TRUE)-B2*NORM.S.DIST(-B8,TRUE)</v>
      </c>
      <c r="G15" s="2" t="s">
        <v>19</v>
      </c>
    </row>
    <row r="16" spans="1:7" x14ac:dyDescent="0.25">
      <c r="B16" s="9">
        <f>B14-B2+B3*EXP(-B4*B5)</f>
        <v>2.3525887552872717</v>
      </c>
      <c r="C16" s="2" t="str">
        <f t="shared" ca="1" si="2"/>
        <v>=B14-B2+B3*EXP(-B4*B5)</v>
      </c>
      <c r="G16" s="2" t="s">
        <v>18</v>
      </c>
    </row>
    <row r="19" spans="1:6" ht="15" x14ac:dyDescent="0.25">
      <c r="A19" s="10" t="s">
        <v>17</v>
      </c>
      <c r="B19" s="10"/>
      <c r="C19" s="10"/>
      <c r="D19" s="10"/>
      <c r="E19" s="10"/>
      <c r="F19" s="10"/>
    </row>
    <row r="21" spans="1:6" x14ac:dyDescent="0.25">
      <c r="A21" s="11" t="s">
        <v>25</v>
      </c>
    </row>
    <row r="22" spans="1:6" x14ac:dyDescent="0.25">
      <c r="B22" s="12">
        <f>B14</f>
        <v>4.7911175302515723</v>
      </c>
    </row>
    <row r="23" spans="1:6" x14ac:dyDescent="0.25">
      <c r="A23" s="9">
        <v>36</v>
      </c>
      <c r="B23" s="9">
        <f t="dataTable" ref="B23:B37" dt2D="0" dtr="0" r1="B2"/>
        <v>0.17958091021884259</v>
      </c>
    </row>
    <row r="24" spans="1:6" x14ac:dyDescent="0.25">
      <c r="A24" s="9">
        <v>38</v>
      </c>
      <c r="B24" s="9">
        <v>0.36389174034930427</v>
      </c>
    </row>
    <row r="25" spans="1:6" x14ac:dyDescent="0.25">
      <c r="A25" s="9">
        <v>40</v>
      </c>
      <c r="B25" s="9">
        <v>0.66629990940705852</v>
      </c>
    </row>
    <row r="26" spans="1:6" x14ac:dyDescent="0.25">
      <c r="A26" s="9">
        <v>42</v>
      </c>
      <c r="B26" s="9">
        <v>1.1198204890967425</v>
      </c>
    </row>
    <row r="27" spans="1:6" x14ac:dyDescent="0.25">
      <c r="A27" s="9">
        <v>44</v>
      </c>
      <c r="B27" s="9">
        <v>1.7502851506362216</v>
      </c>
    </row>
    <row r="28" spans="1:6" x14ac:dyDescent="0.25">
      <c r="A28" s="9">
        <v>46</v>
      </c>
      <c r="B28" s="9">
        <v>2.5725360968244075</v>
      </c>
    </row>
    <row r="29" spans="1:6" x14ac:dyDescent="0.25">
      <c r="A29" s="9">
        <v>48</v>
      </c>
      <c r="B29" s="9">
        <v>3.589078886617294</v>
      </c>
    </row>
    <row r="30" spans="1:6" x14ac:dyDescent="0.25">
      <c r="A30" s="9">
        <v>50</v>
      </c>
      <c r="B30" s="9">
        <v>4.7911175302515723</v>
      </c>
    </row>
    <row r="31" spans="1:6" x14ac:dyDescent="0.25">
      <c r="A31" s="9">
        <v>52</v>
      </c>
      <c r="B31" s="9">
        <v>6.1612413619941258</v>
      </c>
    </row>
    <row r="32" spans="1:6" x14ac:dyDescent="0.25">
      <c r="A32" s="9">
        <v>54</v>
      </c>
      <c r="B32" s="9">
        <v>7.6768059532872357</v>
      </c>
    </row>
    <row r="33" spans="1:2" x14ac:dyDescent="0.25">
      <c r="A33" s="9">
        <v>56</v>
      </c>
      <c r="B33" s="9">
        <v>9.313177818526178</v>
      </c>
    </row>
    <row r="34" spans="1:2" x14ac:dyDescent="0.25">
      <c r="A34" s="9">
        <v>58</v>
      </c>
      <c r="B34" s="9">
        <v>11.046319282488071</v>
      </c>
    </row>
    <row r="35" spans="1:2" x14ac:dyDescent="0.25">
      <c r="A35" s="9">
        <v>60</v>
      </c>
      <c r="B35" s="9">
        <v>12.854512118274307</v>
      </c>
    </row>
    <row r="36" spans="1:2" x14ac:dyDescent="0.25">
      <c r="A36" s="9">
        <v>62</v>
      </c>
      <c r="B36" s="9">
        <v>14.719260027235933</v>
      </c>
    </row>
    <row r="37" spans="1:2" x14ac:dyDescent="0.25">
      <c r="A37" s="9">
        <v>64</v>
      </c>
      <c r="B37" s="9">
        <v>16.625542835689039</v>
      </c>
    </row>
    <row r="41" spans="1:2" x14ac:dyDescent="0.25">
      <c r="A41" s="11" t="s">
        <v>26</v>
      </c>
    </row>
    <row r="42" spans="1:2" x14ac:dyDescent="0.25">
      <c r="B42" s="12">
        <f>B15</f>
        <v>2.3525887552872717</v>
      </c>
    </row>
    <row r="43" spans="1:2" x14ac:dyDescent="0.25">
      <c r="A43" s="13">
        <v>0.1</v>
      </c>
      <c r="B43" s="9">
        <f t="dataTable" ref="B43:B55" dt2D="0" dtr="0" r1="B6" ca="1"/>
        <v>0.48660771561656446</v>
      </c>
    </row>
    <row r="44" spans="1:2" x14ac:dyDescent="0.25">
      <c r="A44" s="13">
        <v>0.125</v>
      </c>
      <c r="B44" s="9">
        <v>0.76804861803018376</v>
      </c>
    </row>
    <row r="45" spans="1:2" x14ac:dyDescent="0.25">
      <c r="A45" s="13">
        <v>0.15</v>
      </c>
      <c r="B45" s="9">
        <v>1.0687042188491116</v>
      </c>
    </row>
    <row r="46" spans="1:2" x14ac:dyDescent="0.25">
      <c r="A46" s="13">
        <v>0.17499999999999999</v>
      </c>
      <c r="B46" s="9">
        <v>1.3808685381360561</v>
      </c>
    </row>
    <row r="47" spans="1:2" x14ac:dyDescent="0.25">
      <c r="A47" s="13">
        <v>0.2</v>
      </c>
      <c r="B47" s="9">
        <v>1.7003732047584812</v>
      </c>
    </row>
    <row r="48" spans="1:2" x14ac:dyDescent="0.25">
      <c r="A48" s="13">
        <v>0.22500000000000001</v>
      </c>
      <c r="B48" s="9">
        <v>2.0247844767681542</v>
      </c>
    </row>
    <row r="49" spans="1:2" x14ac:dyDescent="0.25">
      <c r="A49" s="13">
        <v>0.25</v>
      </c>
      <c r="B49" s="9">
        <v>2.3525887552872717</v>
      </c>
    </row>
    <row r="50" spans="1:2" x14ac:dyDescent="0.25">
      <c r="A50" s="13">
        <v>0.27500000000000002</v>
      </c>
      <c r="B50" s="9">
        <v>2.682794104928778</v>
      </c>
    </row>
    <row r="51" spans="1:2" x14ac:dyDescent="0.25">
      <c r="A51" s="13">
        <v>0.3</v>
      </c>
      <c r="B51" s="9">
        <v>3.0147211510394065</v>
      </c>
    </row>
    <row r="52" spans="1:2" x14ac:dyDescent="0.25">
      <c r="A52" s="13">
        <v>0.32500000000000001</v>
      </c>
      <c r="B52" s="9">
        <v>3.3478866360794441</v>
      </c>
    </row>
    <row r="53" spans="1:2" x14ac:dyDescent="0.25">
      <c r="A53" s="13">
        <v>0.35</v>
      </c>
      <c r="B53" s="9">
        <v>3.6819352361263995</v>
      </c>
    </row>
    <row r="54" spans="1:2" x14ac:dyDescent="0.25">
      <c r="A54" s="13">
        <v>0.375</v>
      </c>
      <c r="B54" s="9">
        <v>4.0165978947650096</v>
      </c>
    </row>
    <row r="55" spans="1:2" x14ac:dyDescent="0.25">
      <c r="A55" s="13">
        <v>0.4</v>
      </c>
      <c r="B55" s="9">
        <v>4.3516654122675718</v>
      </c>
    </row>
    <row r="60" spans="1:2" x14ac:dyDescent="0.25">
      <c r="A60" s="11" t="s">
        <v>27</v>
      </c>
    </row>
    <row r="61" spans="1:2" x14ac:dyDescent="0.25">
      <c r="B61" s="12">
        <f>B14</f>
        <v>4.7911175302515723</v>
      </c>
    </row>
    <row r="62" spans="1:2" x14ac:dyDescent="0.25">
      <c r="A62" s="9">
        <v>0.2</v>
      </c>
      <c r="B62" s="9">
        <f t="dataTable" ref="B62:B74" dt2D="0" dtr="0" r1="B5" ca="1"/>
        <v>2.737137610987773</v>
      </c>
    </row>
    <row r="63" spans="1:2" x14ac:dyDescent="0.25">
      <c r="A63" s="9">
        <v>0.3</v>
      </c>
      <c r="B63" s="9">
        <v>3.4919402668496105</v>
      </c>
    </row>
    <row r="64" spans="1:2" x14ac:dyDescent="0.25">
      <c r="A64" s="9">
        <v>0.4</v>
      </c>
      <c r="B64" s="9">
        <v>4.167227217158068</v>
      </c>
    </row>
    <row r="65" spans="1:2" x14ac:dyDescent="0.25">
      <c r="A65" s="9">
        <v>0.5</v>
      </c>
      <c r="B65" s="9">
        <v>4.7911175302515723</v>
      </c>
    </row>
    <row r="66" spans="1:2" x14ac:dyDescent="0.25">
      <c r="A66" s="9">
        <v>0.6</v>
      </c>
      <c r="B66" s="9">
        <v>5.3779875486452227</v>
      </c>
    </row>
    <row r="67" spans="1:2" x14ac:dyDescent="0.25">
      <c r="A67" s="9">
        <v>0.7</v>
      </c>
      <c r="B67" s="9">
        <v>5.9363523020829021</v>
      </c>
    </row>
    <row r="68" spans="1:2" x14ac:dyDescent="0.25">
      <c r="A68" s="9">
        <v>0.8</v>
      </c>
      <c r="B68" s="9">
        <v>6.4717444751491335</v>
      </c>
    </row>
    <row r="69" spans="1:2" x14ac:dyDescent="0.25">
      <c r="A69" s="9">
        <v>0.9</v>
      </c>
      <c r="B69" s="9">
        <v>6.9879973112485914</v>
      </c>
    </row>
    <row r="70" spans="1:2" x14ac:dyDescent="0.25">
      <c r="A70" s="9">
        <v>1</v>
      </c>
      <c r="B70" s="9">
        <v>7.4878953891556499</v>
      </c>
    </row>
    <row r="71" spans="1:2" x14ac:dyDescent="0.25">
      <c r="A71" s="9">
        <v>1.1000000000000001</v>
      </c>
      <c r="B71" s="9">
        <v>7.9735366458189461</v>
      </c>
    </row>
    <row r="72" spans="1:2" x14ac:dyDescent="0.25">
      <c r="A72" s="9">
        <v>1.2</v>
      </c>
      <c r="B72" s="9">
        <v>8.4465482455472412</v>
      </c>
    </row>
    <row r="73" spans="1:2" x14ac:dyDescent="0.25">
      <c r="A73" s="9">
        <v>1.3</v>
      </c>
      <c r="B73" s="9">
        <v>8.908222483822982</v>
      </c>
    </row>
    <row r="74" spans="1:2" x14ac:dyDescent="0.25">
      <c r="A74" s="9">
        <v>1.4</v>
      </c>
      <c r="B74" s="9">
        <v>9.3596061722668473</v>
      </c>
    </row>
    <row r="78" spans="1:2" x14ac:dyDescent="0.25">
      <c r="A78" s="11" t="s">
        <v>28</v>
      </c>
    </row>
    <row r="79" spans="1:2" x14ac:dyDescent="0.25">
      <c r="B79" s="12">
        <f>B14</f>
        <v>4.7911175302515723</v>
      </c>
    </row>
    <row r="80" spans="1:2" x14ac:dyDescent="0.25">
      <c r="A80" s="14">
        <v>0.05</v>
      </c>
      <c r="B80" s="9">
        <f t="dataTable" ref="B80:B93" dt2D="0" dtr="0" r1="B4" ca="1"/>
        <v>4.1300075996716146</v>
      </c>
    </row>
    <row r="81" spans="1:2" x14ac:dyDescent="0.25">
      <c r="A81" s="14">
        <v>0.06</v>
      </c>
      <c r="B81" s="9">
        <v>4.2581288304143001</v>
      </c>
    </row>
    <row r="82" spans="1:2" x14ac:dyDescent="0.25">
      <c r="A82" s="14">
        <v>7.0000000000000007E-2</v>
      </c>
      <c r="B82" s="9">
        <v>4.3883326063720993</v>
      </c>
    </row>
    <row r="83" spans="1:2" x14ac:dyDescent="0.25">
      <c r="A83" s="14">
        <v>0.08</v>
      </c>
      <c r="B83" s="9">
        <v>4.5205876671990559</v>
      </c>
    </row>
    <row r="84" spans="1:2" x14ac:dyDescent="0.25">
      <c r="A84" s="14">
        <v>0.09</v>
      </c>
      <c r="B84" s="9">
        <v>4.654860925726684</v>
      </c>
    </row>
    <row r="85" spans="1:2" x14ac:dyDescent="0.25">
      <c r="A85" s="14">
        <v>0.1</v>
      </c>
      <c r="B85" s="9">
        <v>4.7911175302515723</v>
      </c>
    </row>
    <row r="86" spans="1:2" x14ac:dyDescent="0.25">
      <c r="A86" s="14">
        <v>0.11</v>
      </c>
      <c r="B86" s="9">
        <v>4.9293209306487782</v>
      </c>
    </row>
    <row r="87" spans="1:2" x14ac:dyDescent="0.25">
      <c r="A87" s="14">
        <v>0.12</v>
      </c>
      <c r="B87" s="9">
        <v>5.0694329480715581</v>
      </c>
    </row>
    <row r="88" spans="1:2" x14ac:dyDescent="0.25">
      <c r="A88" s="14">
        <v>0.13</v>
      </c>
      <c r="B88" s="9">
        <v>5.2114138479851206</v>
      </c>
    </row>
    <row r="89" spans="1:2" x14ac:dyDescent="0.25">
      <c r="A89" s="14">
        <v>0.14000000000000001</v>
      </c>
      <c r="B89" s="9">
        <v>5.3552224162716087</v>
      </c>
    </row>
    <row r="90" spans="1:2" x14ac:dyDescent="0.25">
      <c r="A90" s="14">
        <v>0.15</v>
      </c>
      <c r="B90" s="9">
        <v>5.5008160381337134</v>
      </c>
    </row>
    <row r="91" spans="1:2" x14ac:dyDescent="0.25">
      <c r="A91" s="14">
        <v>0.16</v>
      </c>
      <c r="B91" s="9">
        <v>5.6481507795161505</v>
      </c>
    </row>
    <row r="92" spans="1:2" x14ac:dyDescent="0.25">
      <c r="A92" s="14">
        <v>0.17</v>
      </c>
      <c r="B92" s="9">
        <v>5.797181470757792</v>
      </c>
    </row>
    <row r="93" spans="1:2" x14ac:dyDescent="0.25">
      <c r="A93" s="14">
        <v>0.18</v>
      </c>
      <c r="B93" s="9">
        <v>5.9478617921812749</v>
      </c>
    </row>
    <row r="99" spans="1:2" x14ac:dyDescent="0.25">
      <c r="A99" s="11" t="s">
        <v>29</v>
      </c>
    </row>
    <row r="100" spans="1:2" x14ac:dyDescent="0.25">
      <c r="B100" s="12">
        <f>B15</f>
        <v>2.3525887552872717</v>
      </c>
    </row>
    <row r="101" spans="1:2" x14ac:dyDescent="0.25">
      <c r="A101" s="9">
        <v>38</v>
      </c>
      <c r="B101" s="9">
        <f t="dataTable" ref="B101:B114" dt2D="0" dtr="0" r1="B3" ca="1"/>
        <v>9.7823073892111756E-2</v>
      </c>
    </row>
    <row r="102" spans="1:2" x14ac:dyDescent="0.25">
      <c r="A102" s="9">
        <v>40</v>
      </c>
      <c r="B102" s="9">
        <v>0.20313576111399545</v>
      </c>
    </row>
    <row r="103" spans="1:2" x14ac:dyDescent="0.25">
      <c r="A103" s="9">
        <v>42</v>
      </c>
      <c r="B103" s="9">
        <v>0.38294498423861967</v>
      </c>
    </row>
    <row r="104" spans="1:2" x14ac:dyDescent="0.25">
      <c r="A104" s="9">
        <v>44</v>
      </c>
      <c r="B104" s="9">
        <v>0.66447217983528528</v>
      </c>
    </row>
    <row r="105" spans="1:2" x14ac:dyDescent="0.25">
      <c r="A105" s="9">
        <v>46</v>
      </c>
      <c r="B105" s="9">
        <v>1.0736903541545164</v>
      </c>
    </row>
    <row r="106" spans="1:2" x14ac:dyDescent="0.25">
      <c r="A106" s="9">
        <v>48</v>
      </c>
      <c r="B106" s="9">
        <v>1.6318004814865397</v>
      </c>
    </row>
    <row r="107" spans="1:2" x14ac:dyDescent="0.25">
      <c r="A107" s="9">
        <v>50</v>
      </c>
      <c r="B107" s="9">
        <v>2.3525887552872717</v>
      </c>
    </row>
    <row r="108" spans="1:2" x14ac:dyDescent="0.25">
      <c r="A108" s="9">
        <v>52</v>
      </c>
      <c r="B108" s="9">
        <v>3.2411785273224609</v>
      </c>
    </row>
    <row r="109" spans="1:2" x14ac:dyDescent="0.25">
      <c r="A109" s="9">
        <v>54</v>
      </c>
      <c r="B109" s="9">
        <v>4.2942379852788086</v>
      </c>
    </row>
    <row r="110" spans="1:2" x14ac:dyDescent="0.25">
      <c r="A110" s="9">
        <v>56</v>
      </c>
      <c r="B110" s="9">
        <v>5.5013396883273913</v>
      </c>
    </row>
    <row r="111" spans="1:2" x14ac:dyDescent="0.25">
      <c r="A111" s="9">
        <v>58</v>
      </c>
      <c r="B111" s="9">
        <v>6.8469839154333556</v>
      </c>
    </row>
    <row r="112" spans="1:2" x14ac:dyDescent="0.25">
      <c r="A112" s="9">
        <v>60</v>
      </c>
      <c r="B112" s="9">
        <v>8.3127920546394591</v>
      </c>
    </row>
    <row r="113" spans="1:2" x14ac:dyDescent="0.25">
      <c r="A113" s="9">
        <v>62</v>
      </c>
      <c r="B113" s="9">
        <v>9.879489239496607</v>
      </c>
    </row>
    <row r="114" spans="1:2" x14ac:dyDescent="0.25">
      <c r="A114" s="9">
        <v>64</v>
      </c>
      <c r="B114" s="9">
        <v>11.528454250250768</v>
      </c>
    </row>
  </sheetData>
  <mergeCells count="2">
    <mergeCell ref="A1:C1"/>
    <mergeCell ref="A19:F1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2024-11-29T07:01:52Z</dcterms:modified>
</cp:coreProperties>
</file>