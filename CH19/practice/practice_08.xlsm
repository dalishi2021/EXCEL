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practice\"/>
    </mc:Choice>
  </mc:AlternateContent>
  <xr:revisionPtr revIDLastSave="0" documentId="13_ncr:1_{DF5EDF93-F78A-4BA4-9906-B4EFB9E8430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11" i="1" s="1"/>
  <c r="C20" i="1"/>
  <c r="B20" i="1"/>
  <c r="C19" i="1"/>
  <c r="B19" i="1"/>
  <c r="B9" i="1" l="1"/>
  <c r="B16" i="1" l="1"/>
  <c r="B12" i="1"/>
  <c r="B14" i="1" s="1"/>
  <c r="B15" i="1" s="1"/>
</calcChain>
</file>

<file path=xl/sharedStrings.xml><?xml version="1.0" encoding="utf-8"?>
<sst xmlns="http://schemas.openxmlformats.org/spreadsheetml/2006/main" count="45" uniqueCount="42">
  <si>
    <t>Merton's Dividend-Adjusted Option Pricing Model</t>
  </si>
  <si>
    <t>S</t>
  </si>
  <si>
    <t>current stock price</t>
  </si>
  <si>
    <t>Function MdOne(Stock, Exercise, Time, Interest, Dividend, Sigma)</t>
  </si>
  <si>
    <t>X</t>
  </si>
  <si>
    <t>exercise price</t>
  </si>
  <si>
    <t xml:space="preserve">    MdOne = (Log(Stock / Exercise) + (Interest - Dividend + Sigma ^ 2 / 2) * Time) / (Sigma * Sqr(Time))</t>
  </si>
  <si>
    <t>r</t>
  </si>
  <si>
    <t>risk-free rate of interest</t>
  </si>
  <si>
    <t>End Function</t>
  </si>
  <si>
    <t>k</t>
  </si>
  <si>
    <t>dividend yield</t>
  </si>
  <si>
    <t>T</t>
  </si>
  <si>
    <t>time to maturity of option (in years)</t>
  </si>
  <si>
    <t>Function MdTwo(Stock, Exercise, Time, Interest, Dividend, Sigma)</t>
  </si>
  <si>
    <t>sigma</t>
  </si>
  <si>
    <t>stock volatility</t>
  </si>
  <si>
    <t xml:space="preserve">    MdTwo = MdOne(Stock, Exercise, Time, Interest, Dividend, Sigma) - Sigma * Sqr(Time)</t>
  </si>
  <si>
    <r>
      <t>d</t>
    </r>
    <r>
      <rPr>
        <vertAlign val="subscript"/>
        <sz val="10"/>
        <rFont val="Arial"/>
        <family val="2"/>
      </rPr>
      <t>1</t>
    </r>
  </si>
  <si>
    <t>&lt;--(LN(S/X)+(r-k+0.5*sigma^2)*T)/(sigma*SQRT(T))</t>
  </si>
  <si>
    <r>
      <t>d</t>
    </r>
    <r>
      <rPr>
        <vertAlign val="subscript"/>
        <sz val="10"/>
        <rFont val="Arial"/>
        <family val="2"/>
      </rPr>
      <t>2</t>
    </r>
  </si>
  <si>
    <r>
      <t>&lt;-- d</t>
    </r>
    <r>
      <rPr>
        <vertAlign val="subscript"/>
        <sz val="10"/>
        <rFont val="Arial"/>
        <family val="2"/>
      </rPr>
      <t xml:space="preserve">1 </t>
    </r>
    <r>
      <rPr>
        <sz val="11"/>
        <color theme="1"/>
        <rFont val="等线"/>
        <family val="2"/>
        <charset val="134"/>
        <scheme val="minor"/>
      </rPr>
      <t>- sigma*SQRT(T)</t>
    </r>
  </si>
  <si>
    <t>Function MertonCall(Stock, Exercise, Time, Interest, Dividend, Sigma)</t>
  </si>
  <si>
    <r>
      <t>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</si>
  <si>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</si>
  <si>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t xml:space="preserve">    MertonCall = Stock * Exp(-Dividend * Time) * Application.NormSDist(MdOne(Stock, Exercise, _</t>
  </si>
  <si>
    <r>
      <t>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</si>
  <si>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</si>
  <si>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 xml:space="preserve">       Time, Interest, Dividend, Sigma)) - Exercise * Exp(-Time * Interest) _</t>
  </si>
  <si>
    <t xml:space="preserve">        * Application.NormSDist(MdTwo(Stock, Exercise, Time, Interest, Dividend, Sigma))</t>
  </si>
  <si>
    <t>call price</t>
  </si>
  <si>
    <r>
      <t>&lt;-- S*Exp(-k*T)*N(d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)-X*exp(-r*T)*N(d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</si>
  <si>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put price</t>
  </si>
  <si>
    <t>&lt;-- call price - S*Exp(-k*T) + X*Exp(-r*T):  by Put-Call parity</t>
  </si>
  <si>
    <r>
      <t>&lt;-- X*exp(-r*T)*N(-d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)-S*Exp(-k*T)*N(-d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):  direct formula</t>
    </r>
  </si>
  <si>
    <t>'Put pricing function uses put-call parity theorem</t>
  </si>
  <si>
    <t>Function MertonPut(Stock, Exercise, Time, Interest, Dividend, Sigma)</t>
  </si>
  <si>
    <t>New functions defined</t>
  </si>
  <si>
    <t>MertonPut = MertonCall(Stock, Exercise, Time, Interest, Dividend, Sigma) _</t>
  </si>
  <si>
    <t>Merton call</t>
  </si>
  <si>
    <t xml:space="preserve">      + Exercise * Exp(-Interest * Time) - Stock * Exp(-Dividend * Time)</t>
  </si>
  <si>
    <t>Merton 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</si>
</sst>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2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9" fontId="3" fillId="0" borderId="0" xfId="1" applyFont="1" applyAlignment="1">
      <alignment horizontal="center"/>
    </xf>
    <xf numFmtId="9" fontId="4" fillId="0" borderId="0" xfId="1" applyFont="1" applyAlignment="1">
      <alignment horizontal="centerContinuous"/>
    </xf>
    <xf numFmtId="9" fontId="0" fillId="0" borderId="0" xfId="1" applyFont="1" applyAlignment="1"/>
    <xf numFmtId="0" fontId="0" fillId="0" borderId="0" xfId="1" applyNumberFormat="1" applyFont="1" applyAlignment="1"/>
    <xf numFmtId="9" fontId="0" fillId="0" borderId="0" xfId="1" quotePrefix="1" applyFont="1" applyAlignment="1"/>
    <xf numFmtId="10" fontId="0" fillId="0" borderId="0" xfId="1" applyNumberFormat="1" applyFont="1" applyAlignment="1"/>
    <xf numFmtId="0" fontId="0" fillId="0" borderId="0" xfId="0" applyAlignment="1"/>
    <xf numFmtId="176" fontId="0" fillId="0" borderId="0" xfId="1" quotePrefix="1" applyNumberFormat="1" applyFont="1" applyAlignment="1"/>
    <xf numFmtId="176" fontId="0" fillId="0" borderId="0" xfId="1" applyNumberFormat="1" applyFont="1" applyAlignment="1"/>
    <xf numFmtId="2" fontId="0" fillId="0" borderId="0" xfId="1" applyNumberFormat="1" applyFont="1" applyAlignment="1"/>
    <xf numFmtId="2" fontId="0" fillId="0" borderId="0" xfId="1" quotePrefix="1" applyNumberFormat="1" applyFont="1" applyAlignment="1"/>
    <xf numFmtId="0" fontId="6" fillId="0" borderId="0" xfId="0" applyFont="1" applyAlignment="1"/>
    <xf numFmtId="2" fontId="0" fillId="2" borderId="0" xfId="0" applyNumberForma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514350</xdr:colOff>
      <xdr:row>15</xdr:row>
      <xdr:rowOff>19050</xdr:rowOff>
    </xdr:from>
    <xdr:to>
      <xdr:col>29</xdr:col>
      <xdr:colOff>266700</xdr:colOff>
      <xdr:row>36</xdr:row>
      <xdr:rowOff>152400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748E8C34-3B79-18E6-73EB-FA5BB0504F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3668375" y="2781300"/>
          <a:ext cx="13163550" cy="3762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 中文"/>
      <sheetName val="Exercise 2"/>
      <sheetName val="Exercise 2  中文"/>
      <sheetName val="Exercise 3"/>
      <sheetName val="Exercise 3  中文"/>
      <sheetName val="Exercise 4"/>
      <sheetName val="Exercise 4 中文"/>
      <sheetName val="Exercise 5 template"/>
      <sheetName val="Exercise 5 template  中文"/>
      <sheetName val="Exercise 5"/>
      <sheetName val="Exercise 5  中文"/>
      <sheetName val="Exercise 6"/>
      <sheetName val="Exercise 6  中文"/>
      <sheetName val="Exercise 7"/>
      <sheetName val="Exercise 7 中文"/>
      <sheetName val="Exercise 8"/>
      <sheetName val="Exercise 8  中文"/>
      <sheetName val="Exercise 9"/>
      <sheetName val="Exercise 9  中文"/>
      <sheetName val="Exercise 10"/>
      <sheetName val="Exercise 10 中文"/>
      <sheetName val="Exercise 11"/>
      <sheetName val="Exercise 11 中文"/>
      <sheetName val="Exercise 12"/>
      <sheetName val="Exercise 12 中文"/>
      <sheetName val="VBA option func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ertonCall"/>
      <definedName name="Merto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G24"/>
  <sheetViews>
    <sheetView tabSelected="1" zoomScale="145" zoomScaleNormal="145" workbookViewId="0">
      <selection activeCell="E23" sqref="E23"/>
    </sheetView>
  </sheetViews>
  <sheetFormatPr defaultRowHeight="13.8" x14ac:dyDescent="0.25"/>
  <cols>
    <col min="1" max="1" width="15.88671875" style="7" customWidth="1"/>
    <col min="2" max="2" width="8.88671875" style="7"/>
    <col min="3" max="3" width="44.5546875" style="7" customWidth="1"/>
    <col min="4" max="6" width="8.88671875" style="7"/>
    <col min="7" max="7" width="95.88671875" style="7" customWidth="1"/>
  </cols>
  <sheetData>
    <row r="1" spans="1:7" ht="17.399999999999999" x14ac:dyDescent="0.3">
      <c r="A1" s="1" t="s">
        <v>0</v>
      </c>
      <c r="B1" s="1"/>
      <c r="C1" s="1"/>
      <c r="D1" s="2"/>
      <c r="E1" s="2"/>
      <c r="F1" s="2"/>
      <c r="G1" s="2"/>
    </row>
    <row r="2" spans="1:7" x14ac:dyDescent="0.25">
      <c r="A2" s="3" t="s">
        <v>1</v>
      </c>
      <c r="B2" s="4">
        <v>1500</v>
      </c>
      <c r="C2" s="3" t="s">
        <v>2</v>
      </c>
      <c r="D2" s="3"/>
      <c r="E2" s="3"/>
      <c r="F2" s="3"/>
      <c r="G2" s="3" t="s">
        <v>3</v>
      </c>
    </row>
    <row r="3" spans="1:7" x14ac:dyDescent="0.25">
      <c r="A3" s="3" t="s">
        <v>4</v>
      </c>
      <c r="B3" s="4">
        <v>1500</v>
      </c>
      <c r="C3" s="3" t="s">
        <v>5</v>
      </c>
      <c r="D3" s="5"/>
      <c r="E3" s="3"/>
      <c r="F3" s="3"/>
      <c r="G3" s="3" t="s">
        <v>6</v>
      </c>
    </row>
    <row r="4" spans="1:7" x14ac:dyDescent="0.25">
      <c r="A4" s="3" t="s">
        <v>7</v>
      </c>
      <c r="B4" s="6">
        <v>7.0000000000000007E-2</v>
      </c>
      <c r="C4" s="3" t="s">
        <v>8</v>
      </c>
      <c r="D4" s="3"/>
      <c r="E4" s="3"/>
      <c r="F4" s="3"/>
      <c r="G4" s="3" t="s">
        <v>9</v>
      </c>
    </row>
    <row r="5" spans="1:7" x14ac:dyDescent="0.25">
      <c r="A5" s="3" t="s">
        <v>10</v>
      </c>
      <c r="B5" s="6">
        <v>2.1999999999999999E-2</v>
      </c>
      <c r="C5" s="3" t="s">
        <v>11</v>
      </c>
      <c r="D5" s="3"/>
      <c r="E5" s="3"/>
      <c r="F5" s="3"/>
    </row>
    <row r="6" spans="1:7" x14ac:dyDescent="0.25">
      <c r="A6" s="3" t="s">
        <v>12</v>
      </c>
      <c r="B6" s="4">
        <v>1</v>
      </c>
      <c r="C6" s="3" t="s">
        <v>13</v>
      </c>
      <c r="D6" s="3"/>
      <c r="E6" s="3"/>
      <c r="F6" s="3"/>
      <c r="G6" s="3" t="s">
        <v>14</v>
      </c>
    </row>
    <row r="7" spans="1:7" x14ac:dyDescent="0.25">
      <c r="A7" s="3" t="s">
        <v>15</v>
      </c>
      <c r="B7" s="3">
        <v>0.2</v>
      </c>
      <c r="C7" s="3" t="s">
        <v>16</v>
      </c>
      <c r="D7" s="3"/>
      <c r="E7" s="3"/>
      <c r="F7" s="3"/>
      <c r="G7" s="3" t="s">
        <v>17</v>
      </c>
    </row>
    <row r="8" spans="1:7" ht="15.6" x14ac:dyDescent="0.35">
      <c r="A8" s="3" t="s">
        <v>18</v>
      </c>
      <c r="B8" s="8">
        <f>(LN(B2/B3)+(B4+0.5*B7^2-B5)*B6)/(B7*SQRT(B6))</f>
        <v>0.34</v>
      </c>
      <c r="C8" s="3" t="s">
        <v>19</v>
      </c>
      <c r="D8" s="3"/>
      <c r="E8" s="3"/>
      <c r="F8" s="3"/>
      <c r="G8" s="3" t="s">
        <v>9</v>
      </c>
    </row>
    <row r="9" spans="1:7" ht="15.6" x14ac:dyDescent="0.35">
      <c r="A9" s="3" t="s">
        <v>20</v>
      </c>
      <c r="B9" s="8">
        <f>B8-SQRT(B6)*B7</f>
        <v>0.14000000000000001</v>
      </c>
      <c r="C9" s="3" t="s">
        <v>21</v>
      </c>
      <c r="D9" s="3"/>
      <c r="E9" s="3"/>
      <c r="F9" s="3"/>
    </row>
    <row r="10" spans="1:7" x14ac:dyDescent="0.25">
      <c r="A10" s="3"/>
      <c r="B10" s="9"/>
      <c r="C10" s="3"/>
      <c r="D10" s="3"/>
      <c r="E10" s="3"/>
      <c r="F10" s="3"/>
      <c r="G10" s="3" t="s">
        <v>22</v>
      </c>
    </row>
    <row r="11" spans="1:7" ht="15.6" x14ac:dyDescent="0.35">
      <c r="A11" s="3" t="s">
        <v>23</v>
      </c>
      <c r="B11" s="9">
        <f>NORMSDIST(B8)</f>
        <v>0.63307173603602807</v>
      </c>
      <c r="C11" s="3" t="s">
        <v>24</v>
      </c>
      <c r="D11" s="3"/>
      <c r="E11" s="3"/>
      <c r="F11" s="3"/>
      <c r="G11" s="3" t="s">
        <v>25</v>
      </c>
    </row>
    <row r="12" spans="1:7" ht="15.6" x14ac:dyDescent="0.35">
      <c r="A12" s="3" t="s">
        <v>26</v>
      </c>
      <c r="B12" s="9">
        <f>NORMSDIST(B9)</f>
        <v>0.55567000480590645</v>
      </c>
      <c r="C12" s="3" t="s">
        <v>27</v>
      </c>
      <c r="D12" s="3"/>
      <c r="E12" s="3"/>
      <c r="F12" s="3"/>
      <c r="G12" s="3" t="s">
        <v>28</v>
      </c>
    </row>
    <row r="13" spans="1:7" x14ac:dyDescent="0.25">
      <c r="A13" s="3"/>
      <c r="B13" s="9"/>
      <c r="C13" s="3"/>
      <c r="D13" s="3"/>
      <c r="E13" s="3"/>
      <c r="F13" s="3"/>
      <c r="G13" s="3" t="s">
        <v>29</v>
      </c>
    </row>
    <row r="14" spans="1:7" ht="15.6" x14ac:dyDescent="0.35">
      <c r="A14" s="3" t="s">
        <v>30</v>
      </c>
      <c r="B14" s="10">
        <f>B2*EXP(-B5*B6)*B11-B3*EXP(-B4*B6)*B12</f>
        <v>151.78944821403888</v>
      </c>
      <c r="C14" s="3" t="s">
        <v>31</v>
      </c>
      <c r="D14" s="3"/>
      <c r="E14" s="3"/>
      <c r="F14" s="3"/>
      <c r="G14" s="3" t="s">
        <v>9</v>
      </c>
    </row>
    <row r="15" spans="1:7" x14ac:dyDescent="0.25">
      <c r="A15" s="3" t="s">
        <v>32</v>
      </c>
      <c r="B15" s="11">
        <f>B14-B2*EXP(-B5*B6)+B3*EXP(-B4*B6)</f>
        <v>83.019825496146268</v>
      </c>
      <c r="C15" s="3" t="s">
        <v>33</v>
      </c>
      <c r="D15" s="3"/>
      <c r="E15" s="3"/>
      <c r="F15" s="3"/>
    </row>
    <row r="16" spans="1:7" ht="15.6" x14ac:dyDescent="0.35">
      <c r="A16" s="3"/>
      <c r="B16" s="10">
        <f>B3*EXP(-B4*B6)*NORMSDIST(-B9)-B2*EXP(-B5*B6)*NORMSDIST(-B8)</f>
        <v>83.019825496146268</v>
      </c>
      <c r="C16" s="3" t="s">
        <v>34</v>
      </c>
      <c r="D16" s="3"/>
      <c r="E16" s="3"/>
      <c r="F16" s="3"/>
      <c r="G16" s="3" t="s">
        <v>35</v>
      </c>
    </row>
    <row r="17" spans="1:7" x14ac:dyDescent="0.25">
      <c r="G17" s="3" t="s">
        <v>36</v>
      </c>
    </row>
    <row r="18" spans="1:7" x14ac:dyDescent="0.25">
      <c r="A18" s="12" t="s">
        <v>37</v>
      </c>
      <c r="G18" s="3" t="s">
        <v>38</v>
      </c>
    </row>
    <row r="19" spans="1:7" x14ac:dyDescent="0.25">
      <c r="A19" s="7" t="s">
        <v>39</v>
      </c>
      <c r="B19" s="13">
        <f>[2]!MertonCall(B2,B3,B6,B4,B5,B7)</f>
        <v>151.78944821403888</v>
      </c>
      <c r="C19" s="7" t="str">
        <f ca="1">_xlfn.FORMULATEXT(B19)</f>
        <v>=MertonCall(B2,B3,B6,B4,B5,B7)</v>
      </c>
      <c r="F19" s="3"/>
      <c r="G19" s="3" t="s">
        <v>40</v>
      </c>
    </row>
    <row r="20" spans="1:7" x14ac:dyDescent="0.25">
      <c r="A20" s="7" t="s">
        <v>41</v>
      </c>
      <c r="B20" s="13">
        <f>[2]!MertonPut(B2,B3,B6,B4,B5,B7)</f>
        <v>83.019825496146268</v>
      </c>
      <c r="C20" s="7" t="str">
        <f ca="1">_xlfn.FORMULATEXT(B20)</f>
        <v>=MertonPut(B2,B3,B6,B4,B5,B7)</v>
      </c>
      <c r="F20" s="3"/>
      <c r="G20" s="7" t="s">
        <v>9</v>
      </c>
    </row>
    <row r="21" spans="1:7" x14ac:dyDescent="0.25">
      <c r="F21" s="3"/>
    </row>
    <row r="22" spans="1:7" x14ac:dyDescent="0.25">
      <c r="F22" s="3"/>
    </row>
    <row r="23" spans="1:7" x14ac:dyDescent="0.25">
      <c r="F23" s="3"/>
    </row>
    <row r="24" spans="1:7" x14ac:dyDescent="0.25">
      <c r="F24" s="3"/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2024-12-02T07:39:10Z</dcterms:modified>
</cp:coreProperties>
</file>