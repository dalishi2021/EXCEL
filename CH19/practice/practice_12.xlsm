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practice\"/>
    </mc:Choice>
  </mc:AlternateContent>
  <xr:revisionPtr revIDLastSave="0" documentId="13_ncr:1_{00165C22-D32D-439E-AB28-F63D4C59CE6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1000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2" i="1"/>
  <c r="C13" i="1"/>
  <c r="C11" i="1"/>
  <c r="C12" i="1"/>
  <c r="B13" i="1" l="1"/>
</calcChain>
</file>

<file path=xl/sharedStrings.xml><?xml version="1.0" encoding="utf-8"?>
<sst xmlns="http://schemas.openxmlformats.org/spreadsheetml/2006/main" count="17" uniqueCount="16">
  <si>
    <t>STOCK PARTICIPATION CERTIFICATE</t>
  </si>
  <si>
    <t>Current price of index</t>
  </si>
  <si>
    <t>Exercise price</t>
  </si>
  <si>
    <t>The security is a combination of a pure-discount</t>
  </si>
  <si>
    <t>Time to maturity</t>
  </si>
  <si>
    <t>bond and a 95% call on the index, at-the-money.</t>
  </si>
  <si>
    <t>Interest rate</t>
  </si>
  <si>
    <t>Sigma</t>
  </si>
  <si>
    <t>Payoff of security=1000 + 0.95*1000*max(ST/100-1,0)</t>
  </si>
  <si>
    <t>Participation rate</t>
  </si>
  <si>
    <t>Value of security</t>
  </si>
  <si>
    <t>Rewriting this slightly:</t>
  </si>
  <si>
    <t>PV of bond</t>
  </si>
  <si>
    <t>Payoff of security=1000 + 0.95*10*max(ST-100,0)</t>
  </si>
  <si>
    <t>Option value</t>
  </si>
  <si>
    <t>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</si>
</sst>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0" fontId="3" fillId="0" borderId="0" xfId="0" applyFont="1" applyAlignment="1"/>
    <xf numFmtId="2" fontId="0" fillId="0" borderId="0" xfId="0" applyNumberFormat="1" applyAlignment="1"/>
    <xf numFmtId="0" fontId="0" fillId="2" borderId="0" xfId="0" applyFill="1" applyAlignment="1"/>
    <xf numFmtId="9" fontId="0" fillId="2" borderId="0" xfId="0" applyNumberFormat="1" applyFill="1" applyAlignment="1"/>
    <xf numFmtId="0" fontId="2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162582</xdr:colOff>
      <xdr:row>12</xdr:row>
      <xdr:rowOff>59121</xdr:rowOff>
    </xdr:from>
    <xdr:to>
      <xdr:col>23</xdr:col>
      <xdr:colOff>587397</xdr:colOff>
      <xdr:row>27</xdr:row>
      <xdr:rowOff>55310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C8D3883-8572-79A4-A704-1E097C914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518306" y="2154621"/>
          <a:ext cx="8370504" cy="256189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J15"/>
  <sheetViews>
    <sheetView tabSelected="1" zoomScale="145" zoomScaleNormal="145" workbookViewId="0">
      <selection activeCell="C16" sqref="C16"/>
    </sheetView>
  </sheetViews>
  <sheetFormatPr defaultRowHeight="13.8" x14ac:dyDescent="0.25"/>
  <cols>
    <col min="1" max="1" width="22.77734375" style="1" customWidth="1"/>
    <col min="2" max="2" width="11.21875" style="1" customWidth="1"/>
    <col min="3" max="3" width="31.6640625" style="1" bestFit="1" customWidth="1"/>
    <col min="4" max="10" width="8.88671875" style="1"/>
  </cols>
  <sheetData>
    <row r="1" spans="1:6" ht="17.399999999999999" x14ac:dyDescent="0.3">
      <c r="A1" s="7" t="s">
        <v>0</v>
      </c>
      <c r="B1" s="7"/>
      <c r="C1" s="7"/>
    </row>
    <row r="2" spans="1:6" x14ac:dyDescent="0.25">
      <c r="A2" s="1" t="s">
        <v>1</v>
      </c>
      <c r="B2" s="1">
        <v>100</v>
      </c>
    </row>
    <row r="3" spans="1:6" x14ac:dyDescent="0.25">
      <c r="A3" s="1" t="s">
        <v>2</v>
      </c>
      <c r="B3" s="1">
        <v>100</v>
      </c>
      <c r="F3" s="1" t="s">
        <v>3</v>
      </c>
    </row>
    <row r="4" spans="1:6" x14ac:dyDescent="0.25">
      <c r="A4" s="1" t="s">
        <v>4</v>
      </c>
      <c r="B4" s="1">
        <v>3</v>
      </c>
      <c r="F4" s="1" t="s">
        <v>5</v>
      </c>
    </row>
    <row r="5" spans="1:6" x14ac:dyDescent="0.25">
      <c r="A5" s="1" t="s">
        <v>6</v>
      </c>
      <c r="B5" s="2">
        <v>0.06</v>
      </c>
    </row>
    <row r="6" spans="1:6" x14ac:dyDescent="0.25">
      <c r="A6" s="5" t="s">
        <v>7</v>
      </c>
      <c r="B6" s="6">
        <v>8.975987559976524E-2</v>
      </c>
      <c r="F6" s="1" t="s">
        <v>8</v>
      </c>
    </row>
    <row r="7" spans="1:6" x14ac:dyDescent="0.25">
      <c r="B7" s="2"/>
    </row>
    <row r="8" spans="1:6" x14ac:dyDescent="0.25">
      <c r="A8" s="1" t="s">
        <v>9</v>
      </c>
      <c r="B8" s="2">
        <v>0.95</v>
      </c>
    </row>
    <row r="10" spans="1:6" x14ac:dyDescent="0.25">
      <c r="A10" s="3" t="s">
        <v>10</v>
      </c>
      <c r="F10" s="1" t="s">
        <v>11</v>
      </c>
    </row>
    <row r="11" spans="1:6" x14ac:dyDescent="0.25">
      <c r="A11" s="1" t="s">
        <v>12</v>
      </c>
      <c r="B11" s="4">
        <f>$B$15*EXP(-B5*B4)</f>
        <v>835.27021141127204</v>
      </c>
      <c r="C11" s="1" t="str">
        <f ca="1">_xlfn.FORMULATEXT(B11)</f>
        <v>=$B$15*EXP(-B5*B4)</v>
      </c>
      <c r="F11" s="1" t="s">
        <v>13</v>
      </c>
    </row>
    <row r="12" spans="1:6" x14ac:dyDescent="0.25">
      <c r="A12" s="1" t="s">
        <v>14</v>
      </c>
      <c r="B12" s="4">
        <f>B8*10*[1]!bscall(B2,B3,B4,B5,B6)</f>
        <v>164.72898534949564</v>
      </c>
      <c r="C12" s="1" t="str">
        <f ca="1">_xlfn.FORMULATEXT(B12)</f>
        <v>=B8*10*bscall(B2,B3,B4,B5,B6)</v>
      </c>
    </row>
    <row r="13" spans="1:6" x14ac:dyDescent="0.25">
      <c r="A13" s="1" t="s">
        <v>10</v>
      </c>
      <c r="B13" s="4">
        <f>SUM(B11:B12)</f>
        <v>999.99919676076775</v>
      </c>
      <c r="C13" s="1" t="str">
        <f ca="1">_xlfn.FORMULATEXT(B13)</f>
        <v>=SUM(B11:B12)</v>
      </c>
    </row>
    <row r="15" spans="1:6" x14ac:dyDescent="0.25">
      <c r="A15" s="1" t="s">
        <v>15</v>
      </c>
      <c r="B15" s="1">
        <v>1000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2024-12-02T08:25:32Z</dcterms:modified>
</cp:coreProperties>
</file>