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9\practice\"/>
    </mc:Choice>
  </mc:AlternateContent>
  <xr:revisionPtr revIDLastSave="0" documentId="13_ncr:1_{1815CDDC-DB98-42A9-BAA9-8CB78D668050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definedNames>
    <definedName name="_xlnm.Print_Area" localSheetId="0">Sheet1!$A$1:$I$26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" l="1"/>
  <c r="C24" i="1"/>
  <c r="C23" i="1"/>
  <c r="B24" i="1"/>
  <c r="B23" i="1"/>
  <c r="C8" i="1"/>
  <c r="B11" i="1" l="1"/>
  <c r="B16" i="1" l="1"/>
  <c r="B12" i="1"/>
  <c r="B20" i="1" l="1"/>
  <c r="B17" i="1"/>
  <c r="B19" i="1" s="1"/>
</calcChain>
</file>

<file path=xl/sharedStrings.xml><?xml version="1.0" encoding="utf-8"?>
<sst xmlns="http://schemas.openxmlformats.org/spreadsheetml/2006/main" count="30" uniqueCount="30">
  <si>
    <t>Pricing Currency Options</t>
  </si>
  <si>
    <t>S</t>
  </si>
  <si>
    <t>Current exchange rate:  U.S. dollar price of one Euro</t>
  </si>
  <si>
    <t>X</t>
  </si>
  <si>
    <t>Exercise price</t>
  </si>
  <si>
    <r>
      <t>r</t>
    </r>
    <r>
      <rPr>
        <vertAlign val="subscript"/>
        <sz val="10"/>
        <rFont val="Arial"/>
        <family val="2"/>
      </rPr>
      <t>US</t>
    </r>
  </si>
  <si>
    <t>U.S. interest rate</t>
  </si>
  <si>
    <r>
      <t>r</t>
    </r>
    <r>
      <rPr>
        <vertAlign val="subscript"/>
        <sz val="10"/>
        <rFont val="Arial"/>
        <family val="2"/>
      </rPr>
      <t>€</t>
    </r>
  </si>
  <si>
    <t>Euro interest rate</t>
  </si>
  <si>
    <t>Current date</t>
  </si>
  <si>
    <t>Option expiration date</t>
  </si>
  <si>
    <t>T</t>
  </si>
  <si>
    <t>Sigma</t>
  </si>
  <si>
    <t>Euro volatility</t>
  </si>
  <si>
    <r>
      <t>d</t>
    </r>
    <r>
      <rPr>
        <vertAlign val="subscript"/>
        <sz val="10"/>
        <rFont val="Arial"/>
        <family val="2"/>
      </rPr>
      <t>1</t>
    </r>
  </si>
  <si>
    <r>
      <t>&lt;--(LN(S/X)+(r</t>
    </r>
    <r>
      <rPr>
        <vertAlign val="subscript"/>
        <sz val="10"/>
        <rFont val="Arial"/>
        <family val="2"/>
      </rPr>
      <t>US</t>
    </r>
    <r>
      <rPr>
        <sz val="10"/>
        <rFont val="Arial"/>
        <family val="2"/>
      </rPr>
      <t>-r</t>
    </r>
    <r>
      <rPr>
        <vertAlign val="subscript"/>
        <sz val="10"/>
        <rFont val="Arial"/>
        <family val="2"/>
      </rPr>
      <t>€</t>
    </r>
    <r>
      <rPr>
        <sz val="10"/>
        <rFont val="Arial"/>
        <family val="2"/>
      </rPr>
      <t>+0.5*sigma^2)*T)/(sigma*SQRT(T))</t>
    </r>
  </si>
  <si>
    <r>
      <t>d</t>
    </r>
    <r>
      <rPr>
        <vertAlign val="subscript"/>
        <sz val="10"/>
        <rFont val="Arial"/>
        <family val="2"/>
      </rPr>
      <t>2</t>
    </r>
  </si>
  <si>
    <r>
      <t>&lt;-- d</t>
    </r>
    <r>
      <rPr>
        <vertAlign val="subscript"/>
        <sz val="10"/>
        <rFont val="Arial"/>
        <family val="2"/>
      </rPr>
      <t xml:space="preserve">1 </t>
    </r>
    <r>
      <rPr>
        <sz val="11"/>
        <color theme="1"/>
        <rFont val="等线"/>
        <family val="2"/>
        <charset val="134"/>
        <scheme val="minor"/>
      </rPr>
      <t>- sigma*SQRT(T)</t>
    </r>
  </si>
  <si>
    <t>Number of Euros per call contract</t>
  </si>
  <si>
    <r>
      <t>N(d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</t>
    </r>
  </si>
  <si>
    <r>
      <t>&lt;--- Uses formula NormSDist(d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</t>
    </r>
  </si>
  <si>
    <r>
      <t>N(d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</si>
  <si>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r>
      <t>&lt;--- Uses formula NormSDist(d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</si>
  <si>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t>Call price</t>
  </si>
  <si>
    <r>
      <t>&lt;-- (S*Exp(-r</t>
    </r>
    <r>
      <rPr>
        <vertAlign val="subscript"/>
        <sz val="10"/>
        <rFont val="Arial"/>
        <family val="2"/>
      </rPr>
      <t>€</t>
    </r>
    <r>
      <rPr>
        <sz val="11"/>
        <color theme="1"/>
        <rFont val="等线"/>
        <family val="2"/>
        <charset val="134"/>
        <scheme val="minor"/>
      </rPr>
      <t>*T)*N(d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)-X*exp(-r</t>
    </r>
    <r>
      <rPr>
        <vertAlign val="subscript"/>
        <sz val="10"/>
        <rFont val="Arial"/>
        <family val="2"/>
      </rPr>
      <t>US</t>
    </r>
    <r>
      <rPr>
        <sz val="11"/>
        <color theme="1"/>
        <rFont val="等线"/>
        <family val="2"/>
        <charset val="134"/>
        <scheme val="minor"/>
      </rPr>
      <t>*T)*N(d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))*B12</t>
    </r>
  </si>
  <si>
    <t>Put price</t>
  </si>
  <si>
    <r>
      <t>&lt;-- (X*exp(-r</t>
    </r>
    <r>
      <rPr>
        <vertAlign val="subscript"/>
        <sz val="10"/>
        <rFont val="Arial"/>
        <family val="2"/>
      </rPr>
      <t>US</t>
    </r>
    <r>
      <rPr>
        <sz val="11"/>
        <color theme="1"/>
        <rFont val="等线"/>
        <family val="2"/>
        <charset val="134"/>
        <scheme val="minor"/>
      </rPr>
      <t>*T)*N(-d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)-S*Exp(-r</t>
    </r>
    <r>
      <rPr>
        <vertAlign val="subscript"/>
        <sz val="10"/>
        <rFont val="Arial"/>
        <family val="2"/>
      </rPr>
      <t>€</t>
    </r>
    <r>
      <rPr>
        <sz val="11"/>
        <color theme="1"/>
        <rFont val="等线"/>
        <family val="2"/>
        <charset val="134"/>
        <scheme val="minor"/>
      </rPr>
      <t>*T)*N(-d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))*B12:  direct formula</t>
    </r>
  </si>
  <si>
    <t>Using the functions defined in Exercise 8</t>
  </si>
  <si>
    <t>Call</t>
  </si>
  <si>
    <t>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</si>
</sst>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 * #,##0.00_ ;_ * \-#,##0.00_ ;_ * &quot;-&quot;??_ ;_ @_ "/>
    <numFmt numFmtId="176" formatCode="0.0000"/>
    <numFmt numFmtId="177" formatCode="0.00000"/>
    <numFmt numFmtId="178" formatCode="_(* #,##0.00_);_(* \(#,##0.00\);_(* &quot;-&quot;??_);_(@_)"/>
    <numFmt numFmtId="179" formatCode="_(* #,##0_);_(* \(#,##0\);_(* &quot;-&quot;??_);_(@_)"/>
    <numFmt numFmtId="180" formatCode=";;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vertAlign val="subscript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9" fontId="4" fillId="0" borderId="0" xfId="2" applyFont="1" applyAlignment="1">
      <alignment horizontal="center"/>
    </xf>
    <xf numFmtId="9" fontId="5" fillId="0" borderId="0" xfId="2" applyFont="1" applyAlignment="1">
      <alignment horizontal="centerContinuous"/>
    </xf>
    <xf numFmtId="0" fontId="0" fillId="0" borderId="0" xfId="0" applyAlignment="1"/>
    <xf numFmtId="9" fontId="2" fillId="0" borderId="0" xfId="2" applyAlignment="1"/>
    <xf numFmtId="0" fontId="2" fillId="0" borderId="0" xfId="2" applyNumberFormat="1" applyAlignment="1"/>
    <xf numFmtId="9" fontId="3" fillId="0" borderId="0" xfId="2" applyFont="1" applyAlignment="1"/>
    <xf numFmtId="176" fontId="2" fillId="0" borderId="0" xfId="2" applyNumberFormat="1" applyAlignment="1"/>
    <xf numFmtId="9" fontId="2" fillId="0" borderId="0" xfId="2" quotePrefix="1" applyAlignment="1"/>
    <xf numFmtId="10" fontId="2" fillId="0" borderId="0" xfId="2" applyNumberFormat="1" applyAlignment="1"/>
    <xf numFmtId="15" fontId="2" fillId="0" borderId="0" xfId="2" applyNumberFormat="1" applyAlignment="1"/>
    <xf numFmtId="177" fontId="3" fillId="0" borderId="0" xfId="2" applyNumberFormat="1" applyFont="1" applyAlignment="1"/>
    <xf numFmtId="10" fontId="3" fillId="0" borderId="0" xfId="2" applyNumberFormat="1" applyFont="1" applyAlignment="1"/>
    <xf numFmtId="176" fontId="2" fillId="0" borderId="0" xfId="2" quotePrefix="1" applyNumberFormat="1" applyAlignment="1"/>
    <xf numFmtId="179" fontId="2" fillId="0" borderId="0" xfId="1" quotePrefix="1" applyNumberFormat="1" applyAlignment="1"/>
    <xf numFmtId="9" fontId="3" fillId="2" borderId="0" xfId="2" applyFont="1" applyFill="1" applyAlignment="1"/>
    <xf numFmtId="2" fontId="2" fillId="2" borderId="0" xfId="2" applyNumberFormat="1" applyFill="1" applyAlignment="1"/>
    <xf numFmtId="9" fontId="2" fillId="2" borderId="0" xfId="2" applyFill="1" applyAlignment="1"/>
    <xf numFmtId="178" fontId="0" fillId="2" borderId="0" xfId="0" applyNumberFormat="1" applyFill="1" applyAlignment="1"/>
    <xf numFmtId="180" fontId="0" fillId="0" borderId="0" xfId="0" applyNumberFormat="1" applyAlignment="1"/>
    <xf numFmtId="2" fontId="0" fillId="0" borderId="0" xfId="0" applyNumberFormat="1" applyAlignment="1"/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388620</xdr:colOff>
      <xdr:row>1</xdr:row>
      <xdr:rowOff>38100</xdr:rowOff>
    </xdr:from>
    <xdr:to>
      <xdr:col>7</xdr:col>
      <xdr:colOff>571500</xdr:colOff>
      <xdr:row>10</xdr:row>
      <xdr:rowOff>30480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A87454B5-E220-438D-8B4E-670AE9FCBDC0}"/>
            </a:ext>
          </a:extLst>
        </xdr:cNvPr>
        <xdr:cNvSpPr txBox="1">
          <a:spLocks noChangeArrowheads="1"/>
        </xdr:cNvSpPr>
      </xdr:nvSpPr>
      <xdr:spPr bwMode="auto">
        <a:xfrm>
          <a:off x="6838950" y="257175"/>
          <a:ext cx="2733675" cy="1590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Intuition:  The underlying asset of the currency option is a Euro.  The Euro pays a dividend, which is the Euro interest rate.  Therefore the Merton model applies, with the underlying asset price being S*exp(-r</a:t>
          </a:r>
          <a:r>
            <a:rPr lang="zh-CN" altLang="en-US" sz="10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€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*T), where r</a:t>
          </a:r>
          <a:r>
            <a:rPr lang="zh-CN" altLang="en-US" sz="10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€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is the interest rate on Euros.  Note also the change in d</a:t>
          </a:r>
          <a:r>
            <a:rPr lang="zh-CN" altLang="en-US" sz="10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1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, where r</a:t>
          </a:r>
          <a:r>
            <a:rPr lang="zh-CN" altLang="en-US" sz="10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US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-r</a:t>
          </a:r>
          <a:r>
            <a:rPr lang="zh-CN" altLang="en-US" sz="10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€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appears instead of r</a:t>
          </a:r>
          <a:r>
            <a:rPr lang="zh-CN" altLang="en-US" sz="10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US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as in the regular Black-Scholes formula.</a:t>
          </a:r>
        </a:p>
      </xdr:txBody>
    </xdr:sp>
    <xdr:clientData/>
  </xdr:twoCellAnchor>
  <xdr:twoCellAnchor editAs="oneCell">
    <xdr:from>
      <xdr:col>9</xdr:col>
      <xdr:colOff>323850</xdr:colOff>
      <xdr:row>2</xdr:row>
      <xdr:rowOff>152400</xdr:rowOff>
    </xdr:from>
    <xdr:to>
      <xdr:col>26</xdr:col>
      <xdr:colOff>190500</xdr:colOff>
      <xdr:row>29</xdr:row>
      <xdr:rowOff>97155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FF02323D-2CAE-EE8C-10BC-EDACC8F6A3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544175" y="542925"/>
          <a:ext cx="10229850" cy="4810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1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19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Exercise 1  中文"/>
      <sheetName val="Exercise 2"/>
      <sheetName val="Exercise 2  中文"/>
      <sheetName val="Exercise 3"/>
      <sheetName val="Exercise 3  中文"/>
      <sheetName val="Exercise 4"/>
      <sheetName val="Exercise 4 中文"/>
      <sheetName val="Exercise 5 template"/>
      <sheetName val="Exercise 5 template  中文"/>
      <sheetName val="Exercise 5"/>
      <sheetName val="Exercise 5  中文"/>
      <sheetName val="Exercise 6"/>
      <sheetName val="Exercise 6  中文"/>
      <sheetName val="Exercise 7"/>
      <sheetName val="Exercise 7 中文"/>
      <sheetName val="Exercise 8"/>
      <sheetName val="Exercise 8  中文"/>
      <sheetName val="Exercise 9"/>
      <sheetName val="Exercise 9  中文"/>
      <sheetName val="Exercise 10"/>
      <sheetName val="Exercise 10 中文"/>
      <sheetName val="Exercise 11"/>
      <sheetName val="Exercise 11 中文"/>
      <sheetName val="Exercise 12"/>
      <sheetName val="Exercise 12 中文"/>
      <sheetName val="VBA option functi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>
        <row r="18">
          <cell r="A18">
            <v>1E-4</v>
          </cell>
        </row>
      </sheetData>
      <sheetData sheetId="21" refreshError="1"/>
      <sheetData sheetId="22">
        <row r="2">
          <cell r="F2" t="str">
            <v>C/X</v>
          </cell>
        </row>
      </sheetData>
      <sheetData sheetId="23" refreshError="1"/>
      <sheetData sheetId="24"/>
      <sheetData sheetId="25" refreshError="1"/>
      <sheetData sheetId="2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ertonCall"/>
      <definedName name="Merton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>
    <pageSetUpPr fitToPage="1"/>
  </sheetPr>
  <dimension ref="A1:I36"/>
  <sheetViews>
    <sheetView tabSelected="1" zoomScale="145" zoomScaleNormal="145" workbookViewId="0">
      <selection activeCell="D21" sqref="D21"/>
    </sheetView>
  </sheetViews>
  <sheetFormatPr defaultRowHeight="13.8" x14ac:dyDescent="0.25"/>
  <cols>
    <col min="1" max="1" width="28.109375" style="3" customWidth="1"/>
    <col min="2" max="2" width="10.5546875" style="3" bestFit="1" customWidth="1"/>
    <col min="3" max="3" width="55.44140625" style="3" bestFit="1" customWidth="1"/>
    <col min="4" max="4" width="10.5546875" style="3" bestFit="1" customWidth="1"/>
    <col min="5" max="9" width="8.88671875" style="3"/>
  </cols>
  <sheetData>
    <row r="1" spans="1:7" ht="17.399999999999999" x14ac:dyDescent="0.3">
      <c r="A1" s="1" t="s">
        <v>0</v>
      </c>
      <c r="B1" s="1"/>
      <c r="C1" s="1"/>
      <c r="D1" s="2"/>
      <c r="E1" s="2"/>
      <c r="F1" s="2"/>
      <c r="G1" s="2"/>
    </row>
    <row r="2" spans="1:7" x14ac:dyDescent="0.25">
      <c r="A2" s="4" t="s">
        <v>1</v>
      </c>
      <c r="B2" s="5">
        <v>1.3786</v>
      </c>
      <c r="C2" s="6" t="s">
        <v>2</v>
      </c>
      <c r="D2" s="4"/>
      <c r="E2" s="4"/>
      <c r="F2" s="4"/>
      <c r="G2" s="4"/>
    </row>
    <row r="3" spans="1:7" x14ac:dyDescent="0.25">
      <c r="A3" s="4" t="s">
        <v>3</v>
      </c>
      <c r="B3" s="7">
        <v>1.37</v>
      </c>
      <c r="C3" s="6" t="s">
        <v>4</v>
      </c>
      <c r="D3" s="8"/>
      <c r="E3" s="4"/>
      <c r="F3" s="4"/>
      <c r="G3" s="4"/>
    </row>
    <row r="4" spans="1:7" ht="15.6" x14ac:dyDescent="0.35">
      <c r="A4" s="6" t="s">
        <v>5</v>
      </c>
      <c r="B4" s="9">
        <v>0.05</v>
      </c>
      <c r="C4" s="6" t="s">
        <v>6</v>
      </c>
      <c r="D4" s="4"/>
      <c r="E4" s="4"/>
      <c r="F4" s="4"/>
      <c r="G4" s="4"/>
    </row>
    <row r="5" spans="1:7" ht="15.6" x14ac:dyDescent="0.35">
      <c r="A5" s="6" t="s">
        <v>7</v>
      </c>
      <c r="B5" s="9">
        <v>4.4999999999999998E-2</v>
      </c>
      <c r="C5" s="6" t="s">
        <v>8</v>
      </c>
      <c r="D5" s="4"/>
      <c r="E5" s="4"/>
      <c r="F5" s="4"/>
      <c r="G5" s="4"/>
    </row>
    <row r="6" spans="1:7" x14ac:dyDescent="0.25">
      <c r="A6" s="6" t="s">
        <v>9</v>
      </c>
      <c r="B6" s="10">
        <v>39275</v>
      </c>
      <c r="C6" s="6"/>
      <c r="D6" s="4"/>
      <c r="E6" s="4"/>
      <c r="F6" s="4"/>
      <c r="G6" s="4"/>
    </row>
    <row r="7" spans="1:7" x14ac:dyDescent="0.25">
      <c r="A7" s="6" t="s">
        <v>10</v>
      </c>
      <c r="B7" s="10">
        <v>39436</v>
      </c>
      <c r="C7" s="6"/>
      <c r="D7" s="4"/>
      <c r="E7" s="4"/>
      <c r="F7" s="4"/>
      <c r="G7" s="4"/>
    </row>
    <row r="8" spans="1:7" x14ac:dyDescent="0.25">
      <c r="A8" s="4" t="s">
        <v>11</v>
      </c>
      <c r="B8" s="11">
        <f>(B7-B6)/365</f>
        <v>0.44109589041095892</v>
      </c>
      <c r="C8" s="6" t="str">
        <f ca="1">_xlfn.FORMULATEXT(B8)</f>
        <v>=(B7-B6)/365</v>
      </c>
      <c r="D8" s="4"/>
      <c r="E8" s="4"/>
      <c r="F8" s="4"/>
      <c r="G8" s="4"/>
    </row>
    <row r="9" spans="1:7" x14ac:dyDescent="0.25">
      <c r="A9" s="6" t="s">
        <v>12</v>
      </c>
      <c r="B9" s="12">
        <v>0.06</v>
      </c>
      <c r="C9" s="6" t="s">
        <v>13</v>
      </c>
      <c r="D9" s="4"/>
      <c r="E9" s="4"/>
      <c r="F9" s="4"/>
      <c r="G9" s="4"/>
    </row>
    <row r="10" spans="1:7" x14ac:dyDescent="0.25">
      <c r="A10" s="6"/>
      <c r="B10" s="12"/>
      <c r="C10" s="6"/>
      <c r="D10" s="4"/>
      <c r="E10" s="4"/>
      <c r="F10" s="4"/>
      <c r="G10" s="4"/>
    </row>
    <row r="11" spans="1:7" ht="15.6" x14ac:dyDescent="0.35">
      <c r="A11" s="6" t="s">
        <v>14</v>
      </c>
      <c r="B11" s="13">
        <f>(LN(B2/B3)+(B4+0.5*B9^2-B5)*B8)/(B9*SQRT(B8))</f>
        <v>0.23230687534207362</v>
      </c>
      <c r="C11" s="6" t="s">
        <v>15</v>
      </c>
      <c r="D11" s="4"/>
      <c r="E11" s="4"/>
      <c r="F11" s="4"/>
      <c r="G11" s="4"/>
    </row>
    <row r="12" spans="1:7" ht="15.6" x14ac:dyDescent="0.35">
      <c r="A12" s="6" t="s">
        <v>16</v>
      </c>
      <c r="B12" s="13">
        <f>B11-SQRT(B8)*B9</f>
        <v>0.19245784517220058</v>
      </c>
      <c r="C12" s="6" t="s">
        <v>17</v>
      </c>
      <c r="D12" s="4"/>
      <c r="E12" s="4"/>
      <c r="F12" s="4"/>
      <c r="G12" s="4"/>
    </row>
    <row r="13" spans="1:7" x14ac:dyDescent="0.25">
      <c r="A13" s="6"/>
      <c r="B13" s="13"/>
      <c r="C13" s="6"/>
      <c r="D13" s="4"/>
      <c r="E13" s="4"/>
      <c r="F13" s="4"/>
      <c r="G13" s="4"/>
    </row>
    <row r="14" spans="1:7" x14ac:dyDescent="0.25">
      <c r="A14" s="6" t="s">
        <v>18</v>
      </c>
      <c r="B14" s="14">
        <v>10000</v>
      </c>
      <c r="C14" s="6"/>
      <c r="D14" s="4"/>
      <c r="E14" s="4"/>
      <c r="F14" s="4"/>
      <c r="G14" s="4"/>
    </row>
    <row r="15" spans="1:7" x14ac:dyDescent="0.25">
      <c r="A15" s="4"/>
      <c r="B15" s="7"/>
      <c r="C15" s="4"/>
      <c r="D15" s="4"/>
      <c r="E15" s="4"/>
      <c r="F15" s="4"/>
      <c r="G15" s="4"/>
    </row>
    <row r="16" spans="1:7" ht="15.6" x14ac:dyDescent="0.35">
      <c r="A16" s="6" t="s">
        <v>19</v>
      </c>
      <c r="B16" s="7">
        <f>NORMSDIST(B11)</f>
        <v>0.5918501636259913</v>
      </c>
      <c r="C16" s="6" t="s">
        <v>20</v>
      </c>
      <c r="D16" s="4"/>
      <c r="E16" s="4"/>
      <c r="F16" s="4"/>
      <c r="G16" s="4"/>
    </row>
    <row r="17" spans="1:7" ht="15.6" x14ac:dyDescent="0.35">
      <c r="A17" s="6" t="s">
        <v>21</v>
      </c>
      <c r="B17" s="7">
        <f>NORMSDIST(B12)</f>
        <v>0.57630820735966815</v>
      </c>
      <c r="C17" s="6" t="s">
        <v>22</v>
      </c>
      <c r="D17" s="4"/>
      <c r="E17" s="4"/>
      <c r="F17" s="4"/>
      <c r="G17" s="4"/>
    </row>
    <row r="18" spans="1:7" x14ac:dyDescent="0.25">
      <c r="A18" s="4"/>
      <c r="B18" s="7"/>
      <c r="C18" s="4"/>
      <c r="D18" s="4"/>
      <c r="E18" s="4"/>
      <c r="F18" s="4"/>
      <c r="G18" s="4"/>
    </row>
    <row r="19" spans="1:7" ht="15.6" x14ac:dyDescent="0.35">
      <c r="A19" s="15" t="s">
        <v>23</v>
      </c>
      <c r="B19" s="16">
        <f>(B2*EXP(-B5*B8)*B16-B3*EXP(-B4*B8)*B17)*B14</f>
        <v>275.69097023305346</v>
      </c>
      <c r="C19" s="6" t="s">
        <v>24</v>
      </c>
      <c r="D19" s="4"/>
      <c r="E19" s="4"/>
      <c r="F19" s="4"/>
      <c r="G19" s="4"/>
    </row>
    <row r="20" spans="1:7" ht="15.6" x14ac:dyDescent="0.35">
      <c r="A20" s="15" t="s">
        <v>25</v>
      </c>
      <c r="B20" s="16">
        <f>(B3*EXP(-B4*B8)*NORMSDIST(-B12)-B2*EXP(-B5*B8)*NORMSDIST(-B11))*B14</f>
        <v>161.79258839307488</v>
      </c>
      <c r="C20" s="6" t="s">
        <v>26</v>
      </c>
      <c r="D20" s="4"/>
      <c r="E20" s="4"/>
      <c r="F20" s="4"/>
      <c r="G20" s="4"/>
    </row>
    <row r="21" spans="1:7" x14ac:dyDescent="0.25">
      <c r="A21" s="4"/>
      <c r="C21" s="6"/>
      <c r="D21" s="4"/>
      <c r="E21" s="4"/>
      <c r="F21" s="4"/>
      <c r="G21" s="4"/>
    </row>
    <row r="22" spans="1:7" x14ac:dyDescent="0.25">
      <c r="A22" s="4" t="s">
        <v>27</v>
      </c>
    </row>
    <row r="23" spans="1:7" x14ac:dyDescent="0.25">
      <c r="A23" s="17" t="s">
        <v>28</v>
      </c>
      <c r="B23" s="18">
        <f>[2]!MertonCall(B2,B3,B8,B4,B5,B9)*B14</f>
        <v>275.69097023305346</v>
      </c>
      <c r="C23" s="3" t="str">
        <f ca="1">_xlfn.FORMULATEXT(B23)</f>
        <v>=MertonCall(B2,B3,B8,B4,B5,B9)*B14</v>
      </c>
      <c r="D23" s="19"/>
      <c r="E23" s="19"/>
    </row>
    <row r="24" spans="1:7" x14ac:dyDescent="0.25">
      <c r="A24" s="17" t="s">
        <v>29</v>
      </c>
      <c r="B24" s="18">
        <f>[2]!MertonPut(B2,B3,B8,B4,B5,B9)*B14</f>
        <v>161.79258839307488</v>
      </c>
      <c r="C24" s="3" t="str">
        <f ca="1">_xlfn.FORMULATEXT(B24)</f>
        <v>=MertonPut(B2,B3,B8,B4,B5,B9)*B14</v>
      </c>
      <c r="D24" s="20"/>
      <c r="F24" s="6"/>
    </row>
    <row r="25" spans="1:7" x14ac:dyDescent="0.25">
      <c r="C25" s="20"/>
      <c r="D25" s="20"/>
      <c r="F25" s="6"/>
    </row>
    <row r="26" spans="1:7" x14ac:dyDescent="0.25">
      <c r="C26" s="20"/>
      <c r="D26" s="20"/>
      <c r="F26" s="4"/>
    </row>
    <row r="27" spans="1:7" x14ac:dyDescent="0.25">
      <c r="C27" s="20"/>
      <c r="D27" s="20"/>
      <c r="F27" s="6"/>
    </row>
    <row r="28" spans="1:7" x14ac:dyDescent="0.25">
      <c r="C28" s="20"/>
      <c r="D28" s="20"/>
      <c r="F28" s="6"/>
    </row>
    <row r="29" spans="1:7" x14ac:dyDescent="0.25">
      <c r="C29" s="20"/>
      <c r="D29" s="20"/>
    </row>
    <row r="30" spans="1:7" x14ac:dyDescent="0.25">
      <c r="C30" s="20"/>
      <c r="D30" s="20"/>
    </row>
    <row r="31" spans="1:7" x14ac:dyDescent="0.25">
      <c r="C31" s="20"/>
      <c r="D31" s="20"/>
    </row>
    <row r="32" spans="1:7" x14ac:dyDescent="0.25">
      <c r="C32" s="20"/>
      <c r="D32" s="20"/>
    </row>
    <row r="33" spans="3:4" x14ac:dyDescent="0.25">
      <c r="C33" s="20"/>
      <c r="D33" s="20"/>
    </row>
    <row r="34" spans="3:4" x14ac:dyDescent="0.25">
      <c r="C34" s="20"/>
      <c r="D34" s="20"/>
    </row>
    <row r="35" spans="3:4" x14ac:dyDescent="0.25">
      <c r="C35" s="20"/>
      <c r="D35" s="20"/>
    </row>
    <row r="36" spans="3:4" x14ac:dyDescent="0.25">
      <c r="C36" s="20"/>
      <c r="D36" s="20"/>
    </row>
  </sheetData>
  <mergeCells count="1">
    <mergeCell ref="A1:C1"/>
  </mergeCells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86" orientation="landscape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2024-12-02T08:20:16Z</cp:lastPrinted>
  <dcterms:created xsi:type="dcterms:W3CDTF">2024-10-05T13:27:14Z</dcterms:created>
  <dcterms:modified xsi:type="dcterms:W3CDTF">2024-12-02T08:20:17Z</dcterms:modified>
</cp:coreProperties>
</file>