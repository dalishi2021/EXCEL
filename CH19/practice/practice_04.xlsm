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45F13CFE-AF25-487A-B822-37D0AB8584E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" l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B8" i="1"/>
  <c r="B11" i="1" s="1"/>
  <c r="B9" i="1" l="1"/>
  <c r="B16" i="1" l="1"/>
  <c r="B12" i="1"/>
  <c r="B14" i="1" s="1"/>
  <c r="B15" i="1" s="1"/>
  <c r="B20" i="1" s="1"/>
</calcChain>
</file>

<file path=xl/sharedStrings.xml><?xml version="1.0" encoding="utf-8"?>
<sst xmlns="http://schemas.openxmlformats.org/spreadsheetml/2006/main" count="34" uniqueCount="33">
  <si>
    <t>Black-Scholes option pricing formula</t>
  </si>
  <si>
    <t>S</t>
  </si>
  <si>
    <t>current stock price</t>
  </si>
  <si>
    <t>X</t>
  </si>
  <si>
    <t>exercise price</t>
  </si>
  <si>
    <t>r</t>
  </si>
  <si>
    <t>risk-free rate of interest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</si>
  <si>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</si>
  <si>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</si>
  <si>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</si>
  <si>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</si>
  <si>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</si>
  <si>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</si>
  <si>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</si>
  <si>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</si>
  <si>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</si>
  <si>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</si>
  <si>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</si>
  <si>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</si>
  <si>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</si>
  <si>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</si>
  <si>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</si>
  <si>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 + X*Exp(-r*T):  by Put-Call parity</t>
  </si>
  <si>
    <r>
      <t>&lt;-- X*exp(-r*T)*N(-d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)-S*N(d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):  direct formula</t>
    </r>
  </si>
  <si>
    <t>Stock</t>
  </si>
  <si>
    <t>B-S</t>
  </si>
  <si>
    <t>Intrinsic</t>
  </si>
  <si>
    <t>Price</t>
  </si>
  <si>
    <t>Value</t>
  </si>
  <si>
    <r>
      <t xml:space="preserve">When the stock price is low, the B-S value is </t>
    </r>
    <r>
      <rPr>
        <i/>
        <sz val="10"/>
        <rFont val="Arial"/>
        <family val="2"/>
      </rPr>
      <t>less</t>
    </r>
    <r>
      <rPr>
        <sz val="10"/>
        <rFont val="Arial"/>
        <family val="2"/>
      </rPr>
      <t xml:space="preserve"> than the </t>
    </r>
  </si>
  <si>
    <t>intrinsic value.  If we could exercise early, the option would</t>
  </si>
  <si>
    <t>have increased value.  Hence:  Early exercise may be valuable</t>
  </si>
  <si>
    <t>for puts.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</si>
</sst>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9" fontId="4" fillId="0" borderId="0" xfId="1" applyFont="1" applyAlignment="1">
      <alignment horizontal="centerContinuous"/>
    </xf>
    <xf numFmtId="9" fontId="5" fillId="0" borderId="0" xfId="1" applyFont="1" applyAlignment="1">
      <alignment horizontal="centerContinuous"/>
    </xf>
    <xf numFmtId="0" fontId="0" fillId="0" borderId="0" xfId="0" applyAlignment="1"/>
    <xf numFmtId="9" fontId="0" fillId="0" borderId="0" xfId="1" applyFont="1" applyAlignment="1"/>
    <xf numFmtId="0" fontId="0" fillId="0" borderId="0" xfId="1" applyNumberFormat="1" applyFont="1" applyAlignment="1"/>
    <xf numFmtId="9" fontId="0" fillId="0" borderId="0" xfId="1" quotePrefix="1" applyFont="1" applyAlignment="1"/>
    <xf numFmtId="10" fontId="0" fillId="0" borderId="0" xfId="1" applyNumberFormat="1" applyFont="1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  <xf numFmtId="9" fontId="7" fillId="0" borderId="0" xfId="1" applyFont="1" applyAlignment="1">
      <alignment horizontal="right"/>
    </xf>
    <xf numFmtId="2" fontId="7" fillId="0" borderId="0" xfId="1" applyNumberFormat="1" applyFont="1" applyAlignment="1">
      <alignment horizontal="right"/>
    </xf>
    <xf numFmtId="0" fontId="7" fillId="0" borderId="0" xfId="0" applyFont="1" applyAlignment="1">
      <alignment horizontal="right"/>
    </xf>
    <xf numFmtId="2" fontId="0" fillId="0" borderId="0" xfId="0" applyNumberFormat="1" applyAlignment="1"/>
    <xf numFmtId="176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Intrinisic Value vs. B-S Value on Put Price</a:t>
            </a:r>
          </a:p>
        </c:rich>
      </c:tx>
      <c:layout>
        <c:manualLayout>
          <c:xMode val="edge"/>
          <c:yMode val="edge"/>
          <c:x val="0.19683256304918406"/>
          <c:y val="4.4827873725729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03173856619269"/>
          <c:y val="0.23793223632258381"/>
          <c:w val="0.65384633442358908"/>
          <c:h val="0.5000025256054296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Sheet1!$B$18</c:f>
              <c:strCache>
                <c:ptCount val="1"/>
                <c:pt idx="0">
                  <c:v>B-S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Sheet1!$A$21:$A$37</c:f>
              <c:numCache>
                <c:formatCode>General</c:formatCode>
                <c:ptCount val="17"/>
                <c:pt idx="0">
                  <c:v>36</c:v>
                </c:pt>
                <c:pt idx="1">
                  <c:v>38</c:v>
                </c:pt>
                <c:pt idx="2">
                  <c:v>40</c:v>
                </c:pt>
                <c:pt idx="3">
                  <c:v>42</c:v>
                </c:pt>
                <c:pt idx="4">
                  <c:v>44</c:v>
                </c:pt>
                <c:pt idx="5">
                  <c:v>46</c:v>
                </c:pt>
                <c:pt idx="6">
                  <c:v>48</c:v>
                </c:pt>
                <c:pt idx="7">
                  <c:v>50</c:v>
                </c:pt>
                <c:pt idx="8">
                  <c:v>52</c:v>
                </c:pt>
                <c:pt idx="9">
                  <c:v>54</c:v>
                </c:pt>
                <c:pt idx="10">
                  <c:v>56</c:v>
                </c:pt>
                <c:pt idx="11">
                  <c:v>58</c:v>
                </c:pt>
                <c:pt idx="12">
                  <c:v>60</c:v>
                </c:pt>
                <c:pt idx="13">
                  <c:v>62</c:v>
                </c:pt>
                <c:pt idx="14">
                  <c:v>64</c:v>
                </c:pt>
                <c:pt idx="15">
                  <c:v>66</c:v>
                </c:pt>
                <c:pt idx="16">
                  <c:v>68</c:v>
                </c:pt>
              </c:numCache>
            </c:numRef>
          </c:xVal>
          <c:yVal>
            <c:numRef>
              <c:f>Sheet1!$B$21:$B$37</c:f>
              <c:numCache>
                <c:formatCode>0.0000</c:formatCode>
                <c:ptCount val="17"/>
                <c:pt idx="0">
                  <c:v>11.741052135254549</c:v>
                </c:pt>
                <c:pt idx="1">
                  <c:v>9.9253629653850055</c:v>
                </c:pt>
                <c:pt idx="2">
                  <c:v>8.2277711344427615</c:v>
                </c:pt>
                <c:pt idx="3">
                  <c:v>6.6812917141324419</c:v>
                </c:pt>
                <c:pt idx="4">
                  <c:v>5.3117563756719264</c:v>
                </c:pt>
                <c:pt idx="5">
                  <c:v>4.1340073218601106</c:v>
                </c:pt>
                <c:pt idx="6">
                  <c:v>3.150550111652997</c:v>
                </c:pt>
                <c:pt idx="7">
                  <c:v>2.3525887552872717</c:v>
                </c:pt>
                <c:pt idx="8">
                  <c:v>1.7227125870298323</c:v>
                </c:pt>
                <c:pt idx="9">
                  <c:v>1.2382771783229387</c:v>
                </c:pt>
                <c:pt idx="10">
                  <c:v>0.874649043561881</c:v>
                </c:pt>
                <c:pt idx="11">
                  <c:v>0.60779050752377373</c:v>
                </c:pt>
                <c:pt idx="12">
                  <c:v>0.41598334331001041</c:v>
                </c:pt>
                <c:pt idx="13">
                  <c:v>0.28073125227163587</c:v>
                </c:pt>
                <c:pt idx="14">
                  <c:v>0.18701406072474214</c:v>
                </c:pt>
                <c:pt idx="15">
                  <c:v>0.12310680860640844</c:v>
                </c:pt>
                <c:pt idx="16">
                  <c:v>8.0157911612843691E-2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0B-441C-8A83-477C5A85A2D4}"/>
            </c:ext>
          </c:extLst>
        </c:ser>
        <c:ser>
          <c:idx val="1"/>
          <c:order val="1"/>
          <c:tx>
            <c:strRef>
              <c:f>Sheet1!$C$18</c:f>
              <c:strCache>
                <c:ptCount val="1"/>
                <c:pt idx="0">
                  <c:v>Intrinsic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Sheet1!$A$21:$A$37</c:f>
              <c:numCache>
                <c:formatCode>General</c:formatCode>
                <c:ptCount val="17"/>
                <c:pt idx="0">
                  <c:v>36</c:v>
                </c:pt>
                <c:pt idx="1">
                  <c:v>38</c:v>
                </c:pt>
                <c:pt idx="2">
                  <c:v>40</c:v>
                </c:pt>
                <c:pt idx="3">
                  <c:v>42</c:v>
                </c:pt>
                <c:pt idx="4">
                  <c:v>44</c:v>
                </c:pt>
                <c:pt idx="5">
                  <c:v>46</c:v>
                </c:pt>
                <c:pt idx="6">
                  <c:v>48</c:v>
                </c:pt>
                <c:pt idx="7">
                  <c:v>50</c:v>
                </c:pt>
                <c:pt idx="8">
                  <c:v>52</c:v>
                </c:pt>
                <c:pt idx="9">
                  <c:v>54</c:v>
                </c:pt>
                <c:pt idx="10">
                  <c:v>56</c:v>
                </c:pt>
                <c:pt idx="11">
                  <c:v>58</c:v>
                </c:pt>
                <c:pt idx="12">
                  <c:v>60</c:v>
                </c:pt>
                <c:pt idx="13">
                  <c:v>62</c:v>
                </c:pt>
                <c:pt idx="14">
                  <c:v>64</c:v>
                </c:pt>
                <c:pt idx="15">
                  <c:v>66</c:v>
                </c:pt>
                <c:pt idx="16">
                  <c:v>68</c:v>
                </c:pt>
              </c:numCache>
            </c:numRef>
          </c:xVal>
          <c:yVal>
            <c:numRef>
              <c:f>Sheet1!$C$21:$C$37</c:f>
              <c:numCache>
                <c:formatCode>General</c:formatCode>
                <c:ptCount val="17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0B-441C-8A83-477C5A85A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123064"/>
        <c:axId val="1"/>
      </c:scatterChart>
      <c:valAx>
        <c:axId val="367123064"/>
        <c:scaling>
          <c:orientation val="minMax"/>
          <c:min val="36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 (S)</a:t>
                </a:r>
              </a:p>
            </c:rich>
          </c:tx>
          <c:layout>
            <c:manualLayout>
              <c:xMode val="edge"/>
              <c:yMode val="edge"/>
              <c:x val="0.46380092434097914"/>
              <c:y val="0.844831861486927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Put Price</a:t>
                </a:r>
              </a:p>
            </c:rich>
          </c:tx>
          <c:layout>
            <c:manualLayout>
              <c:xMode val="edge"/>
              <c:yMode val="edge"/>
              <c:x val="5.6561204305983499E-2"/>
              <c:y val="0.3965538492771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671230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17</xdr:row>
      <xdr:rowOff>30480</xdr:rowOff>
    </xdr:from>
    <xdr:to>
      <xdr:col>10</xdr:col>
      <xdr:colOff>114300</xdr:colOff>
      <xdr:row>33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CC752E9-B18D-4AF7-9084-4E035905C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45720</xdr:colOff>
      <xdr:row>4</xdr:row>
      <xdr:rowOff>30480</xdr:rowOff>
    </xdr:from>
    <xdr:to>
      <xdr:col>25</xdr:col>
      <xdr:colOff>60960</xdr:colOff>
      <xdr:row>41</xdr:row>
      <xdr:rowOff>106680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338E2FD-DEB9-D260-703A-4C866FB0B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580120" y="754380"/>
          <a:ext cx="6720840" cy="66979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/>
      <sheetData sheetId="1"/>
      <sheetData sheetId="2"/>
      <sheetData sheetId="3"/>
      <sheetData sheetId="4"/>
      <sheetData sheetId="5"/>
      <sheetData sheetId="6">
        <row r="22">
          <cell r="A22">
            <v>38</v>
          </cell>
          <cell r="B22">
            <v>9.9253629653850055</v>
          </cell>
          <cell r="C22">
            <v>12</v>
          </cell>
        </row>
        <row r="23">
          <cell r="A23">
            <v>40</v>
          </cell>
          <cell r="B23">
            <v>8.2277711344427615</v>
          </cell>
          <cell r="C23">
            <v>10</v>
          </cell>
        </row>
        <row r="24">
          <cell r="A24">
            <v>42</v>
          </cell>
          <cell r="B24">
            <v>6.6812917141324419</v>
          </cell>
          <cell r="C24">
            <v>8</v>
          </cell>
        </row>
        <row r="25">
          <cell r="A25">
            <v>44</v>
          </cell>
          <cell r="B25">
            <v>5.3117563756719264</v>
          </cell>
          <cell r="C25">
            <v>6</v>
          </cell>
        </row>
        <row r="26">
          <cell r="A26">
            <v>46</v>
          </cell>
          <cell r="B26">
            <v>4.1340073218601106</v>
          </cell>
          <cell r="C26">
            <v>4</v>
          </cell>
        </row>
        <row r="27">
          <cell r="A27">
            <v>48</v>
          </cell>
          <cell r="B27">
            <v>3.150550111652997</v>
          </cell>
          <cell r="C27">
            <v>2</v>
          </cell>
        </row>
        <row r="28">
          <cell r="A28">
            <v>50</v>
          </cell>
          <cell r="B28">
            <v>2.3525887552872717</v>
          </cell>
          <cell r="C28">
            <v>0</v>
          </cell>
        </row>
        <row r="29">
          <cell r="A29">
            <v>52</v>
          </cell>
          <cell r="B29">
            <v>1.7227125870298323</v>
          </cell>
          <cell r="C29">
            <v>0</v>
          </cell>
        </row>
        <row r="30">
          <cell r="A30">
            <v>54</v>
          </cell>
          <cell r="B30">
            <v>1.2382771783229387</v>
          </cell>
          <cell r="C30">
            <v>0</v>
          </cell>
        </row>
        <row r="31">
          <cell r="A31">
            <v>56</v>
          </cell>
          <cell r="B31">
            <v>0.874649043561881</v>
          </cell>
          <cell r="C31">
            <v>0</v>
          </cell>
        </row>
        <row r="32">
          <cell r="A32">
            <v>58</v>
          </cell>
          <cell r="B32">
            <v>0.60779050752377373</v>
          </cell>
          <cell r="C32">
            <v>0</v>
          </cell>
        </row>
        <row r="33">
          <cell r="A33">
            <v>60</v>
          </cell>
          <cell r="B33">
            <v>0.41598334331001041</v>
          </cell>
          <cell r="C33">
            <v>0</v>
          </cell>
        </row>
        <row r="34">
          <cell r="A34">
            <v>62</v>
          </cell>
          <cell r="B34">
            <v>0.28073125227163587</v>
          </cell>
          <cell r="C34">
            <v>0</v>
          </cell>
        </row>
        <row r="35">
          <cell r="A35">
            <v>64</v>
          </cell>
          <cell r="B35">
            <v>0.18701406072474214</v>
          </cell>
          <cell r="C35">
            <v>0</v>
          </cell>
        </row>
        <row r="36">
          <cell r="A36">
            <v>66</v>
          </cell>
          <cell r="B36">
            <v>0.12310680860640844</v>
          </cell>
          <cell r="C36">
            <v>0</v>
          </cell>
        </row>
        <row r="37">
          <cell r="A37">
            <v>68</v>
          </cell>
          <cell r="B37">
            <v>8.0157911612843691E-2</v>
          </cell>
          <cell r="C3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K38"/>
  <sheetViews>
    <sheetView tabSelected="1" zoomScale="130" zoomScaleNormal="130" workbookViewId="0">
      <selection activeCell="L26" sqref="L26"/>
    </sheetView>
  </sheetViews>
  <sheetFormatPr defaultRowHeight="13.8" x14ac:dyDescent="0.25"/>
  <cols>
    <col min="1" max="11" width="8.88671875" style="3"/>
  </cols>
  <sheetData>
    <row r="1" spans="1:7" ht="15.6" x14ac:dyDescent="0.3">
      <c r="A1" s="1" t="s">
        <v>0</v>
      </c>
      <c r="B1" s="2"/>
      <c r="C1" s="2"/>
      <c r="D1" s="2"/>
      <c r="E1" s="2"/>
      <c r="F1" s="2"/>
      <c r="G1" s="2"/>
    </row>
    <row r="2" spans="1:7" x14ac:dyDescent="0.25">
      <c r="A2" s="4" t="s">
        <v>1</v>
      </c>
      <c r="B2" s="5">
        <v>50</v>
      </c>
      <c r="C2" s="4" t="s">
        <v>2</v>
      </c>
      <c r="D2" s="4"/>
      <c r="E2" s="4"/>
      <c r="F2" s="4"/>
      <c r="G2" s="4"/>
    </row>
    <row r="3" spans="1:7" x14ac:dyDescent="0.25">
      <c r="A3" s="4" t="s">
        <v>3</v>
      </c>
      <c r="B3" s="5">
        <v>50</v>
      </c>
      <c r="C3" s="4" t="s">
        <v>4</v>
      </c>
      <c r="D3" s="6"/>
      <c r="E3" s="4"/>
      <c r="F3" s="4"/>
      <c r="G3" s="4"/>
    </row>
    <row r="4" spans="1:7" x14ac:dyDescent="0.25">
      <c r="A4" s="4" t="s">
        <v>5</v>
      </c>
      <c r="B4" s="7">
        <v>0.1</v>
      </c>
      <c r="C4" s="4" t="s">
        <v>6</v>
      </c>
      <c r="D4" s="4"/>
      <c r="E4" s="4"/>
      <c r="F4" s="4"/>
      <c r="G4" s="4"/>
    </row>
    <row r="5" spans="1:7" x14ac:dyDescent="0.25">
      <c r="A5" s="4" t="s">
        <v>7</v>
      </c>
      <c r="B5" s="5">
        <v>0.5</v>
      </c>
      <c r="C5" s="4" t="s">
        <v>8</v>
      </c>
      <c r="D5" s="4"/>
      <c r="E5" s="4"/>
      <c r="F5" s="4"/>
      <c r="G5" s="4"/>
    </row>
    <row r="6" spans="1:7" x14ac:dyDescent="0.25">
      <c r="A6" s="4" t="s">
        <v>9</v>
      </c>
      <c r="B6" s="4">
        <v>0.25</v>
      </c>
      <c r="C6" s="4" t="s">
        <v>10</v>
      </c>
      <c r="D6" s="4"/>
      <c r="E6" s="4"/>
      <c r="F6" s="4"/>
      <c r="G6" s="4"/>
    </row>
    <row r="7" spans="1:7" x14ac:dyDescent="0.25">
      <c r="A7" s="4"/>
      <c r="B7" s="4"/>
      <c r="C7" s="4"/>
      <c r="D7" s="4"/>
      <c r="E7" s="4"/>
      <c r="F7" s="4"/>
      <c r="G7" s="4"/>
    </row>
    <row r="8" spans="1:7" ht="15.6" x14ac:dyDescent="0.35">
      <c r="A8" s="4" t="s">
        <v>11</v>
      </c>
      <c r="B8" s="8">
        <f>(LN(B2/B3)+(B4+0.5*B6^2)*B5)/(B6*SQRT(B5))</f>
        <v>0.37123106012293744</v>
      </c>
      <c r="C8" s="4" t="s">
        <v>12</v>
      </c>
      <c r="D8" s="4"/>
      <c r="E8" s="4"/>
      <c r="F8" s="4"/>
      <c r="G8" s="4"/>
    </row>
    <row r="9" spans="1:7" ht="15.6" x14ac:dyDescent="0.35">
      <c r="A9" s="4" t="s">
        <v>13</v>
      </c>
      <c r="B9" s="8">
        <f>B8-SQRT(B5)*B6</f>
        <v>0.19445436482630055</v>
      </c>
      <c r="C9" s="4" t="s">
        <v>14</v>
      </c>
      <c r="D9" s="4"/>
      <c r="E9" s="4"/>
      <c r="F9" s="4"/>
      <c r="G9" s="4"/>
    </row>
    <row r="10" spans="1:7" x14ac:dyDescent="0.25">
      <c r="A10" s="4"/>
      <c r="B10" s="9"/>
      <c r="C10" s="4"/>
      <c r="D10" s="4"/>
      <c r="E10" s="4"/>
      <c r="F10" s="4"/>
      <c r="G10" s="4"/>
    </row>
    <row r="11" spans="1:7" ht="15.6" x14ac:dyDescent="0.35">
      <c r="A11" s="4" t="s">
        <v>15</v>
      </c>
      <c r="B11" s="9">
        <f>NORMSDIST(B8)</f>
        <v>0.64476727962935421</v>
      </c>
      <c r="C11" s="4" t="s">
        <v>16</v>
      </c>
      <c r="D11" s="4"/>
      <c r="E11" s="4"/>
      <c r="F11" s="4"/>
      <c r="G11" s="4"/>
    </row>
    <row r="12" spans="1:7" ht="15.6" x14ac:dyDescent="0.35">
      <c r="A12" s="4" t="s">
        <v>17</v>
      </c>
      <c r="B12" s="9">
        <f>NORMSDIST(B9)</f>
        <v>0.57708993738545855</v>
      </c>
      <c r="C12" s="4" t="s">
        <v>18</v>
      </c>
      <c r="D12" s="4"/>
      <c r="E12" s="4"/>
      <c r="F12" s="4"/>
      <c r="G12" s="4"/>
    </row>
    <row r="13" spans="1:7" x14ac:dyDescent="0.25">
      <c r="A13" s="4"/>
      <c r="B13" s="9"/>
      <c r="C13" s="4"/>
      <c r="D13" s="4"/>
      <c r="E13" s="4"/>
      <c r="F13" s="4"/>
      <c r="G13" s="4"/>
    </row>
    <row r="14" spans="1:7" ht="15.6" x14ac:dyDescent="0.35">
      <c r="A14" s="4" t="s">
        <v>19</v>
      </c>
      <c r="B14" s="10">
        <f>B2*B11-B3*EXP(-B4*B5)*B12</f>
        <v>4.7911175302515723</v>
      </c>
      <c r="C14" s="4" t="s">
        <v>20</v>
      </c>
      <c r="D14" s="4"/>
      <c r="E14" s="4"/>
      <c r="F14" s="4"/>
      <c r="G14" s="4"/>
    </row>
    <row r="15" spans="1:7" x14ac:dyDescent="0.25">
      <c r="A15" s="4" t="s">
        <v>21</v>
      </c>
      <c r="B15" s="11">
        <f>B14-B2+B3*EXP(-B4*B5)</f>
        <v>2.3525887552872717</v>
      </c>
      <c r="C15" s="4" t="s">
        <v>22</v>
      </c>
      <c r="D15" s="4"/>
      <c r="E15" s="4"/>
      <c r="F15" s="4"/>
      <c r="G15" s="4"/>
    </row>
    <row r="16" spans="1:7" ht="15.6" x14ac:dyDescent="0.35">
      <c r="A16" s="4"/>
      <c r="B16" s="10">
        <f>B3*EXP(-B4*B5)*NORMSDIST(-B9)-B2*NORMSDIST(-B8)</f>
        <v>2.3525887552872717</v>
      </c>
      <c r="C16" s="4" t="s">
        <v>23</v>
      </c>
      <c r="D16" s="4"/>
      <c r="E16" s="4"/>
      <c r="F16" s="4"/>
      <c r="G16" s="4"/>
    </row>
    <row r="17" spans="1:7" x14ac:dyDescent="0.25">
      <c r="A17" s="4"/>
      <c r="B17" s="10"/>
      <c r="C17" s="4"/>
      <c r="D17" s="4"/>
      <c r="E17" s="4"/>
      <c r="F17" s="4"/>
      <c r="G17" s="4"/>
    </row>
    <row r="18" spans="1:7" x14ac:dyDescent="0.25">
      <c r="A18" s="12" t="s">
        <v>24</v>
      </c>
      <c r="B18" s="13" t="s">
        <v>25</v>
      </c>
      <c r="C18" s="12" t="s">
        <v>26</v>
      </c>
      <c r="D18" s="4"/>
      <c r="E18" s="4"/>
      <c r="F18" s="4"/>
      <c r="G18" s="4"/>
    </row>
    <row r="19" spans="1:7" x14ac:dyDescent="0.25">
      <c r="A19" s="14" t="s">
        <v>27</v>
      </c>
      <c r="B19" s="14" t="s">
        <v>28</v>
      </c>
      <c r="C19" s="14" t="s">
        <v>28</v>
      </c>
    </row>
    <row r="20" spans="1:7" x14ac:dyDescent="0.25">
      <c r="B20" s="15">
        <f>B15</f>
        <v>2.3525887552872717</v>
      </c>
    </row>
    <row r="21" spans="1:7" x14ac:dyDescent="0.25">
      <c r="A21" s="3">
        <v>36</v>
      </c>
      <c r="B21" s="16">
        <v>11.741052135254549</v>
      </c>
      <c r="C21" s="3">
        <f>MAX($B$3-A21,0)</f>
        <v>14</v>
      </c>
    </row>
    <row r="22" spans="1:7" x14ac:dyDescent="0.25">
      <c r="A22" s="3">
        <v>38</v>
      </c>
      <c r="B22" s="16">
        <v>9.9253629653850055</v>
      </c>
      <c r="C22" s="3">
        <f t="shared" ref="C22:C37" si="0">MAX($B$3-A22,0)</f>
        <v>12</v>
      </c>
    </row>
    <row r="23" spans="1:7" x14ac:dyDescent="0.25">
      <c r="A23" s="3">
        <v>40</v>
      </c>
      <c r="B23" s="16">
        <v>8.2277711344427615</v>
      </c>
      <c r="C23" s="3">
        <f t="shared" si="0"/>
        <v>10</v>
      </c>
    </row>
    <row r="24" spans="1:7" x14ac:dyDescent="0.25">
      <c r="A24" s="3">
        <v>42</v>
      </c>
      <c r="B24" s="16">
        <v>6.6812917141324419</v>
      </c>
      <c r="C24" s="3">
        <f t="shared" si="0"/>
        <v>8</v>
      </c>
    </row>
    <row r="25" spans="1:7" x14ac:dyDescent="0.25">
      <c r="A25" s="3">
        <v>44</v>
      </c>
      <c r="B25" s="16">
        <v>5.3117563756719264</v>
      </c>
      <c r="C25" s="3">
        <f t="shared" si="0"/>
        <v>6</v>
      </c>
    </row>
    <row r="26" spans="1:7" x14ac:dyDescent="0.25">
      <c r="A26" s="3">
        <v>46</v>
      </c>
      <c r="B26" s="16">
        <v>4.1340073218601106</v>
      </c>
      <c r="C26" s="3">
        <f t="shared" si="0"/>
        <v>4</v>
      </c>
    </row>
    <row r="27" spans="1:7" x14ac:dyDescent="0.25">
      <c r="A27" s="3">
        <v>48</v>
      </c>
      <c r="B27" s="16">
        <v>3.150550111652997</v>
      </c>
      <c r="C27" s="3">
        <f t="shared" si="0"/>
        <v>2</v>
      </c>
    </row>
    <row r="28" spans="1:7" x14ac:dyDescent="0.25">
      <c r="A28" s="3">
        <v>50</v>
      </c>
      <c r="B28" s="16">
        <v>2.3525887552872717</v>
      </c>
      <c r="C28" s="3">
        <f t="shared" si="0"/>
        <v>0</v>
      </c>
    </row>
    <row r="29" spans="1:7" x14ac:dyDescent="0.25">
      <c r="A29" s="3">
        <v>52</v>
      </c>
      <c r="B29" s="16">
        <v>1.7227125870298323</v>
      </c>
      <c r="C29" s="3">
        <f t="shared" si="0"/>
        <v>0</v>
      </c>
    </row>
    <row r="30" spans="1:7" x14ac:dyDescent="0.25">
      <c r="A30" s="3">
        <v>54</v>
      </c>
      <c r="B30" s="16">
        <v>1.2382771783229387</v>
      </c>
      <c r="C30" s="3">
        <f t="shared" si="0"/>
        <v>0</v>
      </c>
    </row>
    <row r="31" spans="1:7" x14ac:dyDescent="0.25">
      <c r="A31" s="3">
        <v>56</v>
      </c>
      <c r="B31" s="16">
        <v>0.874649043561881</v>
      </c>
      <c r="C31" s="3">
        <f t="shared" si="0"/>
        <v>0</v>
      </c>
    </row>
    <row r="32" spans="1:7" x14ac:dyDescent="0.25">
      <c r="A32" s="3">
        <v>58</v>
      </c>
      <c r="B32" s="16">
        <v>0.60779050752377373</v>
      </c>
      <c r="C32" s="3">
        <f t="shared" si="0"/>
        <v>0</v>
      </c>
    </row>
    <row r="33" spans="1:5" x14ac:dyDescent="0.25">
      <c r="A33" s="3">
        <v>60</v>
      </c>
      <c r="B33" s="16">
        <v>0.41598334331001041</v>
      </c>
      <c r="C33" s="3">
        <f t="shared" si="0"/>
        <v>0</v>
      </c>
    </row>
    <row r="34" spans="1:5" x14ac:dyDescent="0.25">
      <c r="A34" s="3">
        <v>62</v>
      </c>
      <c r="B34" s="16">
        <v>0.28073125227163587</v>
      </c>
      <c r="C34" s="3">
        <f t="shared" si="0"/>
        <v>0</v>
      </c>
    </row>
    <row r="35" spans="1:5" x14ac:dyDescent="0.25">
      <c r="A35" s="3">
        <v>64</v>
      </c>
      <c r="B35" s="16">
        <v>0.18701406072474214</v>
      </c>
      <c r="C35" s="3">
        <f t="shared" si="0"/>
        <v>0</v>
      </c>
      <c r="E35" s="3" t="s">
        <v>29</v>
      </c>
    </row>
    <row r="36" spans="1:5" x14ac:dyDescent="0.25">
      <c r="A36" s="3">
        <v>66</v>
      </c>
      <c r="B36" s="16">
        <v>0.12310680860640844</v>
      </c>
      <c r="C36" s="3">
        <f t="shared" si="0"/>
        <v>0</v>
      </c>
      <c r="E36" s="3" t="s">
        <v>30</v>
      </c>
    </row>
    <row r="37" spans="1:5" x14ac:dyDescent="0.25">
      <c r="A37" s="3">
        <v>68</v>
      </c>
      <c r="B37" s="16">
        <v>8.0157911612843691E-2</v>
      </c>
      <c r="C37" s="3">
        <f t="shared" si="0"/>
        <v>0</v>
      </c>
      <c r="E37" s="3" t="s">
        <v>31</v>
      </c>
    </row>
    <row r="38" spans="1:5" x14ac:dyDescent="0.25">
      <c r="E38" s="3" t="s">
        <v>32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2024-12-02T05:29:27Z</dcterms:modified>
</cp:coreProperties>
</file>