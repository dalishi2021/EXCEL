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4697CA3F-E7B2-40C4-802A-9AF7AF5F6CF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op?s_AMR_m_2007_11" localSheetId="0">Sheet1!$A$4:$B$11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5" i="1"/>
  <c r="B15" i="1"/>
  <c r="B16" i="1"/>
  <c r="B17" i="1"/>
  <c r="B18" i="1"/>
  <c r="B19" i="1"/>
  <c r="B20" i="1"/>
  <c r="B21" i="1"/>
  <c r="B22" i="1"/>
  <c r="B23" i="1"/>
  <c r="B24" i="1"/>
  <c r="B14" i="1"/>
  <c r="C18" i="1"/>
  <c r="D9" i="1"/>
  <c r="C11" i="1"/>
  <c r="C10" i="1"/>
  <c r="C9" i="1"/>
  <c r="C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4ACE9C-0302-4611-A612-49E010A482D8}" name="连接4" type="4" refreshedVersion="2" background="1" saveData="1">
    <webPr sourceData="1" parsePre="1" consecutive="1" xl2000="1" url="http://finance.yahoo.com/q/op?s=AMR&amp;m=2007-11" htmlTables="1">
      <tables count="4">
        <x v="11"/>
        <x v="14"/>
        <x v="16"/>
        <x v="19"/>
      </tables>
    </webPr>
  </connection>
</connections>
</file>

<file path=xl/sharedStrings.xml><?xml version="1.0" encoding="utf-8"?>
<sst xmlns="http://schemas.openxmlformats.org/spreadsheetml/2006/main" count="15" uniqueCount="15">
  <si>
    <t>AMR OPTIONS</t>
  </si>
  <si>
    <t>Stock price</t>
  </si>
  <si>
    <t>Current date</t>
  </si>
  <si>
    <t>Expiration date</t>
  </si>
  <si>
    <t>Time to maturity, T</t>
  </si>
  <si>
    <t>Interest</t>
  </si>
  <si>
    <t>Strike</t>
  </si>
  <si>
    <t>Option
 price</t>
  </si>
  <si>
    <t>Implied volatility</t>
  </si>
  <si>
    <t>Volatility for X=17.5 call</t>
  </si>
  <si>
    <t>Call price</t>
  </si>
  <si>
    <t>a.  The call price for the X=17.5 call is too low, which is why the function gives 0% as implied.</t>
  </si>
  <si>
    <t>Note, however, that in order for call price convexity to be preserved, the price of the X=17.5</t>
  </si>
  <si>
    <t>call &lt; (13.5 + 8.4)/2 = 10.95</t>
  </si>
  <si>
    <t>b.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</si>
</sst>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/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 vertical="center" wrapText="1"/>
    </xf>
    <xf numFmtId="10" fontId="2" fillId="0" borderId="0" xfId="1" applyNumberFormat="1" applyAlignment="1"/>
    <xf numFmtId="176" fontId="0" fillId="0" borderId="0" xfId="0" applyNumberFormat="1" applyAlignment="1"/>
    <xf numFmtId="9" fontId="0" fillId="0" borderId="0" xfId="0" applyNumberFormat="1" applyAlignment="1">
      <alignment horizontal="right" vertical="center" wrapText="1"/>
    </xf>
    <xf numFmtId="0" fontId="3" fillId="0" borderId="0" xfId="0" applyFont="1" applyAlignment="1"/>
    <xf numFmtId="9" fontId="0" fillId="2" borderId="0" xfId="0" applyNumberFormat="1" applyFill="1" applyAlignment="1"/>
    <xf numFmtId="176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6</xdr:row>
      <xdr:rowOff>106680</xdr:rowOff>
    </xdr:from>
    <xdr:to>
      <xdr:col>16</xdr:col>
      <xdr:colOff>457200</xdr:colOff>
      <xdr:row>34</xdr:row>
      <xdr:rowOff>17145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EA29635-D812-3107-C7F2-B504667C0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764780" y="1203960"/>
          <a:ext cx="5562600" cy="5181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CallVolatility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p?s=AMR&amp;m=2007-11" connectionId="1" xr16:uid="{E55A5D67-DF6C-47ED-B52B-F0986749850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31"/>
  <sheetViews>
    <sheetView tabSelected="1" zoomScale="145" zoomScaleNormal="145" workbookViewId="0">
      <selection activeCell="B32" sqref="B32"/>
    </sheetView>
  </sheetViews>
  <sheetFormatPr defaultRowHeight="13.8" x14ac:dyDescent="0.25"/>
  <cols>
    <col min="1" max="1" width="14.44140625" style="2" bestFit="1" customWidth="1"/>
    <col min="2" max="2" width="11.109375" style="2" customWidth="1"/>
    <col min="3" max="3" width="16.5546875" style="2" customWidth="1"/>
    <col min="4" max="4" width="38.88671875" style="2" bestFit="1" customWidth="1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2" t="s">
        <v>1</v>
      </c>
      <c r="B2" s="2">
        <v>27.82</v>
      </c>
    </row>
    <row r="3" spans="1:4" x14ac:dyDescent="0.25">
      <c r="A3" s="2" t="s">
        <v>2</v>
      </c>
      <c r="B3" s="3">
        <v>39275</v>
      </c>
    </row>
    <row r="4" spans="1:4" x14ac:dyDescent="0.25">
      <c r="A4" s="2" t="s">
        <v>3</v>
      </c>
      <c r="B4" s="3">
        <v>39402</v>
      </c>
    </row>
    <row r="5" spans="1:4" x14ac:dyDescent="0.25">
      <c r="A5" s="2" t="s">
        <v>4</v>
      </c>
      <c r="B5" s="4">
        <f>(B4-B3)/365</f>
        <v>0.34794520547945207</v>
      </c>
      <c r="C5" s="2" t="str">
        <f ca="1">_xlfn.FORMULATEXT(B5)</f>
        <v>=(B4-B3)/365</v>
      </c>
    </row>
    <row r="6" spans="1:4" x14ac:dyDescent="0.25">
      <c r="A6" s="2" t="s">
        <v>5</v>
      </c>
      <c r="B6" s="5">
        <v>0.05</v>
      </c>
    </row>
    <row r="8" spans="1:4" ht="27.6" x14ac:dyDescent="0.25">
      <c r="A8" s="6" t="s">
        <v>6</v>
      </c>
      <c r="B8" s="6" t="s">
        <v>7</v>
      </c>
      <c r="C8" s="6" t="s">
        <v>8</v>
      </c>
      <c r="D8" s="6"/>
    </row>
    <row r="9" spans="1:4" x14ac:dyDescent="0.25">
      <c r="A9" s="2">
        <v>15</v>
      </c>
      <c r="B9" s="2">
        <v>13.5</v>
      </c>
      <c r="C9" s="7">
        <f>[2]!CallVolatility($B$2,A9,$B$5,$B$6,B9)</f>
        <v>0.818084716796875</v>
      </c>
      <c r="D9" s="2" t="str">
        <f ca="1">_xlfn.FORMULATEXT(C9)</f>
        <v>=CallVolatility($B$2,A9,$B$5,$B$6,B9)</v>
      </c>
    </row>
    <row r="10" spans="1:4" x14ac:dyDescent="0.25">
      <c r="A10" s="2">
        <v>17.5</v>
      </c>
      <c r="B10" s="10">
        <v>10.4</v>
      </c>
      <c r="C10" s="7">
        <f>[2]!CallVolatility($B$2,A10,$B$5,$B$6,B10)</f>
        <v>3.0517578125E-5</v>
      </c>
    </row>
    <row r="11" spans="1:4" x14ac:dyDescent="0.25">
      <c r="A11" s="2">
        <v>20</v>
      </c>
      <c r="B11" s="2">
        <v>8.4</v>
      </c>
      <c r="C11" s="7">
        <f>[2]!CallVolatility($B$2,A11,$B$5,$B$6,B11)</f>
        <v>0.431854248046875</v>
      </c>
    </row>
    <row r="13" spans="1:4" ht="27.6" x14ac:dyDescent="0.25">
      <c r="A13" s="6" t="s">
        <v>9</v>
      </c>
      <c r="B13" s="6" t="s">
        <v>10</v>
      </c>
    </row>
    <row r="14" spans="1:4" x14ac:dyDescent="0.25">
      <c r="A14" s="9">
        <v>0.01</v>
      </c>
      <c r="B14" s="8">
        <f>[2]!BSCall($B$2,$A$10,$B$5,$B$6,A14)</f>
        <v>10.621819030224387</v>
      </c>
    </row>
    <row r="15" spans="1:4" x14ac:dyDescent="0.25">
      <c r="A15" s="9">
        <v>0.1</v>
      </c>
      <c r="B15" s="8">
        <f>[2]!BSCall($B$2,$A$10,$B$5,$B$6,A15)</f>
        <v>10.621819030224387</v>
      </c>
    </row>
    <row r="16" spans="1:4" x14ac:dyDescent="0.25">
      <c r="A16" s="9">
        <v>0.2</v>
      </c>
      <c r="B16" s="8">
        <f>[2]!BSCall($B$2,$A$10,$B$5,$B$6,A16)</f>
        <v>10.621832094403825</v>
      </c>
    </row>
    <row r="17" spans="1:3" x14ac:dyDescent="0.25">
      <c r="A17" s="9">
        <v>0.3</v>
      </c>
      <c r="B17" s="8">
        <f>[2]!BSCall($B$2,$A$10,$B$5,$B$6,A17)</f>
        <v>10.625676468314218</v>
      </c>
    </row>
    <row r="18" spans="1:3" x14ac:dyDescent="0.25">
      <c r="A18" s="5">
        <v>0.4</v>
      </c>
      <c r="B18" s="8">
        <f>[2]!BSCall($B$2,$A$10,$B$5,$B$6,A18)</f>
        <v>10.661116306909726</v>
      </c>
      <c r="C18" s="2" t="str">
        <f ca="1">_xlfn.FORMULATEXT(B18)</f>
        <v>=BSCall($B$2,$A$10,$B$5,$B$6,A18)</v>
      </c>
    </row>
    <row r="19" spans="1:3" x14ac:dyDescent="0.25">
      <c r="A19" s="5">
        <v>0.45</v>
      </c>
      <c r="B19" s="8">
        <f>[2]!BSCall($B$2,$A$10,$B$5,$B$6,A19)</f>
        <v>10.701715520251341</v>
      </c>
    </row>
    <row r="20" spans="1:3" x14ac:dyDescent="0.25">
      <c r="A20" s="5">
        <v>0.5</v>
      </c>
      <c r="B20" s="8">
        <f>[2]!BSCall($B$2,$A$10,$B$5,$B$6,A20)</f>
        <v>10.760115908026968</v>
      </c>
    </row>
    <row r="21" spans="1:3" x14ac:dyDescent="0.25">
      <c r="A21" s="5">
        <v>0.55000000000000004</v>
      </c>
      <c r="B21" s="8">
        <f>[2]!BSCall($B$2,$A$10,$B$5,$B$6,A21)</f>
        <v>10.836208179677039</v>
      </c>
    </row>
    <row r="22" spans="1:3" x14ac:dyDescent="0.25">
      <c r="A22" s="11">
        <v>0.6</v>
      </c>
      <c r="B22" s="12">
        <f>[2]!BSCall($B$2,$A$10,$B$5,$B$6,A22)</f>
        <v>10.928974879137444</v>
      </c>
    </row>
    <row r="23" spans="1:3" x14ac:dyDescent="0.25">
      <c r="A23" s="5">
        <v>0.65</v>
      </c>
      <c r="B23" s="8">
        <f>[2]!BSCall($B$2,$A$10,$B$5,$B$6,A23)</f>
        <v>11.036954817964755</v>
      </c>
    </row>
    <row r="24" spans="1:3" x14ac:dyDescent="0.25">
      <c r="A24" s="5">
        <v>0.7</v>
      </c>
      <c r="B24" s="8">
        <f>[2]!BSCall($B$2,$A$10,$B$5,$B$6,A24)</f>
        <v>11.15853749376679</v>
      </c>
    </row>
    <row r="27" spans="1:3" x14ac:dyDescent="0.25">
      <c r="A27" s="2" t="s">
        <v>11</v>
      </c>
    </row>
    <row r="28" spans="1:3" x14ac:dyDescent="0.25">
      <c r="A28" s="2" t="s">
        <v>12</v>
      </c>
    </row>
    <row r="29" spans="1:3" x14ac:dyDescent="0.25">
      <c r="A29" s="2" t="s">
        <v>13</v>
      </c>
    </row>
    <row r="31" spans="1:3" x14ac:dyDescent="0.25">
      <c r="A31" s="2" t="s">
        <v>14</v>
      </c>
      <c r="B31" s="8">
        <f>B22</f>
        <v>10.928974879137444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Sheet1!op?s_AMR_m_2007_11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2024-12-02T06:03:20Z</dcterms:modified>
</cp:coreProperties>
</file>