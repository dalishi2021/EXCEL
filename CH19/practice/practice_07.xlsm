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C74A1294-AAB0-426D-B64C-EE52E379450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8" i="1"/>
  <c r="B11" i="1" s="1"/>
  <c r="B9" i="1" l="1"/>
  <c r="B12" i="1" s="1"/>
  <c r="B14" i="1" s="1"/>
  <c r="B17" i="1" s="1"/>
  <c r="J7" i="1" s="1"/>
</calcChain>
</file>

<file path=xl/sharedStrings.xml><?xml version="1.0" encoding="utf-8"?>
<sst xmlns="http://schemas.openxmlformats.org/spreadsheetml/2006/main" count="30" uniqueCount="30">
  <si>
    <t>Black-Scholes option pricing formula</t>
  </si>
  <si>
    <t>S</t>
  </si>
  <si>
    <t>current stock price</t>
  </si>
  <si>
    <t>Data table</t>
  </si>
  <si>
    <t>X</t>
  </si>
  <si>
    <t>exercise price</t>
  </si>
  <si>
    <t>B-S</t>
  </si>
  <si>
    <t>r</t>
  </si>
  <si>
    <t>risk-free rate of interest</t>
  </si>
  <si>
    <t xml:space="preserve">minus </t>
  </si>
  <si>
    <t>T</t>
  </si>
  <si>
    <t>time to maturity of option (in years)</t>
  </si>
  <si>
    <t>Intrinsic</t>
  </si>
  <si>
    <t>sigma</t>
  </si>
  <si>
    <t>stock volatility</t>
  </si>
  <si>
    <t>&lt;-- Header hidden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</si>
  <si>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</si>
  <si>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</si>
  <si>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</si>
  <si>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</si>
  <si>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</si>
  <si>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</si>
  <si>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</si>
  <si>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</si>
  <si>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</si>
  <si>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</si>
  <si>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Intrinsic value</t>
  </si>
  <si>
    <t>B-S minus intrinsic</t>
  </si>
  <si>
    <t>s</t>
  </si>
  <si>
    <t>The maximum is obtained when S = 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</si>
</sst>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9" fontId="3" fillId="0" borderId="0" xfId="1" applyFont="1" applyAlignment="1">
      <alignment horizontal="centerContinuous"/>
    </xf>
    <xf numFmtId="9" fontId="4" fillId="0" borderId="0" xfId="1" applyFont="1" applyAlignment="1">
      <alignment horizontal="centerContinuous"/>
    </xf>
    <xf numFmtId="0" fontId="0" fillId="0" borderId="0" xfId="0" applyAlignment="1"/>
    <xf numFmtId="9" fontId="0" fillId="0" borderId="0" xfId="1" applyFont="1" applyAlignment="1"/>
    <xf numFmtId="0" fontId="0" fillId="0" borderId="0" xfId="1" applyNumberFormat="1" applyFont="1" applyAlignment="1"/>
    <xf numFmtId="9" fontId="0" fillId="0" borderId="0" xfId="1" quotePrefix="1" applyFont="1" applyAlignment="1"/>
    <xf numFmtId="0" fontId="5" fillId="0" borderId="0" xfId="0" applyFont="1" applyAlignment="1">
      <alignment horizontal="center"/>
    </xf>
    <xf numFmtId="10" fontId="0" fillId="0" borderId="0" xfId="1" applyNumberFormat="1" applyFont="1" applyAlignment="1"/>
    <xf numFmtId="176" fontId="0" fillId="0" borderId="0" xfId="0" applyNumberFormat="1" applyAlignment="1"/>
    <xf numFmtId="177" fontId="0" fillId="0" borderId="0" xfId="1" quotePrefix="1" applyNumberFormat="1" applyFont="1" applyAlignment="1"/>
    <xf numFmtId="2" fontId="0" fillId="0" borderId="0" xfId="0" applyNumberFormat="1" applyAlignment="1"/>
    <xf numFmtId="177" fontId="0" fillId="0" borderId="0" xfId="1" applyNumberFormat="1" applyFont="1" applyAlignment="1"/>
    <xf numFmtId="2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Black-Scholes Price Minus Intrinsic Value</a:t>
            </a:r>
          </a:p>
        </c:rich>
      </c:tx>
      <c:layout>
        <c:manualLayout>
          <c:xMode val="edge"/>
          <c:yMode val="edge"/>
          <c:x val="0.17058852054578627"/>
          <c:y val="4.8387275454204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2945833316878"/>
          <c:y val="0.33467791355932452"/>
          <c:w val="0.73529596560193555"/>
          <c:h val="0.5161297944047413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7'!$I$8:$I$20</c:f>
              <c:numCache>
                <c:formatCode>General</c:formatCode>
                <c:ptCount val="13"/>
                <c:pt idx="0">
                  <c:v>35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75</c:v>
                </c:pt>
                <c:pt idx="9">
                  <c:v>80</c:v>
                </c:pt>
                <c:pt idx="10">
                  <c:v>85</c:v>
                </c:pt>
                <c:pt idx="11">
                  <c:v>90</c:v>
                </c:pt>
                <c:pt idx="12">
                  <c:v>95</c:v>
                </c:pt>
              </c:numCache>
            </c:numRef>
          </c:xVal>
          <c:yVal>
            <c:numRef>
              <c:f>'[1]Exercise 7'!$J$8:$J$20</c:f>
              <c:numCache>
                <c:formatCode>0.00</c:formatCode>
                <c:ptCount val="13"/>
                <c:pt idx="0">
                  <c:v>3.3355651671409241</c:v>
                </c:pt>
                <c:pt idx="1">
                  <c:v>5.7211614129660511</c:v>
                </c:pt>
                <c:pt idx="2">
                  <c:v>8.7238605787652865</c:v>
                </c:pt>
                <c:pt idx="3">
                  <c:v>7.2378699619509739</c:v>
                </c:pt>
                <c:pt idx="4">
                  <c:v>6.153187787731337</c:v>
                </c:pt>
                <c:pt idx="5">
                  <c:v>5.3719828663557792</c:v>
                </c:pt>
                <c:pt idx="6">
                  <c:v>4.8144556848209419</c:v>
                </c:pt>
                <c:pt idx="7">
                  <c:v>4.4188984130024522</c:v>
                </c:pt>
                <c:pt idx="8">
                  <c:v>4.1392237724598004</c:v>
                </c:pt>
                <c:pt idx="9">
                  <c:v>3.9418014234076821</c:v>
                </c:pt>
                <c:pt idx="10">
                  <c:v>3.8024717286660135</c:v>
                </c:pt>
                <c:pt idx="11">
                  <c:v>3.7040585754449751</c:v>
                </c:pt>
                <c:pt idx="12">
                  <c:v>3.6344325845905985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4-4515-9374-9B93DB521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871392"/>
        <c:axId val="1"/>
      </c:scatterChart>
      <c:valAx>
        <c:axId val="863871392"/>
        <c:scaling>
          <c:orientation val="minMax"/>
          <c:max val="95"/>
          <c:min val="3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</a:t>
                </a:r>
              </a:p>
            </c:rich>
          </c:tx>
          <c:layout>
            <c:manualLayout>
              <c:xMode val="edge"/>
              <c:yMode val="edge"/>
              <c:x val="0.71176647087705258"/>
              <c:y val="0.766130228039676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"/>
        <c:minorUnit val="5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Difference ($)</a:t>
                </a:r>
              </a:p>
            </c:rich>
          </c:tx>
          <c:layout>
            <c:manualLayout>
              <c:xMode val="edge"/>
              <c:yMode val="edge"/>
              <c:x val="4.9999999999999996E-2"/>
              <c:y val="0.4354846269216347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63871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14</xdr:row>
      <xdr:rowOff>121920</xdr:rowOff>
    </xdr:from>
    <xdr:to>
      <xdr:col>7</xdr:col>
      <xdr:colOff>556260</xdr:colOff>
      <xdr:row>28</xdr:row>
      <xdr:rowOff>68580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8998232-8D68-4609-9FF8-987B530BD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I8">
            <v>35</v>
          </cell>
          <cell r="J8">
            <v>3.3355651671409241</v>
          </cell>
        </row>
        <row r="9">
          <cell r="I9">
            <v>40</v>
          </cell>
          <cell r="J9">
            <v>5.7211614129660511</v>
          </cell>
        </row>
        <row r="10">
          <cell r="I10">
            <v>45</v>
          </cell>
          <cell r="J10">
            <v>8.7238605787652865</v>
          </cell>
        </row>
        <row r="11">
          <cell r="I11">
            <v>50</v>
          </cell>
          <cell r="J11">
            <v>7.2378699619509739</v>
          </cell>
        </row>
        <row r="12">
          <cell r="I12">
            <v>55</v>
          </cell>
          <cell r="J12">
            <v>6.153187787731337</v>
          </cell>
        </row>
        <row r="13">
          <cell r="I13">
            <v>60</v>
          </cell>
          <cell r="J13">
            <v>5.3719828663557792</v>
          </cell>
        </row>
        <row r="14">
          <cell r="I14">
            <v>65</v>
          </cell>
          <cell r="J14">
            <v>4.8144556848209419</v>
          </cell>
        </row>
        <row r="15">
          <cell r="I15">
            <v>70</v>
          </cell>
          <cell r="J15">
            <v>4.4188984130024522</v>
          </cell>
        </row>
        <row r="16">
          <cell r="I16">
            <v>75</v>
          </cell>
          <cell r="J16">
            <v>4.1392237724598004</v>
          </cell>
        </row>
        <row r="17">
          <cell r="I17">
            <v>80</v>
          </cell>
          <cell r="J17">
            <v>3.9418014234076821</v>
          </cell>
        </row>
        <row r="18">
          <cell r="I18">
            <v>85</v>
          </cell>
          <cell r="J18">
            <v>3.8024717286660135</v>
          </cell>
        </row>
        <row r="19">
          <cell r="I19">
            <v>90</v>
          </cell>
          <cell r="J19">
            <v>3.7040585754449751</v>
          </cell>
        </row>
        <row r="20">
          <cell r="I20">
            <v>95</v>
          </cell>
          <cell r="J20">
            <v>3.6344325845905985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31"/>
  <sheetViews>
    <sheetView tabSelected="1" workbookViewId="0">
      <selection activeCell="N34" sqref="N34"/>
    </sheetView>
  </sheetViews>
  <sheetFormatPr defaultRowHeight="13.8" x14ac:dyDescent="0.25"/>
  <cols>
    <col min="1" max="1" width="17.44140625" style="3" customWidth="1"/>
    <col min="2" max="12" width="8.88671875" style="3"/>
  </cols>
  <sheetData>
    <row r="1" spans="1:12" ht="15.6" x14ac:dyDescent="0.3">
      <c r="A1" s="1" t="s">
        <v>0</v>
      </c>
      <c r="B1" s="2"/>
      <c r="C1" s="2"/>
      <c r="D1" s="2"/>
      <c r="E1" s="2"/>
      <c r="F1" s="2"/>
      <c r="G1" s="2"/>
    </row>
    <row r="2" spans="1:12" ht="15.6" x14ac:dyDescent="0.3">
      <c r="A2" s="1"/>
      <c r="B2" s="2"/>
      <c r="C2" s="2"/>
      <c r="D2" s="2"/>
      <c r="E2" s="2"/>
      <c r="F2" s="2"/>
      <c r="G2" s="2"/>
    </row>
    <row r="3" spans="1:12" x14ac:dyDescent="0.25">
      <c r="A3" s="4" t="s">
        <v>1</v>
      </c>
      <c r="B3" s="5">
        <v>45</v>
      </c>
      <c r="C3" s="4" t="s">
        <v>2</v>
      </c>
      <c r="D3" s="4"/>
      <c r="E3" s="4"/>
      <c r="F3" s="4"/>
      <c r="G3" s="4"/>
      <c r="I3" s="3" t="s">
        <v>3</v>
      </c>
    </row>
    <row r="4" spans="1:12" x14ac:dyDescent="0.25">
      <c r="A4" s="4" t="s">
        <v>4</v>
      </c>
      <c r="B4" s="5">
        <v>45</v>
      </c>
      <c r="C4" s="4" t="s">
        <v>5</v>
      </c>
      <c r="D4" s="6"/>
      <c r="E4" s="4"/>
      <c r="F4" s="4"/>
      <c r="G4" s="4"/>
      <c r="J4" s="7" t="s">
        <v>6</v>
      </c>
      <c r="K4" s="7"/>
      <c r="L4" s="7"/>
    </row>
    <row r="5" spans="1:12" x14ac:dyDescent="0.25">
      <c r="A5" s="4" t="s">
        <v>7</v>
      </c>
      <c r="B5" s="8">
        <v>0.08</v>
      </c>
      <c r="C5" s="4" t="s">
        <v>8</v>
      </c>
      <c r="D5" s="4"/>
      <c r="E5" s="4"/>
      <c r="F5" s="4"/>
      <c r="G5" s="4"/>
      <c r="J5" s="7" t="s">
        <v>9</v>
      </c>
      <c r="K5" s="7"/>
      <c r="L5" s="7"/>
    </row>
    <row r="6" spans="1:12" x14ac:dyDescent="0.25">
      <c r="A6" s="4" t="s">
        <v>10</v>
      </c>
      <c r="B6" s="5">
        <v>1</v>
      </c>
      <c r="C6" s="4" t="s">
        <v>11</v>
      </c>
      <c r="D6" s="4"/>
      <c r="E6" s="4"/>
      <c r="F6" s="4"/>
      <c r="G6" s="4"/>
      <c r="J6" s="7" t="s">
        <v>12</v>
      </c>
      <c r="K6" s="7"/>
      <c r="L6" s="7"/>
    </row>
    <row r="7" spans="1:12" x14ac:dyDescent="0.25">
      <c r="A7" s="4" t="s">
        <v>13</v>
      </c>
      <c r="B7" s="4">
        <v>0.4</v>
      </c>
      <c r="C7" s="4" t="s">
        <v>14</v>
      </c>
      <c r="D7" s="4"/>
      <c r="E7" s="4"/>
      <c r="F7" s="4"/>
      <c r="G7" s="4"/>
      <c r="J7" s="9">
        <f>B17</f>
        <v>8.7238605787652865</v>
      </c>
      <c r="K7" s="9" t="s">
        <v>15</v>
      </c>
      <c r="L7" s="9"/>
    </row>
    <row r="8" spans="1:12" ht="15.6" x14ac:dyDescent="0.35">
      <c r="A8" s="4" t="s">
        <v>16</v>
      </c>
      <c r="B8" s="10">
        <f>(LN(B3/B4)+(B5+0.5*B7^2)*B6)/(B7*SQRT(B6))</f>
        <v>0.40000000000000008</v>
      </c>
      <c r="C8" s="4" t="s">
        <v>17</v>
      </c>
      <c r="D8" s="4"/>
      <c r="E8" s="4"/>
      <c r="F8" s="4"/>
      <c r="G8" s="4"/>
      <c r="I8" s="3">
        <v>35</v>
      </c>
      <c r="J8" s="11">
        <v>3.3355651671409241</v>
      </c>
      <c r="K8" s="11"/>
      <c r="L8" s="11"/>
    </row>
    <row r="9" spans="1:12" ht="15.6" x14ac:dyDescent="0.35">
      <c r="A9" s="4" t="s">
        <v>18</v>
      </c>
      <c r="B9" s="10">
        <f>B8-SQRT(B6)*B7</f>
        <v>0</v>
      </c>
      <c r="C9" s="4" t="s">
        <v>19</v>
      </c>
      <c r="D9" s="4"/>
      <c r="E9" s="4"/>
      <c r="F9" s="4"/>
      <c r="G9" s="4"/>
      <c r="I9" s="3">
        <v>40</v>
      </c>
      <c r="J9" s="11">
        <v>5.7211614129660511</v>
      </c>
      <c r="K9" s="11"/>
      <c r="L9" s="11"/>
    </row>
    <row r="10" spans="1:12" x14ac:dyDescent="0.25">
      <c r="A10" s="4"/>
      <c r="B10" s="12"/>
      <c r="C10" s="4"/>
      <c r="D10" s="4"/>
      <c r="E10" s="4"/>
      <c r="F10" s="4"/>
      <c r="G10" s="4"/>
      <c r="I10" s="3">
        <v>45</v>
      </c>
      <c r="J10" s="11">
        <v>8.7238605787652865</v>
      </c>
      <c r="K10" s="11"/>
      <c r="L10" s="11"/>
    </row>
    <row r="11" spans="1:12" ht="15.6" x14ac:dyDescent="0.35">
      <c r="A11" s="4" t="s">
        <v>20</v>
      </c>
      <c r="B11" s="12">
        <f>NORMSDIST(B8)</f>
        <v>0.65542174161032429</v>
      </c>
      <c r="C11" s="4" t="s">
        <v>21</v>
      </c>
      <c r="D11" s="4"/>
      <c r="E11" s="4"/>
      <c r="F11" s="4"/>
      <c r="G11" s="4"/>
      <c r="I11" s="3">
        <v>50</v>
      </c>
      <c r="J11" s="11">
        <v>7.2378699619509739</v>
      </c>
      <c r="K11" s="11"/>
      <c r="L11" s="11"/>
    </row>
    <row r="12" spans="1:12" ht="15.6" x14ac:dyDescent="0.35">
      <c r="A12" s="4" t="s">
        <v>22</v>
      </c>
      <c r="B12" s="12">
        <f>NORMSDIST(B9)</f>
        <v>0.5</v>
      </c>
      <c r="C12" s="4" t="s">
        <v>23</v>
      </c>
      <c r="D12" s="4"/>
      <c r="E12" s="4"/>
      <c r="F12" s="4"/>
      <c r="G12" s="4"/>
      <c r="I12" s="3">
        <v>55</v>
      </c>
      <c r="J12" s="11">
        <v>6.153187787731337</v>
      </c>
      <c r="K12" s="11"/>
      <c r="L12" s="11"/>
    </row>
    <row r="13" spans="1:12" x14ac:dyDescent="0.25">
      <c r="A13" s="4"/>
      <c r="B13" s="12"/>
      <c r="C13" s="4"/>
      <c r="D13" s="4"/>
      <c r="E13" s="4"/>
      <c r="F13" s="4"/>
      <c r="G13" s="4"/>
      <c r="I13" s="3">
        <v>60</v>
      </c>
      <c r="J13" s="11">
        <v>5.3719828663557792</v>
      </c>
      <c r="K13" s="11"/>
      <c r="L13" s="11"/>
    </row>
    <row r="14" spans="1:12" ht="15.6" x14ac:dyDescent="0.35">
      <c r="A14" s="4" t="s">
        <v>24</v>
      </c>
      <c r="B14" s="13">
        <f>B3*B11-B4*EXP(-B5*B6)*B12</f>
        <v>8.7238605787652865</v>
      </c>
      <c r="C14" s="4" t="s">
        <v>25</v>
      </c>
      <c r="D14" s="4"/>
      <c r="E14" s="4"/>
      <c r="F14" s="4"/>
      <c r="G14" s="4"/>
      <c r="I14" s="3">
        <v>65</v>
      </c>
      <c r="J14" s="11">
        <v>4.8144556848209419</v>
      </c>
      <c r="K14" s="11"/>
      <c r="L14" s="11"/>
    </row>
    <row r="15" spans="1:12" x14ac:dyDescent="0.25">
      <c r="I15" s="3">
        <v>70</v>
      </c>
      <c r="J15" s="11">
        <v>4.4188984130024522</v>
      </c>
      <c r="K15" s="11"/>
      <c r="L15" s="11"/>
    </row>
    <row r="16" spans="1:12" x14ac:dyDescent="0.25">
      <c r="A16" s="3" t="s">
        <v>26</v>
      </c>
      <c r="B16" s="3">
        <f>MAX(B3-B4,0)</f>
        <v>0</v>
      </c>
      <c r="I16" s="3">
        <v>75</v>
      </c>
      <c r="J16" s="11">
        <v>4.1392237724598004</v>
      </c>
      <c r="K16" s="11"/>
      <c r="L16" s="11"/>
    </row>
    <row r="17" spans="1:12" x14ac:dyDescent="0.25">
      <c r="A17" s="3" t="s">
        <v>27</v>
      </c>
      <c r="B17" s="11">
        <f>B14-B16</f>
        <v>8.7238605787652865</v>
      </c>
      <c r="F17" s="4"/>
      <c r="I17" s="3">
        <v>80</v>
      </c>
      <c r="J17" s="11">
        <v>3.9418014234076821</v>
      </c>
      <c r="K17" s="11"/>
      <c r="L17" s="11"/>
    </row>
    <row r="18" spans="1:12" x14ac:dyDescent="0.25">
      <c r="F18" s="4"/>
      <c r="I18" s="3">
        <v>85</v>
      </c>
      <c r="J18" s="11">
        <v>3.8024717286660135</v>
      </c>
      <c r="K18" s="11"/>
      <c r="L18" s="11"/>
    </row>
    <row r="19" spans="1:12" x14ac:dyDescent="0.25">
      <c r="F19" s="4"/>
      <c r="I19" s="3">
        <v>90</v>
      </c>
      <c r="J19" s="11">
        <v>3.7040585754449751</v>
      </c>
      <c r="K19" s="11"/>
      <c r="L19" s="11"/>
    </row>
    <row r="20" spans="1:12" x14ac:dyDescent="0.25">
      <c r="F20" s="4"/>
      <c r="I20" s="3">
        <v>95</v>
      </c>
      <c r="J20" s="11">
        <v>3.6344325845905985</v>
      </c>
      <c r="K20" s="11"/>
      <c r="L20" s="11"/>
    </row>
    <row r="21" spans="1:12" x14ac:dyDescent="0.25">
      <c r="F21" s="4"/>
    </row>
    <row r="26" spans="1:12" x14ac:dyDescent="0.25">
      <c r="J26" s="3" t="s">
        <v>28</v>
      </c>
    </row>
    <row r="31" spans="1:12" x14ac:dyDescent="0.25">
      <c r="A31" s="3" t="s">
        <v>29</v>
      </c>
    </row>
  </sheetData>
  <phoneticPr fontId="1" type="noConversion"/>
  <conditionalFormatting sqref="I8:I20">
    <cfRule type="expression" dxfId="0" priority="1">
      <formula>($J8=MAX($J$8:$J$20))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2024-12-02T07:24:13Z</dcterms:modified>
</cp:coreProperties>
</file>