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B7E6FAF0-A6D1-446F-B3F4-AD5C45E89F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Count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B15" i="1"/>
  <c r="B14" i="1"/>
  <c r="B12" i="1"/>
  <c r="B11" i="1"/>
  <c r="B9" i="1"/>
  <c r="B8" i="1"/>
  <c r="C16" i="1"/>
  <c r="C14" i="1"/>
  <c r="C15" i="1"/>
  <c r="C11" i="1"/>
  <c r="C12" i="1"/>
  <c r="C8" i="1"/>
  <c r="C9" i="1"/>
</calcChain>
</file>

<file path=xl/sharedStrings.xml><?xml version="1.0" encoding="utf-8"?>
<sst xmlns="http://schemas.openxmlformats.org/spreadsheetml/2006/main" count="17" uniqueCount="17">
  <si>
    <t>Black-Scholes option pricing formula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</si>
  <si>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</si>
  <si>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</si>
  <si>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</si>
  <si>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</si>
  <si>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</si>
  <si>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</si>
  <si>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</si>
  <si>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</si>
  <si>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</si>
  <si>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</si>
  <si>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</si>
  <si>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</si>
  <si>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</si>
  <si>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</si>
  <si>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</si>
  <si>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t>put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</si>
</sst>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9" fontId="3" fillId="0" borderId="0" xfId="1" applyFont="1" applyAlignment="1">
      <alignment horizontal="center"/>
    </xf>
    <xf numFmtId="9" fontId="0" fillId="0" borderId="0" xfId="1" applyFont="1" applyAlignment="1"/>
    <xf numFmtId="0" fontId="0" fillId="0" borderId="0" xfId="1" applyNumberFormat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0" fillId="0" borderId="0" xfId="0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413845</xdr:colOff>
      <xdr:row>0</xdr:row>
      <xdr:rowOff>170793</xdr:rowOff>
    </xdr:from>
    <xdr:to>
      <xdr:col>18</xdr:col>
      <xdr:colOff>20629</xdr:colOff>
      <xdr:row>30</xdr:row>
      <xdr:rowOff>160164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A944B88-4F02-7726-D3AD-8F5FDC48E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80690" y="170793"/>
          <a:ext cx="7541043" cy="52604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6"/>
  <sheetViews>
    <sheetView tabSelected="1" zoomScale="145" zoomScaleNormal="145" workbookViewId="0">
      <selection activeCell="C21" sqref="C21"/>
    </sheetView>
  </sheetViews>
  <sheetFormatPr defaultRowHeight="13.8" x14ac:dyDescent="0.25"/>
  <cols>
    <col min="1" max="2" width="8.88671875" style="9"/>
    <col min="3" max="3" width="42.6640625" style="9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50</v>
      </c>
      <c r="C2" s="2" t="s">
        <v>2</v>
      </c>
    </row>
    <row r="3" spans="1:3" x14ac:dyDescent="0.25">
      <c r="A3" s="2" t="s">
        <v>3</v>
      </c>
      <c r="B3" s="3">
        <v>50</v>
      </c>
      <c r="C3" s="2" t="s">
        <v>4</v>
      </c>
    </row>
    <row r="4" spans="1:3" x14ac:dyDescent="0.25">
      <c r="A4" s="2" t="s">
        <v>5</v>
      </c>
      <c r="B4" s="4">
        <v>0.1</v>
      </c>
      <c r="C4" s="2" t="s">
        <v>6</v>
      </c>
    </row>
    <row r="5" spans="1:3" x14ac:dyDescent="0.25">
      <c r="A5" s="2" t="s">
        <v>7</v>
      </c>
      <c r="B5" s="3">
        <v>0.5</v>
      </c>
      <c r="C5" s="2" t="s">
        <v>8</v>
      </c>
    </row>
    <row r="6" spans="1:3" x14ac:dyDescent="0.25">
      <c r="A6" s="2" t="s">
        <v>9</v>
      </c>
      <c r="B6" s="2">
        <v>0.25</v>
      </c>
      <c r="C6" s="2" t="s">
        <v>10</v>
      </c>
    </row>
    <row r="7" spans="1:3" x14ac:dyDescent="0.25">
      <c r="A7" s="2"/>
      <c r="B7" s="2"/>
      <c r="C7" s="2"/>
    </row>
    <row r="8" spans="1:3" ht="15.6" x14ac:dyDescent="0.35">
      <c r="A8" s="2" t="s">
        <v>11</v>
      </c>
      <c r="B8" s="5">
        <f>(LN(B2/B3)+(B4+B6^2/2)*B5)/(B6*SQRT(B5))</f>
        <v>0.37123106012293744</v>
      </c>
      <c r="C8" s="2" t="str">
        <f t="shared" ref="C8:C9" ca="1" si="0">_xlfn.FORMULATEXT(B8)</f>
        <v>=(LN(B2/B3)+(B4+B6^2/2)*B5)/(B6*SQRT(B5))</v>
      </c>
    </row>
    <row r="9" spans="1:3" ht="15.6" x14ac:dyDescent="0.35">
      <c r="A9" s="2" t="s">
        <v>12</v>
      </c>
      <c r="B9" s="5">
        <f>B8-B6*SQRT(B5)</f>
        <v>0.19445436482630055</v>
      </c>
      <c r="C9" s="2" t="str">
        <f t="shared" ca="1" si="0"/>
        <v>=B8-B6*SQRT(B5)</v>
      </c>
    </row>
    <row r="10" spans="1:3" x14ac:dyDescent="0.25">
      <c r="A10" s="2"/>
      <c r="B10" s="6"/>
      <c r="C10" s="2"/>
    </row>
    <row r="11" spans="1:3" ht="15.6" x14ac:dyDescent="0.35">
      <c r="A11" s="2" t="s">
        <v>13</v>
      </c>
      <c r="B11" s="6">
        <f>_xlfn.NORM.S.DIST(B8,TRUE)</f>
        <v>0.64476727962935421</v>
      </c>
      <c r="C11" s="2" t="str">
        <f t="shared" ref="C11:C12" ca="1" si="1">_xlfn.FORMULATEXT(B11)</f>
        <v>=NORM.S.DIST(B8,TRUE)</v>
      </c>
    </row>
    <row r="12" spans="1:3" ht="15.6" x14ac:dyDescent="0.35">
      <c r="A12" s="2" t="s">
        <v>14</v>
      </c>
      <c r="B12" s="6">
        <f>_xlfn.NORM.S.DIST(B9,TRUE)</f>
        <v>0.57708993738545855</v>
      </c>
      <c r="C12" s="2" t="str">
        <f t="shared" ca="1" si="1"/>
        <v>=NORM.S.DIST(B9,TRUE)</v>
      </c>
    </row>
    <row r="13" spans="1:3" x14ac:dyDescent="0.25">
      <c r="A13" s="2"/>
      <c r="B13" s="6"/>
      <c r="C13" s="2"/>
    </row>
    <row r="14" spans="1:3" x14ac:dyDescent="0.25">
      <c r="A14" s="2" t="s">
        <v>15</v>
      </c>
      <c r="B14" s="7">
        <f>B2*B11-B3*EXP(-B4*B5)*B12</f>
        <v>4.7911175302515723</v>
      </c>
      <c r="C14" s="2" t="str">
        <f t="shared" ref="C14:C16" ca="1" si="2">_xlfn.FORMULATEXT(B14)</f>
        <v>=B2*B11-B3*EXP(-B4*B5)*B12</v>
      </c>
    </row>
    <row r="15" spans="1:3" x14ac:dyDescent="0.25">
      <c r="A15" s="2" t="s">
        <v>16</v>
      </c>
      <c r="B15" s="8">
        <f>B3*EXP(-B4*B5)*_xlfn.NORM.S.DIST(-B9,TRUE)-B2*_xlfn.NORM.S.DIST(-B8,TRUE)</f>
        <v>2.3525887552872717</v>
      </c>
      <c r="C15" s="2" t="str">
        <f t="shared" ca="1" si="2"/>
        <v>=B3*EXP(-B4*B5)*NORM.S.DIST(-B9,TRUE)-B2*NORM.S.DIST(-B8,TRUE)</v>
      </c>
    </row>
    <row r="16" spans="1:3" x14ac:dyDescent="0.25">
      <c r="B16" s="9">
        <f>B14-B2+B3*EXP(-B4*B5)</f>
        <v>2.3525887552872717</v>
      </c>
      <c r="C16" s="2" t="str">
        <f t="shared" ca="1" si="2"/>
        <v>=B14-B2+B3*EXP(-B4*B5)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2024-11-29T06:41:31Z</dcterms:modified>
</cp:coreProperties>
</file>