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practice\"/>
    </mc:Choice>
  </mc:AlternateContent>
  <xr:revisionPtr revIDLastSave="0" documentId="13_ncr:1_{593BFD2E-D71E-4DB2-A7FB-79C157AF8265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5" sheetId="2" r:id="rId2"/>
  </sheets>
  <externalReferences>
    <externalReference r:id="rId3"/>
    <externalReference r:id="rId4"/>
    <externalReference r:id="rId5"/>
  </externalReferences>
  <definedNames>
    <definedName name="Call">'[2]UN16A, UN16B'!$B$15</definedName>
    <definedName name="implied_call_volatility">[2]UN16F!$B$13</definedName>
    <definedName name="interest">[2]UN16C!$B$6</definedName>
    <definedName name="op?s_AMR_m_2007_11" localSheetId="1">'Exercise 5'!$A$4:$B$36</definedName>
    <definedName name="r_">[2]UN16C!$B$6</definedName>
    <definedName name="S">[2]UN16C!$B$3</definedName>
    <definedName name="sigma">[2]UN16C!$B$7</definedName>
    <definedName name="T">[2]UN16C!$B$5</definedName>
    <definedName name="target_call_price">[2]UN16F!$B$11</definedName>
    <definedName name="X">[2]UN16C!$B$4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D26" i="2"/>
  <c r="C27" i="2"/>
  <c r="C28" i="2"/>
  <c r="C29" i="2"/>
  <c r="C30" i="2"/>
  <c r="C31" i="2"/>
  <c r="C32" i="2"/>
  <c r="C33" i="2"/>
  <c r="C34" i="2"/>
  <c r="C35" i="2"/>
  <c r="C36" i="2"/>
  <c r="C26" i="2"/>
  <c r="D9" i="2"/>
  <c r="C10" i="2"/>
  <c r="C11" i="2"/>
  <c r="C12" i="2"/>
  <c r="C13" i="2"/>
  <c r="C14" i="2"/>
  <c r="C15" i="2"/>
  <c r="C16" i="2"/>
  <c r="C17" i="2"/>
  <c r="C18" i="2"/>
  <c r="C19" i="2"/>
  <c r="C20" i="2"/>
  <c r="C21" i="2"/>
  <c r="C9" i="2"/>
  <c r="C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FE8169-4BC4-492E-AA45-EE224BA2F95D}" name="连接2" type="4" refreshedVersion="2" background="1" saveData="1">
    <webPr sourceData="1" parsePre="1" consecutive="1" xl2000="1" url="http://finance.yahoo.com/q/op?s=AMR&amp;m=2007-11" htmlTables="1">
      <tables count="4">
        <x v="11"/>
        <x v="14"/>
        <x v="16"/>
        <x v="19"/>
      </tables>
    </webPr>
  </connection>
</connections>
</file>

<file path=xl/sharedStrings.xml><?xml version="1.0" encoding="utf-8"?>
<sst xmlns="http://schemas.openxmlformats.org/spreadsheetml/2006/main" count="14" uniqueCount="11">
  <si>
    <t>AMR OPTIONS</t>
  </si>
  <si>
    <t>Stock price</t>
  </si>
  <si>
    <t>Current date</t>
  </si>
  <si>
    <t>Expiration date</t>
  </si>
  <si>
    <t>Time to maturity, T</t>
  </si>
  <si>
    <t>Interest</t>
  </si>
  <si>
    <t>Strike</t>
  </si>
  <si>
    <t>Option
 price</t>
  </si>
  <si>
    <t>Implied volatility</t>
  </si>
  <si>
    <t>PUT OPTIONS</t>
  </si>
  <si>
    <t>There is basically no "smile".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</si>
</sst>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2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15" fontId="2" fillId="0" borderId="0" xfId="1" applyNumberFormat="1"/>
    <xf numFmtId="2" fontId="2" fillId="0" borderId="0" xfId="1" applyNumberFormat="1"/>
    <xf numFmtId="9" fontId="2" fillId="0" borderId="0" xfId="1" applyNumberFormat="1"/>
    <xf numFmtId="0" fontId="2" fillId="0" borderId="0" xfId="1" applyAlignment="1">
      <alignment horizontal="center" vertical="center" wrapText="1"/>
    </xf>
    <xf numFmtId="10" fontId="0" fillId="0" borderId="0" xfId="2" applyNumberFormat="1" applyFont="1"/>
    <xf numFmtId="0" fontId="2" fillId="2" borderId="0" xfId="1" applyFill="1"/>
    <xf numFmtId="0" fontId="2" fillId="3" borderId="0" xfId="1" applyFill="1"/>
    <xf numFmtId="0" fontId="2" fillId="4" borderId="0" xfId="1" applyFill="1"/>
    <xf numFmtId="10" fontId="0" fillId="4" borderId="0" xfId="2" applyNumberFormat="1" applyFont="1" applyFill="1"/>
  </cellXfs>
  <cellStyles count="3">
    <cellStyle name="百分比 2" xfId="2" xr:uid="{34E4FCCA-C254-4CE8-82D8-FADABA5FADB5}"/>
    <cellStyle name="常规" xfId="0" builtinId="0"/>
    <cellStyle name="常规 2" xfId="1" xr:uid="{573D3F42-50A3-4CF4-A0FF-7FFC63E2129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Call Option Implied Volatility</a:t>
            </a:r>
          </a:p>
        </c:rich>
      </c:tx>
      <c:layout>
        <c:manualLayout>
          <c:xMode val="edge"/>
          <c:yMode val="edge"/>
          <c:x val="0.33404342975646567"/>
          <c:y val="3.93941118805932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978982023921705E-2"/>
          <c:y val="9.3939463437694895E-2"/>
          <c:w val="0.86383247953108233"/>
          <c:h val="0.6969702126022524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'Exercise 5'!$A$9:$A$21</c:f>
              <c:numCache>
                <c:formatCode>General</c:formatCode>
                <c:ptCount val="13"/>
                <c:pt idx="0">
                  <c:v>15</c:v>
                </c:pt>
                <c:pt idx="1">
                  <c:v>17.5</c:v>
                </c:pt>
                <c:pt idx="2">
                  <c:v>20</c:v>
                </c:pt>
                <c:pt idx="3">
                  <c:v>22.5</c:v>
                </c:pt>
                <c:pt idx="4">
                  <c:v>25</c:v>
                </c:pt>
                <c:pt idx="5">
                  <c:v>27.5</c:v>
                </c:pt>
                <c:pt idx="6">
                  <c:v>30</c:v>
                </c:pt>
                <c:pt idx="7">
                  <c:v>32.5</c:v>
                </c:pt>
                <c:pt idx="8">
                  <c:v>35</c:v>
                </c:pt>
                <c:pt idx="9">
                  <c:v>37.5</c:v>
                </c:pt>
                <c:pt idx="10">
                  <c:v>40</c:v>
                </c:pt>
                <c:pt idx="11">
                  <c:v>45</c:v>
                </c:pt>
                <c:pt idx="12">
                  <c:v>50</c:v>
                </c:pt>
              </c:numCache>
            </c:numRef>
          </c:xVal>
          <c:yVal>
            <c:numRef>
              <c:f>'Exercise 5'!$C$9:$C$21</c:f>
              <c:numCache>
                <c:formatCode>0.00%</c:formatCode>
                <c:ptCount val="13"/>
                <c:pt idx="0">
                  <c:v>0.818084716796875</c:v>
                </c:pt>
                <c:pt idx="1">
                  <c:v>3.0517578125E-5</c:v>
                </c:pt>
                <c:pt idx="2">
                  <c:v>0.431854248046875</c:v>
                </c:pt>
                <c:pt idx="3">
                  <c:v>0.629180908203125</c:v>
                </c:pt>
                <c:pt idx="4">
                  <c:v>0.488677978515625</c:v>
                </c:pt>
                <c:pt idx="5">
                  <c:v>0.448455810546875</c:v>
                </c:pt>
                <c:pt idx="6">
                  <c:v>0.455291748046875</c:v>
                </c:pt>
                <c:pt idx="7">
                  <c:v>0.472991943359375</c:v>
                </c:pt>
                <c:pt idx="8">
                  <c:v>0.453216552734375</c:v>
                </c:pt>
                <c:pt idx="9">
                  <c:v>0.466522216796875</c:v>
                </c:pt>
                <c:pt idx="10">
                  <c:v>0.466156005859375</c:v>
                </c:pt>
                <c:pt idx="11">
                  <c:v>0.497894287109375</c:v>
                </c:pt>
                <c:pt idx="12">
                  <c:v>0.442901611328125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0C-4FE7-B0E7-DF1B3570C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898032"/>
        <c:axId val="1"/>
      </c:scatterChart>
      <c:valAx>
        <c:axId val="863898032"/>
        <c:scaling>
          <c:orientation val="minMax"/>
          <c:max val="50"/>
          <c:min val="15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Strike</a:t>
                </a:r>
              </a:p>
            </c:rich>
          </c:tx>
          <c:layout>
            <c:manualLayout>
              <c:xMode val="edge"/>
              <c:yMode val="edge"/>
              <c:x val="0.47659713832067291"/>
              <c:y val="0.866667299117730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5"/>
      </c:valAx>
      <c:valAx>
        <c:axId val="1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6389803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081278738003125E-2"/>
          <c:y val="9.2150285824036046E-2"/>
          <c:w val="0.85074848296659233"/>
          <c:h val="0.7645060749845953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'Exercise 5'!$A$26:$A$36</c:f>
              <c:numCache>
                <c:formatCode>General</c:formatCode>
                <c:ptCount val="11"/>
                <c:pt idx="0">
                  <c:v>15</c:v>
                </c:pt>
                <c:pt idx="1">
                  <c:v>17.5</c:v>
                </c:pt>
                <c:pt idx="2">
                  <c:v>20</c:v>
                </c:pt>
                <c:pt idx="3">
                  <c:v>22.5</c:v>
                </c:pt>
                <c:pt idx="4">
                  <c:v>25</c:v>
                </c:pt>
                <c:pt idx="5">
                  <c:v>27.5</c:v>
                </c:pt>
                <c:pt idx="6">
                  <c:v>30</c:v>
                </c:pt>
                <c:pt idx="7">
                  <c:v>32.5</c:v>
                </c:pt>
                <c:pt idx="8">
                  <c:v>35</c:v>
                </c:pt>
                <c:pt idx="9">
                  <c:v>37.5</c:v>
                </c:pt>
                <c:pt idx="10">
                  <c:v>40</c:v>
                </c:pt>
              </c:numCache>
            </c:numRef>
          </c:xVal>
          <c:yVal>
            <c:numRef>
              <c:f>'Exercise 5'!$C$26:$C$36</c:f>
              <c:numCache>
                <c:formatCode>0.00%</c:formatCode>
                <c:ptCount val="11"/>
                <c:pt idx="0">
                  <c:v>0.645233154296875</c:v>
                </c:pt>
                <c:pt idx="1">
                  <c:v>0.570220947265625</c:v>
                </c:pt>
                <c:pt idx="2">
                  <c:v>0.551116943359375</c:v>
                </c:pt>
                <c:pt idx="3">
                  <c:v>0.535186767578125</c:v>
                </c:pt>
                <c:pt idx="4">
                  <c:v>0.533660888671875</c:v>
                </c:pt>
                <c:pt idx="5">
                  <c:v>0.518402099609375</c:v>
                </c:pt>
                <c:pt idx="6">
                  <c:v>0.506927490234375</c:v>
                </c:pt>
                <c:pt idx="7">
                  <c:v>0.526214599609375</c:v>
                </c:pt>
                <c:pt idx="8">
                  <c:v>0.418914794921875</c:v>
                </c:pt>
                <c:pt idx="9">
                  <c:v>0.435333251953125</c:v>
                </c:pt>
                <c:pt idx="10">
                  <c:v>0.641021728515625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503-9505-3B87BA238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894072"/>
        <c:axId val="1"/>
      </c:scatterChart>
      <c:valAx>
        <c:axId val="863894072"/>
        <c:scaling>
          <c:orientation val="minMax"/>
          <c:max val="40"/>
          <c:min val="15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5"/>
      </c:valAx>
      <c:valAx>
        <c:axId val="1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6389407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952500</xdr:colOff>
      <xdr:row>5</xdr:row>
      <xdr:rowOff>7620</xdr:rowOff>
    </xdr:from>
    <xdr:to>
      <xdr:col>8</xdr:col>
      <xdr:colOff>160020</xdr:colOff>
      <xdr:row>22</xdr:row>
      <xdr:rowOff>99060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8C58431-6147-4E7B-9C48-2B04FF2CD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944880</xdr:colOff>
      <xdr:row>24</xdr:row>
      <xdr:rowOff>45720</xdr:rowOff>
    </xdr:from>
    <xdr:to>
      <xdr:col>8</xdr:col>
      <xdr:colOff>144780</xdr:colOff>
      <xdr:row>39</xdr:row>
      <xdr:rowOff>114300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BF1DFE46-0F6E-4897-98D7-F2C2EA8AE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29307</xdr:colOff>
      <xdr:row>1</xdr:row>
      <xdr:rowOff>113713</xdr:rowOff>
    </xdr:from>
    <xdr:to>
      <xdr:col>26</xdr:col>
      <xdr:colOff>398615</xdr:colOff>
      <xdr:row>46</xdr:row>
      <xdr:rowOff>132554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EA818924-B33B-8796-3E30-225C71D8A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23788" y="333521"/>
          <a:ext cx="10717121" cy="794877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imon/WORK/FM2/Disk%20with%20book/Problem%20files/Cchapter%2016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 中文"/>
      <sheetName val="Exercise 2"/>
      <sheetName val="Exercise 2  中文"/>
      <sheetName val="Exercise 3"/>
      <sheetName val="Exercise 3  中文"/>
      <sheetName val="Exercise 4"/>
      <sheetName val="Exercise 4 中文"/>
      <sheetName val="Exercise 5 template"/>
      <sheetName val="Exercise 5 template  中文"/>
      <sheetName val="Exercise 5"/>
      <sheetName val="Exercise 5  中文"/>
      <sheetName val="Exercise 6"/>
      <sheetName val="Exercise 6  中文"/>
      <sheetName val="Exercise 7"/>
      <sheetName val="Exercise 7 中文"/>
      <sheetName val="Exercise 8"/>
      <sheetName val="Exercise 8  中文"/>
      <sheetName val="Exercise 9"/>
      <sheetName val="Exercise 9  中文"/>
      <sheetName val="Exercise 10"/>
      <sheetName val="Exercise 10 中文"/>
      <sheetName val="Exercise 11"/>
      <sheetName val="Exercise 11 中文"/>
      <sheetName val="Exercise 12"/>
      <sheetName val="Exercise 12 中文"/>
      <sheetName val="VBA option func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9">
          <cell r="A9">
            <v>15</v>
          </cell>
          <cell r="C9">
            <v>0.818084716796875</v>
          </cell>
        </row>
        <row r="10">
          <cell r="A10">
            <v>17.5</v>
          </cell>
          <cell r="C10">
            <v>3.0517578125E-5</v>
          </cell>
        </row>
        <row r="11">
          <cell r="A11">
            <v>20</v>
          </cell>
          <cell r="C11">
            <v>0.431854248046875</v>
          </cell>
        </row>
        <row r="12">
          <cell r="A12">
            <v>22.5</v>
          </cell>
          <cell r="C12">
            <v>0.629180908203125</v>
          </cell>
        </row>
        <row r="13">
          <cell r="A13">
            <v>25</v>
          </cell>
          <cell r="C13">
            <v>0.488677978515625</v>
          </cell>
        </row>
        <row r="14">
          <cell r="A14">
            <v>27.5</v>
          </cell>
          <cell r="C14">
            <v>0.448455810546875</v>
          </cell>
        </row>
        <row r="15">
          <cell r="A15">
            <v>30</v>
          </cell>
          <cell r="C15">
            <v>0.455291748046875</v>
          </cell>
        </row>
        <row r="16">
          <cell r="A16">
            <v>32.5</v>
          </cell>
          <cell r="C16">
            <v>0.472991943359375</v>
          </cell>
        </row>
        <row r="17">
          <cell r="A17">
            <v>35</v>
          </cell>
          <cell r="C17">
            <v>0.453216552734375</v>
          </cell>
        </row>
        <row r="18">
          <cell r="A18">
            <v>37.5</v>
          </cell>
          <cell r="C18">
            <v>0.466522216796875</v>
          </cell>
        </row>
        <row r="19">
          <cell r="A19">
            <v>40</v>
          </cell>
          <cell r="C19">
            <v>0.466156005859375</v>
          </cell>
        </row>
        <row r="20">
          <cell r="A20">
            <v>45</v>
          </cell>
          <cell r="C20">
            <v>0.497894287109375</v>
          </cell>
        </row>
        <row r="21">
          <cell r="A21">
            <v>50</v>
          </cell>
          <cell r="C21">
            <v>0.442901611328125</v>
          </cell>
        </row>
        <row r="26">
          <cell r="A26">
            <v>15</v>
          </cell>
          <cell r="C26">
            <v>0.645233154296875</v>
          </cell>
        </row>
        <row r="27">
          <cell r="A27">
            <v>17.5</v>
          </cell>
          <cell r="C27">
            <v>0.570220947265625</v>
          </cell>
        </row>
        <row r="28">
          <cell r="A28">
            <v>20</v>
          </cell>
          <cell r="C28">
            <v>0.551116943359375</v>
          </cell>
        </row>
        <row r="29">
          <cell r="A29">
            <v>22.5</v>
          </cell>
          <cell r="C29">
            <v>0.535186767578125</v>
          </cell>
        </row>
        <row r="30">
          <cell r="A30">
            <v>25</v>
          </cell>
          <cell r="C30">
            <v>0.533660888671875</v>
          </cell>
        </row>
        <row r="31">
          <cell r="A31">
            <v>27.5</v>
          </cell>
          <cell r="C31">
            <v>0.518402099609375</v>
          </cell>
        </row>
        <row r="32">
          <cell r="A32">
            <v>30</v>
          </cell>
          <cell r="C32">
            <v>0.506927490234375</v>
          </cell>
        </row>
        <row r="33">
          <cell r="A33">
            <v>32.5</v>
          </cell>
          <cell r="C33">
            <v>0.526214599609375</v>
          </cell>
        </row>
        <row r="34">
          <cell r="A34">
            <v>35</v>
          </cell>
          <cell r="C34">
            <v>0.418914794921875</v>
          </cell>
        </row>
        <row r="35">
          <cell r="A35">
            <v>37.5</v>
          </cell>
          <cell r="C35">
            <v>0.435333251953125</v>
          </cell>
        </row>
        <row r="36">
          <cell r="A36">
            <v>40</v>
          </cell>
          <cell r="C36">
            <v>0.641021728515625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N16A, UN16B"/>
      <sheetName val="VBA functions, pp. 199-200, 203"/>
      <sheetName val="UN16C"/>
      <sheetName val="UN16D"/>
      <sheetName val="UN16E"/>
      <sheetName val="UN16F"/>
      <sheetName val="UN16G, UN16I"/>
      <sheetName val="UN16H"/>
      <sheetName val="UN16J"/>
    </sheetNames>
    <sheetDataSet>
      <sheetData sheetId="0">
        <row r="15">
          <cell r="B15">
            <v>2.4706641071103697</v>
          </cell>
        </row>
      </sheetData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/>
      <sheetData sheetId="4"/>
      <sheetData sheetId="5">
        <row r="11">
          <cell r="B11">
            <v>6</v>
          </cell>
        </row>
        <row r="13">
          <cell r="B13">
            <v>0.153533935546875</v>
          </cell>
        </row>
      </sheetData>
      <sheetData sheetId="6"/>
      <sheetData sheetId="7" refreshError="1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CallVolatility"/>
      <definedName name="PutVolatility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p?s=AMR&amp;m=2007-11" connectionId="1" xr16:uid="{A3AA7D4A-5E87-48CF-8829-23C4C8119E02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19353-A8F3-4095-9168-2B8405CA9E59}">
  <sheetPr codeName="Sheet5"/>
  <dimension ref="A1:D42"/>
  <sheetViews>
    <sheetView tabSelected="1" zoomScale="130" zoomScaleNormal="130" workbookViewId="0">
      <selection activeCell="C16" sqref="C16"/>
    </sheetView>
  </sheetViews>
  <sheetFormatPr defaultRowHeight="13.2" x14ac:dyDescent="0.25"/>
  <cols>
    <col min="1" max="1" width="14.44140625" style="2" bestFit="1" customWidth="1"/>
    <col min="2" max="2" width="11.109375" style="2" customWidth="1"/>
    <col min="3" max="3" width="16.5546875" style="2" customWidth="1"/>
    <col min="4" max="4" width="38.88671875" style="2" bestFit="1" customWidth="1"/>
    <col min="5" max="256" width="8.88671875" style="2"/>
    <col min="257" max="257" width="14.44140625" style="2" bestFit="1" customWidth="1"/>
    <col min="258" max="258" width="11.109375" style="2" customWidth="1"/>
    <col min="259" max="259" width="16.5546875" style="2" customWidth="1"/>
    <col min="260" max="260" width="38.88671875" style="2" bestFit="1" customWidth="1"/>
    <col min="261" max="512" width="8.88671875" style="2"/>
    <col min="513" max="513" width="14.44140625" style="2" bestFit="1" customWidth="1"/>
    <col min="514" max="514" width="11.109375" style="2" customWidth="1"/>
    <col min="515" max="515" width="16.5546875" style="2" customWidth="1"/>
    <col min="516" max="516" width="38.88671875" style="2" bestFit="1" customWidth="1"/>
    <col min="517" max="768" width="8.88671875" style="2"/>
    <col min="769" max="769" width="14.44140625" style="2" bestFit="1" customWidth="1"/>
    <col min="770" max="770" width="11.109375" style="2" customWidth="1"/>
    <col min="771" max="771" width="16.5546875" style="2" customWidth="1"/>
    <col min="772" max="772" width="38.88671875" style="2" bestFit="1" customWidth="1"/>
    <col min="773" max="1024" width="8.88671875" style="2"/>
    <col min="1025" max="1025" width="14.44140625" style="2" bestFit="1" customWidth="1"/>
    <col min="1026" max="1026" width="11.109375" style="2" customWidth="1"/>
    <col min="1027" max="1027" width="16.5546875" style="2" customWidth="1"/>
    <col min="1028" max="1028" width="38.88671875" style="2" bestFit="1" customWidth="1"/>
    <col min="1029" max="1280" width="8.88671875" style="2"/>
    <col min="1281" max="1281" width="14.44140625" style="2" bestFit="1" customWidth="1"/>
    <col min="1282" max="1282" width="11.109375" style="2" customWidth="1"/>
    <col min="1283" max="1283" width="16.5546875" style="2" customWidth="1"/>
    <col min="1284" max="1284" width="38.88671875" style="2" bestFit="1" customWidth="1"/>
    <col min="1285" max="1536" width="8.88671875" style="2"/>
    <col min="1537" max="1537" width="14.44140625" style="2" bestFit="1" customWidth="1"/>
    <col min="1538" max="1538" width="11.109375" style="2" customWidth="1"/>
    <col min="1539" max="1539" width="16.5546875" style="2" customWidth="1"/>
    <col min="1540" max="1540" width="38.88671875" style="2" bestFit="1" customWidth="1"/>
    <col min="1541" max="1792" width="8.88671875" style="2"/>
    <col min="1793" max="1793" width="14.44140625" style="2" bestFit="1" customWidth="1"/>
    <col min="1794" max="1794" width="11.109375" style="2" customWidth="1"/>
    <col min="1795" max="1795" width="16.5546875" style="2" customWidth="1"/>
    <col min="1796" max="1796" width="38.88671875" style="2" bestFit="1" customWidth="1"/>
    <col min="1797" max="2048" width="8.88671875" style="2"/>
    <col min="2049" max="2049" width="14.44140625" style="2" bestFit="1" customWidth="1"/>
    <col min="2050" max="2050" width="11.109375" style="2" customWidth="1"/>
    <col min="2051" max="2051" width="16.5546875" style="2" customWidth="1"/>
    <col min="2052" max="2052" width="38.88671875" style="2" bestFit="1" customWidth="1"/>
    <col min="2053" max="2304" width="8.88671875" style="2"/>
    <col min="2305" max="2305" width="14.44140625" style="2" bestFit="1" customWidth="1"/>
    <col min="2306" max="2306" width="11.109375" style="2" customWidth="1"/>
    <col min="2307" max="2307" width="16.5546875" style="2" customWidth="1"/>
    <col min="2308" max="2308" width="38.88671875" style="2" bestFit="1" customWidth="1"/>
    <col min="2309" max="2560" width="8.88671875" style="2"/>
    <col min="2561" max="2561" width="14.44140625" style="2" bestFit="1" customWidth="1"/>
    <col min="2562" max="2562" width="11.109375" style="2" customWidth="1"/>
    <col min="2563" max="2563" width="16.5546875" style="2" customWidth="1"/>
    <col min="2564" max="2564" width="38.88671875" style="2" bestFit="1" customWidth="1"/>
    <col min="2565" max="2816" width="8.88671875" style="2"/>
    <col min="2817" max="2817" width="14.44140625" style="2" bestFit="1" customWidth="1"/>
    <col min="2818" max="2818" width="11.109375" style="2" customWidth="1"/>
    <col min="2819" max="2819" width="16.5546875" style="2" customWidth="1"/>
    <col min="2820" max="2820" width="38.88671875" style="2" bestFit="1" customWidth="1"/>
    <col min="2821" max="3072" width="8.88671875" style="2"/>
    <col min="3073" max="3073" width="14.44140625" style="2" bestFit="1" customWidth="1"/>
    <col min="3074" max="3074" width="11.109375" style="2" customWidth="1"/>
    <col min="3075" max="3075" width="16.5546875" style="2" customWidth="1"/>
    <col min="3076" max="3076" width="38.88671875" style="2" bestFit="1" customWidth="1"/>
    <col min="3077" max="3328" width="8.88671875" style="2"/>
    <col min="3329" max="3329" width="14.44140625" style="2" bestFit="1" customWidth="1"/>
    <col min="3330" max="3330" width="11.109375" style="2" customWidth="1"/>
    <col min="3331" max="3331" width="16.5546875" style="2" customWidth="1"/>
    <col min="3332" max="3332" width="38.88671875" style="2" bestFit="1" customWidth="1"/>
    <col min="3333" max="3584" width="8.88671875" style="2"/>
    <col min="3585" max="3585" width="14.44140625" style="2" bestFit="1" customWidth="1"/>
    <col min="3586" max="3586" width="11.109375" style="2" customWidth="1"/>
    <col min="3587" max="3587" width="16.5546875" style="2" customWidth="1"/>
    <col min="3588" max="3588" width="38.88671875" style="2" bestFit="1" customWidth="1"/>
    <col min="3589" max="3840" width="8.88671875" style="2"/>
    <col min="3841" max="3841" width="14.44140625" style="2" bestFit="1" customWidth="1"/>
    <col min="3842" max="3842" width="11.109375" style="2" customWidth="1"/>
    <col min="3843" max="3843" width="16.5546875" style="2" customWidth="1"/>
    <col min="3844" max="3844" width="38.88671875" style="2" bestFit="1" customWidth="1"/>
    <col min="3845" max="4096" width="8.88671875" style="2"/>
    <col min="4097" max="4097" width="14.44140625" style="2" bestFit="1" customWidth="1"/>
    <col min="4098" max="4098" width="11.109375" style="2" customWidth="1"/>
    <col min="4099" max="4099" width="16.5546875" style="2" customWidth="1"/>
    <col min="4100" max="4100" width="38.88671875" style="2" bestFit="1" customWidth="1"/>
    <col min="4101" max="4352" width="8.88671875" style="2"/>
    <col min="4353" max="4353" width="14.44140625" style="2" bestFit="1" customWidth="1"/>
    <col min="4354" max="4354" width="11.109375" style="2" customWidth="1"/>
    <col min="4355" max="4355" width="16.5546875" style="2" customWidth="1"/>
    <col min="4356" max="4356" width="38.88671875" style="2" bestFit="1" customWidth="1"/>
    <col min="4357" max="4608" width="8.88671875" style="2"/>
    <col min="4609" max="4609" width="14.44140625" style="2" bestFit="1" customWidth="1"/>
    <col min="4610" max="4610" width="11.109375" style="2" customWidth="1"/>
    <col min="4611" max="4611" width="16.5546875" style="2" customWidth="1"/>
    <col min="4612" max="4612" width="38.88671875" style="2" bestFit="1" customWidth="1"/>
    <col min="4613" max="4864" width="8.88671875" style="2"/>
    <col min="4865" max="4865" width="14.44140625" style="2" bestFit="1" customWidth="1"/>
    <col min="4866" max="4866" width="11.109375" style="2" customWidth="1"/>
    <col min="4867" max="4867" width="16.5546875" style="2" customWidth="1"/>
    <col min="4868" max="4868" width="38.88671875" style="2" bestFit="1" customWidth="1"/>
    <col min="4869" max="5120" width="8.88671875" style="2"/>
    <col min="5121" max="5121" width="14.44140625" style="2" bestFit="1" customWidth="1"/>
    <col min="5122" max="5122" width="11.109375" style="2" customWidth="1"/>
    <col min="5123" max="5123" width="16.5546875" style="2" customWidth="1"/>
    <col min="5124" max="5124" width="38.88671875" style="2" bestFit="1" customWidth="1"/>
    <col min="5125" max="5376" width="8.88671875" style="2"/>
    <col min="5377" max="5377" width="14.44140625" style="2" bestFit="1" customWidth="1"/>
    <col min="5378" max="5378" width="11.109375" style="2" customWidth="1"/>
    <col min="5379" max="5379" width="16.5546875" style="2" customWidth="1"/>
    <col min="5380" max="5380" width="38.88671875" style="2" bestFit="1" customWidth="1"/>
    <col min="5381" max="5632" width="8.88671875" style="2"/>
    <col min="5633" max="5633" width="14.44140625" style="2" bestFit="1" customWidth="1"/>
    <col min="5634" max="5634" width="11.109375" style="2" customWidth="1"/>
    <col min="5635" max="5635" width="16.5546875" style="2" customWidth="1"/>
    <col min="5636" max="5636" width="38.88671875" style="2" bestFit="1" customWidth="1"/>
    <col min="5637" max="5888" width="8.88671875" style="2"/>
    <col min="5889" max="5889" width="14.44140625" style="2" bestFit="1" customWidth="1"/>
    <col min="5890" max="5890" width="11.109375" style="2" customWidth="1"/>
    <col min="5891" max="5891" width="16.5546875" style="2" customWidth="1"/>
    <col min="5892" max="5892" width="38.88671875" style="2" bestFit="1" customWidth="1"/>
    <col min="5893" max="6144" width="8.88671875" style="2"/>
    <col min="6145" max="6145" width="14.44140625" style="2" bestFit="1" customWidth="1"/>
    <col min="6146" max="6146" width="11.109375" style="2" customWidth="1"/>
    <col min="6147" max="6147" width="16.5546875" style="2" customWidth="1"/>
    <col min="6148" max="6148" width="38.88671875" style="2" bestFit="1" customWidth="1"/>
    <col min="6149" max="6400" width="8.88671875" style="2"/>
    <col min="6401" max="6401" width="14.44140625" style="2" bestFit="1" customWidth="1"/>
    <col min="6402" max="6402" width="11.109375" style="2" customWidth="1"/>
    <col min="6403" max="6403" width="16.5546875" style="2" customWidth="1"/>
    <col min="6404" max="6404" width="38.88671875" style="2" bestFit="1" customWidth="1"/>
    <col min="6405" max="6656" width="8.88671875" style="2"/>
    <col min="6657" max="6657" width="14.44140625" style="2" bestFit="1" customWidth="1"/>
    <col min="6658" max="6658" width="11.109375" style="2" customWidth="1"/>
    <col min="6659" max="6659" width="16.5546875" style="2" customWidth="1"/>
    <col min="6660" max="6660" width="38.88671875" style="2" bestFit="1" customWidth="1"/>
    <col min="6661" max="6912" width="8.88671875" style="2"/>
    <col min="6913" max="6913" width="14.44140625" style="2" bestFit="1" customWidth="1"/>
    <col min="6914" max="6914" width="11.109375" style="2" customWidth="1"/>
    <col min="6915" max="6915" width="16.5546875" style="2" customWidth="1"/>
    <col min="6916" max="6916" width="38.88671875" style="2" bestFit="1" customWidth="1"/>
    <col min="6917" max="7168" width="8.88671875" style="2"/>
    <col min="7169" max="7169" width="14.44140625" style="2" bestFit="1" customWidth="1"/>
    <col min="7170" max="7170" width="11.109375" style="2" customWidth="1"/>
    <col min="7171" max="7171" width="16.5546875" style="2" customWidth="1"/>
    <col min="7172" max="7172" width="38.88671875" style="2" bestFit="1" customWidth="1"/>
    <col min="7173" max="7424" width="8.88671875" style="2"/>
    <col min="7425" max="7425" width="14.44140625" style="2" bestFit="1" customWidth="1"/>
    <col min="7426" max="7426" width="11.109375" style="2" customWidth="1"/>
    <col min="7427" max="7427" width="16.5546875" style="2" customWidth="1"/>
    <col min="7428" max="7428" width="38.88671875" style="2" bestFit="1" customWidth="1"/>
    <col min="7429" max="7680" width="8.88671875" style="2"/>
    <col min="7681" max="7681" width="14.44140625" style="2" bestFit="1" customWidth="1"/>
    <col min="7682" max="7682" width="11.109375" style="2" customWidth="1"/>
    <col min="7683" max="7683" width="16.5546875" style="2" customWidth="1"/>
    <col min="7684" max="7684" width="38.88671875" style="2" bestFit="1" customWidth="1"/>
    <col min="7685" max="7936" width="8.88671875" style="2"/>
    <col min="7937" max="7937" width="14.44140625" style="2" bestFit="1" customWidth="1"/>
    <col min="7938" max="7938" width="11.109375" style="2" customWidth="1"/>
    <col min="7939" max="7939" width="16.5546875" style="2" customWidth="1"/>
    <col min="7940" max="7940" width="38.88671875" style="2" bestFit="1" customWidth="1"/>
    <col min="7941" max="8192" width="8.88671875" style="2"/>
    <col min="8193" max="8193" width="14.44140625" style="2" bestFit="1" customWidth="1"/>
    <col min="8194" max="8194" width="11.109375" style="2" customWidth="1"/>
    <col min="8195" max="8195" width="16.5546875" style="2" customWidth="1"/>
    <col min="8196" max="8196" width="38.88671875" style="2" bestFit="1" customWidth="1"/>
    <col min="8197" max="8448" width="8.88671875" style="2"/>
    <col min="8449" max="8449" width="14.44140625" style="2" bestFit="1" customWidth="1"/>
    <col min="8450" max="8450" width="11.109375" style="2" customWidth="1"/>
    <col min="8451" max="8451" width="16.5546875" style="2" customWidth="1"/>
    <col min="8452" max="8452" width="38.88671875" style="2" bestFit="1" customWidth="1"/>
    <col min="8453" max="8704" width="8.88671875" style="2"/>
    <col min="8705" max="8705" width="14.44140625" style="2" bestFit="1" customWidth="1"/>
    <col min="8706" max="8706" width="11.109375" style="2" customWidth="1"/>
    <col min="8707" max="8707" width="16.5546875" style="2" customWidth="1"/>
    <col min="8708" max="8708" width="38.88671875" style="2" bestFit="1" customWidth="1"/>
    <col min="8709" max="8960" width="8.88671875" style="2"/>
    <col min="8961" max="8961" width="14.44140625" style="2" bestFit="1" customWidth="1"/>
    <col min="8962" max="8962" width="11.109375" style="2" customWidth="1"/>
    <col min="8963" max="8963" width="16.5546875" style="2" customWidth="1"/>
    <col min="8964" max="8964" width="38.88671875" style="2" bestFit="1" customWidth="1"/>
    <col min="8965" max="9216" width="8.88671875" style="2"/>
    <col min="9217" max="9217" width="14.44140625" style="2" bestFit="1" customWidth="1"/>
    <col min="9218" max="9218" width="11.109375" style="2" customWidth="1"/>
    <col min="9219" max="9219" width="16.5546875" style="2" customWidth="1"/>
    <col min="9220" max="9220" width="38.88671875" style="2" bestFit="1" customWidth="1"/>
    <col min="9221" max="9472" width="8.88671875" style="2"/>
    <col min="9473" max="9473" width="14.44140625" style="2" bestFit="1" customWidth="1"/>
    <col min="9474" max="9474" width="11.109375" style="2" customWidth="1"/>
    <col min="9475" max="9475" width="16.5546875" style="2" customWidth="1"/>
    <col min="9476" max="9476" width="38.88671875" style="2" bestFit="1" customWidth="1"/>
    <col min="9477" max="9728" width="8.88671875" style="2"/>
    <col min="9729" max="9729" width="14.44140625" style="2" bestFit="1" customWidth="1"/>
    <col min="9730" max="9730" width="11.109375" style="2" customWidth="1"/>
    <col min="9731" max="9731" width="16.5546875" style="2" customWidth="1"/>
    <col min="9732" max="9732" width="38.88671875" style="2" bestFit="1" customWidth="1"/>
    <col min="9733" max="9984" width="8.88671875" style="2"/>
    <col min="9985" max="9985" width="14.44140625" style="2" bestFit="1" customWidth="1"/>
    <col min="9986" max="9986" width="11.109375" style="2" customWidth="1"/>
    <col min="9987" max="9987" width="16.5546875" style="2" customWidth="1"/>
    <col min="9988" max="9988" width="38.88671875" style="2" bestFit="1" customWidth="1"/>
    <col min="9989" max="10240" width="8.88671875" style="2"/>
    <col min="10241" max="10241" width="14.44140625" style="2" bestFit="1" customWidth="1"/>
    <col min="10242" max="10242" width="11.109375" style="2" customWidth="1"/>
    <col min="10243" max="10243" width="16.5546875" style="2" customWidth="1"/>
    <col min="10244" max="10244" width="38.88671875" style="2" bestFit="1" customWidth="1"/>
    <col min="10245" max="10496" width="8.88671875" style="2"/>
    <col min="10497" max="10497" width="14.44140625" style="2" bestFit="1" customWidth="1"/>
    <col min="10498" max="10498" width="11.109375" style="2" customWidth="1"/>
    <col min="10499" max="10499" width="16.5546875" style="2" customWidth="1"/>
    <col min="10500" max="10500" width="38.88671875" style="2" bestFit="1" customWidth="1"/>
    <col min="10501" max="10752" width="8.88671875" style="2"/>
    <col min="10753" max="10753" width="14.44140625" style="2" bestFit="1" customWidth="1"/>
    <col min="10754" max="10754" width="11.109375" style="2" customWidth="1"/>
    <col min="10755" max="10755" width="16.5546875" style="2" customWidth="1"/>
    <col min="10756" max="10756" width="38.88671875" style="2" bestFit="1" customWidth="1"/>
    <col min="10757" max="11008" width="8.88671875" style="2"/>
    <col min="11009" max="11009" width="14.44140625" style="2" bestFit="1" customWidth="1"/>
    <col min="11010" max="11010" width="11.109375" style="2" customWidth="1"/>
    <col min="11011" max="11011" width="16.5546875" style="2" customWidth="1"/>
    <col min="11012" max="11012" width="38.88671875" style="2" bestFit="1" customWidth="1"/>
    <col min="11013" max="11264" width="8.88671875" style="2"/>
    <col min="11265" max="11265" width="14.44140625" style="2" bestFit="1" customWidth="1"/>
    <col min="11266" max="11266" width="11.109375" style="2" customWidth="1"/>
    <col min="11267" max="11267" width="16.5546875" style="2" customWidth="1"/>
    <col min="11268" max="11268" width="38.88671875" style="2" bestFit="1" customWidth="1"/>
    <col min="11269" max="11520" width="8.88671875" style="2"/>
    <col min="11521" max="11521" width="14.44140625" style="2" bestFit="1" customWidth="1"/>
    <col min="11522" max="11522" width="11.109375" style="2" customWidth="1"/>
    <col min="11523" max="11523" width="16.5546875" style="2" customWidth="1"/>
    <col min="11524" max="11524" width="38.88671875" style="2" bestFit="1" customWidth="1"/>
    <col min="11525" max="11776" width="8.88671875" style="2"/>
    <col min="11777" max="11777" width="14.44140625" style="2" bestFit="1" customWidth="1"/>
    <col min="11778" max="11778" width="11.109375" style="2" customWidth="1"/>
    <col min="11779" max="11779" width="16.5546875" style="2" customWidth="1"/>
    <col min="11780" max="11780" width="38.88671875" style="2" bestFit="1" customWidth="1"/>
    <col min="11781" max="12032" width="8.88671875" style="2"/>
    <col min="12033" max="12033" width="14.44140625" style="2" bestFit="1" customWidth="1"/>
    <col min="12034" max="12034" width="11.109375" style="2" customWidth="1"/>
    <col min="12035" max="12035" width="16.5546875" style="2" customWidth="1"/>
    <col min="12036" max="12036" width="38.88671875" style="2" bestFit="1" customWidth="1"/>
    <col min="12037" max="12288" width="8.88671875" style="2"/>
    <col min="12289" max="12289" width="14.44140625" style="2" bestFit="1" customWidth="1"/>
    <col min="12290" max="12290" width="11.109375" style="2" customWidth="1"/>
    <col min="12291" max="12291" width="16.5546875" style="2" customWidth="1"/>
    <col min="12292" max="12292" width="38.88671875" style="2" bestFit="1" customWidth="1"/>
    <col min="12293" max="12544" width="8.88671875" style="2"/>
    <col min="12545" max="12545" width="14.44140625" style="2" bestFit="1" customWidth="1"/>
    <col min="12546" max="12546" width="11.109375" style="2" customWidth="1"/>
    <col min="12547" max="12547" width="16.5546875" style="2" customWidth="1"/>
    <col min="12548" max="12548" width="38.88671875" style="2" bestFit="1" customWidth="1"/>
    <col min="12549" max="12800" width="8.88671875" style="2"/>
    <col min="12801" max="12801" width="14.44140625" style="2" bestFit="1" customWidth="1"/>
    <col min="12802" max="12802" width="11.109375" style="2" customWidth="1"/>
    <col min="12803" max="12803" width="16.5546875" style="2" customWidth="1"/>
    <col min="12804" max="12804" width="38.88671875" style="2" bestFit="1" customWidth="1"/>
    <col min="12805" max="13056" width="8.88671875" style="2"/>
    <col min="13057" max="13057" width="14.44140625" style="2" bestFit="1" customWidth="1"/>
    <col min="13058" max="13058" width="11.109375" style="2" customWidth="1"/>
    <col min="13059" max="13059" width="16.5546875" style="2" customWidth="1"/>
    <col min="13060" max="13060" width="38.88671875" style="2" bestFit="1" customWidth="1"/>
    <col min="13061" max="13312" width="8.88671875" style="2"/>
    <col min="13313" max="13313" width="14.44140625" style="2" bestFit="1" customWidth="1"/>
    <col min="13314" max="13314" width="11.109375" style="2" customWidth="1"/>
    <col min="13315" max="13315" width="16.5546875" style="2" customWidth="1"/>
    <col min="13316" max="13316" width="38.88671875" style="2" bestFit="1" customWidth="1"/>
    <col min="13317" max="13568" width="8.88671875" style="2"/>
    <col min="13569" max="13569" width="14.44140625" style="2" bestFit="1" customWidth="1"/>
    <col min="13570" max="13570" width="11.109375" style="2" customWidth="1"/>
    <col min="13571" max="13571" width="16.5546875" style="2" customWidth="1"/>
    <col min="13572" max="13572" width="38.88671875" style="2" bestFit="1" customWidth="1"/>
    <col min="13573" max="13824" width="8.88671875" style="2"/>
    <col min="13825" max="13825" width="14.44140625" style="2" bestFit="1" customWidth="1"/>
    <col min="13826" max="13826" width="11.109375" style="2" customWidth="1"/>
    <col min="13827" max="13827" width="16.5546875" style="2" customWidth="1"/>
    <col min="13828" max="13828" width="38.88671875" style="2" bestFit="1" customWidth="1"/>
    <col min="13829" max="14080" width="8.88671875" style="2"/>
    <col min="14081" max="14081" width="14.44140625" style="2" bestFit="1" customWidth="1"/>
    <col min="14082" max="14082" width="11.109375" style="2" customWidth="1"/>
    <col min="14083" max="14083" width="16.5546875" style="2" customWidth="1"/>
    <col min="14084" max="14084" width="38.88671875" style="2" bestFit="1" customWidth="1"/>
    <col min="14085" max="14336" width="8.88671875" style="2"/>
    <col min="14337" max="14337" width="14.44140625" style="2" bestFit="1" customWidth="1"/>
    <col min="14338" max="14338" width="11.109375" style="2" customWidth="1"/>
    <col min="14339" max="14339" width="16.5546875" style="2" customWidth="1"/>
    <col min="14340" max="14340" width="38.88671875" style="2" bestFit="1" customWidth="1"/>
    <col min="14341" max="14592" width="8.88671875" style="2"/>
    <col min="14593" max="14593" width="14.44140625" style="2" bestFit="1" customWidth="1"/>
    <col min="14594" max="14594" width="11.109375" style="2" customWidth="1"/>
    <col min="14595" max="14595" width="16.5546875" style="2" customWidth="1"/>
    <col min="14596" max="14596" width="38.88671875" style="2" bestFit="1" customWidth="1"/>
    <col min="14597" max="14848" width="8.88671875" style="2"/>
    <col min="14849" max="14849" width="14.44140625" style="2" bestFit="1" customWidth="1"/>
    <col min="14850" max="14850" width="11.109375" style="2" customWidth="1"/>
    <col min="14851" max="14851" width="16.5546875" style="2" customWidth="1"/>
    <col min="14852" max="14852" width="38.88671875" style="2" bestFit="1" customWidth="1"/>
    <col min="14853" max="15104" width="8.88671875" style="2"/>
    <col min="15105" max="15105" width="14.44140625" style="2" bestFit="1" customWidth="1"/>
    <col min="15106" max="15106" width="11.109375" style="2" customWidth="1"/>
    <col min="15107" max="15107" width="16.5546875" style="2" customWidth="1"/>
    <col min="15108" max="15108" width="38.88671875" style="2" bestFit="1" customWidth="1"/>
    <col min="15109" max="15360" width="8.88671875" style="2"/>
    <col min="15361" max="15361" width="14.44140625" style="2" bestFit="1" customWidth="1"/>
    <col min="15362" max="15362" width="11.109375" style="2" customWidth="1"/>
    <col min="15363" max="15363" width="16.5546875" style="2" customWidth="1"/>
    <col min="15364" max="15364" width="38.88671875" style="2" bestFit="1" customWidth="1"/>
    <col min="15365" max="15616" width="8.88671875" style="2"/>
    <col min="15617" max="15617" width="14.44140625" style="2" bestFit="1" customWidth="1"/>
    <col min="15618" max="15618" width="11.109375" style="2" customWidth="1"/>
    <col min="15619" max="15619" width="16.5546875" style="2" customWidth="1"/>
    <col min="15620" max="15620" width="38.88671875" style="2" bestFit="1" customWidth="1"/>
    <col min="15621" max="15872" width="8.88671875" style="2"/>
    <col min="15873" max="15873" width="14.44140625" style="2" bestFit="1" customWidth="1"/>
    <col min="15874" max="15874" width="11.109375" style="2" customWidth="1"/>
    <col min="15875" max="15875" width="16.5546875" style="2" customWidth="1"/>
    <col min="15876" max="15876" width="38.88671875" style="2" bestFit="1" customWidth="1"/>
    <col min="15877" max="16128" width="8.88671875" style="2"/>
    <col min="16129" max="16129" width="14.44140625" style="2" bestFit="1" customWidth="1"/>
    <col min="16130" max="16130" width="11.109375" style="2" customWidth="1"/>
    <col min="16131" max="16131" width="16.5546875" style="2" customWidth="1"/>
    <col min="16132" max="16132" width="38.88671875" style="2" bestFit="1" customWidth="1"/>
    <col min="16133" max="16384" width="8.88671875" style="2"/>
  </cols>
  <sheetData>
    <row r="1" spans="1:4" ht="17.399999999999999" x14ac:dyDescent="0.3">
      <c r="A1" s="1" t="s">
        <v>0</v>
      </c>
      <c r="B1" s="1"/>
      <c r="C1" s="1"/>
    </row>
    <row r="2" spans="1:4" x14ac:dyDescent="0.25">
      <c r="A2" s="2" t="s">
        <v>1</v>
      </c>
      <c r="B2" s="2">
        <v>27.82</v>
      </c>
    </row>
    <row r="3" spans="1:4" x14ac:dyDescent="0.25">
      <c r="A3" s="2" t="s">
        <v>2</v>
      </c>
      <c r="B3" s="3">
        <v>39275</v>
      </c>
    </row>
    <row r="4" spans="1:4" x14ac:dyDescent="0.25">
      <c r="A4" s="2" t="s">
        <v>3</v>
      </c>
      <c r="B4" s="3">
        <v>39402</v>
      </c>
    </row>
    <row r="5" spans="1:4" x14ac:dyDescent="0.25">
      <c r="A5" s="2" t="s">
        <v>4</v>
      </c>
      <c r="B5" s="4">
        <f>(B4-B3)/365</f>
        <v>0.34794520547945207</v>
      </c>
      <c r="C5" s="2" t="str">
        <f ca="1">_xlfn.FORMULATEXT(B5)</f>
        <v>=(B4-B3)/365</v>
      </c>
    </row>
    <row r="6" spans="1:4" x14ac:dyDescent="0.25">
      <c r="A6" s="2" t="s">
        <v>5</v>
      </c>
      <c r="B6" s="5">
        <v>0.05</v>
      </c>
    </row>
    <row r="8" spans="1:4" s="6" customFormat="1" ht="26.4" x14ac:dyDescent="0.25">
      <c r="A8" s="6" t="s">
        <v>6</v>
      </c>
      <c r="B8" s="6" t="s">
        <v>7</v>
      </c>
      <c r="C8" s="6" t="s">
        <v>8</v>
      </c>
    </row>
    <row r="9" spans="1:4" ht="13.8" x14ac:dyDescent="0.25">
      <c r="A9" s="2">
        <v>15</v>
      </c>
      <c r="B9" s="2">
        <v>13.5</v>
      </c>
      <c r="C9" s="7">
        <f>[3]!CallVolatility($B$2,A9,$B$5,$B$6,B9)</f>
        <v>0.818084716796875</v>
      </c>
      <c r="D9" s="2" t="str">
        <f ca="1">_xlfn.FORMULATEXT(C9)</f>
        <v>=CallVolatility($B$2,A9,$B$5,$B$6,B9)</v>
      </c>
    </row>
    <row r="10" spans="1:4" ht="13.8" x14ac:dyDescent="0.25">
      <c r="A10" s="10">
        <v>17.5</v>
      </c>
      <c r="B10" s="10">
        <v>10.4</v>
      </c>
      <c r="C10" s="11">
        <f>[3]!CallVolatility($B$2,A10,$B$5,$B$6,B10)</f>
        <v>3.0517578125E-5</v>
      </c>
    </row>
    <row r="11" spans="1:4" ht="13.8" x14ac:dyDescent="0.25">
      <c r="A11" s="2">
        <v>20</v>
      </c>
      <c r="B11" s="2">
        <v>8.4</v>
      </c>
      <c r="C11" s="7">
        <f>[3]!CallVolatility($B$2,A11,$B$5,$B$6,B11)</f>
        <v>0.431854248046875</v>
      </c>
    </row>
    <row r="12" spans="1:4" ht="13.8" x14ac:dyDescent="0.25">
      <c r="A12" s="2">
        <v>22.5</v>
      </c>
      <c r="B12" s="2">
        <v>7.2</v>
      </c>
      <c r="C12" s="7">
        <f>[3]!CallVolatility($B$2,A12,$B$5,$B$6,B12)</f>
        <v>0.629180908203125</v>
      </c>
    </row>
    <row r="13" spans="1:4" ht="13.8" x14ac:dyDescent="0.25">
      <c r="A13" s="2">
        <v>25</v>
      </c>
      <c r="B13" s="2">
        <v>4.9000000000000004</v>
      </c>
      <c r="C13" s="7">
        <f>[3]!CallVolatility($B$2,A13,$B$5,$B$6,B13)</f>
        <v>0.488677978515625</v>
      </c>
    </row>
    <row r="14" spans="1:4" ht="13.8" x14ac:dyDescent="0.25">
      <c r="A14" s="8">
        <v>27.5</v>
      </c>
      <c r="B14" s="8">
        <v>3.3</v>
      </c>
      <c r="C14" s="7">
        <f>[3]!CallVolatility($B$2,A14,$B$5,$B$6,B14)</f>
        <v>0.448455810546875</v>
      </c>
    </row>
    <row r="15" spans="1:4" ht="13.8" x14ac:dyDescent="0.25">
      <c r="A15" s="2">
        <v>30</v>
      </c>
      <c r="B15" s="2">
        <v>2.2999999999999998</v>
      </c>
      <c r="C15" s="7">
        <f>[3]!CallVolatility($B$2,A15,$B$5,$B$6,B15)</f>
        <v>0.455291748046875</v>
      </c>
    </row>
    <row r="16" spans="1:4" ht="13.8" x14ac:dyDescent="0.25">
      <c r="A16" s="2">
        <v>32.5</v>
      </c>
      <c r="B16" s="2">
        <v>1.65</v>
      </c>
      <c r="C16" s="7">
        <f>[3]!CallVolatility($B$2,A16,$B$5,$B$6,B16)</f>
        <v>0.472991943359375</v>
      </c>
    </row>
    <row r="17" spans="1:4" ht="13.8" x14ac:dyDescent="0.25">
      <c r="A17" s="2">
        <v>35</v>
      </c>
      <c r="B17" s="2">
        <v>1</v>
      </c>
      <c r="C17" s="7">
        <f>[3]!CallVolatility($B$2,A17,$B$5,$B$6,B17)</f>
        <v>0.453216552734375</v>
      </c>
    </row>
    <row r="18" spans="1:4" ht="13.8" x14ac:dyDescent="0.25">
      <c r="A18" s="2">
        <v>37.5</v>
      </c>
      <c r="B18" s="2">
        <v>0.7</v>
      </c>
      <c r="C18" s="7">
        <f>[3]!CallVolatility($B$2,A18,$B$5,$B$6,B18)</f>
        <v>0.466522216796875</v>
      </c>
    </row>
    <row r="19" spans="1:4" ht="13.8" x14ac:dyDescent="0.25">
      <c r="A19" s="2">
        <v>40</v>
      </c>
      <c r="B19" s="2">
        <v>0.45</v>
      </c>
      <c r="C19" s="7">
        <f>[3]!CallVolatility($B$2,A19,$B$5,$B$6,B19)</f>
        <v>0.466156005859375</v>
      </c>
    </row>
    <row r="20" spans="1:4" ht="13.8" x14ac:dyDescent="0.25">
      <c r="A20" s="2">
        <v>45</v>
      </c>
      <c r="B20" s="2">
        <v>0.25</v>
      </c>
      <c r="C20" s="7">
        <f>[3]!CallVolatility($B$2,A20,$B$5,$B$6,B20)</f>
        <v>0.497894287109375</v>
      </c>
    </row>
    <row r="21" spans="1:4" ht="13.8" x14ac:dyDescent="0.25">
      <c r="A21" s="2">
        <v>50</v>
      </c>
      <c r="B21" s="2">
        <v>0.05</v>
      </c>
      <c r="C21" s="7">
        <f>[3]!CallVolatility($B$2,A21,$B$5,$B$6,B21)</f>
        <v>0.442901611328125</v>
      </c>
    </row>
    <row r="23" spans="1:4" x14ac:dyDescent="0.25">
      <c r="A23" s="2" t="s">
        <v>9</v>
      </c>
    </row>
    <row r="25" spans="1:4" ht="26.4" x14ac:dyDescent="0.25">
      <c r="A25" s="6" t="s">
        <v>6</v>
      </c>
      <c r="B25" s="6" t="s">
        <v>7</v>
      </c>
      <c r="C25" s="6" t="s">
        <v>8</v>
      </c>
    </row>
    <row r="26" spans="1:4" ht="13.8" x14ac:dyDescent="0.25">
      <c r="A26" s="2">
        <v>15</v>
      </c>
      <c r="B26" s="2">
        <v>0.15</v>
      </c>
      <c r="C26" s="7">
        <f>[3]!PutVolatility($B$2,A26,$B$5,$B$6,B26)</f>
        <v>0.645233154296875</v>
      </c>
      <c r="D26" s="2" t="str">
        <f ca="1">_xlfn.FORMULATEXT(C26)</f>
        <v>=PutVolatility($B$2,A26,$B$5,$B$6,B26)</v>
      </c>
    </row>
    <row r="27" spans="1:4" ht="13.8" x14ac:dyDescent="0.25">
      <c r="A27" s="2">
        <v>17.5</v>
      </c>
      <c r="B27" s="2">
        <v>0.25</v>
      </c>
      <c r="C27" s="7">
        <f>[3]!PutVolatility($B$2,A27,$B$5,$B$6,B27)</f>
        <v>0.570220947265625</v>
      </c>
    </row>
    <row r="28" spans="1:4" ht="13.8" x14ac:dyDescent="0.25">
      <c r="A28" s="2">
        <v>20</v>
      </c>
      <c r="B28" s="2">
        <v>0.55000000000000004</v>
      </c>
      <c r="C28" s="7">
        <f>[3]!PutVolatility($B$2,A28,$B$5,$B$6,B28)</f>
        <v>0.551116943359375</v>
      </c>
    </row>
    <row r="29" spans="1:4" ht="13.8" x14ac:dyDescent="0.25">
      <c r="A29" s="2">
        <v>22.5</v>
      </c>
      <c r="B29" s="2">
        <v>1.06</v>
      </c>
      <c r="C29" s="7">
        <f>[3]!PutVolatility($B$2,A29,$B$5,$B$6,B29)</f>
        <v>0.535186767578125</v>
      </c>
    </row>
    <row r="30" spans="1:4" ht="13.8" x14ac:dyDescent="0.25">
      <c r="A30" s="2">
        <v>25</v>
      </c>
      <c r="B30" s="2">
        <v>1.9</v>
      </c>
      <c r="C30" s="7">
        <f>[3]!PutVolatility($B$2,A30,$B$5,$B$6,B30)</f>
        <v>0.533660888671875</v>
      </c>
    </row>
    <row r="31" spans="1:4" ht="13.8" x14ac:dyDescent="0.25">
      <c r="A31" s="8">
        <v>27.5</v>
      </c>
      <c r="B31" s="8">
        <v>2.95</v>
      </c>
      <c r="C31" s="7">
        <f>[3]!PutVolatility($B$2,A31,$B$5,$B$6,B31)</f>
        <v>0.518402099609375</v>
      </c>
    </row>
    <row r="32" spans="1:4" ht="13.8" x14ac:dyDescent="0.25">
      <c r="A32" s="2">
        <v>30</v>
      </c>
      <c r="B32" s="2">
        <v>4.3</v>
      </c>
      <c r="C32" s="7">
        <f>[3]!PutVolatility($B$2,A32,$B$5,$B$6,B32)</f>
        <v>0.506927490234375</v>
      </c>
    </row>
    <row r="33" spans="1:3" ht="13.8" x14ac:dyDescent="0.25">
      <c r="A33" s="2">
        <v>32.5</v>
      </c>
      <c r="B33" s="2">
        <v>6.1</v>
      </c>
      <c r="C33" s="7">
        <f>[3]!PutVolatility($B$2,A33,$B$5,$B$6,B33)</f>
        <v>0.526214599609375</v>
      </c>
    </row>
    <row r="34" spans="1:3" ht="13.8" x14ac:dyDescent="0.25">
      <c r="A34" s="2">
        <v>35</v>
      </c>
      <c r="B34" s="2">
        <v>7.4</v>
      </c>
      <c r="C34" s="7">
        <f>[3]!PutVolatility($B$2,A34,$B$5,$B$6,B34)</f>
        <v>0.418914794921875</v>
      </c>
    </row>
    <row r="35" spans="1:3" ht="13.8" x14ac:dyDescent="0.25">
      <c r="A35" s="2">
        <v>37.5</v>
      </c>
      <c r="B35" s="2">
        <v>9.6</v>
      </c>
      <c r="C35" s="7">
        <f>[3]!PutVolatility($B$2,A35,$B$5,$B$6,B35)</f>
        <v>0.435333251953125</v>
      </c>
    </row>
    <row r="36" spans="1:3" ht="13.8" x14ac:dyDescent="0.25">
      <c r="A36" s="2">
        <v>40</v>
      </c>
      <c r="B36" s="2">
        <v>12.7</v>
      </c>
      <c r="C36" s="7">
        <f>[3]!PutVolatility($B$2,A36,$B$5,$B$6,B36)</f>
        <v>0.641021728515625</v>
      </c>
    </row>
    <row r="42" spans="1:3" x14ac:dyDescent="0.25">
      <c r="A42" s="9" t="s">
        <v>10</v>
      </c>
      <c r="B42" s="9"/>
      <c r="C42" s="9"/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Sheet1</vt:lpstr>
      <vt:lpstr>Exercise 5</vt:lpstr>
      <vt:lpstr>'Exercise 5'!op?s_AMR_m_2007_11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2024-12-02T06:04:05Z</dcterms:modified>
</cp:coreProperties>
</file>