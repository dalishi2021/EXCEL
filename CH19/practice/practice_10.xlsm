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practice\"/>
    </mc:Choice>
  </mc:AlternateContent>
  <xr:revisionPtr revIDLastSave="0" documentId="13_ncr:1_{A4CDD7E5-6692-45F2-841F-C1858D686B8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B8" i="1"/>
  <c r="B11" i="1" s="1"/>
  <c r="B7" i="1"/>
  <c r="C17" i="1"/>
  <c r="B13" i="1" l="1"/>
  <c r="B17" i="1" s="1"/>
</calcChain>
</file>

<file path=xl/sharedStrings.xml><?xml version="1.0" encoding="utf-8"?>
<sst xmlns="http://schemas.openxmlformats.org/spreadsheetml/2006/main" count="20" uniqueCount="19">
  <si>
    <t>Black-Scholes option pricing formula</t>
  </si>
  <si>
    <t>Ratio of S/X</t>
  </si>
  <si>
    <t>r</t>
  </si>
  <si>
    <t>risk-free rate of interest</t>
  </si>
  <si>
    <t>T</t>
  </si>
  <si>
    <t>time to maturity of option (in years)</t>
  </si>
  <si>
    <t>sigma</t>
  </si>
  <si>
    <t>stock volatility</t>
  </si>
  <si>
    <r>
      <t>d</t>
    </r>
    <r>
      <rPr>
        <vertAlign val="subscript"/>
        <sz val="10"/>
        <rFont val="Arial"/>
        <family val="2"/>
      </rPr>
      <t>1</t>
    </r>
  </si>
  <si>
    <t>&lt;--(LN(S/X)+(r+0.5*sigma^2)*T)/(sigma*SQRT(T))</t>
  </si>
  <si>
    <r>
      <t>d</t>
    </r>
    <r>
      <rPr>
        <vertAlign val="subscript"/>
        <sz val="10"/>
        <rFont val="Arial"/>
        <family val="2"/>
      </rPr>
      <t>2</t>
    </r>
  </si>
  <si>
    <r>
      <t>&lt;-- d</t>
    </r>
    <r>
      <rPr>
        <vertAlign val="subscript"/>
        <sz val="10"/>
        <rFont val="Arial"/>
        <family val="2"/>
      </rPr>
      <t xml:space="preserve">1 </t>
    </r>
    <r>
      <rPr>
        <sz val="11"/>
        <color theme="1"/>
        <rFont val="等线"/>
        <family val="2"/>
        <charset val="134"/>
        <scheme val="minor"/>
      </rPr>
      <t>- sigma*SQRT(T)</t>
    </r>
  </si>
  <si>
    <r>
      <t>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</si>
  <si>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</si>
  <si>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</si>
  <si>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</si>
  <si>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C/X</t>
  </si>
  <si>
    <t>S/X</t>
  </si>
  <si>
    <r>
      <t>&lt;-- S*N(d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)/X-exp(-r*T)*N(d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</si>
</sst>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9" fontId="4" fillId="0" borderId="0" xfId="1" applyFont="1" applyAlignment="1">
      <alignment horizontal="center"/>
    </xf>
    <xf numFmtId="9" fontId="5" fillId="0" borderId="0" xfId="1" applyFont="1" applyAlignment="1">
      <alignment horizontal="centerContinuous"/>
    </xf>
    <xf numFmtId="9" fontId="3" fillId="0" borderId="0" xfId="1" applyFont="1" applyAlignment="1">
      <alignment horizontal="left"/>
    </xf>
    <xf numFmtId="0" fontId="3" fillId="0" borderId="0" xfId="1" applyNumberFormat="1" applyFont="1" applyAlignment="1">
      <alignment horizontal="right"/>
    </xf>
    <xf numFmtId="9" fontId="0" fillId="0" borderId="0" xfId="1" applyFont="1" applyAlignment="1"/>
    <xf numFmtId="10" fontId="0" fillId="0" borderId="0" xfId="1" applyNumberFormat="1" applyFont="1" applyAlignment="1"/>
    <xf numFmtId="0" fontId="0" fillId="0" borderId="0" xfId="1" applyNumberFormat="1" applyFont="1" applyAlignment="1"/>
    <xf numFmtId="176" fontId="0" fillId="0" borderId="0" xfId="1" quotePrefix="1" applyNumberFormat="1" applyFont="1" applyAlignment="1"/>
    <xf numFmtId="176" fontId="0" fillId="0" borderId="0" xfId="1" applyNumberFormat="1" applyFont="1" applyAlignment="1"/>
    <xf numFmtId="2" fontId="0" fillId="0" borderId="0" xfId="1" applyNumberFormat="1" applyFont="1" applyAlignment="1"/>
    <xf numFmtId="2" fontId="0" fillId="0" borderId="0" xfId="1" quotePrefix="1" applyNumberFormat="1" applyFont="1" applyAlignment="1"/>
    <xf numFmtId="0" fontId="0" fillId="0" borderId="0" xfId="0" applyAlignment="1"/>
    <xf numFmtId="2" fontId="0" fillId="0" borderId="0" xfId="0" applyNumberFormat="1" applyAlignment="1"/>
    <xf numFmtId="177" fontId="0" fillId="0" borderId="0" xfId="0" applyNumberForma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C/X as a function of S/X</a:t>
            </a:r>
          </a:p>
        </c:rich>
      </c:tx>
      <c:layout>
        <c:manualLayout>
          <c:xMode val="edge"/>
          <c:yMode val="edge"/>
          <c:x val="0.30886193573629384"/>
          <c:y val="4.42803056697558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557053094293022"/>
          <c:y val="9.2251088725007063E-2"/>
          <c:w val="0.67848352879077634"/>
          <c:h val="0.70479831785905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'[1]Exercise 10'!$A$18:$A$37</c:f>
              <c:numCache>
                <c:formatCode>General</c:formatCode>
                <c:ptCount val="20"/>
                <c:pt idx="0">
                  <c:v>1E-4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</c:numCache>
            </c:numRef>
          </c:xVal>
          <c:yVal>
            <c:numRef>
              <c:f>'[1]Exercise 10'!$B$18:$B$37</c:f>
              <c:numCache>
                <c:formatCode>General</c:formatCode>
                <c:ptCount val="20"/>
                <c:pt idx="0">
                  <c:v>0</c:v>
                </c:pt>
                <c:pt idx="1">
                  <c:v>7.2226726192387929E-40</c:v>
                </c:pt>
                <c:pt idx="2">
                  <c:v>4.7973647704957043E-21</c:v>
                </c:pt>
                <c:pt idx="3">
                  <c:v>4.6047974941147546E-13</c:v>
                </c:pt>
                <c:pt idx="4">
                  <c:v>9.8577289965383659E-9</c:v>
                </c:pt>
                <c:pt idx="5">
                  <c:v>4.0651017735230765E-6</c:v>
                </c:pt>
                <c:pt idx="6">
                  <c:v>1.9066866470513356E-4</c:v>
                </c:pt>
                <c:pt idx="7">
                  <c:v>2.4151301810478656E-3</c:v>
                </c:pt>
                <c:pt idx="8">
                  <c:v>1.3325998188141203E-2</c:v>
                </c:pt>
                <c:pt idx="9">
                  <c:v>4.2739868135927395E-2</c:v>
                </c:pt>
                <c:pt idx="10">
                  <c:v>9.5822350605031414E-2</c:v>
                </c:pt>
                <c:pt idx="11">
                  <c:v>0.16962863603185629</c:v>
                </c:pt>
                <c:pt idx="12">
                  <c:v>0.25709024236548617</c:v>
                </c:pt>
                <c:pt idx="13">
                  <c:v>0.35180955335363751</c:v>
                </c:pt>
                <c:pt idx="14">
                  <c:v>0.44980406074148305</c:v>
                </c:pt>
                <c:pt idx="15">
                  <c:v>0.54910254014763138</c:v>
                </c:pt>
                <c:pt idx="16">
                  <c:v>0.64887252037250243</c:v>
                </c:pt>
                <c:pt idx="17">
                  <c:v>0.74880080951763761</c:v>
                </c:pt>
                <c:pt idx="18">
                  <c:v>0.84877930670017576</c:v>
                </c:pt>
                <c:pt idx="19">
                  <c:v>0.94877304744223467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2B-4815-83D0-B911D8478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8926736"/>
        <c:axId val="1"/>
      </c:scatterChart>
      <c:valAx>
        <c:axId val="688926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S/X</a:t>
                </a:r>
              </a:p>
            </c:rich>
          </c:tx>
          <c:layout>
            <c:manualLayout>
              <c:xMode val="edge"/>
              <c:yMode val="edge"/>
              <c:x val="0.5594958238915787"/>
              <c:y val="0.841330066042629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C/X</a:t>
                </a:r>
              </a:p>
            </c:rich>
          </c:tx>
          <c:layout>
            <c:manualLayout>
              <c:xMode val="edge"/>
              <c:yMode val="edge"/>
              <c:x val="6.0759796329806597E-2"/>
              <c:y val="0.402214712099040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8892673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761999</xdr:colOff>
      <xdr:row>19</xdr:row>
      <xdr:rowOff>28575</xdr:rowOff>
    </xdr:from>
    <xdr:to>
      <xdr:col>5</xdr:col>
      <xdr:colOff>571499</xdr:colOff>
      <xdr:row>34</xdr:row>
      <xdr:rowOff>76200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135D2F3-63F5-4F1A-9A23-DB23710BFF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487680</xdr:colOff>
      <xdr:row>3</xdr:row>
      <xdr:rowOff>68580</xdr:rowOff>
    </xdr:from>
    <xdr:to>
      <xdr:col>18</xdr:col>
      <xdr:colOff>548640</xdr:colOff>
      <xdr:row>41</xdr:row>
      <xdr:rowOff>163830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907BF58-C212-A501-CF69-46B7CBA6C1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7863840" y="640080"/>
          <a:ext cx="6164580" cy="68656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 中文"/>
      <sheetName val="Exercise 2"/>
      <sheetName val="Exercise 2  中文"/>
      <sheetName val="Exercise 3"/>
      <sheetName val="Exercise 3  中文"/>
      <sheetName val="Exercise 4"/>
      <sheetName val="Exercise 4 中文"/>
      <sheetName val="Exercise 5 template"/>
      <sheetName val="Exercise 5 template  中文"/>
      <sheetName val="Exercise 5"/>
      <sheetName val="Exercise 5  中文"/>
      <sheetName val="Exercise 6"/>
      <sheetName val="Exercise 6  中文"/>
      <sheetName val="Exercise 7"/>
      <sheetName val="Exercise 7 中文"/>
      <sheetName val="Exercise 8"/>
      <sheetName val="Exercise 8  中文"/>
      <sheetName val="Exercise 9"/>
      <sheetName val="Exercise 9  中文"/>
      <sheetName val="Exercise 10"/>
      <sheetName val="Exercise 10 中文"/>
      <sheetName val="Exercise 11"/>
      <sheetName val="Exercise 11 中文"/>
      <sheetName val="Exercise 12"/>
      <sheetName val="Exercise 12 中文"/>
      <sheetName val="VBA option func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>
        <row r="18">
          <cell r="A18">
            <v>1E-4</v>
          </cell>
          <cell r="B18">
            <v>0</v>
          </cell>
        </row>
        <row r="19">
          <cell r="A19">
            <v>0.1</v>
          </cell>
          <cell r="B19">
            <v>7.2226726192387929E-40</v>
          </cell>
        </row>
        <row r="20">
          <cell r="A20">
            <v>0.2</v>
          </cell>
          <cell r="B20">
            <v>4.7973647704957043E-21</v>
          </cell>
        </row>
        <row r="21">
          <cell r="A21">
            <v>0.3</v>
          </cell>
          <cell r="B21">
            <v>4.6047974941147546E-13</v>
          </cell>
        </row>
        <row r="22">
          <cell r="A22">
            <v>0.4</v>
          </cell>
          <cell r="B22">
            <v>9.8577289965383659E-9</v>
          </cell>
        </row>
        <row r="23">
          <cell r="A23">
            <v>0.5</v>
          </cell>
          <cell r="B23">
            <v>4.0651017735230765E-6</v>
          </cell>
        </row>
        <row r="24">
          <cell r="A24">
            <v>0.6</v>
          </cell>
          <cell r="B24">
            <v>1.9066866470513356E-4</v>
          </cell>
        </row>
        <row r="25">
          <cell r="A25">
            <v>0.7</v>
          </cell>
          <cell r="B25">
            <v>2.4151301810478656E-3</v>
          </cell>
        </row>
        <row r="26">
          <cell r="A26">
            <v>0.8</v>
          </cell>
          <cell r="B26">
            <v>1.3325998188141203E-2</v>
          </cell>
        </row>
        <row r="27">
          <cell r="A27">
            <v>0.9</v>
          </cell>
          <cell r="B27">
            <v>4.2739868135927395E-2</v>
          </cell>
        </row>
        <row r="28">
          <cell r="A28">
            <v>1</v>
          </cell>
          <cell r="B28">
            <v>9.5822350605031414E-2</v>
          </cell>
        </row>
        <row r="29">
          <cell r="A29">
            <v>1.1000000000000001</v>
          </cell>
          <cell r="B29">
            <v>0.16962863603185629</v>
          </cell>
        </row>
        <row r="30">
          <cell r="A30">
            <v>1.2</v>
          </cell>
          <cell r="B30">
            <v>0.25709024236548617</v>
          </cell>
        </row>
        <row r="31">
          <cell r="A31">
            <v>1.3</v>
          </cell>
          <cell r="B31">
            <v>0.35180955335363751</v>
          </cell>
        </row>
        <row r="32">
          <cell r="A32">
            <v>1.4</v>
          </cell>
          <cell r="B32">
            <v>0.44980406074148305</v>
          </cell>
        </row>
        <row r="33">
          <cell r="A33">
            <v>1.5</v>
          </cell>
          <cell r="B33">
            <v>0.54910254014763138</v>
          </cell>
        </row>
        <row r="34">
          <cell r="A34">
            <v>1.6</v>
          </cell>
          <cell r="B34">
            <v>0.64887252037250243</v>
          </cell>
        </row>
        <row r="35">
          <cell r="A35">
            <v>1.7</v>
          </cell>
          <cell r="B35">
            <v>0.74880080951763761</v>
          </cell>
        </row>
        <row r="36">
          <cell r="A36">
            <v>1.8</v>
          </cell>
          <cell r="B36">
            <v>0.84877930670017576</v>
          </cell>
        </row>
        <row r="37">
          <cell r="A37">
            <v>1.9</v>
          </cell>
          <cell r="B37">
            <v>0.94877304744223467</v>
          </cell>
        </row>
      </sheetData>
      <sheetData sheetId="21" refreshError="1"/>
      <sheetData sheetId="22">
        <row r="2">
          <cell r="F2" t="str">
            <v>C/X</v>
          </cell>
        </row>
      </sheetData>
      <sheetData sheetId="23" refreshError="1"/>
      <sheetData sheetId="24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F37"/>
  <sheetViews>
    <sheetView tabSelected="1" zoomScale="130" zoomScaleNormal="130" workbookViewId="0">
      <selection activeCell="H26" sqref="H26"/>
    </sheetView>
  </sheetViews>
  <sheetFormatPr defaultRowHeight="13.8" x14ac:dyDescent="0.25"/>
  <cols>
    <col min="1" max="1" width="12.109375" style="12" customWidth="1"/>
    <col min="2" max="2" width="8.88671875" style="12"/>
    <col min="3" max="3" width="42.109375" style="12" bestFit="1" customWidth="1"/>
    <col min="4" max="6" width="8.88671875" style="12"/>
  </cols>
  <sheetData>
    <row r="1" spans="1:6" ht="17.399999999999999" x14ac:dyDescent="0.3">
      <c r="A1" s="1" t="s">
        <v>0</v>
      </c>
      <c r="B1" s="1"/>
      <c r="C1" s="1"/>
      <c r="D1" s="2"/>
      <c r="E1" s="2"/>
      <c r="F1" s="2"/>
    </row>
    <row r="2" spans="1:6" x14ac:dyDescent="0.25">
      <c r="A2" s="3" t="s">
        <v>1</v>
      </c>
      <c r="B2" s="4">
        <v>1</v>
      </c>
      <c r="C2" s="3"/>
      <c r="D2" s="3"/>
      <c r="E2" s="3"/>
      <c r="F2" s="3"/>
    </row>
    <row r="3" spans="1:6" x14ac:dyDescent="0.25">
      <c r="A3" s="3"/>
      <c r="B3" s="4"/>
      <c r="C3" s="3"/>
      <c r="D3" s="3"/>
      <c r="E3" s="3"/>
      <c r="F3" s="3"/>
    </row>
    <row r="4" spans="1:6" x14ac:dyDescent="0.25">
      <c r="A4" s="5" t="s">
        <v>2</v>
      </c>
      <c r="B4" s="6">
        <v>0.1</v>
      </c>
      <c r="C4" s="5" t="s">
        <v>3</v>
      </c>
      <c r="D4" s="5"/>
      <c r="E4" s="5"/>
      <c r="F4" s="5"/>
    </row>
    <row r="5" spans="1:6" x14ac:dyDescent="0.25">
      <c r="A5" s="5" t="s">
        <v>4</v>
      </c>
      <c r="B5" s="7">
        <v>0.5</v>
      </c>
      <c r="C5" s="5" t="s">
        <v>5</v>
      </c>
      <c r="D5" s="5"/>
      <c r="E5" s="5"/>
      <c r="F5" s="5"/>
    </row>
    <row r="6" spans="1:6" x14ac:dyDescent="0.25">
      <c r="A6" s="5" t="s">
        <v>6</v>
      </c>
      <c r="B6" s="5">
        <v>0.25</v>
      </c>
      <c r="C6" s="5" t="s">
        <v>7</v>
      </c>
      <c r="D6" s="5"/>
      <c r="E6" s="5"/>
      <c r="F6" s="5"/>
    </row>
    <row r="7" spans="1:6" ht="15.6" x14ac:dyDescent="0.35">
      <c r="A7" s="5" t="s">
        <v>8</v>
      </c>
      <c r="B7" s="8">
        <f>(LN(B2)+(B4+0.5*B6^2)*B5)/(B6*SQRT(B5))</f>
        <v>0.37123106012293744</v>
      </c>
      <c r="C7" s="5" t="s">
        <v>9</v>
      </c>
      <c r="D7" s="5"/>
      <c r="E7" s="5"/>
      <c r="F7" s="5"/>
    </row>
    <row r="8" spans="1:6" ht="15.6" x14ac:dyDescent="0.35">
      <c r="A8" s="5" t="s">
        <v>10</v>
      </c>
      <c r="B8" s="8">
        <f>B7-SQRT(B5)*B6</f>
        <v>0.19445436482630055</v>
      </c>
      <c r="C8" s="5" t="s">
        <v>11</v>
      </c>
      <c r="D8" s="5"/>
      <c r="E8" s="5"/>
      <c r="F8" s="5"/>
    </row>
    <row r="9" spans="1:6" x14ac:dyDescent="0.25">
      <c r="A9" s="5"/>
      <c r="B9" s="9"/>
      <c r="C9" s="5"/>
      <c r="D9" s="5"/>
      <c r="E9" s="5"/>
      <c r="F9" s="5"/>
    </row>
    <row r="10" spans="1:6" ht="15.6" x14ac:dyDescent="0.35">
      <c r="A10" s="5" t="s">
        <v>12</v>
      </c>
      <c r="B10" s="9">
        <f>NORMSDIST(B7)</f>
        <v>0.64476727962935421</v>
      </c>
      <c r="C10" s="5" t="s">
        <v>13</v>
      </c>
      <c r="D10" s="5"/>
      <c r="E10" s="5"/>
      <c r="F10" s="5"/>
    </row>
    <row r="11" spans="1:6" ht="15.6" x14ac:dyDescent="0.35">
      <c r="A11" s="5" t="s">
        <v>14</v>
      </c>
      <c r="B11" s="9">
        <f>NORMSDIST(B8)</f>
        <v>0.57708993738545855</v>
      </c>
      <c r="C11" s="5" t="s">
        <v>15</v>
      </c>
      <c r="D11" s="5"/>
      <c r="E11" s="5"/>
      <c r="F11" s="5"/>
    </row>
    <row r="12" spans="1:6" x14ac:dyDescent="0.25">
      <c r="A12" s="5"/>
      <c r="B12" s="9"/>
      <c r="C12" s="5"/>
      <c r="D12" s="5"/>
      <c r="E12" s="5"/>
      <c r="F12" s="5"/>
    </row>
    <row r="13" spans="1:6" ht="15.6" x14ac:dyDescent="0.35">
      <c r="A13" s="5" t="s">
        <v>16</v>
      </c>
      <c r="B13" s="10">
        <f>B2*B10-EXP(-B4*B5)*B11</f>
        <v>9.5822350605031414E-2</v>
      </c>
      <c r="C13" s="5" t="s">
        <v>18</v>
      </c>
      <c r="D13" s="5"/>
      <c r="E13" s="5"/>
      <c r="F13" s="5"/>
    </row>
    <row r="14" spans="1:6" x14ac:dyDescent="0.25">
      <c r="A14" s="5"/>
      <c r="B14" s="11"/>
      <c r="C14" s="5"/>
      <c r="D14" s="5"/>
      <c r="E14" s="5"/>
      <c r="F14" s="5"/>
    </row>
    <row r="15" spans="1:6" x14ac:dyDescent="0.25">
      <c r="A15" s="5"/>
      <c r="B15" s="10"/>
      <c r="C15" s="5"/>
      <c r="D15" s="5"/>
      <c r="E15" s="5"/>
      <c r="F15" s="5"/>
    </row>
    <row r="16" spans="1:6" x14ac:dyDescent="0.25">
      <c r="A16" s="12" t="s">
        <v>17</v>
      </c>
      <c r="B16" s="12" t="s">
        <v>16</v>
      </c>
    </row>
    <row r="17" spans="1:3" x14ac:dyDescent="0.25">
      <c r="B17" s="13">
        <f>B13</f>
        <v>9.5822350605031414E-2</v>
      </c>
      <c r="C17" s="12" t="str">
        <f ca="1">_xlfn.FORMULATEXT(B17)</f>
        <v>=B13</v>
      </c>
    </row>
    <row r="18" spans="1:3" x14ac:dyDescent="0.25">
      <c r="A18" s="12">
        <v>1E-4</v>
      </c>
      <c r="B18" s="14">
        <v>0</v>
      </c>
    </row>
    <row r="19" spans="1:3" x14ac:dyDescent="0.25">
      <c r="A19" s="12">
        <v>0.1</v>
      </c>
      <c r="B19" s="14">
        <v>7.2226726192387929E-40</v>
      </c>
    </row>
    <row r="20" spans="1:3" x14ac:dyDescent="0.25">
      <c r="A20" s="12">
        <v>0.2</v>
      </c>
      <c r="B20" s="14">
        <v>4.7973647704957043E-21</v>
      </c>
    </row>
    <row r="21" spans="1:3" x14ac:dyDescent="0.25">
      <c r="A21" s="12">
        <v>0.3</v>
      </c>
      <c r="B21" s="14">
        <v>4.6047974941147546E-13</v>
      </c>
    </row>
    <row r="22" spans="1:3" x14ac:dyDescent="0.25">
      <c r="A22" s="12">
        <v>0.4</v>
      </c>
      <c r="B22" s="14">
        <v>9.8577289965383659E-9</v>
      </c>
    </row>
    <row r="23" spans="1:3" x14ac:dyDescent="0.25">
      <c r="A23" s="12">
        <v>0.5</v>
      </c>
      <c r="B23" s="14">
        <v>4.0651017735230765E-6</v>
      </c>
    </row>
    <row r="24" spans="1:3" x14ac:dyDescent="0.25">
      <c r="A24" s="12">
        <v>0.6</v>
      </c>
      <c r="B24" s="14">
        <v>1.9066866470513356E-4</v>
      </c>
    </row>
    <row r="25" spans="1:3" x14ac:dyDescent="0.25">
      <c r="A25" s="12">
        <v>0.7</v>
      </c>
      <c r="B25" s="14">
        <v>2.4151301810478656E-3</v>
      </c>
    </row>
    <row r="26" spans="1:3" x14ac:dyDescent="0.25">
      <c r="A26" s="12">
        <v>0.8</v>
      </c>
      <c r="B26" s="14">
        <v>1.3325998188141203E-2</v>
      </c>
    </row>
    <row r="27" spans="1:3" x14ac:dyDescent="0.25">
      <c r="A27" s="12">
        <v>0.9</v>
      </c>
      <c r="B27" s="14">
        <v>4.2739868135927395E-2</v>
      </c>
    </row>
    <row r="28" spans="1:3" x14ac:dyDescent="0.25">
      <c r="A28" s="12">
        <v>1</v>
      </c>
      <c r="B28" s="14">
        <v>9.5822350605031414E-2</v>
      </c>
    </row>
    <row r="29" spans="1:3" x14ac:dyDescent="0.25">
      <c r="A29" s="12">
        <v>1.1000000000000001</v>
      </c>
      <c r="B29" s="14">
        <v>0.16962863603185629</v>
      </c>
    </row>
    <row r="30" spans="1:3" x14ac:dyDescent="0.25">
      <c r="A30" s="12">
        <v>1.2</v>
      </c>
      <c r="B30" s="14">
        <v>0.25709024236548617</v>
      </c>
    </row>
    <row r="31" spans="1:3" x14ac:dyDescent="0.25">
      <c r="A31" s="12">
        <v>1.3</v>
      </c>
      <c r="B31" s="14">
        <v>0.35180955335363751</v>
      </c>
    </row>
    <row r="32" spans="1:3" x14ac:dyDescent="0.25">
      <c r="A32" s="12">
        <v>1.4</v>
      </c>
      <c r="B32" s="14">
        <v>0.44980406074148305</v>
      </c>
    </row>
    <row r="33" spans="1:2" x14ac:dyDescent="0.25">
      <c r="A33" s="12">
        <v>1.5</v>
      </c>
      <c r="B33" s="14">
        <v>0.54910254014763138</v>
      </c>
    </row>
    <row r="34" spans="1:2" x14ac:dyDescent="0.25">
      <c r="A34" s="12">
        <v>1.6</v>
      </c>
      <c r="B34" s="14">
        <v>0.64887252037250243</v>
      </c>
    </row>
    <row r="35" spans="1:2" x14ac:dyDescent="0.25">
      <c r="A35" s="12">
        <v>1.7</v>
      </c>
      <c r="B35" s="14">
        <v>0.74880080951763761</v>
      </c>
    </row>
    <row r="36" spans="1:2" x14ac:dyDescent="0.25">
      <c r="A36" s="12">
        <v>1.8</v>
      </c>
      <c r="B36" s="14">
        <v>0.84877930670017576</v>
      </c>
    </row>
    <row r="37" spans="1:2" x14ac:dyDescent="0.25">
      <c r="A37" s="12">
        <v>1.9</v>
      </c>
      <c r="B37" s="14">
        <v>0.94877304744223467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2024-12-02T08:19:15Z</dcterms:modified>
</cp:coreProperties>
</file>