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17150CB4-6BE1-4DC8-9BC5-9330C90FB5A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1" l="1"/>
  <c r="A21" i="1"/>
  <c r="H19" i="1"/>
  <c r="F19" i="1"/>
  <c r="C19" i="1"/>
  <c r="B19" i="1"/>
  <c r="A19" i="1"/>
  <c r="L18" i="1"/>
  <c r="K18" i="1"/>
  <c r="J18" i="1"/>
  <c r="I18" i="1"/>
  <c r="H18" i="1"/>
  <c r="G18" i="1"/>
  <c r="G19" i="1" s="1"/>
  <c r="F18" i="1"/>
  <c r="E18" i="1"/>
  <c r="E19" i="1" s="1"/>
  <c r="D18" i="1"/>
  <c r="D19" i="1" s="1"/>
  <c r="C18" i="1"/>
  <c r="A18" i="1"/>
  <c r="L17" i="1"/>
  <c r="L19" i="1" s="1"/>
  <c r="K17" i="1"/>
  <c r="K19" i="1" s="1"/>
  <c r="J17" i="1"/>
  <c r="J19" i="1" s="1"/>
  <c r="I17" i="1"/>
  <c r="I19" i="1" s="1"/>
  <c r="H17" i="1"/>
  <c r="G17" i="1"/>
  <c r="F17" i="1"/>
  <c r="E17" i="1"/>
  <c r="D17" i="1"/>
  <c r="C17" i="1"/>
  <c r="A17" i="1"/>
  <c r="A13" i="1"/>
  <c r="K11" i="1"/>
  <c r="J11" i="1"/>
  <c r="I11" i="1"/>
  <c r="H11" i="1"/>
  <c r="B11" i="1"/>
  <c r="A11" i="1"/>
  <c r="L10" i="1"/>
  <c r="K10" i="1"/>
  <c r="J10" i="1"/>
  <c r="I10" i="1"/>
  <c r="H10" i="1"/>
  <c r="G10" i="1"/>
  <c r="F10" i="1"/>
  <c r="F11" i="1" s="1"/>
  <c r="E10" i="1"/>
  <c r="D10" i="1"/>
  <c r="C10" i="1"/>
  <c r="A10" i="1"/>
  <c r="L9" i="1"/>
  <c r="L11" i="1" s="1"/>
  <c r="K9" i="1"/>
  <c r="J9" i="1"/>
  <c r="I9" i="1"/>
  <c r="H9" i="1"/>
  <c r="G9" i="1"/>
  <c r="G11" i="1" s="1"/>
  <c r="F9" i="1"/>
  <c r="E9" i="1"/>
  <c r="E11" i="1" s="1"/>
  <c r="D9" i="1"/>
  <c r="D11" i="1" s="1"/>
  <c r="C9" i="1"/>
  <c r="C11" i="1" s="1"/>
  <c r="A9" i="1"/>
  <c r="C13" i="1"/>
  <c r="C21" i="1"/>
  <c r="B13" i="1" l="1"/>
</calcChain>
</file>

<file path=xl/sharedStrings.xml><?xml version="1.0" encoding="utf-8"?>
<sst xmlns="http://schemas.openxmlformats.org/spreadsheetml/2006/main" count="7" uniqueCount="7">
  <si>
    <t>THE FORWARD INTEREST RATE</t>
  </si>
  <si>
    <t>Bond maturity, W</t>
  </si>
  <si>
    <t>Option maturity, T</t>
  </si>
  <si>
    <t>Year W pure discount rate</t>
  </si>
  <si>
    <t>Year T pure discount rate</t>
  </si>
  <si>
    <t>Discretely-compounded interest rates</t>
  </si>
  <si>
    <t>Continuously-compounded interest 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</si>
</sst>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/>
    <xf numFmtId="9" fontId="4" fillId="0" borderId="0" xfId="1" applyFont="1" applyAlignment="1"/>
    <xf numFmtId="0" fontId="2" fillId="0" borderId="0" xfId="1" applyNumberFormat="1" applyAlignment="1"/>
    <xf numFmtId="0" fontId="4" fillId="0" borderId="0" xfId="1" applyNumberFormat="1" applyFont="1" applyAlignment="1"/>
    <xf numFmtId="9" fontId="2" fillId="0" borderId="0" xfId="1" applyAlignment="1"/>
    <xf numFmtId="9" fontId="5" fillId="0" borderId="0" xfId="1" applyFont="1" applyAlignment="1"/>
    <xf numFmtId="0" fontId="5" fillId="0" borderId="0" xfId="0" applyFont="1" applyAlignment="1">
      <alignment horizontal="center"/>
    </xf>
    <xf numFmtId="2" fontId="0" fillId="0" borderId="0" xfId="0" applyNumberFormat="1" applyAlignment="1"/>
    <xf numFmtId="0" fontId="5" fillId="0" borderId="0" xfId="0" applyFont="1" applyAlignment="1"/>
    <xf numFmtId="0" fontId="0" fillId="2" borderId="0" xfId="0" applyFill="1" applyAlignment="1">
      <alignment vertical="center" wrapText="1"/>
    </xf>
    <xf numFmtId="10" fontId="2" fillId="2" borderId="0" xfId="1" applyNumberFormat="1" applyFill="1" applyAlignment="1"/>
    <xf numFmtId="10" fontId="2" fillId="0" borderId="0" xfId="1" applyNumberFormat="1" applyAlignment="1"/>
    <xf numFmtId="0" fontId="3" fillId="0" borderId="0" xfId="0" applyFon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289560</xdr:colOff>
      <xdr:row>6</xdr:row>
      <xdr:rowOff>38100</xdr:rowOff>
    </xdr:from>
    <xdr:to>
      <xdr:col>29</xdr:col>
      <xdr:colOff>510540</xdr:colOff>
      <xdr:row>28</xdr:row>
      <xdr:rowOff>152400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CEC0C03A-41FC-EFBE-3FB1-1775FC8375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866120" y="1135380"/>
          <a:ext cx="9357360" cy="43205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L21"/>
  <sheetViews>
    <sheetView tabSelected="1" zoomScale="160" zoomScaleNormal="160" workbookViewId="0">
      <selection activeCell="F22" sqref="F22"/>
    </sheetView>
  </sheetViews>
  <sheetFormatPr defaultRowHeight="13.8" x14ac:dyDescent="0.25"/>
  <cols>
    <col min="1" max="1" width="38.6640625" style="1" bestFit="1" customWidth="1"/>
    <col min="2" max="12" width="8.88671875" style="1"/>
  </cols>
  <sheetData>
    <row r="1" spans="1:12" ht="17.399999999999999" x14ac:dyDescent="0.3">
      <c r="A1" s="13" t="s">
        <v>0</v>
      </c>
      <c r="B1" s="13"/>
      <c r="C1" s="13"/>
      <c r="D1" s="13"/>
      <c r="E1" s="13"/>
      <c r="F1" s="13"/>
      <c r="G1" s="13"/>
      <c r="H1" s="13"/>
      <c r="I1" s="13"/>
      <c r="J1" s="13"/>
    </row>
    <row r="2" spans="1:12" x14ac:dyDescent="0.25">
      <c r="A2" s="2" t="s">
        <v>1</v>
      </c>
      <c r="B2" s="3">
        <v>7</v>
      </c>
    </row>
    <row r="3" spans="1:12" x14ac:dyDescent="0.25">
      <c r="A3" s="2" t="s">
        <v>2</v>
      </c>
      <c r="B3" s="4">
        <v>4</v>
      </c>
    </row>
    <row r="4" spans="1:12" x14ac:dyDescent="0.25">
      <c r="A4" s="2" t="s">
        <v>3</v>
      </c>
      <c r="B4" s="5">
        <v>0.06</v>
      </c>
    </row>
    <row r="5" spans="1:12" x14ac:dyDescent="0.25">
      <c r="A5" s="2" t="s">
        <v>4</v>
      </c>
      <c r="B5" s="5">
        <v>0.05</v>
      </c>
    </row>
    <row r="7" spans="1:12" x14ac:dyDescent="0.25">
      <c r="A7" s="6" t="s">
        <v>5</v>
      </c>
    </row>
    <row r="8" spans="1:12" x14ac:dyDescent="0.25">
      <c r="B8" s="7">
        <v>0</v>
      </c>
      <c r="C8" s="7">
        <v>1</v>
      </c>
      <c r="D8" s="7">
        <v>2</v>
      </c>
      <c r="E8" s="7">
        <v>3</v>
      </c>
      <c r="F8" s="7">
        <v>4</v>
      </c>
      <c r="G8" s="7">
        <v>5</v>
      </c>
      <c r="H8" s="7">
        <v>6</v>
      </c>
      <c r="I8" s="7">
        <v>7</v>
      </c>
      <c r="J8" s="7">
        <v>8</v>
      </c>
      <c r="K8" s="7">
        <v>9</v>
      </c>
      <c r="L8" s="7">
        <v>10</v>
      </c>
    </row>
    <row r="9" spans="1:12" x14ac:dyDescent="0.25">
      <c r="A9" s="1" t="str">
        <f>TEXT(B2,"0")&amp;"-year deposit at "&amp;TEXT(B4,"0.00%")</f>
        <v>7-year deposit at 6.00%</v>
      </c>
      <c r="B9" s="8">
        <v>100</v>
      </c>
      <c r="C9" s="8" t="str">
        <f t="shared" ref="C9:H9" si="0">IF($B$2=C8,-$B$17*EXP($B$4*C8),"")</f>
        <v/>
      </c>
      <c r="D9" s="8" t="str">
        <f t="shared" si="0"/>
        <v/>
      </c>
      <c r="E9" s="8" t="str">
        <f t="shared" si="0"/>
        <v/>
      </c>
      <c r="F9" s="8" t="str">
        <f t="shared" si="0"/>
        <v/>
      </c>
      <c r="G9" s="8" t="str">
        <f t="shared" si="0"/>
        <v/>
      </c>
      <c r="H9" s="8" t="str">
        <f t="shared" si="0"/>
        <v/>
      </c>
      <c r="I9" s="8">
        <f>IF($B$2=I8,-$B$17*(1+$B$4)^I8,"")</f>
        <v>-150.36302589913609</v>
      </c>
      <c r="J9" s="8" t="str">
        <f>IF($B$2=J8,-$B$17*EXP($B$4*J8),"")</f>
        <v/>
      </c>
      <c r="K9" s="8" t="str">
        <f>IF($B$2=K8,-$B$17*EXP($B$4*K8),"")</f>
        <v/>
      </c>
      <c r="L9" s="8" t="str">
        <f>IF($B$2=L8,-$B$17*EXP($B$4*L8),"")</f>
        <v/>
      </c>
    </row>
    <row r="10" spans="1:12" x14ac:dyDescent="0.25">
      <c r="A10" s="1" t="str">
        <f>TEXT(B3,"0")&amp;"-year loan at "&amp;TEXT(B5,"0.00%")</f>
        <v>4-year loan at 5.00%</v>
      </c>
      <c r="B10" s="8">
        <v>-100</v>
      </c>
      <c r="C10" s="8" t="str">
        <f>IF($B$3=C8,-$B$18*EXP($B$5*C8),"")</f>
        <v/>
      </c>
      <c r="D10" s="8" t="str">
        <f>IF($B$3=D8,-$B$18*EXP($B$5*D8),"")</f>
        <v/>
      </c>
      <c r="E10" s="8" t="str">
        <f>IF($B$3=E8,-$B$18*EXP($B$5*E8),"")</f>
        <v/>
      </c>
      <c r="F10" s="8">
        <f>IF($B$3=F8,-$B$18*(1+$B$5)^F8,"")</f>
        <v>121.550625</v>
      </c>
      <c r="G10" s="8" t="str">
        <f t="shared" ref="G10:L10" si="1">IF($B$3=G8,-$B$18*EXP($B$5*G8),"")</f>
        <v/>
      </c>
      <c r="H10" s="8" t="str">
        <f t="shared" si="1"/>
        <v/>
      </c>
      <c r="I10" s="8" t="str">
        <f t="shared" si="1"/>
        <v/>
      </c>
      <c r="J10" s="8" t="str">
        <f t="shared" si="1"/>
        <v/>
      </c>
      <c r="K10" s="8" t="str">
        <f t="shared" si="1"/>
        <v/>
      </c>
      <c r="L10" s="8" t="str">
        <f t="shared" si="1"/>
        <v/>
      </c>
    </row>
    <row r="11" spans="1:12" x14ac:dyDescent="0.25">
      <c r="A11" s="9" t="str">
        <f>"Sum of above: A "&amp;TEXT(B2-B3,"0")&amp;"-year deposit at year "&amp;TEXT(B3,"0")</f>
        <v>Sum of above: A 3-year deposit at year 4</v>
      </c>
      <c r="B11" s="8">
        <f>SUM(B9:B10)</f>
        <v>0</v>
      </c>
      <c r="C11" s="8" t="str">
        <f t="shared" ref="C11:L11" si="2">IF(SUM(C9:C10)=0,"",SUM(C9:C10))</f>
        <v/>
      </c>
      <c r="D11" s="8" t="str">
        <f t="shared" si="2"/>
        <v/>
      </c>
      <c r="E11" s="8" t="str">
        <f t="shared" si="2"/>
        <v/>
      </c>
      <c r="F11" s="8">
        <f t="shared" si="2"/>
        <v>121.550625</v>
      </c>
      <c r="G11" s="8" t="str">
        <f t="shared" si="2"/>
        <v/>
      </c>
      <c r="H11" s="8" t="str">
        <f t="shared" si="2"/>
        <v/>
      </c>
      <c r="I11" s="8">
        <f t="shared" si="2"/>
        <v>-150.36302589913609</v>
      </c>
      <c r="J11" s="8" t="str">
        <f t="shared" si="2"/>
        <v/>
      </c>
      <c r="K11" s="8" t="str">
        <f t="shared" si="2"/>
        <v/>
      </c>
      <c r="L11" s="8" t="str">
        <f t="shared" si="2"/>
        <v/>
      </c>
    </row>
    <row r="13" spans="1:12" ht="27.6" x14ac:dyDescent="0.25">
      <c r="A13" s="10" t="str">
        <f>"Discretely-compounded forward interest rate from year "&amp;TEXT(B3,"0")&amp;" to year "&amp;TEXT(B2,"0")</f>
        <v>Discretely-compounded forward interest rate from year 4 to year 7</v>
      </c>
      <c r="B13" s="11">
        <f>(-I11/F11)^(1/(B2-B3))-1</f>
        <v>7.3481638003953353E-2</v>
      </c>
      <c r="C13" s="1" t="str">
        <f ca="1">[1]!getformula(B13)</f>
        <v>&lt;--  =(-I11/F11)^(1/(B2-B3))-1</v>
      </c>
    </row>
    <row r="14" spans="1:12" x14ac:dyDescent="0.25">
      <c r="B14" s="12"/>
    </row>
    <row r="15" spans="1:12" x14ac:dyDescent="0.25">
      <c r="A15" s="9" t="s">
        <v>6</v>
      </c>
      <c r="B15" s="12"/>
    </row>
    <row r="16" spans="1:12" x14ac:dyDescent="0.25">
      <c r="B16" s="7">
        <v>0</v>
      </c>
      <c r="C16" s="7">
        <v>1</v>
      </c>
      <c r="D16" s="7">
        <v>2</v>
      </c>
      <c r="E16" s="7">
        <v>3</v>
      </c>
      <c r="F16" s="7">
        <v>4</v>
      </c>
      <c r="G16" s="7">
        <v>5</v>
      </c>
      <c r="H16" s="7">
        <v>6</v>
      </c>
      <c r="I16" s="7">
        <v>7</v>
      </c>
      <c r="J16" s="7">
        <v>8</v>
      </c>
      <c r="K16" s="7">
        <v>9</v>
      </c>
      <c r="L16" s="7">
        <v>10</v>
      </c>
    </row>
    <row r="17" spans="1:12" x14ac:dyDescent="0.25">
      <c r="A17" s="1" t="str">
        <f>TEXT(B2,"0")&amp;"-year deposit at "&amp;TEXT(B4,"0.00%")</f>
        <v>7-year deposit at 6.00%</v>
      </c>
      <c r="B17" s="8">
        <v>100</v>
      </c>
      <c r="C17" s="8" t="str">
        <f t="shared" ref="C17:L17" si="3">IF($B$2=C16,-$B$17*EXP($B$4*C16),"")</f>
        <v/>
      </c>
      <c r="D17" s="8" t="str">
        <f t="shared" si="3"/>
        <v/>
      </c>
      <c r="E17" s="8" t="str">
        <f t="shared" si="3"/>
        <v/>
      </c>
      <c r="F17" s="8" t="str">
        <f t="shared" si="3"/>
        <v/>
      </c>
      <c r="G17" s="8" t="str">
        <f t="shared" si="3"/>
        <v/>
      </c>
      <c r="H17" s="8" t="str">
        <f t="shared" si="3"/>
        <v/>
      </c>
      <c r="I17" s="8">
        <f t="shared" si="3"/>
        <v>-152.19615556186338</v>
      </c>
      <c r="J17" s="8" t="str">
        <f t="shared" si="3"/>
        <v/>
      </c>
      <c r="K17" s="8" t="str">
        <f t="shared" si="3"/>
        <v/>
      </c>
      <c r="L17" s="8" t="str">
        <f t="shared" si="3"/>
        <v/>
      </c>
    </row>
    <row r="18" spans="1:12" x14ac:dyDescent="0.25">
      <c r="A18" s="1" t="str">
        <f>TEXT(B3,"0")&amp;"-year loan at "&amp;TEXT(B5,"0.00%")</f>
        <v>4-year loan at 5.00%</v>
      </c>
      <c r="B18" s="8">
        <v>-100</v>
      </c>
      <c r="C18" s="8" t="str">
        <f t="shared" ref="C18:L18" si="4">IF($B$3=C16,-$B$18*EXP($B$5*C16),"")</f>
        <v/>
      </c>
      <c r="D18" s="8" t="str">
        <f t="shared" si="4"/>
        <v/>
      </c>
      <c r="E18" s="8" t="str">
        <f t="shared" si="4"/>
        <v/>
      </c>
      <c r="F18" s="8">
        <f t="shared" si="4"/>
        <v>122.14027581601698</v>
      </c>
      <c r="G18" s="8" t="str">
        <f t="shared" si="4"/>
        <v/>
      </c>
      <c r="H18" s="8" t="str">
        <f t="shared" si="4"/>
        <v/>
      </c>
      <c r="I18" s="8" t="str">
        <f t="shared" si="4"/>
        <v/>
      </c>
      <c r="J18" s="8" t="str">
        <f t="shared" si="4"/>
        <v/>
      </c>
      <c r="K18" s="8" t="str">
        <f t="shared" si="4"/>
        <v/>
      </c>
      <c r="L18" s="8" t="str">
        <f t="shared" si="4"/>
        <v/>
      </c>
    </row>
    <row r="19" spans="1:12" x14ac:dyDescent="0.25">
      <c r="A19" s="9" t="str">
        <f>"Sum of above: A "&amp;TEXT(B2-B3,"0")&amp;"-year deposit at year "&amp;TEXT(B3,"0")</f>
        <v>Sum of above: A 3-year deposit at year 4</v>
      </c>
      <c r="B19" s="8">
        <f>SUM(B17:B18)</f>
        <v>0</v>
      </c>
      <c r="C19" s="8" t="str">
        <f t="shared" ref="C19:L19" si="5">IF(SUM(C17:C18)=0,"",SUM(C17:C18))</f>
        <v/>
      </c>
      <c r="D19" s="8" t="str">
        <f t="shared" si="5"/>
        <v/>
      </c>
      <c r="E19" s="8" t="str">
        <f t="shared" si="5"/>
        <v/>
      </c>
      <c r="F19" s="8">
        <f t="shared" si="5"/>
        <v>122.14027581601698</v>
      </c>
      <c r="G19" s="8" t="str">
        <f t="shared" si="5"/>
        <v/>
      </c>
      <c r="H19" s="8" t="str">
        <f t="shared" si="5"/>
        <v/>
      </c>
      <c r="I19" s="8">
        <f t="shared" si="5"/>
        <v>-152.19615556186338</v>
      </c>
      <c r="J19" s="8" t="str">
        <f t="shared" si="5"/>
        <v/>
      </c>
      <c r="K19" s="8" t="str">
        <f t="shared" si="5"/>
        <v/>
      </c>
      <c r="L19" s="8" t="str">
        <f t="shared" si="5"/>
        <v/>
      </c>
    </row>
    <row r="21" spans="1:12" ht="27.6" x14ac:dyDescent="0.25">
      <c r="A21" s="10" t="str">
        <f>"Continuously-compounded forward interest rate from year "&amp;TEXT(B3,"0")&amp;" to year "&amp;TEXT(B2,"0")</f>
        <v>Continuously-compounded forward interest rate from year 4 to year 7</v>
      </c>
      <c r="B21" s="11">
        <f>LN(-I19/F19)/(B2-B3)</f>
        <v>7.333333333333332E-2</v>
      </c>
      <c r="C21" s="1" t="str">
        <f ca="1">[1]!getformula(B21)</f>
        <v>&lt;--  =LN(-I19/F19)/(B2-B3)</v>
      </c>
    </row>
  </sheetData>
  <mergeCells count="1">
    <mergeCell ref="A1:J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2024-11-29T04:28:31Z</dcterms:modified>
</cp:coreProperties>
</file>