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41B03D73-415E-44CC-ACE2-F78D352368E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8" i="1"/>
  <c r="B8" i="1"/>
  <c r="B11" i="1" l="1"/>
</calcChain>
</file>

<file path=xl/sharedStrings.xml><?xml version="1.0" encoding="utf-8"?>
<sst xmlns="http://schemas.openxmlformats.org/spreadsheetml/2006/main" count="13" uniqueCount="13">
  <si>
    <t>Black-Scholes Option Price is Monotonic in Sigma</t>
  </si>
  <si>
    <t>S</t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</si>
  <si>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</si>
  <si>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</si>
  <si>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</si>
  <si>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</si>
  <si>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</si>
  <si>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</si>
  <si>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</si>
  <si>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Sigma</t>
  </si>
  <si>
    <t>Stock volatility</t>
  </si>
  <si>
    <t>Call price</t>
  </si>
  <si>
    <r>
      <t xml:space="preserve">Data table:  Call price as function of volatility </t>
    </r>
    <r>
      <rPr>
        <b/>
        <sz val="10"/>
        <rFont val="Symbol"/>
        <family val="1"/>
        <charset val="2"/>
      </rPr>
      <t>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</si>
</sst>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9" fontId="3" fillId="0" borderId="0" xfId="1" applyFont="1" applyAlignment="1">
      <alignment horizontal="center" vertical="center" wrapText="1"/>
    </xf>
    <xf numFmtId="9" fontId="0" fillId="0" borderId="0" xfId="1" applyFont="1" applyAlignment="1"/>
    <xf numFmtId="0" fontId="0" fillId="0" borderId="0" xfId="1" applyNumberFormat="1" applyFont="1" applyAlignment="1"/>
    <xf numFmtId="9" fontId="0" fillId="0" borderId="0" xfId="1" quotePrefix="1" applyFont="1" applyAlignment="1"/>
    <xf numFmtId="10" fontId="0" fillId="0" borderId="0" xfId="1" applyNumberFormat="1" applyFont="1" applyAlignment="1"/>
    <xf numFmtId="9" fontId="0" fillId="2" borderId="0" xfId="1" applyFont="1" applyFill="1" applyAlignment="1"/>
    <xf numFmtId="2" fontId="0" fillId="2" borderId="0" xfId="1" applyNumberFormat="1" applyFont="1" applyFill="1" applyAlignment="1"/>
    <xf numFmtId="0" fontId="0" fillId="0" borderId="0" xfId="0" applyAlignment="1"/>
    <xf numFmtId="0" fontId="4" fillId="0" borderId="0" xfId="0" applyFont="1" applyAlignment="1"/>
    <xf numFmtId="176" fontId="0" fillId="0" borderId="0" xfId="0" applyNumberFormat="1" applyAlignment="1"/>
    <xf numFmtId="9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Call Price and Volatility</a:t>
            </a:r>
          </a:p>
        </c:rich>
      </c:tx>
      <c:layout>
        <c:manualLayout>
          <c:xMode val="edge"/>
          <c:yMode val="edge"/>
          <c:x val="0.33076943783142887"/>
          <c:y val="4.36243933830984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30781269269123"/>
          <c:y val="0.15436323812480979"/>
          <c:w val="0.75128252158611375"/>
          <c:h val="0.640943010474753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Sheet1!$A$12:$A$24</c:f>
              <c:numCache>
                <c:formatCode>0%</c:formatCode>
                <c:ptCount val="13"/>
                <c:pt idx="0">
                  <c:v>0.15</c:v>
                </c:pt>
                <c:pt idx="1">
                  <c:v>0.16</c:v>
                </c:pt>
                <c:pt idx="2">
                  <c:v>0.17</c:v>
                </c:pt>
                <c:pt idx="3">
                  <c:v>0.18</c:v>
                </c:pt>
                <c:pt idx="4">
                  <c:v>0.19</c:v>
                </c:pt>
                <c:pt idx="5">
                  <c:v>0.2</c:v>
                </c:pt>
                <c:pt idx="6">
                  <c:v>0.21</c:v>
                </c:pt>
                <c:pt idx="7">
                  <c:v>0.22</c:v>
                </c:pt>
                <c:pt idx="8">
                  <c:v>0.23</c:v>
                </c:pt>
                <c:pt idx="9">
                  <c:v>0.24</c:v>
                </c:pt>
                <c:pt idx="10">
                  <c:v>0.25</c:v>
                </c:pt>
                <c:pt idx="11">
                  <c:v>0.26</c:v>
                </c:pt>
                <c:pt idx="12">
                  <c:v>0.27</c:v>
                </c:pt>
              </c:numCache>
            </c:numRef>
          </c:xVal>
          <c:yVal>
            <c:numRef>
              <c:f>Sheet1!$B$12:$B$24</c:f>
              <c:numCache>
                <c:formatCode>0.0000</c:formatCode>
                <c:ptCount val="13"/>
                <c:pt idx="0">
                  <c:v>2.1857569038398381</c:v>
                </c:pt>
                <c:pt idx="1">
                  <c:v>2.364613820443509</c:v>
                </c:pt>
                <c:pt idx="2">
                  <c:v>2.5436812556915385</c:v>
                </c:pt>
                <c:pt idx="3">
                  <c:v>2.7229078838449396</c:v>
                </c:pt>
                <c:pt idx="4">
                  <c:v>2.9022521604577136</c:v>
                </c:pt>
                <c:pt idx="5">
                  <c:v>3.0816799016874796</c:v>
                </c:pt>
                <c:pt idx="6">
                  <c:v>3.2611625482823179</c:v>
                </c:pt>
                <c:pt idx="7">
                  <c:v>3.4406758987672248</c:v>
                </c:pt>
                <c:pt idx="8">
                  <c:v>3.6201991704375089</c:v>
                </c:pt>
                <c:pt idx="9">
                  <c:v>3.7997142934052164</c:v>
                </c:pt>
                <c:pt idx="10">
                  <c:v>3.9792053729769883</c:v>
                </c:pt>
                <c:pt idx="11">
                  <c:v>4.1586582753829866</c:v>
                </c:pt>
                <c:pt idx="12">
                  <c:v>4.3380603050971267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2-4669-B183-22F9F4598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231880"/>
        <c:axId val="1"/>
      </c:scatterChart>
      <c:valAx>
        <c:axId val="959231880"/>
        <c:scaling>
          <c:orientation val="minMax"/>
          <c:min val="0.1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Volatility, </a:t>
                </a: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s</a:t>
                </a:r>
                <a:endParaRPr lang="zh-CN" altLang="en-US" sz="80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48461568798558186"/>
              <c:y val="0.8993336482054133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03"/>
      </c:valAx>
      <c:valAx>
        <c:axId val="1"/>
        <c:scaling>
          <c:orientation val="minMax"/>
          <c:max val="4.5"/>
          <c:min val="1.8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BS call price</a:t>
                </a:r>
              </a:p>
            </c:rich>
          </c:tx>
          <c:layout>
            <c:manualLayout>
              <c:xMode val="edge"/>
              <c:yMode val="edge"/>
              <c:x val="4.61538750462459E-2"/>
              <c:y val="0.35570659220064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59231880"/>
        <c:crosses val="autoZero"/>
        <c:crossBetween val="midCat"/>
        <c:majorUnit val="0.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781050</xdr:colOff>
      <xdr:row>25</xdr:row>
      <xdr:rowOff>152400</xdr:rowOff>
    </xdr:from>
    <xdr:to>
      <xdr:col>3</xdr:col>
      <xdr:colOff>219075</xdr:colOff>
      <xdr:row>42</xdr:row>
      <xdr:rowOff>72390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90C503AD-2BC1-4FE9-82DC-9E2BB7E5F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</xdr:row>
          <xdr:rowOff>0</xdr:rowOff>
        </xdr:from>
        <xdr:to>
          <xdr:col>15</xdr:col>
          <xdr:colOff>207645</xdr:colOff>
          <xdr:row>32</xdr:row>
          <xdr:rowOff>53340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6B95B773-0944-9F6B-A535-14CE202C7B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518'!$A$1:$D$29" spid="_x0000_s102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918960" y="571500"/>
              <a:ext cx="5478780" cy="5128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A12">
            <v>0.15</v>
          </cell>
          <cell r="B12">
            <v>2.1857569038398381</v>
          </cell>
        </row>
        <row r="13">
          <cell r="A13">
            <v>0.16</v>
          </cell>
          <cell r="B13">
            <v>2.364613820443509</v>
          </cell>
        </row>
        <row r="14">
          <cell r="A14">
            <v>0.17</v>
          </cell>
          <cell r="B14">
            <v>2.5436812556915385</v>
          </cell>
        </row>
        <row r="15">
          <cell r="A15">
            <v>0.18</v>
          </cell>
          <cell r="B15">
            <v>2.7229078838449396</v>
          </cell>
        </row>
        <row r="16">
          <cell r="A16">
            <v>0.19</v>
          </cell>
          <cell r="B16">
            <v>2.9022521604577136</v>
          </cell>
        </row>
        <row r="17">
          <cell r="A17">
            <v>0.2</v>
          </cell>
          <cell r="B17">
            <v>3.0816799016874796</v>
          </cell>
        </row>
        <row r="18">
          <cell r="A18">
            <v>0.21</v>
          </cell>
          <cell r="B18">
            <v>3.2611625482823179</v>
          </cell>
        </row>
        <row r="19">
          <cell r="A19">
            <v>0.22</v>
          </cell>
          <cell r="B19">
            <v>3.4406758987672248</v>
          </cell>
        </row>
        <row r="20">
          <cell r="A20">
            <v>0.23</v>
          </cell>
          <cell r="B20">
            <v>3.6201991704375089</v>
          </cell>
        </row>
        <row r="21">
          <cell r="A21">
            <v>0.24</v>
          </cell>
          <cell r="B21">
            <v>3.7997142934052164</v>
          </cell>
        </row>
        <row r="22">
          <cell r="A22">
            <v>0.25</v>
          </cell>
          <cell r="B22">
            <v>3.9792053729769883</v>
          </cell>
        </row>
        <row r="23">
          <cell r="A23">
            <v>0.26</v>
          </cell>
          <cell r="B23">
            <v>4.1586582753829866</v>
          </cell>
        </row>
        <row r="24">
          <cell r="A24">
            <v>0.27</v>
          </cell>
          <cell r="B24">
            <v>4.3380603050971267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D25"/>
  <sheetViews>
    <sheetView tabSelected="1" workbookViewId="0">
      <selection activeCell="S39" sqref="S39"/>
    </sheetView>
  </sheetViews>
  <sheetFormatPr defaultRowHeight="13.8" x14ac:dyDescent="0.25"/>
  <cols>
    <col min="1" max="1" width="11.88671875" style="8" customWidth="1"/>
    <col min="2" max="2" width="19" style="8" customWidth="1"/>
    <col min="3" max="3" width="60.44140625" style="8" customWidth="1"/>
    <col min="4" max="4" width="18.6640625" style="8" customWidth="1"/>
  </cols>
  <sheetData>
    <row r="1" spans="1:4" ht="17.399999999999999" x14ac:dyDescent="0.25">
      <c r="A1" s="1" t="s">
        <v>0</v>
      </c>
      <c r="B1" s="1"/>
      <c r="C1" s="1"/>
      <c r="D1" s="1"/>
    </row>
    <row r="2" spans="1:4" x14ac:dyDescent="0.25">
      <c r="A2" s="2" t="s">
        <v>1</v>
      </c>
      <c r="B2" s="3">
        <v>45</v>
      </c>
      <c r="C2" s="2" t="s">
        <v>2</v>
      </c>
      <c r="D2" s="2"/>
    </row>
    <row r="3" spans="1:4" x14ac:dyDescent="0.25">
      <c r="A3" s="2" t="s">
        <v>3</v>
      </c>
      <c r="B3" s="3">
        <v>50</v>
      </c>
      <c r="C3" s="2" t="s">
        <v>4</v>
      </c>
      <c r="D3" s="4"/>
    </row>
    <row r="4" spans="1:4" x14ac:dyDescent="0.25">
      <c r="A4" s="2" t="s">
        <v>5</v>
      </c>
      <c r="B4" s="3">
        <v>1</v>
      </c>
      <c r="C4" s="2" t="s">
        <v>6</v>
      </c>
      <c r="D4" s="2"/>
    </row>
    <row r="5" spans="1:4" x14ac:dyDescent="0.25">
      <c r="A5" s="2" t="s">
        <v>7</v>
      </c>
      <c r="B5" s="5">
        <v>0.08</v>
      </c>
      <c r="C5" s="2" t="s">
        <v>8</v>
      </c>
      <c r="D5" s="2"/>
    </row>
    <row r="6" spans="1:4" x14ac:dyDescent="0.25">
      <c r="A6" s="2" t="s">
        <v>9</v>
      </c>
      <c r="B6" s="5">
        <v>0.3</v>
      </c>
      <c r="C6" s="2" t="s">
        <v>10</v>
      </c>
      <c r="D6" s="2"/>
    </row>
    <row r="7" spans="1:4" x14ac:dyDescent="0.25">
      <c r="A7" s="2"/>
      <c r="B7" s="2"/>
      <c r="C7" s="2"/>
      <c r="D7" s="2"/>
    </row>
    <row r="8" spans="1:4" x14ac:dyDescent="0.25">
      <c r="A8" s="6" t="s">
        <v>11</v>
      </c>
      <c r="B8" s="7">
        <f>[2]!BSCall(B2,B3,B4,B5,B6)</f>
        <v>4.8758507999356553</v>
      </c>
      <c r="C8" s="2" t="str">
        <f ca="1">[3]!getformula(B8)</f>
        <v>&lt;-- =BSCall(B2,B3,B4,B5,B6)</v>
      </c>
      <c r="D8" s="2"/>
    </row>
    <row r="10" spans="1:4" x14ac:dyDescent="0.25">
      <c r="A10" s="9" t="s">
        <v>12</v>
      </c>
      <c r="B10" s="9"/>
    </row>
    <row r="11" spans="1:4" x14ac:dyDescent="0.25">
      <c r="B11" s="10">
        <f>B8</f>
        <v>4.8758507999356553</v>
      </c>
      <c r="C11" s="8" t="str">
        <f ca="1">[3]!getformula(B11)&amp;", table header"</f>
        <v>&lt;-- =B8, table header</v>
      </c>
    </row>
    <row r="12" spans="1:4" x14ac:dyDescent="0.25">
      <c r="A12" s="11">
        <v>0.15</v>
      </c>
      <c r="B12" s="10">
        <f t="dataTable" ref="B12:B24" dt2D="0" dtr="0" r1="B6"/>
        <v>2.1857569038398381</v>
      </c>
    </row>
    <row r="13" spans="1:4" x14ac:dyDescent="0.25">
      <c r="A13" s="11">
        <v>0.16</v>
      </c>
      <c r="B13" s="10">
        <v>2.364613820443509</v>
      </c>
    </row>
    <row r="14" spans="1:4" x14ac:dyDescent="0.25">
      <c r="A14" s="11">
        <v>0.17</v>
      </c>
      <c r="B14" s="10">
        <v>2.5436812556915385</v>
      </c>
    </row>
    <row r="15" spans="1:4" x14ac:dyDescent="0.25">
      <c r="A15" s="11">
        <v>0.18</v>
      </c>
      <c r="B15" s="10">
        <v>2.7229078838449396</v>
      </c>
    </row>
    <row r="16" spans="1:4" x14ac:dyDescent="0.25">
      <c r="A16" s="11">
        <v>0.19</v>
      </c>
      <c r="B16" s="10">
        <v>2.9022521604577136</v>
      </c>
    </row>
    <row r="17" spans="1:2" x14ac:dyDescent="0.25">
      <c r="A17" s="11">
        <v>0.2</v>
      </c>
      <c r="B17" s="10">
        <v>3.0816799016874796</v>
      </c>
    </row>
    <row r="18" spans="1:2" x14ac:dyDescent="0.25">
      <c r="A18" s="11">
        <v>0.21</v>
      </c>
      <c r="B18" s="10">
        <v>3.2611625482823179</v>
      </c>
    </row>
    <row r="19" spans="1:2" x14ac:dyDescent="0.25">
      <c r="A19" s="11">
        <v>0.22</v>
      </c>
      <c r="B19" s="10">
        <v>3.4406758987672248</v>
      </c>
    </row>
    <row r="20" spans="1:2" x14ac:dyDescent="0.25">
      <c r="A20" s="11">
        <v>0.23</v>
      </c>
      <c r="B20" s="10">
        <v>3.6201991704375089</v>
      </c>
    </row>
    <row r="21" spans="1:2" x14ac:dyDescent="0.25">
      <c r="A21" s="11">
        <v>0.24</v>
      </c>
      <c r="B21" s="10">
        <v>3.7997142934052164</v>
      </c>
    </row>
    <row r="22" spans="1:2" x14ac:dyDescent="0.25">
      <c r="A22" s="11">
        <v>0.25</v>
      </c>
      <c r="B22" s="10">
        <v>3.9792053729769883</v>
      </c>
    </row>
    <row r="23" spans="1:2" x14ac:dyDescent="0.25">
      <c r="A23" s="11">
        <v>0.26</v>
      </c>
      <c r="B23" s="10">
        <v>4.1586582753829866</v>
      </c>
    </row>
    <row r="24" spans="1:2" x14ac:dyDescent="0.25">
      <c r="A24" s="11">
        <v>0.27</v>
      </c>
      <c r="B24" s="10">
        <v>4.3380603050971267</v>
      </c>
    </row>
    <row r="25" spans="1:2" x14ac:dyDescent="0.25">
      <c r="B25" s="11"/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2024-11-27T07:37:50Z</dcterms:modified>
</cp:coreProperties>
</file>