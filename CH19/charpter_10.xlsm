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F9451DC0-C6A4-4154-A061-3D26FCE87B7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16" i="1"/>
  <c r="B15" i="1"/>
  <c r="B9" i="1"/>
  <c r="B10" i="1"/>
  <c r="C10" i="1"/>
  <c r="C9" i="1"/>
  <c r="C4" i="1"/>
  <c r="B4" i="1"/>
  <c r="B12" i="1" l="1"/>
  <c r="B13" i="1" l="1"/>
</calcChain>
</file>

<file path=xl/sharedStrings.xml><?xml version="1.0" encoding="utf-8"?>
<sst xmlns="http://schemas.openxmlformats.org/spreadsheetml/2006/main" count="26" uniqueCount="26">
  <si>
    <t>Merton's Dividend-Adjusted Option Pricing Model
used here to price S&amp;P 500 Spiders (symbol:  SPY)</t>
  </si>
  <si>
    <t>S</t>
  </si>
  <si>
    <t>current stock price</t>
  </si>
  <si>
    <t>X</t>
  </si>
  <si>
    <t>exercise price</t>
  </si>
  <si>
    <t>T</t>
  </si>
  <si>
    <t>r</t>
  </si>
  <si>
    <t>risk-free rate of interest</t>
  </si>
  <si>
    <t>k</t>
  </si>
  <si>
    <t>dividend yield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</si>
  <si>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</si>
  <si>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</si>
  <si>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</si>
  <si>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</si>
  <si>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</si>
  <si>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</si>
  <si>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</si>
  <si>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</si>
  <si>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</si>
  <si>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S*Exp(-k*T)*N(d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</si>
  <si>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</si>
  <si>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S*Exp(-k*T)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</si>
  <si>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)-S*Exp(-k*T)*N(-d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</si>
  <si>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t>Actual dates for Mar07 SPY options</t>
  </si>
  <si>
    <t>Current date</t>
  </si>
  <si>
    <t>Option expiration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</si>
</sst>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9" fontId="3" fillId="0" borderId="0" xfId="1" applyFont="1" applyAlignment="1">
      <alignment horizontal="center" vertical="center" wrapText="1"/>
    </xf>
    <xf numFmtId="9" fontId="3" fillId="0" borderId="0" xfId="1" applyFont="1" applyAlignment="1">
      <alignment horizontal="center" vertical="center"/>
    </xf>
    <xf numFmtId="9" fontId="0" fillId="0" borderId="0" xfId="1" applyFont="1" applyAlignment="1"/>
    <xf numFmtId="0" fontId="0" fillId="0" borderId="0" xfId="1" applyNumberFormat="1" applyFont="1" applyAlignment="1"/>
    <xf numFmtId="2" fontId="0" fillId="0" borderId="0" xfId="1" applyNumberFormat="1" applyFont="1" applyAlignment="1"/>
    <xf numFmtId="176" fontId="0" fillId="0" borderId="0" xfId="1" applyNumberFormat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9" fontId="0" fillId="2" borderId="0" xfId="1" applyFont="1" applyFill="1" applyAlignment="1"/>
    <xf numFmtId="2" fontId="0" fillId="2" borderId="0" xfId="1" applyNumberFormat="1" applyFont="1" applyFill="1" applyAlignment="1"/>
    <xf numFmtId="2" fontId="0" fillId="2" borderId="0" xfId="1" quotePrefix="1" applyNumberFormat="1" applyFont="1" applyFill="1" applyAlignment="1"/>
    <xf numFmtId="0" fontId="0" fillId="0" borderId="0" xfId="0" applyAlignment="1"/>
    <xf numFmtId="15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220980</xdr:colOff>
      <xdr:row>5</xdr:row>
      <xdr:rowOff>0</xdr:rowOff>
    </xdr:from>
    <xdr:to>
      <xdr:col>15</xdr:col>
      <xdr:colOff>380999</xdr:colOff>
      <xdr:row>33</xdr:row>
      <xdr:rowOff>38100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28B8C12-F84A-19B5-F8D3-10A7F1821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88580" y="922020"/>
          <a:ext cx="5646420" cy="50825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6"/>
  <sheetViews>
    <sheetView tabSelected="1" zoomScale="160" zoomScaleNormal="160" workbookViewId="0">
      <selection activeCell="C23" sqref="C23"/>
    </sheetView>
  </sheetViews>
  <sheetFormatPr defaultRowHeight="13.8" x14ac:dyDescent="0.25"/>
  <cols>
    <col min="1" max="1" width="22.88671875" style="12" customWidth="1"/>
    <col min="2" max="2" width="11.109375" style="12" bestFit="1" customWidth="1"/>
    <col min="3" max="3" width="49.88671875" style="12" customWidth="1"/>
  </cols>
  <sheetData>
    <row r="1" spans="1:3" ht="17.399999999999999" x14ac:dyDescent="0.25">
      <c r="A1" s="1" t="s">
        <v>0</v>
      </c>
      <c r="B1" s="2"/>
      <c r="C1" s="2"/>
    </row>
    <row r="2" spans="1:3" x14ac:dyDescent="0.25">
      <c r="A2" s="3" t="s">
        <v>1</v>
      </c>
      <c r="B2" s="4">
        <v>127.98</v>
      </c>
      <c r="C2" s="3" t="s">
        <v>2</v>
      </c>
    </row>
    <row r="3" spans="1:3" x14ac:dyDescent="0.25">
      <c r="A3" s="3" t="s">
        <v>3</v>
      </c>
      <c r="B3" s="5">
        <v>127</v>
      </c>
      <c r="C3" s="3" t="s">
        <v>4</v>
      </c>
    </row>
    <row r="4" spans="1:3" x14ac:dyDescent="0.25">
      <c r="A4" s="3" t="s">
        <v>5</v>
      </c>
      <c r="B4" s="6">
        <f>(B26-B25)/365</f>
        <v>0.63287671232876708</v>
      </c>
      <c r="C4" s="3" t="str">
        <f>"&lt;-- option expires "&amp;TEXT(B26,"dd-mmm-yy")&amp;", today's date "&amp;TEXT(B25,"dd-mmm-yy")</f>
        <v>&lt;-- option expires 16-Mar-07, today's date 28-Jul-06</v>
      </c>
    </row>
    <row r="5" spans="1:3" x14ac:dyDescent="0.25">
      <c r="A5" s="3" t="s">
        <v>6</v>
      </c>
      <c r="B5" s="7">
        <v>0.05</v>
      </c>
      <c r="C5" s="3" t="s">
        <v>7</v>
      </c>
    </row>
    <row r="6" spans="1:3" x14ac:dyDescent="0.25">
      <c r="A6" s="3" t="s">
        <v>8</v>
      </c>
      <c r="B6" s="7">
        <v>1.7000000000000001E-2</v>
      </c>
      <c r="C6" s="3" t="s">
        <v>9</v>
      </c>
    </row>
    <row r="7" spans="1:3" x14ac:dyDescent="0.25">
      <c r="A7" s="3" t="s">
        <v>10</v>
      </c>
      <c r="B7" s="3">
        <v>0.14000000000000001</v>
      </c>
      <c r="C7" s="3" t="s">
        <v>11</v>
      </c>
    </row>
    <row r="8" spans="1:3" x14ac:dyDescent="0.25">
      <c r="A8" s="3"/>
      <c r="B8" s="3"/>
      <c r="C8" s="3"/>
    </row>
    <row r="9" spans="1:3" ht="15.6" x14ac:dyDescent="0.35">
      <c r="A9" s="3" t="s">
        <v>12</v>
      </c>
      <c r="B9" s="8">
        <f>(LN(B2/B3)+(B5-B6+0.5*B7^2)*B4)/(B7*SQRT(B4))</f>
        <v>0.31222490182700086</v>
      </c>
      <c r="C9" s="3" t="e">
        <f ca="1">getformula(B9)</f>
        <v>#NAME?</v>
      </c>
    </row>
    <row r="10" spans="1:3" ht="15.6" x14ac:dyDescent="0.35">
      <c r="A10" s="3" t="s">
        <v>13</v>
      </c>
      <c r="B10" s="8">
        <f>B9-B7*SQRT(B4)</f>
        <v>0.20084993353679734</v>
      </c>
      <c r="C10" s="3" t="e">
        <f ca="1">getformula(B10)</f>
        <v>#NAME?</v>
      </c>
    </row>
    <row r="11" spans="1:3" x14ac:dyDescent="0.25">
      <c r="A11" s="3"/>
      <c r="B11" s="6"/>
      <c r="C11" s="3"/>
    </row>
    <row r="12" spans="1:3" ht="15.6" x14ac:dyDescent="0.35">
      <c r="A12" s="3" t="s">
        <v>14</v>
      </c>
      <c r="B12" s="6">
        <f>NORMSDIST(B9)</f>
        <v>0.62256519576309466</v>
      </c>
      <c r="C12" s="3" t="s">
        <v>15</v>
      </c>
    </row>
    <row r="13" spans="1:3" ht="15.6" x14ac:dyDescent="0.35">
      <c r="A13" s="3" t="s">
        <v>16</v>
      </c>
      <c r="B13" s="6">
        <f>NORMSDIST(B10)</f>
        <v>0.579592041452206</v>
      </c>
      <c r="C13" s="3" t="s">
        <v>17</v>
      </c>
    </row>
    <row r="14" spans="1:3" x14ac:dyDescent="0.25">
      <c r="A14" s="3"/>
      <c r="B14" s="6"/>
      <c r="C14" s="3"/>
    </row>
    <row r="15" spans="1:3" ht="15.6" x14ac:dyDescent="0.35">
      <c r="A15" s="9" t="s">
        <v>18</v>
      </c>
      <c r="B15" s="10">
        <f>B2*EXP(-B6*B4)*B12-B3*EXP(-B5*B4)*B13</f>
        <v>7.5078520776538369</v>
      </c>
      <c r="C15" s="3" t="s">
        <v>19</v>
      </c>
    </row>
    <row r="16" spans="1:3" x14ac:dyDescent="0.25">
      <c r="A16" s="9" t="s">
        <v>20</v>
      </c>
      <c r="B16" s="11">
        <f>B15-B2*EXP(-B6*B4)+B3*EXP(-B5*B4)</f>
        <v>3.9415480840966808</v>
      </c>
      <c r="C16" s="3" t="s">
        <v>21</v>
      </c>
    </row>
    <row r="17" spans="1:3" ht="15.6" x14ac:dyDescent="0.35">
      <c r="A17" s="3"/>
      <c r="B17" s="5">
        <f>B3*EXP(-B5*B4)*_xlfn.NORM.S.DIST(-B10,TRUE)-B2*EXP(-B6*B4)*_xlfn.NORM.S.DIST(-B9,TRUE)</f>
        <v>3.941548084096695</v>
      </c>
      <c r="C17" s="3" t="s">
        <v>22</v>
      </c>
    </row>
    <row r="24" spans="1:3" x14ac:dyDescent="0.25">
      <c r="A24" s="12" t="s">
        <v>23</v>
      </c>
    </row>
    <row r="25" spans="1:3" x14ac:dyDescent="0.25">
      <c r="A25" s="12" t="s">
        <v>24</v>
      </c>
      <c r="B25" s="13">
        <v>38926</v>
      </c>
    </row>
    <row r="26" spans="1:3" x14ac:dyDescent="0.25">
      <c r="A26" s="12" t="s">
        <v>25</v>
      </c>
      <c r="B26" s="13">
        <v>39157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2024-11-27T13:11:38Z</dcterms:modified>
</cp:coreProperties>
</file>