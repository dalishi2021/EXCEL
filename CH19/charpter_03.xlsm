
<file path=[Content_Types].xml><?xml version="1.0" encoding="utf-8"?>
<Types xmlns="http://schemas.openxmlformats.org/package/2006/content-types"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19\"/>
    </mc:Choice>
  </mc:AlternateContent>
  <xr:revisionPtr revIDLastSave="0" documentId="13_ncr:1_{A9348527-5F9B-4DAB-A6D9-0631BC2232D8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</sheets>
  <externalReferences>
    <externalReference r:id="rId2"/>
    <externalReference r:id="rId3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9" i="1" l="1"/>
  <c r="G8" i="1"/>
  <c r="G6" i="1"/>
  <c r="G5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H9" i="1"/>
  <c r="H8" i="1"/>
  <c r="H6" i="1"/>
  <c r="H5" i="1"/>
  <c r="D5" i="1"/>
  <c r="D7" i="1"/>
  <c r="D6" i="1"/>
  <c r="D4" i="1"/>
</calcChain>
</file>

<file path=xl/sharedStrings.xml><?xml version="1.0" encoding="utf-8"?>
<sst xmlns="http://schemas.openxmlformats.org/spreadsheetml/2006/main" count="9" uniqueCount="9">
  <si>
    <t>QQQQ HISTORICAL PRICES, DAILY DATA
and resulting statistics</t>
  </si>
  <si>
    <t>Date</t>
  </si>
  <si>
    <t>Closing price</t>
  </si>
  <si>
    <t>Return</t>
  </si>
  <si>
    <t>Return statistics</t>
  </si>
  <si>
    <t>Average daily return</t>
  </si>
  <si>
    <t>Standard deviation of daily return</t>
  </si>
  <si>
    <t>Annualized mean return</t>
  </si>
  <si>
    <t>Annualized sigma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</si>
</sst>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b/>
      <sz val="14"/>
      <name val="Arial"/>
      <family val="2"/>
    </font>
    <font>
      <b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</cellStyleXfs>
  <cellXfs count="13">
    <xf numFmtId="0" fontId="0" fillId="0" borderId="0" xfId="0">
      <alignment vertical="center"/>
    </xf>
    <xf numFmtId="0" fontId="3" fillId="0" borderId="0" xfId="0" applyFont="1" applyAlignment="1">
      <alignment horizontal="center" wrapText="1"/>
    </xf>
    <xf numFmtId="0" fontId="3" fillId="0" borderId="0" xfId="0" applyFont="1" applyAlignment="1">
      <alignment horizontal="center"/>
    </xf>
    <xf numFmtId="0" fontId="4" fillId="0" borderId="0" xfId="0" applyFont="1" applyAlignment="1">
      <alignment horizontal="center" wrapText="1"/>
    </xf>
    <xf numFmtId="0" fontId="4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/>
    </xf>
    <xf numFmtId="0" fontId="0" fillId="0" borderId="0" xfId="0" applyAlignment="1"/>
    <xf numFmtId="15" fontId="0" fillId="0" borderId="0" xfId="0" applyNumberFormat="1" applyAlignment="1"/>
    <xf numFmtId="10" fontId="0" fillId="0" borderId="0" xfId="1" applyNumberFormat="1" applyFont="1" applyAlignment="1"/>
    <xf numFmtId="0" fontId="4" fillId="0" borderId="0" xfId="0" applyFont="1" applyAlignment="1"/>
    <xf numFmtId="10" fontId="0" fillId="0" borderId="0" xfId="0" applyNumberFormat="1" applyAlignment="1"/>
    <xf numFmtId="0" fontId="0" fillId="2" borderId="0" xfId="0" applyFill="1" applyAlignment="1"/>
    <xf numFmtId="10" fontId="0" fillId="2" borderId="0" xfId="1" applyNumberFormat="1" applyFont="1" applyFill="1" applyAlignment="1"/>
  </cellXfs>
  <cellStyles count="2">
    <cellStyle name="百分比" xfId="1" builtinId="5"/>
    <cellStyle name="常规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274320</xdr:colOff>
      <xdr:row>4</xdr:row>
      <xdr:rowOff>121920</xdr:rowOff>
    </xdr:from>
    <xdr:to>
      <xdr:col>22</xdr:col>
      <xdr:colOff>281941</xdr:colOff>
      <xdr:row>30</xdr:row>
      <xdr:rowOff>167640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9B6B379E-2DCA-14C7-A250-28D9BBA0D33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8801100" y="1028700"/>
          <a:ext cx="7315200" cy="459486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19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19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19_functions.xla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19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ge 510-11"/>
      <sheetName val="Page 510-11 中文"/>
      <sheetName val="Page 513"/>
      <sheetName val="Optionfunctions"/>
      <sheetName val="Page 513 中文"/>
      <sheetName val="Page 515, top"/>
      <sheetName val="Page 515, top 中文"/>
      <sheetName val="Page 515, bottom"/>
      <sheetName val="Page 515, bottom 中文"/>
      <sheetName val="Page 516"/>
      <sheetName val="Page 516中文"/>
      <sheetName val="Page 517"/>
      <sheetName val="Page 517 中文"/>
      <sheetName val="Page 518"/>
      <sheetName val="Page 518 中文"/>
      <sheetName val="Page 520"/>
      <sheetName val="Page 520 中文"/>
      <sheetName val="Page 521"/>
      <sheetName val="Page 521 中文"/>
      <sheetName val="Page 523"/>
      <sheetName val="Page 523 中文"/>
      <sheetName val="Page 524, top"/>
      <sheetName val="Page 524, top 中文"/>
      <sheetName val="Page 524, bottom"/>
      <sheetName val="Page 524, bottom 中文"/>
      <sheetName val="Page 526, top"/>
      <sheetName val="Page 526, top 中文"/>
      <sheetName val="page 526, bottom"/>
      <sheetName val="page 526, bottom 中文"/>
      <sheetName val="Page 531"/>
      <sheetName val="Page 531 中文"/>
      <sheetName val="Page 532"/>
      <sheetName val="Page 532 中文"/>
      <sheetName val="Page 533"/>
      <sheetName val="Page 533 中文"/>
      <sheetName val="Page 535, picture"/>
      <sheetName val="Page 535, picture 中文"/>
      <sheetName val="Page 535"/>
      <sheetName val="Page 535 中文"/>
      <sheetName val="Page 537"/>
      <sheetName val="Page 537中文"/>
      <sheetName val="Page 538"/>
      <sheetName val="Page 538 中文"/>
      <sheetName val="Page 539-41"/>
      <sheetName val="Page 539-41 中文"/>
      <sheetName val="Page 540"/>
      <sheetName val="Page 540中文"/>
      <sheetName val="Page 542"/>
      <sheetName val="Page 542中文"/>
      <sheetName val="Page 543"/>
      <sheetName val="Page 543 中文"/>
      <sheetName val="Page 544"/>
      <sheetName val="Page 544 中文"/>
    </sheetNames>
    <sheetDataSet>
      <sheetData sheetId="0"/>
      <sheetData sheetId="1"/>
      <sheetData sheetId="2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7"/>
      <sheetData sheetId="48"/>
      <sheetData sheetId="49"/>
      <sheetData sheetId="50"/>
      <sheetData sheetId="51"/>
      <sheetData sheetId="5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Nothing Here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CAEACE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 codeName="Sheet1"/>
  <dimension ref="A1:H45"/>
  <sheetViews>
    <sheetView tabSelected="1" zoomScale="115" zoomScaleNormal="115" workbookViewId="0">
      <selection activeCell="G27" sqref="G27"/>
    </sheetView>
  </sheetViews>
  <sheetFormatPr defaultRowHeight="13.8" x14ac:dyDescent="0.25"/>
  <cols>
    <col min="1" max="1" width="12.21875" style="6" bestFit="1" customWidth="1"/>
    <col min="2" max="3" width="8.88671875" style="6"/>
    <col min="4" max="4" width="13.6640625" style="6" bestFit="1" customWidth="1"/>
    <col min="5" max="5" width="5" style="6" customWidth="1"/>
    <col min="6" max="6" width="28.44140625" style="6" bestFit="1" customWidth="1"/>
    <col min="7" max="7" width="8.88671875" style="6"/>
    <col min="8" max="8" width="21.88671875" style="6" bestFit="1" customWidth="1"/>
  </cols>
  <sheetData>
    <row r="1" spans="1:8" ht="17.399999999999999" x14ac:dyDescent="0.3">
      <c r="A1" s="1" t="s">
        <v>0</v>
      </c>
      <c r="B1" s="2"/>
      <c r="C1" s="2"/>
      <c r="D1" s="2"/>
      <c r="E1" s="2"/>
      <c r="F1" s="2"/>
      <c r="G1" s="2"/>
      <c r="H1" s="2"/>
    </row>
    <row r="2" spans="1:8" ht="26.4" x14ac:dyDescent="0.25">
      <c r="A2" s="3" t="s">
        <v>1</v>
      </c>
      <c r="B2" s="4" t="s">
        <v>2</v>
      </c>
      <c r="C2" s="5" t="s">
        <v>3</v>
      </c>
    </row>
    <row r="3" spans="1:8" x14ac:dyDescent="0.25">
      <c r="A3" s="7">
        <v>38867</v>
      </c>
      <c r="B3" s="6">
        <v>38.61</v>
      </c>
    </row>
    <row r="4" spans="1:8" x14ac:dyDescent="0.25">
      <c r="A4" s="7">
        <v>38868</v>
      </c>
      <c r="B4" s="6">
        <v>38.79</v>
      </c>
      <c r="C4" s="8">
        <f t="shared" ref="C4:C45" si="0">LN(B4/B3)</f>
        <v>4.6511711757308803E-3</v>
      </c>
      <c r="D4" s="6" t="str">
        <f ca="1">[2]!getformula(C4)</f>
        <v>&lt;-- =LN(B4/B3)</v>
      </c>
      <c r="F4" s="9" t="s">
        <v>4</v>
      </c>
    </row>
    <row r="5" spans="1:8" x14ac:dyDescent="0.25">
      <c r="A5" s="7">
        <v>38869</v>
      </c>
      <c r="B5" s="6">
        <v>39.71</v>
      </c>
      <c r="C5" s="8">
        <f t="shared" si="0"/>
        <v>2.344056369128443E-2</v>
      </c>
      <c r="D5" s="6" t="str">
        <f ca="1">[2]!getformula(C5)</f>
        <v>&lt;-- =LN(B5/B4)</v>
      </c>
      <c r="F5" s="6" t="s">
        <v>5</v>
      </c>
      <c r="G5" s="10">
        <f>AVERAGE($C$4:$C$45)</f>
        <v>-9.4344845722948891E-4</v>
      </c>
      <c r="H5" s="6" t="str">
        <f ca="1">[2]!getformula(G5)</f>
        <v>&lt;-- =AVERAGE($C$4:$C$45)</v>
      </c>
    </row>
    <row r="6" spans="1:8" x14ac:dyDescent="0.25">
      <c r="A6" s="7">
        <v>38870</v>
      </c>
      <c r="B6" s="6">
        <v>39.61</v>
      </c>
      <c r="C6" s="8">
        <f t="shared" si="0"/>
        <v>-2.5214335093348551E-3</v>
      </c>
      <c r="D6" s="6" t="str">
        <f ca="1">[2]!getformula(C6)</f>
        <v>&lt;-- =LN(B6/B5)</v>
      </c>
      <c r="F6" s="6" t="s">
        <v>6</v>
      </c>
      <c r="G6" s="8">
        <f>_xlfn.STDEV.P($C$4:$C$45)</f>
        <v>1.3065821907891679E-2</v>
      </c>
      <c r="H6" s="6" t="str">
        <f ca="1">[2]!getformula(G6)</f>
        <v>&lt;-- =STDEV.P($C$4:$C$45)</v>
      </c>
    </row>
    <row r="7" spans="1:8" x14ac:dyDescent="0.25">
      <c r="A7" s="7">
        <v>38873</v>
      </c>
      <c r="B7" s="6">
        <v>38.75</v>
      </c>
      <c r="C7" s="8">
        <f t="shared" si="0"/>
        <v>-2.1950855834469284E-2</v>
      </c>
      <c r="D7" s="6" t="str">
        <f ca="1">[2]!getformula(C7)</f>
        <v>&lt;-- =LN(B7/B6)</v>
      </c>
    </row>
    <row r="8" spans="1:8" x14ac:dyDescent="0.25">
      <c r="A8" s="7">
        <v>38874</v>
      </c>
      <c r="B8" s="6">
        <v>38.72</v>
      </c>
      <c r="C8" s="8">
        <f t="shared" si="0"/>
        <v>-7.7449339097978534E-4</v>
      </c>
      <c r="F8" s="6" t="s">
        <v>7</v>
      </c>
      <c r="G8" s="8">
        <f>G5*250</f>
        <v>-0.23586211430737222</v>
      </c>
      <c r="H8" s="6" t="str">
        <f ca="1">[2]!getformula(G8)</f>
        <v>&lt;-- =G5*250</v>
      </c>
    </row>
    <row r="9" spans="1:8" x14ac:dyDescent="0.25">
      <c r="A9" s="7">
        <v>38875</v>
      </c>
      <c r="B9" s="6">
        <v>38.43</v>
      </c>
      <c r="C9" s="8">
        <f t="shared" si="0"/>
        <v>-7.5178578316236382E-3</v>
      </c>
      <c r="F9" s="11" t="s">
        <v>8</v>
      </c>
      <c r="G9" s="12">
        <f>G6*SQRT(250)</f>
        <v>0.20658878365532224</v>
      </c>
      <c r="H9" s="6" t="str">
        <f ca="1">[2]!getformula(G9)</f>
        <v>&lt;-- =G6*SQRT(250)</v>
      </c>
    </row>
    <row r="10" spans="1:8" x14ac:dyDescent="0.25">
      <c r="A10" s="7">
        <v>38876</v>
      </c>
      <c r="B10" s="6">
        <v>38.369999999999997</v>
      </c>
      <c r="C10" s="8">
        <f t="shared" si="0"/>
        <v>-1.5625003178916682E-3</v>
      </c>
    </row>
    <row r="11" spans="1:8" x14ac:dyDescent="0.25">
      <c r="A11" s="7">
        <v>38877</v>
      </c>
      <c r="B11" s="6">
        <v>38.119999999999997</v>
      </c>
      <c r="C11" s="8">
        <f t="shared" si="0"/>
        <v>-6.5368254728596477E-3</v>
      </c>
    </row>
    <row r="12" spans="1:8" x14ac:dyDescent="0.25">
      <c r="A12" s="7">
        <v>38880</v>
      </c>
      <c r="B12" s="6">
        <v>37.369999999999997</v>
      </c>
      <c r="C12" s="8">
        <f t="shared" si="0"/>
        <v>-1.9870835288608859E-2</v>
      </c>
    </row>
    <row r="13" spans="1:8" x14ac:dyDescent="0.25">
      <c r="A13" s="7">
        <v>38881</v>
      </c>
      <c r="B13" s="6">
        <v>37.22</v>
      </c>
      <c r="C13" s="8">
        <f t="shared" si="0"/>
        <v>-4.0219922832878379E-3</v>
      </c>
    </row>
    <row r="14" spans="1:8" x14ac:dyDescent="0.25">
      <c r="A14" s="7">
        <v>38882</v>
      </c>
      <c r="B14" s="6">
        <v>37.6</v>
      </c>
      <c r="C14" s="8">
        <f t="shared" si="0"/>
        <v>1.0157799181744144E-2</v>
      </c>
    </row>
    <row r="15" spans="1:8" x14ac:dyDescent="0.25">
      <c r="A15" s="7">
        <v>38883</v>
      </c>
      <c r="B15" s="6">
        <v>38.619999999999997</v>
      </c>
      <c r="C15" s="8">
        <f t="shared" si="0"/>
        <v>2.6766226604519522E-2</v>
      </c>
    </row>
    <row r="16" spans="1:8" x14ac:dyDescent="0.25">
      <c r="A16" s="7">
        <v>38884</v>
      </c>
      <c r="B16" s="6">
        <v>38.340000000000003</v>
      </c>
      <c r="C16" s="8">
        <f t="shared" si="0"/>
        <v>-7.2765393828697483E-3</v>
      </c>
    </row>
    <row r="17" spans="1:3" x14ac:dyDescent="0.25">
      <c r="A17" s="7">
        <v>38887</v>
      </c>
      <c r="B17" s="6">
        <v>38.03</v>
      </c>
      <c r="C17" s="8">
        <f t="shared" si="0"/>
        <v>-8.1184156773302287E-3</v>
      </c>
    </row>
    <row r="18" spans="1:3" x14ac:dyDescent="0.25">
      <c r="A18" s="7">
        <v>38888</v>
      </c>
      <c r="B18" s="6">
        <v>38.08</v>
      </c>
      <c r="C18" s="8">
        <f t="shared" si="0"/>
        <v>1.3138879829962882E-3</v>
      </c>
    </row>
    <row r="19" spans="1:3" x14ac:dyDescent="0.25">
      <c r="A19" s="7">
        <v>38889</v>
      </c>
      <c r="B19" s="6">
        <v>38.68</v>
      </c>
      <c r="C19" s="8">
        <f t="shared" si="0"/>
        <v>1.5633460661928958E-2</v>
      </c>
    </row>
    <row r="20" spans="1:3" x14ac:dyDescent="0.25">
      <c r="A20" s="7">
        <v>38890</v>
      </c>
      <c r="B20" s="6">
        <v>38.19</v>
      </c>
      <c r="C20" s="8">
        <f t="shared" si="0"/>
        <v>-1.274896934766875E-2</v>
      </c>
    </row>
    <row r="21" spans="1:3" x14ac:dyDescent="0.25">
      <c r="A21" s="7">
        <v>38891</v>
      </c>
      <c r="B21" s="6">
        <v>38.15</v>
      </c>
      <c r="C21" s="8">
        <f t="shared" si="0"/>
        <v>-1.0479435069587911E-3</v>
      </c>
    </row>
    <row r="22" spans="1:3" x14ac:dyDescent="0.25">
      <c r="A22" s="7">
        <v>38894</v>
      </c>
      <c r="B22" s="6">
        <v>38.25</v>
      </c>
      <c r="C22" s="8">
        <f t="shared" si="0"/>
        <v>2.6178025420788799E-3</v>
      </c>
    </row>
    <row r="23" spans="1:3" x14ac:dyDescent="0.25">
      <c r="A23" s="7">
        <v>38895</v>
      </c>
      <c r="B23" s="6">
        <v>37.53</v>
      </c>
      <c r="C23" s="8">
        <f t="shared" si="0"/>
        <v>-1.9002947125615358E-2</v>
      </c>
    </row>
    <row r="24" spans="1:3" x14ac:dyDescent="0.25">
      <c r="A24" s="7">
        <v>38896</v>
      </c>
      <c r="B24" s="6">
        <v>37.81</v>
      </c>
      <c r="C24" s="8">
        <f t="shared" si="0"/>
        <v>7.433004755912076E-3</v>
      </c>
    </row>
    <row r="25" spans="1:3" x14ac:dyDescent="0.25">
      <c r="A25" s="7">
        <v>38897</v>
      </c>
      <c r="B25" s="6">
        <v>38.96</v>
      </c>
      <c r="C25" s="8">
        <f t="shared" si="0"/>
        <v>2.9961860871492794E-2</v>
      </c>
    </row>
    <row r="26" spans="1:3" x14ac:dyDescent="0.25">
      <c r="A26" s="7">
        <v>38898</v>
      </c>
      <c r="B26" s="6">
        <v>38.770000000000003</v>
      </c>
      <c r="C26" s="8">
        <f t="shared" si="0"/>
        <v>-4.8887270914965038E-3</v>
      </c>
    </row>
    <row r="27" spans="1:3" x14ac:dyDescent="0.25">
      <c r="A27" s="7">
        <v>38901</v>
      </c>
      <c r="B27" s="6">
        <v>39</v>
      </c>
      <c r="C27" s="8">
        <f t="shared" si="0"/>
        <v>5.914894446808607E-3</v>
      </c>
    </row>
    <row r="28" spans="1:3" x14ac:dyDescent="0.25">
      <c r="A28" s="7">
        <v>38903</v>
      </c>
      <c r="B28" s="6">
        <v>38.15</v>
      </c>
      <c r="C28" s="8">
        <f t="shared" si="0"/>
        <v>-2.2035888399180449E-2</v>
      </c>
    </row>
    <row r="29" spans="1:3" x14ac:dyDescent="0.25">
      <c r="A29" s="7">
        <v>38904</v>
      </c>
      <c r="B29" s="6">
        <v>38.11</v>
      </c>
      <c r="C29" s="8">
        <f t="shared" si="0"/>
        <v>-1.0490428446971174E-3</v>
      </c>
    </row>
    <row r="30" spans="1:3" x14ac:dyDescent="0.25">
      <c r="A30" s="7">
        <v>38905</v>
      </c>
      <c r="B30" s="6">
        <v>37.69</v>
      </c>
      <c r="C30" s="8">
        <f t="shared" si="0"/>
        <v>-1.1081907606724834E-2</v>
      </c>
    </row>
    <row r="31" spans="1:3" x14ac:dyDescent="0.25">
      <c r="A31" s="7">
        <v>38908</v>
      </c>
      <c r="B31" s="6">
        <v>37.36</v>
      </c>
      <c r="C31" s="8">
        <f t="shared" si="0"/>
        <v>-8.7941939184021205E-3</v>
      </c>
    </row>
    <row r="32" spans="1:3" x14ac:dyDescent="0.25">
      <c r="A32" s="7">
        <v>38909</v>
      </c>
      <c r="B32" s="6">
        <v>37.64</v>
      </c>
      <c r="C32" s="8">
        <f t="shared" si="0"/>
        <v>7.4667013565370699E-3</v>
      </c>
    </row>
    <row r="33" spans="1:3" x14ac:dyDescent="0.25">
      <c r="A33" s="7">
        <v>38910</v>
      </c>
      <c r="B33" s="6">
        <v>36.93</v>
      </c>
      <c r="C33" s="8">
        <f t="shared" si="0"/>
        <v>-1.9043085852707087E-2</v>
      </c>
    </row>
    <row r="34" spans="1:3" x14ac:dyDescent="0.25">
      <c r="A34" s="7">
        <v>38911</v>
      </c>
      <c r="B34" s="6">
        <v>36.31</v>
      </c>
      <c r="C34" s="8">
        <f t="shared" si="0"/>
        <v>-1.6931043438227305E-2</v>
      </c>
    </row>
    <row r="35" spans="1:3" x14ac:dyDescent="0.25">
      <c r="A35" s="7">
        <v>38912</v>
      </c>
      <c r="B35" s="6">
        <v>35.94</v>
      </c>
      <c r="C35" s="8">
        <f t="shared" si="0"/>
        <v>-1.024230407083157E-2</v>
      </c>
    </row>
    <row r="36" spans="1:3" x14ac:dyDescent="0.25">
      <c r="A36" s="7">
        <v>38915</v>
      </c>
      <c r="B36" s="6">
        <v>36.03</v>
      </c>
      <c r="C36" s="8">
        <f t="shared" si="0"/>
        <v>2.5010434045888729E-3</v>
      </c>
    </row>
    <row r="37" spans="1:3" x14ac:dyDescent="0.25">
      <c r="A37" s="7">
        <v>38916</v>
      </c>
      <c r="B37" s="6">
        <v>36.15</v>
      </c>
      <c r="C37" s="8">
        <f t="shared" si="0"/>
        <v>3.3250238447716947E-3</v>
      </c>
    </row>
    <row r="38" spans="1:3" x14ac:dyDescent="0.25">
      <c r="A38" s="7">
        <v>38917</v>
      </c>
      <c r="B38" s="6">
        <v>36.619999999999997</v>
      </c>
      <c r="C38" s="8">
        <f t="shared" si="0"/>
        <v>1.2917590641590914E-2</v>
      </c>
    </row>
    <row r="39" spans="1:3" x14ac:dyDescent="0.25">
      <c r="A39" s="7">
        <v>38918</v>
      </c>
      <c r="B39" s="6">
        <v>36.08</v>
      </c>
      <c r="C39" s="8">
        <f t="shared" si="0"/>
        <v>-1.4855844051941671E-2</v>
      </c>
    </row>
    <row r="40" spans="1:3" x14ac:dyDescent="0.25">
      <c r="A40" s="7">
        <v>38919</v>
      </c>
      <c r="B40" s="6">
        <v>35.700000000000003</v>
      </c>
      <c r="C40" s="8">
        <f t="shared" si="0"/>
        <v>-1.0588006408829372E-2</v>
      </c>
    </row>
    <row r="41" spans="1:3" x14ac:dyDescent="0.25">
      <c r="A41" s="7">
        <v>38922</v>
      </c>
      <c r="B41" s="6">
        <v>36.409999999999997</v>
      </c>
      <c r="C41" s="8">
        <f t="shared" si="0"/>
        <v>1.9692773401748614E-2</v>
      </c>
    </row>
    <row r="42" spans="1:3" x14ac:dyDescent="0.25">
      <c r="A42" s="7">
        <v>38923</v>
      </c>
      <c r="B42" s="6">
        <v>36.619999999999997</v>
      </c>
      <c r="C42" s="8">
        <f t="shared" si="0"/>
        <v>5.751077059022518E-3</v>
      </c>
    </row>
    <row r="43" spans="1:3" x14ac:dyDescent="0.25">
      <c r="A43" s="7">
        <v>38924</v>
      </c>
      <c r="B43" s="6">
        <v>36.590000000000003</v>
      </c>
      <c r="C43" s="8">
        <f t="shared" si="0"/>
        <v>-8.195602152490459E-4</v>
      </c>
    </row>
    <row r="44" spans="1:3" x14ac:dyDescent="0.25">
      <c r="A44" s="7">
        <v>38925</v>
      </c>
      <c r="B44" s="6">
        <v>36.35</v>
      </c>
      <c r="C44" s="8">
        <f t="shared" si="0"/>
        <v>-6.5807750515870884E-3</v>
      </c>
    </row>
    <row r="45" spans="1:3" x14ac:dyDescent="0.25">
      <c r="A45" s="7">
        <v>38926</v>
      </c>
      <c r="B45" s="6">
        <v>37.11</v>
      </c>
      <c r="C45" s="8">
        <f t="shared" si="0"/>
        <v>2.0692271092977815E-2</v>
      </c>
    </row>
  </sheetData>
  <mergeCells count="1">
    <mergeCell ref="A1:H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2024-11-27T03:17:19Z</dcterms:modified>
</cp:coreProperties>
</file>