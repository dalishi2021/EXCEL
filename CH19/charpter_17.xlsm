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FD1DCCF4-F822-4486-9D36-4B0B3E26FED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2" i="1"/>
  <c r="C14" i="1"/>
  <c r="C13" i="1"/>
  <c r="C11" i="1"/>
  <c r="B13" i="1"/>
  <c r="B12" i="1"/>
  <c r="B14" i="1" l="1"/>
  <c r="B17" i="1" s="1"/>
</calcChain>
</file>

<file path=xl/sharedStrings.xml><?xml version="1.0" encoding="utf-8"?>
<sst xmlns="http://schemas.openxmlformats.org/spreadsheetml/2006/main" count="15" uniqueCount="14">
  <si>
    <t>ABN-AMRO AIRBAG SENSITIVITY TO TIME TO MATURITY AND SIGMA</t>
  </si>
  <si>
    <r>
      <t>Stoxx50 price today, S</t>
    </r>
    <r>
      <rPr>
        <vertAlign val="subscript"/>
        <sz val="10"/>
        <rFont val="Arial"/>
        <family val="2"/>
      </rPr>
      <t>0</t>
    </r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</si>
  <si>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</si>
  <si>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</si>
  <si>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t>Y</t>
  </si>
  <si>
    <t>Risk-free interest rate for 5 years, r</t>
  </si>
  <si>
    <t>Time to maturity, T</t>
  </si>
  <si>
    <t>Volatility of the Stoxx50, sigma</t>
  </si>
  <si>
    <t>Airbag components, value today</t>
  </si>
  <si>
    <r>
      <t xml:space="preserve">     Bond paying 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at maturity</t>
    </r>
  </si>
  <si>
    <r>
      <t xml:space="preserve">     Y/X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* written puts with exercise X</t>
    </r>
    <r>
      <rPr>
        <vertAlign val="subscript"/>
        <sz val="10"/>
        <rFont val="Arial"/>
        <family val="2"/>
      </rPr>
      <t>1</t>
    </r>
  </si>
  <si>
    <r>
      <t xml:space="preserve">     Purchased call with exercise X</t>
    </r>
    <r>
      <rPr>
        <vertAlign val="subscript"/>
        <sz val="10"/>
        <rFont val="Arial"/>
        <family val="2"/>
      </rPr>
      <t>2</t>
    </r>
  </si>
  <si>
    <t>Value of structured security today</t>
  </si>
  <si>
    <t>Volatility of the Stoxx50, sigma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</si>
</sst>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176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/>
    <xf numFmtId="0" fontId="0" fillId="0" borderId="0" xfId="0" applyAlignment="1"/>
    <xf numFmtId="4" fontId="0" fillId="0" borderId="0" xfId="0" applyNumberFormat="1" applyAlignment="1"/>
    <xf numFmtId="9" fontId="2" fillId="0" borderId="0" xfId="1" applyAlignment="1"/>
    <xf numFmtId="176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9" fontId="4" fillId="0" borderId="0" xfId="1" applyFont="1" applyAlignment="1"/>
    <xf numFmtId="2" fontId="0" fillId="0" borderId="0" xfId="0" applyNumberFormat="1" applyAlignment="1"/>
    <xf numFmtId="2" fontId="0" fillId="2" borderId="0" xfId="0" applyNumberFormat="1" applyFill="1" applyAlignment="1"/>
    <xf numFmtId="0" fontId="6" fillId="0" borderId="0" xfId="0" applyFont="1" applyAlignment="1"/>
    <xf numFmtId="9" fontId="6" fillId="0" borderId="0" xfId="0" applyNumberFormat="1" applyFont="1" applyAlignment="1"/>
    <xf numFmtId="0" fontId="6" fillId="0" borderId="0" xfId="0" applyFont="1" applyAlignment="1">
      <alignment horizontal="right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868680</xdr:colOff>
      <xdr:row>16</xdr:row>
      <xdr:rowOff>30480</xdr:rowOff>
    </xdr:from>
    <xdr:to>
      <xdr:col>0</xdr:col>
      <xdr:colOff>1417320</xdr:colOff>
      <xdr:row>19</xdr:row>
      <xdr:rowOff>38100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6E745D6F-5654-4668-9F31-AE9DA05FE89B}"/>
            </a:ext>
          </a:extLst>
        </xdr:cNvPr>
        <xdr:cNvSpPr txBox="1">
          <a:spLocks noChangeArrowheads="1"/>
        </xdr:cNvSpPr>
      </xdr:nvSpPr>
      <xdr:spPr bwMode="auto">
        <a:xfrm>
          <a:off x="866775" y="3038475"/>
          <a:ext cx="552450" cy="523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0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Data table header:</a:t>
          </a:r>
        </a:p>
        <a:p>
          <a:pPr algn="l" rtl="0">
            <a:lnSpc>
              <a:spcPts val="9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=B14</a:t>
          </a:r>
        </a:p>
      </xdr:txBody>
    </xdr:sp>
    <xdr:clientData/>
  </xdr:twoCellAnchor>
  <xdr:twoCellAnchor>
    <xdr:from>
      <xdr:col>0</xdr:col>
      <xdr:colOff>1447800</xdr:colOff>
      <xdr:row>16</xdr:row>
      <xdr:rowOff>91440</xdr:rowOff>
    </xdr:from>
    <xdr:to>
      <xdr:col>1</xdr:col>
      <xdr:colOff>45720</xdr:colOff>
      <xdr:row>18</xdr:row>
      <xdr:rowOff>60960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A31EEA5C-E569-438B-8F60-1F87392A2413}"/>
            </a:ext>
          </a:extLst>
        </xdr:cNvPr>
        <xdr:cNvSpPr>
          <a:spLocks noChangeShapeType="1"/>
        </xdr:cNvSpPr>
      </xdr:nvSpPr>
      <xdr:spPr bwMode="auto">
        <a:xfrm flipV="1">
          <a:off x="1447800" y="3105150"/>
          <a:ext cx="184785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152400</xdr:colOff>
      <xdr:row>5</xdr:row>
      <xdr:rowOff>68580</xdr:rowOff>
    </xdr:from>
    <xdr:to>
      <xdr:col>22</xdr:col>
      <xdr:colOff>457200</xdr:colOff>
      <xdr:row>32</xdr:row>
      <xdr:rowOff>171450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C95809A-64BE-6745-6144-39399E865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983980" y="1059180"/>
          <a:ext cx="7620000" cy="4892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>
        <row r="12">
          <cell r="B12" t="str">
            <v>Airbag definition</v>
          </cell>
        </row>
      </sheetData>
      <sheetData sheetId="30" refreshError="1"/>
      <sheetData sheetId="31">
        <row r="18">
          <cell r="A18">
            <v>1.0000000000000001E-5</v>
          </cell>
        </row>
      </sheetData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27"/>
  <sheetViews>
    <sheetView tabSelected="1" zoomScale="115" zoomScaleNormal="115" workbookViewId="0">
      <selection activeCell="G23" sqref="G23"/>
    </sheetView>
  </sheetViews>
  <sheetFormatPr defaultRowHeight="13.8" x14ac:dyDescent="0.25"/>
  <cols>
    <col min="1" max="1" width="47.33203125" style="6" customWidth="1"/>
    <col min="2" max="2" width="8.88671875" style="6"/>
    <col min="3" max="3" width="10.33203125" style="6" customWidth="1"/>
    <col min="4" max="8" width="8.88671875" style="6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ht="15.6" x14ac:dyDescent="0.25">
      <c r="A2" s="2" t="s">
        <v>1</v>
      </c>
      <c r="B2" s="3">
        <v>2158</v>
      </c>
      <c r="C2" s="4"/>
      <c r="D2" s="5"/>
      <c r="E2" s="5"/>
      <c r="F2" s="5"/>
      <c r="G2" s="5"/>
      <c r="H2" s="5"/>
    </row>
    <row r="3" spans="1:8" ht="15.6" x14ac:dyDescent="0.35">
      <c r="A3" s="6" t="s">
        <v>2</v>
      </c>
      <c r="B3" s="7">
        <v>1618.5</v>
      </c>
      <c r="F3" s="8"/>
    </row>
    <row r="4" spans="1:8" ht="15.6" x14ac:dyDescent="0.35">
      <c r="A4" s="6" t="s">
        <v>3</v>
      </c>
      <c r="B4" s="9">
        <v>2158</v>
      </c>
      <c r="F4" s="8"/>
    </row>
    <row r="5" spans="1:8" x14ac:dyDescent="0.25">
      <c r="A5" s="6" t="s">
        <v>4</v>
      </c>
      <c r="B5" s="9">
        <v>1000</v>
      </c>
      <c r="F5" s="8"/>
    </row>
    <row r="6" spans="1:8" x14ac:dyDescent="0.25">
      <c r="A6" s="6" t="s">
        <v>5</v>
      </c>
      <c r="B6" s="10">
        <v>7.0000000000000007E-2</v>
      </c>
      <c r="F6" s="8"/>
    </row>
    <row r="7" spans="1:8" x14ac:dyDescent="0.25">
      <c r="A7" s="6" t="s">
        <v>6</v>
      </c>
      <c r="B7" s="6">
        <v>5</v>
      </c>
      <c r="F7" s="8"/>
    </row>
    <row r="8" spans="1:8" x14ac:dyDescent="0.25">
      <c r="A8" s="11" t="s">
        <v>7</v>
      </c>
      <c r="B8" s="12">
        <v>0.15752983070001214</v>
      </c>
      <c r="F8" s="8"/>
    </row>
    <row r="9" spans="1:8" x14ac:dyDescent="0.25">
      <c r="F9" s="13"/>
    </row>
    <row r="10" spans="1:8" x14ac:dyDescent="0.25">
      <c r="A10" s="6" t="s">
        <v>8</v>
      </c>
    </row>
    <row r="11" spans="1:8" ht="15.6" x14ac:dyDescent="0.35">
      <c r="A11" s="6" t="s">
        <v>9</v>
      </c>
      <c r="B11" s="14">
        <f>EXP(-B6*B7)*B5</f>
        <v>704.6880897187134</v>
      </c>
      <c r="C11" s="6" t="str">
        <f ca="1">[2]!getformula(B11)</f>
        <v>&lt;--  =EXP(-B6*B7)*B5</v>
      </c>
    </row>
    <row r="12" spans="1:8" ht="15.6" x14ac:dyDescent="0.35">
      <c r="A12" s="6" t="s">
        <v>10</v>
      </c>
      <c r="B12" s="14">
        <f>-B5/B3*[2]!BSPut(B2,B3,B7,B6,B8)</f>
        <v>-4.6930582752159689</v>
      </c>
      <c r="C12" s="6" t="str">
        <f ca="1">[2]!getformula(B12)</f>
        <v>&lt;--  =-B5/B3*BSPut(B2,B3,B7,B6,B8)</v>
      </c>
    </row>
    <row r="13" spans="1:8" ht="15.6" x14ac:dyDescent="0.35">
      <c r="A13" s="6" t="s">
        <v>11</v>
      </c>
      <c r="B13" s="14">
        <f>B5/B4*[2]!BSCall(B2,B4,B7,B6,B8)</f>
        <v>320.00515321814885</v>
      </c>
      <c r="C13" s="6" t="str">
        <f ca="1">[2]!getformula(B13)</f>
        <v>&lt;--  =B5/B4*BSCall(B2,B4,B7,B6,B8)</v>
      </c>
    </row>
    <row r="14" spans="1:8" x14ac:dyDescent="0.25">
      <c r="A14" s="11" t="s">
        <v>12</v>
      </c>
      <c r="B14" s="15">
        <f>SUM(B11:B13)</f>
        <v>1020.0001846616462</v>
      </c>
      <c r="C14" s="6" t="str">
        <f ca="1">[2]!getformula(B14)</f>
        <v>&lt;--  =SUM(B11:B13)</v>
      </c>
    </row>
    <row r="16" spans="1:8" x14ac:dyDescent="0.25">
      <c r="C16" s="16" t="s">
        <v>6</v>
      </c>
    </row>
    <row r="17" spans="1:8" x14ac:dyDescent="0.25">
      <c r="B17" s="14">
        <f>B14</f>
        <v>1020.0001846616462</v>
      </c>
      <c r="C17" s="16">
        <v>5</v>
      </c>
      <c r="D17" s="16">
        <v>4</v>
      </c>
      <c r="E17" s="16">
        <v>3</v>
      </c>
      <c r="F17" s="16">
        <v>2</v>
      </c>
      <c r="G17" s="16">
        <v>1</v>
      </c>
      <c r="H17" s="16">
        <v>1E-4</v>
      </c>
    </row>
    <row r="18" spans="1:8" x14ac:dyDescent="0.25">
      <c r="B18" s="17">
        <v>0.05</v>
      </c>
      <c r="C18" s="14">
        <f t="dataTable" ref="C18:H27" dt2D="1" dtr="1" r1="B7" r2="B8"/>
        <v>1000.0224205194984</v>
      </c>
      <c r="D18" s="14">
        <v>1000.066095036909</v>
      </c>
      <c r="E18" s="14">
        <v>1000.1965943969262</v>
      </c>
      <c r="F18" s="14">
        <v>1000.5903830795392</v>
      </c>
      <c r="G18" s="14">
        <v>1001.7699563441928</v>
      </c>
      <c r="H18" s="14">
        <v>1000.1959900000098</v>
      </c>
    </row>
    <row r="19" spans="1:8" x14ac:dyDescent="0.25">
      <c r="B19" s="17">
        <v>0.1</v>
      </c>
      <c r="C19" s="14">
        <v>1004.573643263951</v>
      </c>
      <c r="D19" s="14">
        <v>1006.2193741722028</v>
      </c>
      <c r="E19" s="14">
        <v>1008.3997265142982</v>
      </c>
      <c r="F19" s="14">
        <v>1011.126897237637</v>
      </c>
      <c r="G19" s="14">
        <v>1013.78198230108</v>
      </c>
      <c r="H19" s="14">
        <v>1000.3954506537464</v>
      </c>
    </row>
    <row r="20" spans="1:8" x14ac:dyDescent="0.25">
      <c r="B20" s="17">
        <v>0.15</v>
      </c>
      <c r="C20" s="14">
        <v>1017.8405928278039</v>
      </c>
      <c r="D20" s="14">
        <v>1021.0929277439229</v>
      </c>
      <c r="E20" s="14">
        <v>1024.722997454503</v>
      </c>
      <c r="F20" s="14">
        <v>1028.2831153878428</v>
      </c>
      <c r="G20" s="14">
        <v>1029.6492158548815</v>
      </c>
      <c r="H20" s="14">
        <v>1000.5949177983323</v>
      </c>
    </row>
    <row r="21" spans="1:8" x14ac:dyDescent="0.25">
      <c r="B21" s="17">
        <v>0.2</v>
      </c>
      <c r="C21" s="14">
        <v>1031.1051141048365</v>
      </c>
      <c r="D21" s="14">
        <v>1035.2146954742216</v>
      </c>
      <c r="E21" s="14">
        <v>1039.61166145371</v>
      </c>
      <c r="F21" s="14">
        <v>1043.6878783600205</v>
      </c>
      <c r="G21" s="14">
        <v>1044.5435212703296</v>
      </c>
      <c r="H21" s="14">
        <v>1000.7943865345047</v>
      </c>
    </row>
    <row r="22" spans="1:8" x14ac:dyDescent="0.25">
      <c r="A22" s="18" t="s">
        <v>13</v>
      </c>
      <c r="B22" s="17">
        <v>0.25</v>
      </c>
      <c r="C22" s="14">
        <v>1040.8408427455786</v>
      </c>
      <c r="D22" s="14">
        <v>1045.4832522873708</v>
      </c>
      <c r="E22" s="14">
        <v>1050.4448387553971</v>
      </c>
      <c r="F22" s="14">
        <v>1055.1383620557485</v>
      </c>
      <c r="G22" s="14">
        <v>1056.5368162510445</v>
      </c>
      <c r="H22" s="14">
        <v>1000.9938558724089</v>
      </c>
    </row>
    <row r="23" spans="1:8" x14ac:dyDescent="0.25">
      <c r="B23" s="17">
        <v>0.3</v>
      </c>
      <c r="C23" s="14">
        <v>1047.1623853277938</v>
      </c>
      <c r="D23" s="14">
        <v>1052.2207161216202</v>
      </c>
      <c r="E23" s="14">
        <v>1057.6930596875084</v>
      </c>
      <c r="F23" s="14">
        <v>1063.0863506703954</v>
      </c>
      <c r="G23" s="14">
        <v>1065.5770818996011</v>
      </c>
      <c r="H23" s="14">
        <v>1001.1933254737787</v>
      </c>
    </row>
    <row r="24" spans="1:8" x14ac:dyDescent="0.25">
      <c r="B24" s="17">
        <v>0.35</v>
      </c>
      <c r="C24" s="14">
        <v>1050.8645685322222</v>
      </c>
      <c r="D24" s="14">
        <v>1056.2922081841466</v>
      </c>
      <c r="E24" s="14">
        <v>1062.2573452487522</v>
      </c>
      <c r="F24" s="14">
        <v>1068.3859969880118</v>
      </c>
      <c r="G24" s="14">
        <v>1072.1948331193032</v>
      </c>
      <c r="H24" s="14">
        <v>1001.3927951865192</v>
      </c>
    </row>
    <row r="25" spans="1:8" x14ac:dyDescent="0.25">
      <c r="B25" s="17">
        <v>0.4</v>
      </c>
      <c r="C25" s="14">
        <v>1052.6642092093457</v>
      </c>
      <c r="D25" s="14">
        <v>1058.4350413480145</v>
      </c>
      <c r="E25" s="14">
        <v>1064.8797369496108</v>
      </c>
      <c r="F25" s="14">
        <v>1071.7492108387673</v>
      </c>
      <c r="G25" s="14">
        <v>1076.9457018010548</v>
      </c>
      <c r="H25" s="14">
        <v>1001.592264928349</v>
      </c>
    </row>
    <row r="26" spans="1:8" x14ac:dyDescent="0.25">
      <c r="B26" s="17">
        <v>0.45</v>
      </c>
      <c r="C26" s="14">
        <v>1053.0981806335581</v>
      </c>
      <c r="D26" s="14">
        <v>1059.1896180134315</v>
      </c>
      <c r="E26" s="14">
        <v>1066.0970664872393</v>
      </c>
      <c r="F26" s="14">
        <v>1073.6951056640121</v>
      </c>
      <c r="G26" s="14">
        <v>1080.2774915124335</v>
      </c>
      <c r="H26" s="14">
        <v>1001.7917346480156</v>
      </c>
    </row>
    <row r="27" spans="1:8" x14ac:dyDescent="0.25">
      <c r="B27" s="17">
        <v>0.5</v>
      </c>
      <c r="C27" s="14">
        <v>1052.5531355035525</v>
      </c>
      <c r="D27" s="14">
        <v>1058.9405982534443</v>
      </c>
      <c r="E27" s="14">
        <v>1066.2886817800263</v>
      </c>
      <c r="F27" s="14">
        <v>1074.5921778818697</v>
      </c>
      <c r="G27" s="14">
        <v>1082.5265172328359</v>
      </c>
      <c r="H27" s="14">
        <v>1001.9912043097804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2024-11-28T09:40:14Z</dcterms:modified>
</cp:coreProperties>
</file>