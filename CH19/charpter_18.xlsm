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CC0B642F-4ACB-4052-ABAA-D167ED21884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  <sheet name="Page 535, picture" sheetId="2" r:id="rId2"/>
  </sheets>
  <externalReferences>
    <externalReference r:id="rId3"/>
    <externalReference r:id="rId4"/>
    <externalReference r:id="rId5"/>
    <externalReference r:id="rId6"/>
  </externalReferences>
  <definedNames>
    <definedName name="Call" localSheetId="1">'[1]Page 298-299'!$B$15</definedName>
    <definedName name="Call">'[2]UN16A, UN16B'!$B$15</definedName>
    <definedName name="implied_call_volatility" localSheetId="1">'[1]Page 304'!$B$13</definedName>
    <definedName name="implied_call_volatility">[2]UN16F!$B$13</definedName>
    <definedName name="interest" localSheetId="1">'[1]Page 300'!$B$6</definedName>
    <definedName name="interest">[2]UN16C!$B$6</definedName>
    <definedName name="r_" localSheetId="1">'[1]Page 300'!$B$6</definedName>
    <definedName name="r_">[2]UN16C!$B$6</definedName>
    <definedName name="S" localSheetId="1">'[1]Page 300'!$B$3</definedName>
    <definedName name="S">[2]UN16C!$B$3</definedName>
    <definedName name="sigma" localSheetId="1">'[1]Page 300'!$B$7</definedName>
    <definedName name="sigma">[2]UN16C!$B$7</definedName>
    <definedName name="T" localSheetId="1">'[1]Page 300'!$B$5</definedName>
    <definedName name="T">[2]UN16C!$B$5</definedName>
    <definedName name="target_call_price" localSheetId="1">'[1]Page 304'!$B$11</definedName>
    <definedName name="target_call_price">[2]UN16F!$B$11</definedName>
    <definedName name="X" localSheetId="1">'[1]Page 300'!$B$4</definedName>
    <definedName name="X">[2]UN16C!$B$4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10" i="1" s="1"/>
  <c r="B3" i="1"/>
  <c r="B6" i="1" s="1"/>
  <c r="C10" i="1" s="1"/>
  <c r="C6" i="1"/>
  <c r="C5" i="1"/>
  <c r="C3" i="1"/>
</calcChain>
</file>

<file path=xl/sharedStrings.xml><?xml version="1.0" encoding="utf-8"?>
<sst xmlns="http://schemas.openxmlformats.org/spreadsheetml/2006/main" count="13" uniqueCount="13">
  <si>
    <t>Time</t>
  </si>
  <si>
    <r>
      <t>1,000-25.641*Max(39-S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>,0)</t>
    </r>
  </si>
  <si>
    <t>EQUIVALENCE OF 2 WAYS OF WRITING THE PAYOFF</t>
  </si>
  <si>
    <r>
      <t>Cisco price, 23 July 2002, S</t>
    </r>
    <r>
      <rPr>
        <vertAlign val="subscript"/>
        <sz val="10"/>
        <rFont val="Arial"/>
        <family val="2"/>
      </rPr>
      <t>T</t>
    </r>
  </si>
  <si>
    <t>Payoff ratio</t>
  </si>
  <si>
    <t>Terminal payoff</t>
  </si>
  <si>
    <t xml:space="preserve">     As described by UBS</t>
  </si>
  <si>
    <t xml:space="preserve">     In option terms</t>
  </si>
  <si>
    <t>Data table:  Comparing the payoff on Cisco-linked GOALS</t>
  </si>
  <si>
    <r>
      <t>Cisco stock price
on 23 July 2002, S</t>
    </r>
    <r>
      <rPr>
        <b/>
        <vertAlign val="subscript"/>
        <sz val="10"/>
        <rFont val="Arial"/>
        <family val="2"/>
      </rPr>
      <t>T</t>
    </r>
  </si>
  <si>
    <t>UBS
description</t>
  </si>
  <si>
    <t>Alternative
option description</t>
  </si>
  <si>
    <t>&lt;-- Data table headers, B5 and B6 respectively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</si>
</sst>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6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vertAlign val="subscript"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3" fillId="0" borderId="0"/>
  </cellStyleXfs>
  <cellXfs count="18">
    <xf numFmtId="0" fontId="0" fillId="0" borderId="0" xfId="0">
      <alignment vertical="center"/>
    </xf>
    <xf numFmtId="0" fontId="3" fillId="0" borderId="0" xfId="2"/>
    <xf numFmtId="0" fontId="3" fillId="0" borderId="1" xfId="2" applyBorder="1" applyAlignment="1">
      <alignment horizontal="center"/>
    </xf>
    <xf numFmtId="0" fontId="3" fillId="0" borderId="0" xfId="2" applyAlignment="1">
      <alignment horizontal="center"/>
    </xf>
    <xf numFmtId="3" fontId="3" fillId="0" borderId="0" xfId="2" applyNumberFormat="1" applyAlignment="1">
      <alignment horizontal="center"/>
    </xf>
    <xf numFmtId="2" fontId="3" fillId="0" borderId="0" xfId="2" applyNumberForma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/>
    <xf numFmtId="176" fontId="0" fillId="0" borderId="0" xfId="0" applyNumberFormat="1" applyAlignment="1"/>
    <xf numFmtId="0" fontId="0" fillId="2" borderId="0" xfId="0" applyFill="1" applyAlignment="1"/>
    <xf numFmtId="4" fontId="2" fillId="2" borderId="0" xfId="1" applyNumberFormat="1" applyFill="1" applyAlignment="1"/>
    <xf numFmtId="4" fontId="0" fillId="2" borderId="0" xfId="0" applyNumberFormat="1" applyFill="1" applyAlignment="1"/>
    <xf numFmtId="4" fontId="0" fillId="0" borderId="0" xfId="0" applyNumberFormat="1" applyAlignment="1"/>
    <xf numFmtId="0" fontId="6" fillId="0" borderId="0" xfId="0" applyFont="1" applyAlignment="1"/>
    <xf numFmtId="0" fontId="0" fillId="0" borderId="0" xfId="0" applyAlignment="1">
      <alignment wrapText="1"/>
    </xf>
    <xf numFmtId="0" fontId="7" fillId="0" borderId="0" xfId="0" applyFont="1" applyAlignment="1">
      <alignment horizontal="center" wrapText="1"/>
    </xf>
    <xf numFmtId="2" fontId="0" fillId="0" borderId="0" xfId="0" applyNumberFormat="1" applyAlignment="1"/>
    <xf numFmtId="0" fontId="0" fillId="0" borderId="0" xfId="0" applyAlignment="1">
      <alignment horizontal="center"/>
    </xf>
  </cellXfs>
  <cellStyles count="3">
    <cellStyle name="常规" xfId="0" builtinId="0"/>
    <cellStyle name="常规 2" xfId="2" xr:uid="{240AE1F9-B917-4B0E-966A-66218FE2ED28}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UBS Cisco-Lined GOALS Terminal Payoff</a:t>
            </a:r>
          </a:p>
        </c:rich>
      </c:tx>
      <c:layout>
        <c:manualLayout>
          <c:xMode val="edge"/>
          <c:yMode val="edge"/>
          <c:x val="0.19444493049479927"/>
          <c:y val="4.02477846209817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51896461447564"/>
          <c:y val="0.15789491586020174"/>
          <c:w val="0.73379857714175434"/>
          <c:h val="0.68730728080323122"/>
        </c:manualLayout>
      </c:layout>
      <c:scatterChart>
        <c:scatterStyle val="lineMarker"/>
        <c:varyColors val="0"/>
        <c:ser>
          <c:idx val="0"/>
          <c:order val="0"/>
          <c:tx>
            <c:strRef>
              <c:f>'[3]Page 535'!$B$9</c:f>
              <c:strCache>
                <c:ptCount val="1"/>
                <c:pt idx="0">
                  <c:v>UBS
description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'[3]Page 535'!$A$10:$A$28</c:f>
              <c:numCache>
                <c:formatCode>General</c:formatCode>
                <c:ptCount val="19"/>
                <c:pt idx="1">
                  <c:v>0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30</c:v>
                </c:pt>
                <c:pt idx="9">
                  <c:v>32</c:v>
                </c:pt>
                <c:pt idx="10">
                  <c:v>34</c:v>
                </c:pt>
                <c:pt idx="11">
                  <c:v>38</c:v>
                </c:pt>
                <c:pt idx="12">
                  <c:v>39</c:v>
                </c:pt>
                <c:pt idx="13">
                  <c:v>40</c:v>
                </c:pt>
                <c:pt idx="14">
                  <c:v>42</c:v>
                </c:pt>
                <c:pt idx="15">
                  <c:v>44</c:v>
                </c:pt>
                <c:pt idx="16">
                  <c:v>46</c:v>
                </c:pt>
                <c:pt idx="17">
                  <c:v>47</c:v>
                </c:pt>
                <c:pt idx="18">
                  <c:v>50</c:v>
                </c:pt>
              </c:numCache>
            </c:numRef>
          </c:xVal>
          <c:yVal>
            <c:numRef>
              <c:f>'[3]Page 535'!$B$10:$B$28</c:f>
              <c:numCache>
                <c:formatCode>#,##0.00</c:formatCode>
                <c:ptCount val="19"/>
                <c:pt idx="0" formatCode="0.00">
                  <c:v>820.51282051282055</c:v>
                </c:pt>
                <c:pt idx="1">
                  <c:v>0</c:v>
                </c:pt>
                <c:pt idx="2">
                  <c:v>256.41025641025641</c:v>
                </c:pt>
                <c:pt idx="3">
                  <c:v>384.61538461538464</c:v>
                </c:pt>
                <c:pt idx="4">
                  <c:v>512.82051282051282</c:v>
                </c:pt>
                <c:pt idx="5">
                  <c:v>564.10256410256409</c:v>
                </c:pt>
                <c:pt idx="6">
                  <c:v>615.38461538461547</c:v>
                </c:pt>
                <c:pt idx="7">
                  <c:v>666.66666666666674</c:v>
                </c:pt>
                <c:pt idx="8">
                  <c:v>769.23076923076928</c:v>
                </c:pt>
                <c:pt idx="9">
                  <c:v>820.51282051282055</c:v>
                </c:pt>
                <c:pt idx="10">
                  <c:v>871.79487179487182</c:v>
                </c:pt>
                <c:pt idx="11">
                  <c:v>974.35897435897436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AC-4A3E-8A91-E22369111C83}"/>
            </c:ext>
          </c:extLst>
        </c:ser>
        <c:ser>
          <c:idx val="1"/>
          <c:order val="1"/>
          <c:tx>
            <c:strRef>
              <c:f>'[3]Page 535'!$C$9</c:f>
              <c:strCache>
                <c:ptCount val="1"/>
                <c:pt idx="0">
                  <c:v>Alternative
option description</c:v>
                </c:pt>
              </c:strCache>
            </c:strRef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'[3]Page 535'!$A$10:$A$28</c:f>
              <c:numCache>
                <c:formatCode>General</c:formatCode>
                <c:ptCount val="19"/>
                <c:pt idx="1">
                  <c:v>0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30</c:v>
                </c:pt>
                <c:pt idx="9">
                  <c:v>32</c:v>
                </c:pt>
                <c:pt idx="10">
                  <c:v>34</c:v>
                </c:pt>
                <c:pt idx="11">
                  <c:v>38</c:v>
                </c:pt>
                <c:pt idx="12">
                  <c:v>39</c:v>
                </c:pt>
                <c:pt idx="13">
                  <c:v>40</c:v>
                </c:pt>
                <c:pt idx="14">
                  <c:v>42</c:v>
                </c:pt>
                <c:pt idx="15">
                  <c:v>44</c:v>
                </c:pt>
                <c:pt idx="16">
                  <c:v>46</c:v>
                </c:pt>
                <c:pt idx="17">
                  <c:v>47</c:v>
                </c:pt>
                <c:pt idx="18">
                  <c:v>50</c:v>
                </c:pt>
              </c:numCache>
            </c:numRef>
          </c:xVal>
          <c:yVal>
            <c:numRef>
              <c:f>'[3]Page 535'!$C$10:$C$28</c:f>
              <c:numCache>
                <c:formatCode>#,##0.00</c:formatCode>
                <c:ptCount val="19"/>
                <c:pt idx="0" formatCode="0.00">
                  <c:v>820.51282051282055</c:v>
                </c:pt>
                <c:pt idx="1">
                  <c:v>0</c:v>
                </c:pt>
                <c:pt idx="2">
                  <c:v>256.41025641025635</c:v>
                </c:pt>
                <c:pt idx="3">
                  <c:v>384.61538461538453</c:v>
                </c:pt>
                <c:pt idx="4">
                  <c:v>512.82051282051282</c:v>
                </c:pt>
                <c:pt idx="5">
                  <c:v>564.10256410256409</c:v>
                </c:pt>
                <c:pt idx="6">
                  <c:v>615.38461538461536</c:v>
                </c:pt>
                <c:pt idx="7">
                  <c:v>666.66666666666663</c:v>
                </c:pt>
                <c:pt idx="8">
                  <c:v>769.23076923076928</c:v>
                </c:pt>
                <c:pt idx="9">
                  <c:v>820.51282051282055</c:v>
                </c:pt>
                <c:pt idx="10">
                  <c:v>871.79487179487182</c:v>
                </c:pt>
                <c:pt idx="11">
                  <c:v>974.35897435897436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AC-4A3E-8A91-E22369111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1873424"/>
        <c:axId val="1"/>
      </c:scatterChart>
      <c:valAx>
        <c:axId val="951873424"/>
        <c:scaling>
          <c:orientation val="minMax"/>
          <c:max val="5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51873424"/>
        <c:crosses val="autoZero"/>
        <c:crossBetween val="midCat"/>
        <c:majorUnit val="1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58564984932439001"/>
          <c:y val="0.49845248304357992"/>
          <c:w val="0.25000072907553217"/>
          <c:h val="0.3312696525558067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264502</xdr:colOff>
      <xdr:row>13</xdr:row>
      <xdr:rowOff>72537</xdr:rowOff>
    </xdr:from>
    <xdr:to>
      <xdr:col>9</xdr:col>
      <xdr:colOff>502627</xdr:colOff>
      <xdr:row>31</xdr:row>
      <xdr:rowOff>63012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3D2885D4-3D90-49C3-8AFC-8E27B050F8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441960</xdr:colOff>
      <xdr:row>5</xdr:row>
      <xdr:rowOff>30480</xdr:rowOff>
    </xdr:from>
    <xdr:to>
      <xdr:col>24</xdr:col>
      <xdr:colOff>342900</xdr:colOff>
      <xdr:row>35</xdr:row>
      <xdr:rowOff>19050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E103457-777F-7858-2A23-8C80A42D2C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869680" y="975360"/>
          <a:ext cx="7825740" cy="56159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MIT,%20Second%20edition/Disk%20with%20book/Chapter%20files/Chapter%2016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imon/WORK/FM2/Disk%20with%20book/Problem%20files/Cchapter%2016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9.xl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>
        <row r="15">
          <cell r="B15">
            <v>2.4706641071103697</v>
          </cell>
        </row>
      </sheetData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>
            <v>0.153533935546875</v>
          </cell>
        </row>
      </sheetData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N16A, UN16B"/>
      <sheetName val="VBA functions, pp. 199-200, 203"/>
      <sheetName val="UN16C"/>
      <sheetName val="UN16D"/>
      <sheetName val="UN16E"/>
      <sheetName val="UN16F"/>
      <sheetName val="UN16G, UN16I"/>
      <sheetName val="UN16H"/>
      <sheetName val="UN16J"/>
    </sheetNames>
    <sheetDataSet>
      <sheetData sheetId="0">
        <row r="15">
          <cell r="B15">
            <v>2.4706641071103697</v>
          </cell>
        </row>
      </sheetData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/>
      <sheetData sheetId="4"/>
      <sheetData sheetId="5">
        <row r="11">
          <cell r="B11">
            <v>6</v>
          </cell>
        </row>
        <row r="13">
          <cell r="B13">
            <v>0.153533935546875</v>
          </cell>
        </row>
      </sheetData>
      <sheetData sheetId="6"/>
      <sheetData sheetId="7" refreshError="1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510-11"/>
      <sheetName val="Page 510-11 中文"/>
      <sheetName val="Page 513"/>
      <sheetName val="Optionfunctions"/>
      <sheetName val="Page 513 中文"/>
      <sheetName val="Page 515, top"/>
      <sheetName val="Page 515, top 中文"/>
      <sheetName val="Page 515, bottom"/>
      <sheetName val="Page 515, bottom 中文"/>
      <sheetName val="Page 516"/>
      <sheetName val="Page 516中文"/>
      <sheetName val="Page 517"/>
      <sheetName val="Page 517 中文"/>
      <sheetName val="Page 518"/>
      <sheetName val="Page 518 中文"/>
      <sheetName val="Page 520"/>
      <sheetName val="Page 520 中文"/>
      <sheetName val="Page 521"/>
      <sheetName val="Page 521 中文"/>
      <sheetName val="Page 523"/>
      <sheetName val="Page 523 中文"/>
      <sheetName val="Page 524, top"/>
      <sheetName val="Page 524, top 中文"/>
      <sheetName val="Page 524, bottom"/>
      <sheetName val="Page 524, bottom 中文"/>
      <sheetName val="Page 526, top"/>
      <sheetName val="Page 526, top 中文"/>
      <sheetName val="page 526, bottom"/>
      <sheetName val="page 526, bottom 中文"/>
      <sheetName val="Page 531"/>
      <sheetName val="Page 531 中文"/>
      <sheetName val="Page 532"/>
      <sheetName val="Page 532 中文"/>
      <sheetName val="Page 533"/>
      <sheetName val="Page 533 中文"/>
      <sheetName val="Page 535, picture"/>
      <sheetName val="Page 535, picture 中文"/>
      <sheetName val="Page 535"/>
      <sheetName val="Page 535 中文"/>
      <sheetName val="Page 537"/>
      <sheetName val="Page 537中文"/>
      <sheetName val="Page 538"/>
      <sheetName val="Page 538 中文"/>
      <sheetName val="Page 539-41"/>
      <sheetName val="Page 539-41 中文"/>
      <sheetName val="Page 540"/>
      <sheetName val="Page 540中文"/>
      <sheetName val="Page 542"/>
      <sheetName val="Page 542中文"/>
      <sheetName val="Page 543"/>
      <sheetName val="Page 543 中文"/>
      <sheetName val="Page 544"/>
      <sheetName val="Page 544 中文"/>
    </sheetNames>
    <sheetDataSet>
      <sheetData sheetId="0"/>
      <sheetData sheetId="1"/>
      <sheetData sheetId="2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9">
          <cell r="B9" t="str">
            <v>UBS
description</v>
          </cell>
          <cell r="C9" t="str">
            <v>Alternative
option description</v>
          </cell>
        </row>
        <row r="10">
          <cell r="B10">
            <v>820.51282051282055</v>
          </cell>
          <cell r="C10">
            <v>820.51282051282055</v>
          </cell>
        </row>
        <row r="11">
          <cell r="A11">
            <v>0</v>
          </cell>
          <cell r="B11">
            <v>0</v>
          </cell>
          <cell r="C11">
            <v>0</v>
          </cell>
        </row>
        <row r="12">
          <cell r="A12">
            <v>10</v>
          </cell>
          <cell r="B12">
            <v>256.41025641025641</v>
          </cell>
          <cell r="C12">
            <v>256.41025641025635</v>
          </cell>
        </row>
        <row r="13">
          <cell r="A13">
            <v>15</v>
          </cell>
          <cell r="B13">
            <v>384.61538461538464</v>
          </cell>
          <cell r="C13">
            <v>384.61538461538453</v>
          </cell>
        </row>
        <row r="14">
          <cell r="A14">
            <v>20</v>
          </cell>
          <cell r="B14">
            <v>512.82051282051282</v>
          </cell>
          <cell r="C14">
            <v>512.82051282051282</v>
          </cell>
        </row>
        <row r="15">
          <cell r="A15">
            <v>22</v>
          </cell>
          <cell r="B15">
            <v>564.10256410256409</v>
          </cell>
          <cell r="C15">
            <v>564.10256410256409</v>
          </cell>
        </row>
        <row r="16">
          <cell r="A16">
            <v>24</v>
          </cell>
          <cell r="B16">
            <v>615.38461538461547</v>
          </cell>
          <cell r="C16">
            <v>615.38461538461536</v>
          </cell>
        </row>
        <row r="17">
          <cell r="A17">
            <v>26</v>
          </cell>
          <cell r="B17">
            <v>666.66666666666674</v>
          </cell>
          <cell r="C17">
            <v>666.66666666666663</v>
          </cell>
        </row>
        <row r="18">
          <cell r="A18">
            <v>30</v>
          </cell>
          <cell r="B18">
            <v>769.23076923076928</v>
          </cell>
          <cell r="C18">
            <v>769.23076923076928</v>
          </cell>
        </row>
        <row r="19">
          <cell r="A19">
            <v>32</v>
          </cell>
          <cell r="B19">
            <v>820.51282051282055</v>
          </cell>
          <cell r="C19">
            <v>820.51282051282055</v>
          </cell>
        </row>
        <row r="20">
          <cell r="A20">
            <v>34</v>
          </cell>
          <cell r="B20">
            <v>871.79487179487182</v>
          </cell>
          <cell r="C20">
            <v>871.79487179487182</v>
          </cell>
        </row>
        <row r="21">
          <cell r="A21">
            <v>38</v>
          </cell>
          <cell r="B21">
            <v>974.35897435897436</v>
          </cell>
          <cell r="C21">
            <v>974.35897435897436</v>
          </cell>
        </row>
        <row r="22">
          <cell r="A22">
            <v>39</v>
          </cell>
          <cell r="B22">
            <v>1000</v>
          </cell>
          <cell r="C22">
            <v>1000</v>
          </cell>
        </row>
        <row r="23">
          <cell r="A23">
            <v>40</v>
          </cell>
          <cell r="B23">
            <v>1000</v>
          </cell>
          <cell r="C23">
            <v>1000</v>
          </cell>
        </row>
        <row r="24">
          <cell r="A24">
            <v>42</v>
          </cell>
          <cell r="B24">
            <v>1000</v>
          </cell>
          <cell r="C24">
            <v>1000</v>
          </cell>
        </row>
        <row r="25">
          <cell r="A25">
            <v>44</v>
          </cell>
          <cell r="B25">
            <v>1000</v>
          </cell>
          <cell r="C25">
            <v>1000</v>
          </cell>
        </row>
        <row r="26">
          <cell r="A26">
            <v>46</v>
          </cell>
          <cell r="B26">
            <v>1000</v>
          </cell>
          <cell r="C26">
            <v>1000</v>
          </cell>
        </row>
        <row r="27">
          <cell r="A27">
            <v>47</v>
          </cell>
          <cell r="B27">
            <v>1000</v>
          </cell>
          <cell r="C27">
            <v>1000</v>
          </cell>
        </row>
        <row r="28">
          <cell r="A28">
            <v>50</v>
          </cell>
          <cell r="B28">
            <v>1000</v>
          </cell>
          <cell r="C28">
            <v>1000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J28"/>
  <sheetViews>
    <sheetView tabSelected="1" zoomScale="130" zoomScaleNormal="130" workbookViewId="0">
      <selection activeCell="I9" sqref="I9"/>
    </sheetView>
  </sheetViews>
  <sheetFormatPr defaultRowHeight="13.8" x14ac:dyDescent="0.25"/>
  <cols>
    <col min="1" max="1" width="26" style="7" customWidth="1"/>
    <col min="2" max="2" width="10.88671875" style="7" customWidth="1"/>
    <col min="3" max="3" width="11.6640625" style="7" customWidth="1"/>
    <col min="4" max="4" width="12.109375" style="7" customWidth="1"/>
    <col min="5" max="10" width="8.88671875" style="7"/>
  </cols>
  <sheetData>
    <row r="1" spans="1:10" ht="17.399999999999999" x14ac:dyDescent="0.3">
      <c r="A1" s="6" t="s">
        <v>2</v>
      </c>
      <c r="B1" s="6"/>
      <c r="C1" s="6"/>
      <c r="D1" s="6"/>
      <c r="E1" s="6"/>
      <c r="F1" s="6"/>
      <c r="G1" s="6"/>
      <c r="H1" s="6"/>
      <c r="I1" s="6"/>
      <c r="J1" s="6"/>
    </row>
    <row r="2" spans="1:10" ht="15.6" x14ac:dyDescent="0.35">
      <c r="A2" s="7" t="s">
        <v>3</v>
      </c>
      <c r="B2" s="7">
        <v>32</v>
      </c>
    </row>
    <row r="3" spans="1:10" x14ac:dyDescent="0.25">
      <c r="A3" s="7" t="s">
        <v>4</v>
      </c>
      <c r="B3" s="8">
        <f>1000/39</f>
        <v>25.641025641025642</v>
      </c>
      <c r="C3" s="7" t="str">
        <f ca="1">[4]!getformula(B3)</f>
        <v>&lt;--  =1000/39</v>
      </c>
    </row>
    <row r="4" spans="1:10" x14ac:dyDescent="0.25">
      <c r="A4" s="7" t="s">
        <v>5</v>
      </c>
    </row>
    <row r="5" spans="1:10" x14ac:dyDescent="0.25">
      <c r="A5" s="9" t="s">
        <v>6</v>
      </c>
      <c r="B5" s="10">
        <f>IF(B2&gt;39,1000,B2*B3)</f>
        <v>820.51282051282055</v>
      </c>
      <c r="C5" s="7" t="str">
        <f ca="1">[4]!getformula(B5)</f>
        <v>&lt;--  =IF(B2&gt;39,1000,B2*B3)</v>
      </c>
    </row>
    <row r="6" spans="1:10" x14ac:dyDescent="0.25">
      <c r="A6" s="9" t="s">
        <v>7</v>
      </c>
      <c r="B6" s="11">
        <f>1000-B3*MAX(39-B2,0)</f>
        <v>820.51282051282055</v>
      </c>
      <c r="C6" s="7" t="str">
        <f ca="1">[4]!getformula(B6)</f>
        <v>&lt;--  =1000-B3*MAX(39-B2,0)</v>
      </c>
    </row>
    <row r="7" spans="1:10" x14ac:dyDescent="0.25">
      <c r="B7" s="12"/>
    </row>
    <row r="8" spans="1:10" ht="15.6" x14ac:dyDescent="0.3">
      <c r="A8" s="13" t="s">
        <v>8</v>
      </c>
      <c r="D8" s="14"/>
    </row>
    <row r="9" spans="1:10" ht="40.799999999999997" x14ac:dyDescent="0.35">
      <c r="A9" s="15" t="s">
        <v>9</v>
      </c>
      <c r="B9" s="15" t="s">
        <v>10</v>
      </c>
      <c r="C9" s="15" t="s">
        <v>11</v>
      </c>
      <c r="D9" s="14"/>
    </row>
    <row r="10" spans="1:10" x14ac:dyDescent="0.25">
      <c r="B10" s="16">
        <f>B5</f>
        <v>820.51282051282055</v>
      </c>
      <c r="C10" s="16">
        <f>B6</f>
        <v>820.51282051282055</v>
      </c>
      <c r="D10" s="7" t="s">
        <v>12</v>
      </c>
    </row>
    <row r="11" spans="1:10" x14ac:dyDescent="0.25">
      <c r="A11" s="17">
        <v>0</v>
      </c>
      <c r="B11" s="12">
        <v>0</v>
      </c>
      <c r="C11" s="12">
        <v>0</v>
      </c>
      <c r="D11" s="12"/>
    </row>
    <row r="12" spans="1:10" x14ac:dyDescent="0.25">
      <c r="A12" s="17">
        <v>10</v>
      </c>
      <c r="B12" s="12">
        <v>256.41025641025641</v>
      </c>
      <c r="C12" s="12">
        <v>256.41025641025635</v>
      </c>
      <c r="D12" s="12"/>
    </row>
    <row r="13" spans="1:10" x14ac:dyDescent="0.25">
      <c r="A13" s="17">
        <v>15</v>
      </c>
      <c r="B13" s="12">
        <v>384.61538461538464</v>
      </c>
      <c r="C13" s="12">
        <v>384.61538461538453</v>
      </c>
      <c r="D13" s="12"/>
    </row>
    <row r="14" spans="1:10" x14ac:dyDescent="0.25">
      <c r="A14" s="17">
        <v>20</v>
      </c>
      <c r="B14" s="12">
        <v>512.82051282051282</v>
      </c>
      <c r="C14" s="12">
        <v>512.82051282051282</v>
      </c>
      <c r="D14" s="12"/>
    </row>
    <row r="15" spans="1:10" x14ac:dyDescent="0.25">
      <c r="A15" s="17">
        <v>22</v>
      </c>
      <c r="B15" s="12">
        <v>564.10256410256409</v>
      </c>
      <c r="C15" s="12">
        <v>564.10256410256409</v>
      </c>
      <c r="D15" s="12"/>
    </row>
    <row r="16" spans="1:10" x14ac:dyDescent="0.25">
      <c r="A16" s="17">
        <v>24</v>
      </c>
      <c r="B16" s="12">
        <v>615.38461538461547</v>
      </c>
      <c r="C16" s="12">
        <v>615.38461538461536</v>
      </c>
      <c r="D16" s="12"/>
    </row>
    <row r="17" spans="1:4" x14ac:dyDescent="0.25">
      <c r="A17" s="17">
        <v>26</v>
      </c>
      <c r="B17" s="12">
        <v>666.66666666666674</v>
      </c>
      <c r="C17" s="12">
        <v>666.66666666666663</v>
      </c>
      <c r="D17" s="12"/>
    </row>
    <row r="18" spans="1:4" x14ac:dyDescent="0.25">
      <c r="A18" s="17">
        <v>30</v>
      </c>
      <c r="B18" s="12">
        <v>769.23076923076928</v>
      </c>
      <c r="C18" s="12">
        <v>769.23076923076928</v>
      </c>
      <c r="D18" s="12"/>
    </row>
    <row r="19" spans="1:4" x14ac:dyDescent="0.25">
      <c r="A19" s="17">
        <v>32</v>
      </c>
      <c r="B19" s="12">
        <v>820.51282051282055</v>
      </c>
      <c r="C19" s="12">
        <v>820.51282051282055</v>
      </c>
      <c r="D19" s="12"/>
    </row>
    <row r="20" spans="1:4" x14ac:dyDescent="0.25">
      <c r="A20" s="17">
        <v>34</v>
      </c>
      <c r="B20" s="12">
        <v>871.79487179487182</v>
      </c>
      <c r="C20" s="12">
        <v>871.79487179487182</v>
      </c>
      <c r="D20" s="12"/>
    </row>
    <row r="21" spans="1:4" x14ac:dyDescent="0.25">
      <c r="A21" s="17">
        <v>38</v>
      </c>
      <c r="B21" s="12">
        <v>974.35897435897436</v>
      </c>
      <c r="C21" s="12">
        <v>974.35897435897436</v>
      </c>
      <c r="D21" s="12"/>
    </row>
    <row r="22" spans="1:4" x14ac:dyDescent="0.25">
      <c r="A22" s="17">
        <v>39</v>
      </c>
      <c r="B22" s="12">
        <v>1000</v>
      </c>
      <c r="C22" s="12">
        <v>1000</v>
      </c>
      <c r="D22" s="12"/>
    </row>
    <row r="23" spans="1:4" x14ac:dyDescent="0.25">
      <c r="A23" s="17">
        <v>40</v>
      </c>
      <c r="B23" s="12">
        <v>1000</v>
      </c>
      <c r="C23" s="12">
        <v>1000</v>
      </c>
      <c r="D23" s="12"/>
    </row>
    <row r="24" spans="1:4" x14ac:dyDescent="0.25">
      <c r="A24" s="17">
        <v>42</v>
      </c>
      <c r="B24" s="12">
        <v>1000</v>
      </c>
      <c r="C24" s="12">
        <v>1000</v>
      </c>
      <c r="D24" s="12"/>
    </row>
    <row r="25" spans="1:4" x14ac:dyDescent="0.25">
      <c r="A25" s="17">
        <v>44</v>
      </c>
      <c r="B25" s="12">
        <v>1000</v>
      </c>
      <c r="C25" s="12">
        <v>1000</v>
      </c>
      <c r="D25" s="12"/>
    </row>
    <row r="26" spans="1:4" x14ac:dyDescent="0.25">
      <c r="A26" s="17">
        <v>46</v>
      </c>
      <c r="B26" s="12">
        <v>1000</v>
      </c>
      <c r="C26" s="12">
        <v>1000</v>
      </c>
      <c r="D26" s="12"/>
    </row>
    <row r="27" spans="1:4" x14ac:dyDescent="0.25">
      <c r="A27" s="17">
        <v>47</v>
      </c>
      <c r="B27" s="12">
        <v>1000</v>
      </c>
      <c r="C27" s="12">
        <v>1000</v>
      </c>
      <c r="D27" s="12"/>
    </row>
    <row r="28" spans="1:4" x14ac:dyDescent="0.25">
      <c r="A28" s="17">
        <v>50</v>
      </c>
      <c r="B28" s="12">
        <v>1000</v>
      </c>
      <c r="C28" s="12">
        <v>1000</v>
      </c>
      <c r="D28" s="12"/>
    </row>
  </sheetData>
  <mergeCells count="1">
    <mergeCell ref="A1:J1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352CA-6089-4D02-9CDA-E15662DB93B2}">
  <sheetPr codeName="Sheet12"/>
  <dimension ref="A4:E7"/>
  <sheetViews>
    <sheetView workbookViewId="0"/>
  </sheetViews>
  <sheetFormatPr defaultRowHeight="13.2" x14ac:dyDescent="0.25"/>
  <cols>
    <col min="1" max="1" width="8.88671875" style="1"/>
    <col min="2" max="4" width="16.6640625" style="1" customWidth="1"/>
    <col min="5" max="5" width="23.5546875" style="1" customWidth="1"/>
    <col min="6" max="6" width="16.6640625" style="1" customWidth="1"/>
    <col min="7" max="257" width="8.88671875" style="1"/>
    <col min="258" max="260" width="16.6640625" style="1" customWidth="1"/>
    <col min="261" max="261" width="23.5546875" style="1" customWidth="1"/>
    <col min="262" max="262" width="16.6640625" style="1" customWidth="1"/>
    <col min="263" max="513" width="8.88671875" style="1"/>
    <col min="514" max="516" width="16.6640625" style="1" customWidth="1"/>
    <col min="517" max="517" width="23.5546875" style="1" customWidth="1"/>
    <col min="518" max="518" width="16.6640625" style="1" customWidth="1"/>
    <col min="519" max="769" width="8.88671875" style="1"/>
    <col min="770" max="772" width="16.6640625" style="1" customWidth="1"/>
    <col min="773" max="773" width="23.5546875" style="1" customWidth="1"/>
    <col min="774" max="774" width="16.6640625" style="1" customWidth="1"/>
    <col min="775" max="1025" width="8.88671875" style="1"/>
    <col min="1026" max="1028" width="16.6640625" style="1" customWidth="1"/>
    <col min="1029" max="1029" width="23.5546875" style="1" customWidth="1"/>
    <col min="1030" max="1030" width="16.6640625" style="1" customWidth="1"/>
    <col min="1031" max="1281" width="8.88671875" style="1"/>
    <col min="1282" max="1284" width="16.6640625" style="1" customWidth="1"/>
    <col min="1285" max="1285" width="23.5546875" style="1" customWidth="1"/>
    <col min="1286" max="1286" width="16.6640625" style="1" customWidth="1"/>
    <col min="1287" max="1537" width="8.88671875" style="1"/>
    <col min="1538" max="1540" width="16.6640625" style="1" customWidth="1"/>
    <col min="1541" max="1541" width="23.5546875" style="1" customWidth="1"/>
    <col min="1542" max="1542" width="16.6640625" style="1" customWidth="1"/>
    <col min="1543" max="1793" width="8.88671875" style="1"/>
    <col min="1794" max="1796" width="16.6640625" style="1" customWidth="1"/>
    <col min="1797" max="1797" width="23.5546875" style="1" customWidth="1"/>
    <col min="1798" max="1798" width="16.6640625" style="1" customWidth="1"/>
    <col min="1799" max="2049" width="8.88671875" style="1"/>
    <col min="2050" max="2052" width="16.6640625" style="1" customWidth="1"/>
    <col min="2053" max="2053" width="23.5546875" style="1" customWidth="1"/>
    <col min="2054" max="2054" width="16.6640625" style="1" customWidth="1"/>
    <col min="2055" max="2305" width="8.88671875" style="1"/>
    <col min="2306" max="2308" width="16.6640625" style="1" customWidth="1"/>
    <col min="2309" max="2309" width="23.5546875" style="1" customWidth="1"/>
    <col min="2310" max="2310" width="16.6640625" style="1" customWidth="1"/>
    <col min="2311" max="2561" width="8.88671875" style="1"/>
    <col min="2562" max="2564" width="16.6640625" style="1" customWidth="1"/>
    <col min="2565" max="2565" width="23.5546875" style="1" customWidth="1"/>
    <col min="2566" max="2566" width="16.6640625" style="1" customWidth="1"/>
    <col min="2567" max="2817" width="8.88671875" style="1"/>
    <col min="2818" max="2820" width="16.6640625" style="1" customWidth="1"/>
    <col min="2821" max="2821" width="23.5546875" style="1" customWidth="1"/>
    <col min="2822" max="2822" width="16.6640625" style="1" customWidth="1"/>
    <col min="2823" max="3073" width="8.88671875" style="1"/>
    <col min="3074" max="3076" width="16.6640625" style="1" customWidth="1"/>
    <col min="3077" max="3077" width="23.5546875" style="1" customWidth="1"/>
    <col min="3078" max="3078" width="16.6640625" style="1" customWidth="1"/>
    <col min="3079" max="3329" width="8.88671875" style="1"/>
    <col min="3330" max="3332" width="16.6640625" style="1" customWidth="1"/>
    <col min="3333" max="3333" width="23.5546875" style="1" customWidth="1"/>
    <col min="3334" max="3334" width="16.6640625" style="1" customWidth="1"/>
    <col min="3335" max="3585" width="8.88671875" style="1"/>
    <col min="3586" max="3588" width="16.6640625" style="1" customWidth="1"/>
    <col min="3589" max="3589" width="23.5546875" style="1" customWidth="1"/>
    <col min="3590" max="3590" width="16.6640625" style="1" customWidth="1"/>
    <col min="3591" max="3841" width="8.88671875" style="1"/>
    <col min="3842" max="3844" width="16.6640625" style="1" customWidth="1"/>
    <col min="3845" max="3845" width="23.5546875" style="1" customWidth="1"/>
    <col min="3846" max="3846" width="16.6640625" style="1" customWidth="1"/>
    <col min="3847" max="4097" width="8.88671875" style="1"/>
    <col min="4098" max="4100" width="16.6640625" style="1" customWidth="1"/>
    <col min="4101" max="4101" width="23.5546875" style="1" customWidth="1"/>
    <col min="4102" max="4102" width="16.6640625" style="1" customWidth="1"/>
    <col min="4103" max="4353" width="8.88671875" style="1"/>
    <col min="4354" max="4356" width="16.6640625" style="1" customWidth="1"/>
    <col min="4357" max="4357" width="23.5546875" style="1" customWidth="1"/>
    <col min="4358" max="4358" width="16.6640625" style="1" customWidth="1"/>
    <col min="4359" max="4609" width="8.88671875" style="1"/>
    <col min="4610" max="4612" width="16.6640625" style="1" customWidth="1"/>
    <col min="4613" max="4613" width="23.5546875" style="1" customWidth="1"/>
    <col min="4614" max="4614" width="16.6640625" style="1" customWidth="1"/>
    <col min="4615" max="4865" width="8.88671875" style="1"/>
    <col min="4866" max="4868" width="16.6640625" style="1" customWidth="1"/>
    <col min="4869" max="4869" width="23.5546875" style="1" customWidth="1"/>
    <col min="4870" max="4870" width="16.6640625" style="1" customWidth="1"/>
    <col min="4871" max="5121" width="8.88671875" style="1"/>
    <col min="5122" max="5124" width="16.6640625" style="1" customWidth="1"/>
    <col min="5125" max="5125" width="23.5546875" style="1" customWidth="1"/>
    <col min="5126" max="5126" width="16.6640625" style="1" customWidth="1"/>
    <col min="5127" max="5377" width="8.88671875" style="1"/>
    <col min="5378" max="5380" width="16.6640625" style="1" customWidth="1"/>
    <col min="5381" max="5381" width="23.5546875" style="1" customWidth="1"/>
    <col min="5382" max="5382" width="16.6640625" style="1" customWidth="1"/>
    <col min="5383" max="5633" width="8.88671875" style="1"/>
    <col min="5634" max="5636" width="16.6640625" style="1" customWidth="1"/>
    <col min="5637" max="5637" width="23.5546875" style="1" customWidth="1"/>
    <col min="5638" max="5638" width="16.6640625" style="1" customWidth="1"/>
    <col min="5639" max="5889" width="8.88671875" style="1"/>
    <col min="5890" max="5892" width="16.6640625" style="1" customWidth="1"/>
    <col min="5893" max="5893" width="23.5546875" style="1" customWidth="1"/>
    <col min="5894" max="5894" width="16.6640625" style="1" customWidth="1"/>
    <col min="5895" max="6145" width="8.88671875" style="1"/>
    <col min="6146" max="6148" width="16.6640625" style="1" customWidth="1"/>
    <col min="6149" max="6149" width="23.5546875" style="1" customWidth="1"/>
    <col min="6150" max="6150" width="16.6640625" style="1" customWidth="1"/>
    <col min="6151" max="6401" width="8.88671875" style="1"/>
    <col min="6402" max="6404" width="16.6640625" style="1" customWidth="1"/>
    <col min="6405" max="6405" width="23.5546875" style="1" customWidth="1"/>
    <col min="6406" max="6406" width="16.6640625" style="1" customWidth="1"/>
    <col min="6407" max="6657" width="8.88671875" style="1"/>
    <col min="6658" max="6660" width="16.6640625" style="1" customWidth="1"/>
    <col min="6661" max="6661" width="23.5546875" style="1" customWidth="1"/>
    <col min="6662" max="6662" width="16.6640625" style="1" customWidth="1"/>
    <col min="6663" max="6913" width="8.88671875" style="1"/>
    <col min="6914" max="6916" width="16.6640625" style="1" customWidth="1"/>
    <col min="6917" max="6917" width="23.5546875" style="1" customWidth="1"/>
    <col min="6918" max="6918" width="16.6640625" style="1" customWidth="1"/>
    <col min="6919" max="7169" width="8.88671875" style="1"/>
    <col min="7170" max="7172" width="16.6640625" style="1" customWidth="1"/>
    <col min="7173" max="7173" width="23.5546875" style="1" customWidth="1"/>
    <col min="7174" max="7174" width="16.6640625" style="1" customWidth="1"/>
    <col min="7175" max="7425" width="8.88671875" style="1"/>
    <col min="7426" max="7428" width="16.6640625" style="1" customWidth="1"/>
    <col min="7429" max="7429" width="23.5546875" style="1" customWidth="1"/>
    <col min="7430" max="7430" width="16.6640625" style="1" customWidth="1"/>
    <col min="7431" max="7681" width="8.88671875" style="1"/>
    <col min="7682" max="7684" width="16.6640625" style="1" customWidth="1"/>
    <col min="7685" max="7685" width="23.5546875" style="1" customWidth="1"/>
    <col min="7686" max="7686" width="16.6640625" style="1" customWidth="1"/>
    <col min="7687" max="7937" width="8.88671875" style="1"/>
    <col min="7938" max="7940" width="16.6640625" style="1" customWidth="1"/>
    <col min="7941" max="7941" width="23.5546875" style="1" customWidth="1"/>
    <col min="7942" max="7942" width="16.6640625" style="1" customWidth="1"/>
    <col min="7943" max="8193" width="8.88671875" style="1"/>
    <col min="8194" max="8196" width="16.6640625" style="1" customWidth="1"/>
    <col min="8197" max="8197" width="23.5546875" style="1" customWidth="1"/>
    <col min="8198" max="8198" width="16.6640625" style="1" customWidth="1"/>
    <col min="8199" max="8449" width="8.88671875" style="1"/>
    <col min="8450" max="8452" width="16.6640625" style="1" customWidth="1"/>
    <col min="8453" max="8453" width="23.5546875" style="1" customWidth="1"/>
    <col min="8454" max="8454" width="16.6640625" style="1" customWidth="1"/>
    <col min="8455" max="8705" width="8.88671875" style="1"/>
    <col min="8706" max="8708" width="16.6640625" style="1" customWidth="1"/>
    <col min="8709" max="8709" width="23.5546875" style="1" customWidth="1"/>
    <col min="8710" max="8710" width="16.6640625" style="1" customWidth="1"/>
    <col min="8711" max="8961" width="8.88671875" style="1"/>
    <col min="8962" max="8964" width="16.6640625" style="1" customWidth="1"/>
    <col min="8965" max="8965" width="23.5546875" style="1" customWidth="1"/>
    <col min="8966" max="8966" width="16.6640625" style="1" customWidth="1"/>
    <col min="8967" max="9217" width="8.88671875" style="1"/>
    <col min="9218" max="9220" width="16.6640625" style="1" customWidth="1"/>
    <col min="9221" max="9221" width="23.5546875" style="1" customWidth="1"/>
    <col min="9222" max="9222" width="16.6640625" style="1" customWidth="1"/>
    <col min="9223" max="9473" width="8.88671875" style="1"/>
    <col min="9474" max="9476" width="16.6640625" style="1" customWidth="1"/>
    <col min="9477" max="9477" width="23.5546875" style="1" customWidth="1"/>
    <col min="9478" max="9478" width="16.6640625" style="1" customWidth="1"/>
    <col min="9479" max="9729" width="8.88671875" style="1"/>
    <col min="9730" max="9732" width="16.6640625" style="1" customWidth="1"/>
    <col min="9733" max="9733" width="23.5546875" style="1" customWidth="1"/>
    <col min="9734" max="9734" width="16.6640625" style="1" customWidth="1"/>
    <col min="9735" max="9985" width="8.88671875" style="1"/>
    <col min="9986" max="9988" width="16.6640625" style="1" customWidth="1"/>
    <col min="9989" max="9989" width="23.5546875" style="1" customWidth="1"/>
    <col min="9990" max="9990" width="16.6640625" style="1" customWidth="1"/>
    <col min="9991" max="10241" width="8.88671875" style="1"/>
    <col min="10242" max="10244" width="16.6640625" style="1" customWidth="1"/>
    <col min="10245" max="10245" width="23.5546875" style="1" customWidth="1"/>
    <col min="10246" max="10246" width="16.6640625" style="1" customWidth="1"/>
    <col min="10247" max="10497" width="8.88671875" style="1"/>
    <col min="10498" max="10500" width="16.6640625" style="1" customWidth="1"/>
    <col min="10501" max="10501" width="23.5546875" style="1" customWidth="1"/>
    <col min="10502" max="10502" width="16.6640625" style="1" customWidth="1"/>
    <col min="10503" max="10753" width="8.88671875" style="1"/>
    <col min="10754" max="10756" width="16.6640625" style="1" customWidth="1"/>
    <col min="10757" max="10757" width="23.5546875" style="1" customWidth="1"/>
    <col min="10758" max="10758" width="16.6640625" style="1" customWidth="1"/>
    <col min="10759" max="11009" width="8.88671875" style="1"/>
    <col min="11010" max="11012" width="16.6640625" style="1" customWidth="1"/>
    <col min="11013" max="11013" width="23.5546875" style="1" customWidth="1"/>
    <col min="11014" max="11014" width="16.6640625" style="1" customWidth="1"/>
    <col min="11015" max="11265" width="8.88671875" style="1"/>
    <col min="11266" max="11268" width="16.6640625" style="1" customWidth="1"/>
    <col min="11269" max="11269" width="23.5546875" style="1" customWidth="1"/>
    <col min="11270" max="11270" width="16.6640625" style="1" customWidth="1"/>
    <col min="11271" max="11521" width="8.88671875" style="1"/>
    <col min="11522" max="11524" width="16.6640625" style="1" customWidth="1"/>
    <col min="11525" max="11525" width="23.5546875" style="1" customWidth="1"/>
    <col min="11526" max="11526" width="16.6640625" style="1" customWidth="1"/>
    <col min="11527" max="11777" width="8.88671875" style="1"/>
    <col min="11778" max="11780" width="16.6640625" style="1" customWidth="1"/>
    <col min="11781" max="11781" width="23.5546875" style="1" customWidth="1"/>
    <col min="11782" max="11782" width="16.6640625" style="1" customWidth="1"/>
    <col min="11783" max="12033" width="8.88671875" style="1"/>
    <col min="12034" max="12036" width="16.6640625" style="1" customWidth="1"/>
    <col min="12037" max="12037" width="23.5546875" style="1" customWidth="1"/>
    <col min="12038" max="12038" width="16.6640625" style="1" customWidth="1"/>
    <col min="12039" max="12289" width="8.88671875" style="1"/>
    <col min="12290" max="12292" width="16.6640625" style="1" customWidth="1"/>
    <col min="12293" max="12293" width="23.5546875" style="1" customWidth="1"/>
    <col min="12294" max="12294" width="16.6640625" style="1" customWidth="1"/>
    <col min="12295" max="12545" width="8.88671875" style="1"/>
    <col min="12546" max="12548" width="16.6640625" style="1" customWidth="1"/>
    <col min="12549" max="12549" width="23.5546875" style="1" customWidth="1"/>
    <col min="12550" max="12550" width="16.6640625" style="1" customWidth="1"/>
    <col min="12551" max="12801" width="8.88671875" style="1"/>
    <col min="12802" max="12804" width="16.6640625" style="1" customWidth="1"/>
    <col min="12805" max="12805" width="23.5546875" style="1" customWidth="1"/>
    <col min="12806" max="12806" width="16.6640625" style="1" customWidth="1"/>
    <col min="12807" max="13057" width="8.88671875" style="1"/>
    <col min="13058" max="13060" width="16.6640625" style="1" customWidth="1"/>
    <col min="13061" max="13061" width="23.5546875" style="1" customWidth="1"/>
    <col min="13062" max="13062" width="16.6640625" style="1" customWidth="1"/>
    <col min="13063" max="13313" width="8.88671875" style="1"/>
    <col min="13314" max="13316" width="16.6640625" style="1" customWidth="1"/>
    <col min="13317" max="13317" width="23.5546875" style="1" customWidth="1"/>
    <col min="13318" max="13318" width="16.6640625" style="1" customWidth="1"/>
    <col min="13319" max="13569" width="8.88671875" style="1"/>
    <col min="13570" max="13572" width="16.6640625" style="1" customWidth="1"/>
    <col min="13573" max="13573" width="23.5546875" style="1" customWidth="1"/>
    <col min="13574" max="13574" width="16.6640625" style="1" customWidth="1"/>
    <col min="13575" max="13825" width="8.88671875" style="1"/>
    <col min="13826" max="13828" width="16.6640625" style="1" customWidth="1"/>
    <col min="13829" max="13829" width="23.5546875" style="1" customWidth="1"/>
    <col min="13830" max="13830" width="16.6640625" style="1" customWidth="1"/>
    <col min="13831" max="14081" width="8.88671875" style="1"/>
    <col min="14082" max="14084" width="16.6640625" style="1" customWidth="1"/>
    <col min="14085" max="14085" width="23.5546875" style="1" customWidth="1"/>
    <col min="14086" max="14086" width="16.6640625" style="1" customWidth="1"/>
    <col min="14087" max="14337" width="8.88671875" style="1"/>
    <col min="14338" max="14340" width="16.6640625" style="1" customWidth="1"/>
    <col min="14341" max="14341" width="23.5546875" style="1" customWidth="1"/>
    <col min="14342" max="14342" width="16.6640625" style="1" customWidth="1"/>
    <col min="14343" max="14593" width="8.88671875" style="1"/>
    <col min="14594" max="14596" width="16.6640625" style="1" customWidth="1"/>
    <col min="14597" max="14597" width="23.5546875" style="1" customWidth="1"/>
    <col min="14598" max="14598" width="16.6640625" style="1" customWidth="1"/>
    <col min="14599" max="14849" width="8.88671875" style="1"/>
    <col min="14850" max="14852" width="16.6640625" style="1" customWidth="1"/>
    <col min="14853" max="14853" width="23.5546875" style="1" customWidth="1"/>
    <col min="14854" max="14854" width="16.6640625" style="1" customWidth="1"/>
    <col min="14855" max="15105" width="8.88671875" style="1"/>
    <col min="15106" max="15108" width="16.6640625" style="1" customWidth="1"/>
    <col min="15109" max="15109" width="23.5546875" style="1" customWidth="1"/>
    <col min="15110" max="15110" width="16.6640625" style="1" customWidth="1"/>
    <col min="15111" max="15361" width="8.88671875" style="1"/>
    <col min="15362" max="15364" width="16.6640625" style="1" customWidth="1"/>
    <col min="15365" max="15365" width="23.5546875" style="1" customWidth="1"/>
    <col min="15366" max="15366" width="16.6640625" style="1" customWidth="1"/>
    <col min="15367" max="15617" width="8.88671875" style="1"/>
    <col min="15618" max="15620" width="16.6640625" style="1" customWidth="1"/>
    <col min="15621" max="15621" width="23.5546875" style="1" customWidth="1"/>
    <col min="15622" max="15622" width="16.6640625" style="1" customWidth="1"/>
    <col min="15623" max="15873" width="8.88671875" style="1"/>
    <col min="15874" max="15876" width="16.6640625" style="1" customWidth="1"/>
    <col min="15877" max="15877" width="23.5546875" style="1" customWidth="1"/>
    <col min="15878" max="15878" width="16.6640625" style="1" customWidth="1"/>
    <col min="15879" max="16129" width="8.88671875" style="1"/>
    <col min="16130" max="16132" width="16.6640625" style="1" customWidth="1"/>
    <col min="16133" max="16133" width="23.5546875" style="1" customWidth="1"/>
    <col min="16134" max="16134" width="16.6640625" style="1" customWidth="1"/>
    <col min="16135" max="16384" width="8.88671875" style="1"/>
  </cols>
  <sheetData>
    <row r="4" spans="1:5" x14ac:dyDescent="0.25">
      <c r="A4" s="1" t="s">
        <v>0</v>
      </c>
      <c r="B4" s="2">
        <v>0</v>
      </c>
      <c r="C4" s="2">
        <v>1</v>
      </c>
      <c r="D4" s="2">
        <v>2</v>
      </c>
      <c r="E4" s="2">
        <v>3</v>
      </c>
    </row>
    <row r="5" spans="1:5" x14ac:dyDescent="0.25">
      <c r="B5" s="3"/>
      <c r="C5" s="3"/>
      <c r="D5" s="3"/>
      <c r="E5" s="3"/>
    </row>
    <row r="6" spans="1:5" x14ac:dyDescent="0.25">
      <c r="B6" s="4">
        <v>-1000</v>
      </c>
      <c r="C6" s="5">
        <v>97.5</v>
      </c>
      <c r="D6" s="5">
        <v>97.5</v>
      </c>
      <c r="E6" s="5">
        <v>97.5</v>
      </c>
    </row>
    <row r="7" spans="1:5" ht="15.6" x14ac:dyDescent="0.35">
      <c r="B7" s="3"/>
      <c r="C7" s="3"/>
      <c r="D7" s="3"/>
      <c r="E7" s="3" t="s">
        <v>1</v>
      </c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535, picture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2024-11-28T05:27:21Z</dcterms:modified>
</cp:coreProperties>
</file>