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19\"/>
    </mc:Choice>
  </mc:AlternateContent>
  <xr:revisionPtr revIDLastSave="0" documentId="13_ncr:1_{7B8554F2-9726-48C2-88FE-F48B144485B2}" xr6:coauthVersionLast="47" xr6:coauthVersionMax="47" xr10:uidLastSave="{00000000-0000-0000-0000-000000000000}"/>
  <bookViews>
    <workbookView xWindow="-38520" yWindow="-120" windowWidth="38640" windowHeight="21120" activeTab="1" xr2:uid="{EA6F33A8-FE0E-48B1-8C74-8B2321C6BA8B}"/>
  </bookViews>
  <sheets>
    <sheet name="Sheet1" sheetId="1" r:id="rId1"/>
    <sheet name="Page 510-11" sheetId="2" r:id="rId2"/>
  </sheets>
  <externalReferences>
    <externalReference r:id="rId3"/>
    <externalReference r:id="rId4"/>
  </externalReferences>
  <definedNames>
    <definedName name="Call">'[1]UN16A, UN16B'!$B$15</definedName>
    <definedName name="implied_call_volatility">[1]UN16F!$B$13</definedName>
    <definedName name="interest">[1]UN16C!$B$6</definedName>
    <definedName name="r_">[1]UN16C!$B$6</definedName>
    <definedName name="S">[1]UN16C!$B$3</definedName>
    <definedName name="sigma">[1]UN16C!$B$7</definedName>
    <definedName name="T">[1]UN16C!$B$5</definedName>
    <definedName name="target_call_price">[1]UN16F!$B$11</definedName>
    <definedName name="X">[1]UN16C!$B$4</definedName>
  </definedNam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8" i="2" l="1"/>
  <c r="B9" i="2" s="1"/>
  <c r="B12" i="2" s="1"/>
  <c r="F20" i="2"/>
  <c r="F15" i="2"/>
  <c r="E15" i="2"/>
  <c r="F14" i="2"/>
  <c r="E14" i="2"/>
  <c r="B11" i="2" l="1"/>
  <c r="B14" i="2" s="1"/>
  <c r="B15" i="2" s="1"/>
  <c r="B16" i="2"/>
  <c r="E20" i="2" l="1"/>
</calcChain>
</file>

<file path=xl/sharedStrings.xml><?xml version="1.0" encoding="utf-8"?>
<sst xmlns="http://schemas.openxmlformats.org/spreadsheetml/2006/main" count="29" uniqueCount="29">
  <si>
    <t>Black-Scholes Option-Pricing Formula</t>
  </si>
  <si>
    <t>S</t>
  </si>
  <si>
    <t>Current stock price</t>
  </si>
  <si>
    <t>X</t>
  </si>
  <si>
    <t>Exercise price</t>
  </si>
  <si>
    <t>r</t>
  </si>
  <si>
    <t>Risk-free rate of interest</t>
  </si>
  <si>
    <t>T</t>
  </si>
  <si>
    <t>Time to maturity of option (in years)</t>
  </si>
  <si>
    <t>Sigma</t>
  </si>
  <si>
    <r>
      <t xml:space="preserve">Stock volatility, </t>
    </r>
    <r>
      <rPr>
        <sz val="10"/>
        <rFont val="Symbol"/>
        <family val="1"/>
        <charset val="2"/>
      </rPr>
      <t>s</t>
    </r>
  </si>
  <si>
    <r>
      <t>d</t>
    </r>
    <r>
      <rPr>
        <vertAlign val="subscript"/>
        <sz val="10"/>
        <rFont val="Arial"/>
        <family val="2"/>
      </rPr>
      <t>1</t>
    </r>
  </si>
  <si>
    <t>&lt;-- (LN(S/X)+(r+0.5*sigma^2)*T)/(sigma*SQRT(T))</t>
  </si>
  <si>
    <r>
      <t>d</t>
    </r>
    <r>
      <rPr>
        <vertAlign val="subscript"/>
        <sz val="10"/>
        <rFont val="Arial"/>
        <family val="2"/>
      </rPr>
      <t>2</t>
    </r>
  </si>
  <si>
    <r>
      <t>&lt;-- d</t>
    </r>
    <r>
      <rPr>
        <vertAlign val="subscript"/>
        <sz val="10"/>
        <rFont val="Arial"/>
        <family val="2"/>
      </rPr>
      <t>1</t>
    </r>
    <r>
      <rPr>
        <sz val="11"/>
        <color theme="1"/>
        <rFont val="等线"/>
        <family val="2"/>
        <charset val="134"/>
        <scheme val="minor"/>
      </rPr>
      <t>-sigma*SQRT(T)</t>
    </r>
  </si>
  <si>
    <r>
      <t>N(d</t>
    </r>
    <r>
      <rPr>
        <vertAlign val="subscript"/>
        <sz val="10"/>
        <rFont val="Arial"/>
        <family val="2"/>
      </rPr>
      <t>1</t>
    </r>
    <r>
      <rPr>
        <sz val="11"/>
        <color theme="1"/>
        <rFont val="等线"/>
        <family val="2"/>
        <charset val="134"/>
        <scheme val="minor"/>
      </rPr>
      <t>)</t>
    </r>
  </si>
  <si>
    <r>
      <t>&lt;-- Uses formula NormSDist(d</t>
    </r>
    <r>
      <rPr>
        <vertAlign val="subscript"/>
        <sz val="10"/>
        <rFont val="Arial"/>
        <family val="2"/>
      </rPr>
      <t>1</t>
    </r>
    <r>
      <rPr>
        <sz val="11"/>
        <color theme="1"/>
        <rFont val="等线"/>
        <family val="2"/>
        <charset val="134"/>
        <scheme val="minor"/>
      </rPr>
      <t>)</t>
    </r>
  </si>
  <si>
    <r>
      <t>N(d</t>
    </r>
    <r>
      <rPr>
        <vertAlign val="subscript"/>
        <sz val="10"/>
        <rFont val="Arial"/>
        <family val="2"/>
      </rPr>
      <t>2</t>
    </r>
    <r>
      <rPr>
        <sz val="11"/>
        <color theme="1"/>
        <rFont val="等线"/>
        <family val="2"/>
        <charset val="134"/>
        <scheme val="minor"/>
      </rPr>
      <t>)</t>
    </r>
  </si>
  <si>
    <r>
      <t>&lt;-- Uses formula NormSDist(d</t>
    </r>
    <r>
      <rPr>
        <vertAlign val="subscript"/>
        <sz val="10"/>
        <rFont val="Arial"/>
        <family val="2"/>
      </rPr>
      <t>2</t>
    </r>
    <r>
      <rPr>
        <sz val="11"/>
        <color theme="1"/>
        <rFont val="等线"/>
        <family val="2"/>
        <charset val="134"/>
        <scheme val="minor"/>
      </rPr>
      <t>)</t>
    </r>
  </si>
  <si>
    <t>Call price</t>
  </si>
  <si>
    <r>
      <t>&lt;-- S*N(d</t>
    </r>
    <r>
      <rPr>
        <vertAlign val="subscript"/>
        <sz val="10"/>
        <rFont val="Arial"/>
        <family val="2"/>
      </rPr>
      <t>1</t>
    </r>
    <r>
      <rPr>
        <sz val="11"/>
        <color theme="1"/>
        <rFont val="等线"/>
        <family val="2"/>
        <charset val="134"/>
        <scheme val="minor"/>
      </rPr>
      <t>)-X*exp(-r*T)*N(d</t>
    </r>
    <r>
      <rPr>
        <vertAlign val="subscript"/>
        <sz val="10"/>
        <rFont val="Arial"/>
        <family val="2"/>
      </rPr>
      <t>2</t>
    </r>
    <r>
      <rPr>
        <sz val="11"/>
        <color theme="1"/>
        <rFont val="等线"/>
        <family val="2"/>
        <charset val="134"/>
        <scheme val="minor"/>
      </rPr>
      <t>)</t>
    </r>
  </si>
  <si>
    <t>Put price</t>
  </si>
  <si>
    <t>&lt;-- call price - S + X*Exp(-r*T):  by Put-Call parity</t>
  </si>
  <si>
    <r>
      <t>&lt;-- X*exp(-r*T)*N(-d</t>
    </r>
    <r>
      <rPr>
        <vertAlign val="subscript"/>
        <sz val="10"/>
        <rFont val="Arial"/>
        <family val="2"/>
      </rPr>
      <t>2</t>
    </r>
    <r>
      <rPr>
        <sz val="11"/>
        <color theme="1"/>
        <rFont val="等线"/>
        <family val="2"/>
        <charset val="134"/>
        <scheme val="minor"/>
      </rPr>
      <t>) - S*N(-d</t>
    </r>
    <r>
      <rPr>
        <vertAlign val="subscript"/>
        <sz val="10"/>
        <rFont val="Arial"/>
        <family val="2"/>
      </rPr>
      <t>1</t>
    </r>
    <r>
      <rPr>
        <sz val="11"/>
        <color theme="1"/>
        <rFont val="等线"/>
        <family val="2"/>
        <charset val="134"/>
        <scheme val="minor"/>
      </rPr>
      <t>):  direct formula</t>
    </r>
  </si>
  <si>
    <t>Data table:  Comparing the Black-Scholes
to the intrinsic value</t>
  </si>
  <si>
    <t>Stock
price</t>
  </si>
  <si>
    <t>Call
price</t>
  </si>
  <si>
    <t>Intrinsic
value</t>
  </si>
  <si>
    <t>Verify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</si>
</sst>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000"/>
    <numFmt numFmtId="177" formatCode="0.00_);[Red]\(0.00\)"/>
  </numFmts>
  <fonts count="9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0"/>
      <name val="Arial"/>
      <family val="2"/>
    </font>
    <font>
      <b/>
      <sz val="14"/>
      <name val="Arial"/>
      <family val="2"/>
    </font>
    <font>
      <sz val="12"/>
      <name val="Arial"/>
      <family val="2"/>
    </font>
    <font>
      <sz val="10"/>
      <name val="Symbol"/>
      <family val="1"/>
      <charset val="2"/>
    </font>
    <font>
      <vertAlign val="subscript"/>
      <sz val="10"/>
      <name val="Arial"/>
      <family val="2"/>
    </font>
    <font>
      <b/>
      <sz val="12"/>
      <name val="Arial"/>
      <family val="2"/>
    </font>
    <font>
      <b/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theme="5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>
      <alignment vertical="center"/>
    </xf>
    <xf numFmtId="9" fontId="2" fillId="0" borderId="0" applyFont="0" applyFill="0" applyBorder="0" applyAlignment="0" applyProtection="0"/>
    <xf numFmtId="0" fontId="2" fillId="0" borderId="0"/>
  </cellStyleXfs>
  <cellXfs count="19">
    <xf numFmtId="0" fontId="0" fillId="0" borderId="0" xfId="0">
      <alignment vertical="center"/>
    </xf>
    <xf numFmtId="9" fontId="4" fillId="0" borderId="0" xfId="1" applyFont="1" applyAlignment="1">
      <alignment horizontal="centerContinuous"/>
    </xf>
    <xf numFmtId="0" fontId="2" fillId="0" borderId="0" xfId="2"/>
    <xf numFmtId="9" fontId="0" fillId="0" borderId="0" xfId="1" applyFont="1"/>
    <xf numFmtId="0" fontId="0" fillId="0" borderId="0" xfId="1" applyNumberFormat="1" applyFont="1"/>
    <xf numFmtId="9" fontId="0" fillId="0" borderId="0" xfId="1" quotePrefix="1" applyFont="1"/>
    <xf numFmtId="10" fontId="0" fillId="0" borderId="0" xfId="1" applyNumberFormat="1" applyFont="1"/>
    <xf numFmtId="176" fontId="0" fillId="0" borderId="0" xfId="1" quotePrefix="1" applyNumberFormat="1" applyFont="1"/>
    <xf numFmtId="176" fontId="0" fillId="0" borderId="0" xfId="1" applyNumberFormat="1" applyFont="1"/>
    <xf numFmtId="9" fontId="0" fillId="2" borderId="0" xfId="1" applyFont="1" applyFill="1"/>
    <xf numFmtId="2" fontId="0" fillId="2" borderId="0" xfId="1" applyNumberFormat="1" applyFont="1" applyFill="1"/>
    <xf numFmtId="2" fontId="0" fillId="2" borderId="0" xfId="1" quotePrefix="1" applyNumberFormat="1" applyFont="1" applyFill="1"/>
    <xf numFmtId="2" fontId="0" fillId="0" borderId="0" xfId="1" applyNumberFormat="1" applyFont="1"/>
    <xf numFmtId="0" fontId="8" fillId="0" borderId="0" xfId="2" applyFont="1" applyAlignment="1">
      <alignment horizontal="center" wrapText="1"/>
    </xf>
    <xf numFmtId="176" fontId="2" fillId="0" borderId="0" xfId="2" applyNumberFormat="1"/>
    <xf numFmtId="9" fontId="3" fillId="0" borderId="0" xfId="1" applyFont="1" applyAlignment="1">
      <alignment horizontal="center"/>
    </xf>
    <xf numFmtId="9" fontId="7" fillId="0" borderId="0" xfId="1" applyFont="1" applyAlignment="1">
      <alignment horizontal="center" wrapText="1"/>
    </xf>
    <xf numFmtId="9" fontId="0" fillId="3" borderId="0" xfId="1" applyFont="1" applyFill="1"/>
    <xf numFmtId="177" fontId="0" fillId="3" borderId="0" xfId="1" applyNumberFormat="1" applyFont="1" applyFill="1"/>
  </cellXfs>
  <cellStyles count="3">
    <cellStyle name="百分比 2" xfId="1" xr:uid="{FA9AA9B1-AF83-4764-9A94-CD7EA39E8203}"/>
    <cellStyle name="常规" xfId="0" builtinId="0"/>
    <cellStyle name="常规 2" xfId="2" xr:uid="{96C10B7E-635C-42E8-B0C6-0B63A42B4AB6}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5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altLang="zh-CN"/>
              <a:t>Black-Scholes Price Versus Instrinsic Value</a:t>
            </a:r>
          </a:p>
        </c:rich>
      </c:tx>
      <c:layout>
        <c:manualLayout>
          <c:xMode val="edge"/>
          <c:yMode val="edge"/>
          <c:x val="0.198019801980198"/>
          <c:y val="3.888891526212243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891089108910891"/>
          <c:y val="0.17500011867955098"/>
          <c:w val="0.80198019801980203"/>
          <c:h val="0.66111155945608147"/>
        </c:manualLayout>
      </c:layout>
      <c:scatterChart>
        <c:scatterStyle val="lineMarker"/>
        <c:varyColors val="0"/>
        <c:ser>
          <c:idx val="0"/>
          <c:order val="0"/>
          <c:tx>
            <c:strRef>
              <c:f>'Page 510-11'!$E$19</c:f>
              <c:strCache>
                <c:ptCount val="1"/>
                <c:pt idx="0">
                  <c:v>Call
price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'Page 510-11'!$D$20:$D$36</c:f>
              <c:numCache>
                <c:formatCode>General</c:formatCode>
                <c:ptCount val="17"/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</c:numCache>
            </c:numRef>
          </c:xVal>
          <c:yVal>
            <c:numRef>
              <c:f>'Page 510-11'!$E$20:$E$36</c:f>
              <c:numCache>
                <c:formatCode>0.0000</c:formatCode>
                <c:ptCount val="17"/>
                <c:pt idx="0">
                  <c:v>8.6434337071156619</c:v>
                </c:pt>
                <c:pt idx="1">
                  <c:v>1.6271103795261353E-17</c:v>
                </c:pt>
                <c:pt idx="2">
                  <c:v>6.2724512246643584E-9</c:v>
                </c:pt>
                <c:pt idx="3">
                  <c:v>2.8392918447725339E-5</c:v>
                </c:pt>
                <c:pt idx="4">
                  <c:v>2.8537602395158762E-3</c:v>
                </c:pt>
                <c:pt idx="5">
                  <c:v>4.8405224028071792E-2</c:v>
                </c:pt>
                <c:pt idx="6">
                  <c:v>0.31005154938344548</c:v>
                </c:pt>
                <c:pt idx="7">
                  <c:v>1.1076855598914648</c:v>
                </c:pt>
                <c:pt idx="8">
                  <c:v>2.7318630834502908</c:v>
                </c:pt>
                <c:pt idx="9">
                  <c:v>5.2776725210471618</c:v>
                </c:pt>
                <c:pt idx="10">
                  <c:v>8.6434337071156619</c:v>
                </c:pt>
                <c:pt idx="11">
                  <c:v>12.6307309804506</c:v>
                </c:pt>
                <c:pt idx="12">
                  <c:v>17.037833435617188</c:v>
                </c:pt>
                <c:pt idx="13">
                  <c:v>21.705621303373071</c:v>
                </c:pt>
                <c:pt idx="14">
                  <c:v>26.525589687810623</c:v>
                </c:pt>
                <c:pt idx="15">
                  <c:v>31.430439448391141</c:v>
                </c:pt>
                <c:pt idx="16">
                  <c:v>36.381069196126973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E80-4B93-BEAE-009BD3A33562}"/>
            </c:ext>
          </c:extLst>
        </c:ser>
        <c:ser>
          <c:idx val="1"/>
          <c:order val="1"/>
          <c:tx>
            <c:strRef>
              <c:f>'Page 510-11'!$F$19</c:f>
              <c:strCache>
                <c:ptCount val="1"/>
                <c:pt idx="0">
                  <c:v>Intrinsic
value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'Page 510-11'!$D$20:$D$36</c:f>
              <c:numCache>
                <c:formatCode>General</c:formatCode>
                <c:ptCount val="17"/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</c:numCache>
            </c:numRef>
          </c:xVal>
          <c:yVal>
            <c:numRef>
              <c:f>'Page 510-11'!$F$20:$F$36</c:f>
              <c:numCache>
                <c:formatCode>General</c:formatCode>
                <c:ptCount val="17"/>
                <c:pt idx="0">
                  <c:v>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5</c:v>
                </c:pt>
                <c:pt idx="11">
                  <c:v>10</c:v>
                </c:pt>
                <c:pt idx="12">
                  <c:v>15</c:v>
                </c:pt>
                <c:pt idx="13">
                  <c:v>20</c:v>
                </c:pt>
                <c:pt idx="14">
                  <c:v>25</c:v>
                </c:pt>
                <c:pt idx="15">
                  <c:v>30</c:v>
                </c:pt>
                <c:pt idx="16">
                  <c:v>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E80-4B93-BEAE-009BD3A335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522968"/>
        <c:axId val="1"/>
      </c:scatterChart>
      <c:valAx>
        <c:axId val="59522968"/>
        <c:scaling>
          <c:orientation val="minMax"/>
          <c:max val="8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altLang="zh-CN"/>
                  <a:t>Stock price, S</a:t>
                </a:r>
              </a:p>
            </c:rich>
          </c:tx>
          <c:layout>
            <c:manualLayout>
              <c:xMode val="edge"/>
              <c:yMode val="edge"/>
              <c:x val="0.41336633663366334"/>
              <c:y val="0.922222847644617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1"/>
        <c:crosses val="autoZero"/>
        <c:crossBetween val="midCat"/>
        <c:majorUnit val="10"/>
      </c:valAx>
      <c:valAx>
        <c:axId val="1"/>
        <c:scaling>
          <c:orientation val="minMax"/>
          <c:max val="36"/>
          <c:min val="0"/>
        </c:scaling>
        <c:delete val="0"/>
        <c:axPos val="l"/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59522968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20544554455445543"/>
          <c:y val="0.20277791529535272"/>
          <c:w val="0.22277227722772278"/>
          <c:h val="0.20833347461851306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/>
    <c:pageMargins b="1" l="0.75" r="0.75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106680</xdr:colOff>
      <xdr:row>19</xdr:row>
      <xdr:rowOff>60960</xdr:rowOff>
    </xdr:from>
    <xdr:to>
      <xdr:col>12</xdr:col>
      <xdr:colOff>297180</xdr:colOff>
      <xdr:row>39</xdr:row>
      <xdr:rowOff>53340</xdr:rowOff>
    </xdr:to>
    <xdr:graphicFrame macro="">
      <xdr:nvGraphicFramePr>
        <xdr:cNvPr id="2" name="图表 2">
          <a:extLst>
            <a:ext uri="{FF2B5EF4-FFF2-40B4-BE49-F238E27FC236}">
              <a16:creationId xmlns:a16="http://schemas.microsoft.com/office/drawing/2014/main" id="{05352AA3-D638-445E-9359-441C3084A06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906780</xdr:colOff>
      <xdr:row>18</xdr:row>
      <xdr:rowOff>129540</xdr:rowOff>
    </xdr:from>
    <xdr:to>
      <xdr:col>2</xdr:col>
      <xdr:colOff>1813560</xdr:colOff>
      <xdr:row>19</xdr:row>
      <xdr:rowOff>121920</xdr:rowOff>
    </xdr:to>
    <xdr:sp macro="" textlink="">
      <xdr:nvSpPr>
        <xdr:cNvPr id="3" name="Text Box 3">
          <a:extLst>
            <a:ext uri="{FF2B5EF4-FFF2-40B4-BE49-F238E27FC236}">
              <a16:creationId xmlns:a16="http://schemas.microsoft.com/office/drawing/2014/main" id="{DD27FAE8-D248-4952-BD20-BE6E56DF7838}"/>
            </a:ext>
          </a:extLst>
        </xdr:cNvPr>
        <xdr:cNvSpPr txBox="1">
          <a:spLocks noChangeArrowheads="1"/>
        </xdr:cNvSpPr>
      </xdr:nvSpPr>
      <xdr:spPr bwMode="auto">
        <a:xfrm>
          <a:off x="2124075" y="3867150"/>
          <a:ext cx="904875" cy="3238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lnSpc>
              <a:spcPts val="900"/>
            </a:lnSpc>
            <a:defRPr sz="1000"/>
          </a:pPr>
          <a:r>
            <a:rPr lang="zh-CN" alt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Data table header: </a:t>
          </a:r>
        </a:p>
        <a:p>
          <a:pPr algn="l" rtl="0">
            <a:defRPr sz="1000"/>
          </a:pPr>
          <a:r>
            <a:rPr lang="zh-CN" alt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= B14</a:t>
          </a:r>
        </a:p>
      </xdr:txBody>
    </xdr:sp>
    <xdr:clientData/>
  </xdr:twoCellAnchor>
  <xdr:twoCellAnchor>
    <xdr:from>
      <xdr:col>6</xdr:col>
      <xdr:colOff>464820</xdr:colOff>
      <xdr:row>17</xdr:row>
      <xdr:rowOff>91440</xdr:rowOff>
    </xdr:from>
    <xdr:to>
      <xdr:col>8</xdr:col>
      <xdr:colOff>411480</xdr:colOff>
      <xdr:row>18</xdr:row>
      <xdr:rowOff>182880</xdr:rowOff>
    </xdr:to>
    <xdr:sp macro="" textlink="">
      <xdr:nvSpPr>
        <xdr:cNvPr id="4" name="Text Box 4">
          <a:extLst>
            <a:ext uri="{FF2B5EF4-FFF2-40B4-BE49-F238E27FC236}">
              <a16:creationId xmlns:a16="http://schemas.microsoft.com/office/drawing/2014/main" id="{9538F57E-4F06-41A6-9B2F-433A086C9E7D}"/>
            </a:ext>
          </a:extLst>
        </xdr:cNvPr>
        <xdr:cNvSpPr txBox="1">
          <a:spLocks noChangeArrowheads="1"/>
        </xdr:cNvSpPr>
      </xdr:nvSpPr>
      <xdr:spPr bwMode="auto">
        <a:xfrm>
          <a:off x="6419850" y="3228975"/>
          <a:ext cx="1162050" cy="6858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zh-CN" alt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Data table header:</a:t>
          </a:r>
        </a:p>
        <a:p>
          <a:pPr algn="l" rtl="0">
            <a:defRPr sz="1000"/>
          </a:pPr>
          <a:r>
            <a:rPr lang="zh-CN" alt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=Max(B2-B3,0).</a:t>
          </a:r>
        </a:p>
        <a:p>
          <a:pPr algn="l" rtl="0">
            <a:defRPr sz="1000"/>
          </a:pPr>
          <a:r>
            <a:rPr lang="zh-CN" alt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This is the option's </a:t>
          </a:r>
          <a:r>
            <a:rPr lang="zh-CN" altLang="en-US" sz="1000" b="0" i="1" u="none" strike="noStrike" baseline="0">
              <a:solidFill>
                <a:srgbClr val="000000"/>
              </a:solidFill>
              <a:latin typeface="Arial"/>
              <a:cs typeface="Arial"/>
            </a:rPr>
            <a:t>intrinsic value</a:t>
          </a:r>
          <a:r>
            <a:rPr lang="zh-CN" alt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. </a:t>
          </a:r>
        </a:p>
      </xdr:txBody>
    </xdr:sp>
    <xdr:clientData/>
  </xdr:twoCellAnchor>
  <xdr:twoCellAnchor>
    <xdr:from>
      <xdr:col>2</xdr:col>
      <xdr:colOff>1828800</xdr:colOff>
      <xdr:row>18</xdr:row>
      <xdr:rowOff>228600</xdr:rowOff>
    </xdr:from>
    <xdr:to>
      <xdr:col>3</xdr:col>
      <xdr:colOff>480060</xdr:colOff>
      <xdr:row>19</xdr:row>
      <xdr:rowOff>68580</xdr:rowOff>
    </xdr:to>
    <xdr:sp macro="" textlink="">
      <xdr:nvSpPr>
        <xdr:cNvPr id="5" name="Line 5">
          <a:extLst>
            <a:ext uri="{FF2B5EF4-FFF2-40B4-BE49-F238E27FC236}">
              <a16:creationId xmlns:a16="http://schemas.microsoft.com/office/drawing/2014/main" id="{7F489EC4-8505-4229-AE99-84A9F67C990D}"/>
            </a:ext>
          </a:extLst>
        </xdr:cNvPr>
        <xdr:cNvSpPr>
          <a:spLocks noChangeShapeType="1"/>
        </xdr:cNvSpPr>
      </xdr:nvSpPr>
      <xdr:spPr bwMode="auto">
        <a:xfrm>
          <a:off x="3048000" y="3962400"/>
          <a:ext cx="1552575" cy="1714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22860</xdr:colOff>
      <xdr:row>17</xdr:row>
      <xdr:rowOff>358140</xdr:rowOff>
    </xdr:from>
    <xdr:to>
      <xdr:col>6</xdr:col>
      <xdr:colOff>419100</xdr:colOff>
      <xdr:row>19</xdr:row>
      <xdr:rowOff>15240</xdr:rowOff>
    </xdr:to>
    <xdr:sp macro="" textlink="">
      <xdr:nvSpPr>
        <xdr:cNvPr id="6" name="Line 6">
          <a:extLst>
            <a:ext uri="{FF2B5EF4-FFF2-40B4-BE49-F238E27FC236}">
              <a16:creationId xmlns:a16="http://schemas.microsoft.com/office/drawing/2014/main" id="{B8F6B616-B6E9-4001-BCB1-16F23FAD3E71}"/>
            </a:ext>
          </a:extLst>
        </xdr:cNvPr>
        <xdr:cNvSpPr>
          <a:spLocks noChangeShapeType="1"/>
        </xdr:cNvSpPr>
      </xdr:nvSpPr>
      <xdr:spPr bwMode="auto">
        <a:xfrm flipH="1">
          <a:off x="5972175" y="3495675"/>
          <a:ext cx="400050" cy="5905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13</xdr:col>
      <xdr:colOff>366345</xdr:colOff>
      <xdr:row>1</xdr:row>
      <xdr:rowOff>102576</xdr:rowOff>
    </xdr:from>
    <xdr:to>
      <xdr:col>30</xdr:col>
      <xdr:colOff>173599</xdr:colOff>
      <xdr:row>43</xdr:row>
      <xdr:rowOff>57800</xdr:rowOff>
    </xdr:to>
    <xdr:pic>
      <xdr:nvPicPr>
        <xdr:cNvPr id="7" name="图片 6">
          <a:extLst>
            <a:ext uri="{FF2B5EF4-FFF2-40B4-BE49-F238E27FC236}">
              <a16:creationId xmlns:a16="http://schemas.microsoft.com/office/drawing/2014/main" id="{B8FC0B6D-47F3-6F99-4FAD-391AF82317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572749" y="322384"/>
          <a:ext cx="10156972" cy="7813495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imon/WORK/FM2/Disk%20with%20book/Problem%20files/Cchapter%2016.xls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UN16A, UN16B"/>
      <sheetName val="VBA functions, pp. 199-200, 203"/>
      <sheetName val="UN16C"/>
      <sheetName val="UN16D"/>
      <sheetName val="UN16E"/>
      <sheetName val="UN16F"/>
      <sheetName val="UN16G, UN16I"/>
      <sheetName val="UN16H"/>
      <sheetName val="UN16J"/>
    </sheetNames>
    <sheetDataSet>
      <sheetData sheetId="0">
        <row r="15">
          <cell r="B15">
            <v>2.4706641071103697</v>
          </cell>
        </row>
      </sheetData>
      <sheetData sheetId="1" refreshError="1"/>
      <sheetData sheetId="2">
        <row r="3">
          <cell r="B3">
            <v>100</v>
          </cell>
        </row>
        <row r="4">
          <cell r="B4">
            <v>100</v>
          </cell>
        </row>
        <row r="5">
          <cell r="B5">
            <v>1</v>
          </cell>
        </row>
        <row r="6">
          <cell r="B6">
            <v>0.1</v>
          </cell>
        </row>
        <row r="7">
          <cell r="B7">
            <v>0.4</v>
          </cell>
        </row>
      </sheetData>
      <sheetData sheetId="3"/>
      <sheetData sheetId="4"/>
      <sheetData sheetId="5">
        <row r="11">
          <cell r="B11">
            <v>6</v>
          </cell>
        </row>
        <row r="13">
          <cell r="B13">
            <v>0.153533935546875</v>
          </cell>
        </row>
      </sheetData>
      <sheetData sheetId="6"/>
      <sheetData sheetId="7" refreshError="1"/>
      <sheetData sheetId="8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BSCall"/>
      <definedName name="BSPut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sheetPr codeName="Sheet2"/>
  <dimension ref="A1"/>
  <sheetViews>
    <sheetView workbookViewId="0">
      <selection activeCell="F9" sqref="F9"/>
    </sheetView>
  </sheetViews>
  <sheetFormatPr defaultRowHeight="13.8" x14ac:dyDescent="0.25"/>
  <sheetData/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B0BB92-ECD4-461A-9A5E-E9D912D402C3}">
  <sheetPr codeName="Sheet1">
    <pageSetUpPr fitToPage="1"/>
  </sheetPr>
  <dimension ref="A1:G36"/>
  <sheetViews>
    <sheetView tabSelected="1" zoomScale="145" zoomScaleNormal="145" workbookViewId="0">
      <selection activeCell="L13" sqref="L13"/>
    </sheetView>
  </sheetViews>
  <sheetFormatPr defaultRowHeight="13.2" x14ac:dyDescent="0.25"/>
  <cols>
    <col min="1" max="2" width="8.88671875" style="2"/>
    <col min="3" max="3" width="42.33203125" style="2" customWidth="1"/>
    <col min="4" max="258" width="8.88671875" style="2"/>
    <col min="259" max="259" width="42.33203125" style="2" customWidth="1"/>
    <col min="260" max="514" width="8.88671875" style="2"/>
    <col min="515" max="515" width="42.33203125" style="2" customWidth="1"/>
    <col min="516" max="770" width="8.88671875" style="2"/>
    <col min="771" max="771" width="42.33203125" style="2" customWidth="1"/>
    <col min="772" max="1026" width="8.88671875" style="2"/>
    <col min="1027" max="1027" width="42.33203125" style="2" customWidth="1"/>
    <col min="1028" max="1282" width="8.88671875" style="2"/>
    <col min="1283" max="1283" width="42.33203125" style="2" customWidth="1"/>
    <col min="1284" max="1538" width="8.88671875" style="2"/>
    <col min="1539" max="1539" width="42.33203125" style="2" customWidth="1"/>
    <col min="1540" max="1794" width="8.88671875" style="2"/>
    <col min="1795" max="1795" width="42.33203125" style="2" customWidth="1"/>
    <col min="1796" max="2050" width="8.88671875" style="2"/>
    <col min="2051" max="2051" width="42.33203125" style="2" customWidth="1"/>
    <col min="2052" max="2306" width="8.88671875" style="2"/>
    <col min="2307" max="2307" width="42.33203125" style="2" customWidth="1"/>
    <col min="2308" max="2562" width="8.88671875" style="2"/>
    <col min="2563" max="2563" width="42.33203125" style="2" customWidth="1"/>
    <col min="2564" max="2818" width="8.88671875" style="2"/>
    <col min="2819" max="2819" width="42.33203125" style="2" customWidth="1"/>
    <col min="2820" max="3074" width="8.88671875" style="2"/>
    <col min="3075" max="3075" width="42.33203125" style="2" customWidth="1"/>
    <col min="3076" max="3330" width="8.88671875" style="2"/>
    <col min="3331" max="3331" width="42.33203125" style="2" customWidth="1"/>
    <col min="3332" max="3586" width="8.88671875" style="2"/>
    <col min="3587" max="3587" width="42.33203125" style="2" customWidth="1"/>
    <col min="3588" max="3842" width="8.88671875" style="2"/>
    <col min="3843" max="3843" width="42.33203125" style="2" customWidth="1"/>
    <col min="3844" max="4098" width="8.88671875" style="2"/>
    <col min="4099" max="4099" width="42.33203125" style="2" customWidth="1"/>
    <col min="4100" max="4354" width="8.88671875" style="2"/>
    <col min="4355" max="4355" width="42.33203125" style="2" customWidth="1"/>
    <col min="4356" max="4610" width="8.88671875" style="2"/>
    <col min="4611" max="4611" width="42.33203125" style="2" customWidth="1"/>
    <col min="4612" max="4866" width="8.88671875" style="2"/>
    <col min="4867" max="4867" width="42.33203125" style="2" customWidth="1"/>
    <col min="4868" max="5122" width="8.88671875" style="2"/>
    <col min="5123" max="5123" width="42.33203125" style="2" customWidth="1"/>
    <col min="5124" max="5378" width="8.88671875" style="2"/>
    <col min="5379" max="5379" width="42.33203125" style="2" customWidth="1"/>
    <col min="5380" max="5634" width="8.88671875" style="2"/>
    <col min="5635" max="5635" width="42.33203125" style="2" customWidth="1"/>
    <col min="5636" max="5890" width="8.88671875" style="2"/>
    <col min="5891" max="5891" width="42.33203125" style="2" customWidth="1"/>
    <col min="5892" max="6146" width="8.88671875" style="2"/>
    <col min="6147" max="6147" width="42.33203125" style="2" customWidth="1"/>
    <col min="6148" max="6402" width="8.88671875" style="2"/>
    <col min="6403" max="6403" width="42.33203125" style="2" customWidth="1"/>
    <col min="6404" max="6658" width="8.88671875" style="2"/>
    <col min="6659" max="6659" width="42.33203125" style="2" customWidth="1"/>
    <col min="6660" max="6914" width="8.88671875" style="2"/>
    <col min="6915" max="6915" width="42.33203125" style="2" customWidth="1"/>
    <col min="6916" max="7170" width="8.88671875" style="2"/>
    <col min="7171" max="7171" width="42.33203125" style="2" customWidth="1"/>
    <col min="7172" max="7426" width="8.88671875" style="2"/>
    <col min="7427" max="7427" width="42.33203125" style="2" customWidth="1"/>
    <col min="7428" max="7682" width="8.88671875" style="2"/>
    <col min="7683" max="7683" width="42.33203125" style="2" customWidth="1"/>
    <col min="7684" max="7938" width="8.88671875" style="2"/>
    <col min="7939" max="7939" width="42.33203125" style="2" customWidth="1"/>
    <col min="7940" max="8194" width="8.88671875" style="2"/>
    <col min="8195" max="8195" width="42.33203125" style="2" customWidth="1"/>
    <col min="8196" max="8450" width="8.88671875" style="2"/>
    <col min="8451" max="8451" width="42.33203125" style="2" customWidth="1"/>
    <col min="8452" max="8706" width="8.88671875" style="2"/>
    <col min="8707" max="8707" width="42.33203125" style="2" customWidth="1"/>
    <col min="8708" max="8962" width="8.88671875" style="2"/>
    <col min="8963" max="8963" width="42.33203125" style="2" customWidth="1"/>
    <col min="8964" max="9218" width="8.88671875" style="2"/>
    <col min="9219" max="9219" width="42.33203125" style="2" customWidth="1"/>
    <col min="9220" max="9474" width="8.88671875" style="2"/>
    <col min="9475" max="9475" width="42.33203125" style="2" customWidth="1"/>
    <col min="9476" max="9730" width="8.88671875" style="2"/>
    <col min="9731" max="9731" width="42.33203125" style="2" customWidth="1"/>
    <col min="9732" max="9986" width="8.88671875" style="2"/>
    <col min="9987" max="9987" width="42.33203125" style="2" customWidth="1"/>
    <col min="9988" max="10242" width="8.88671875" style="2"/>
    <col min="10243" max="10243" width="42.33203125" style="2" customWidth="1"/>
    <col min="10244" max="10498" width="8.88671875" style="2"/>
    <col min="10499" max="10499" width="42.33203125" style="2" customWidth="1"/>
    <col min="10500" max="10754" width="8.88671875" style="2"/>
    <col min="10755" max="10755" width="42.33203125" style="2" customWidth="1"/>
    <col min="10756" max="11010" width="8.88671875" style="2"/>
    <col min="11011" max="11011" width="42.33203125" style="2" customWidth="1"/>
    <col min="11012" max="11266" width="8.88671875" style="2"/>
    <col min="11267" max="11267" width="42.33203125" style="2" customWidth="1"/>
    <col min="11268" max="11522" width="8.88671875" style="2"/>
    <col min="11523" max="11523" width="42.33203125" style="2" customWidth="1"/>
    <col min="11524" max="11778" width="8.88671875" style="2"/>
    <col min="11779" max="11779" width="42.33203125" style="2" customWidth="1"/>
    <col min="11780" max="12034" width="8.88671875" style="2"/>
    <col min="12035" max="12035" width="42.33203125" style="2" customWidth="1"/>
    <col min="12036" max="12290" width="8.88671875" style="2"/>
    <col min="12291" max="12291" width="42.33203125" style="2" customWidth="1"/>
    <col min="12292" max="12546" width="8.88671875" style="2"/>
    <col min="12547" max="12547" width="42.33203125" style="2" customWidth="1"/>
    <col min="12548" max="12802" width="8.88671875" style="2"/>
    <col min="12803" max="12803" width="42.33203125" style="2" customWidth="1"/>
    <col min="12804" max="13058" width="8.88671875" style="2"/>
    <col min="13059" max="13059" width="42.33203125" style="2" customWidth="1"/>
    <col min="13060" max="13314" width="8.88671875" style="2"/>
    <col min="13315" max="13315" width="42.33203125" style="2" customWidth="1"/>
    <col min="13316" max="13570" width="8.88671875" style="2"/>
    <col min="13571" max="13571" width="42.33203125" style="2" customWidth="1"/>
    <col min="13572" max="13826" width="8.88671875" style="2"/>
    <col min="13827" max="13827" width="42.33203125" style="2" customWidth="1"/>
    <col min="13828" max="14082" width="8.88671875" style="2"/>
    <col min="14083" max="14083" width="42.33203125" style="2" customWidth="1"/>
    <col min="14084" max="14338" width="8.88671875" style="2"/>
    <col min="14339" max="14339" width="42.33203125" style="2" customWidth="1"/>
    <col min="14340" max="14594" width="8.88671875" style="2"/>
    <col min="14595" max="14595" width="42.33203125" style="2" customWidth="1"/>
    <col min="14596" max="14850" width="8.88671875" style="2"/>
    <col min="14851" max="14851" width="42.33203125" style="2" customWidth="1"/>
    <col min="14852" max="15106" width="8.88671875" style="2"/>
    <col min="15107" max="15107" width="42.33203125" style="2" customWidth="1"/>
    <col min="15108" max="15362" width="8.88671875" style="2"/>
    <col min="15363" max="15363" width="42.33203125" style="2" customWidth="1"/>
    <col min="15364" max="15618" width="8.88671875" style="2"/>
    <col min="15619" max="15619" width="42.33203125" style="2" customWidth="1"/>
    <col min="15620" max="15874" width="8.88671875" style="2"/>
    <col min="15875" max="15875" width="42.33203125" style="2" customWidth="1"/>
    <col min="15876" max="16130" width="8.88671875" style="2"/>
    <col min="16131" max="16131" width="42.33203125" style="2" customWidth="1"/>
    <col min="16132" max="16384" width="8.88671875" style="2"/>
  </cols>
  <sheetData>
    <row r="1" spans="1:7" ht="17.399999999999999" x14ac:dyDescent="0.3">
      <c r="A1" s="15" t="s">
        <v>0</v>
      </c>
      <c r="B1" s="15"/>
      <c r="C1" s="15"/>
      <c r="D1" s="1"/>
      <c r="E1" s="1"/>
      <c r="F1" s="1"/>
      <c r="G1" s="1"/>
    </row>
    <row r="2" spans="1:7" ht="13.8" x14ac:dyDescent="0.25">
      <c r="A2" s="3" t="s">
        <v>1</v>
      </c>
      <c r="B2" s="4">
        <v>50</v>
      </c>
      <c r="C2" s="3" t="s">
        <v>2</v>
      </c>
      <c r="D2" s="3"/>
      <c r="E2" s="3"/>
      <c r="F2" s="3"/>
      <c r="G2" s="3"/>
    </row>
    <row r="3" spans="1:7" ht="13.8" x14ac:dyDescent="0.25">
      <c r="A3" s="3" t="s">
        <v>3</v>
      </c>
      <c r="B3" s="4">
        <v>45</v>
      </c>
      <c r="C3" s="3" t="s">
        <v>4</v>
      </c>
      <c r="D3" s="5"/>
      <c r="E3" s="3"/>
      <c r="F3" s="3"/>
      <c r="G3" s="3"/>
    </row>
    <row r="4" spans="1:7" ht="13.8" x14ac:dyDescent="0.25">
      <c r="A4" s="3" t="s">
        <v>5</v>
      </c>
      <c r="B4" s="6">
        <v>0.04</v>
      </c>
      <c r="C4" s="3" t="s">
        <v>6</v>
      </c>
      <c r="D4" s="3"/>
      <c r="E4" s="3"/>
      <c r="F4" s="3"/>
      <c r="G4" s="3"/>
    </row>
    <row r="5" spans="1:7" ht="13.8" x14ac:dyDescent="0.25">
      <c r="A5" s="3" t="s">
        <v>7</v>
      </c>
      <c r="B5" s="4">
        <v>0.75</v>
      </c>
      <c r="C5" s="3" t="s">
        <v>8</v>
      </c>
      <c r="D5" s="3"/>
      <c r="E5" s="3"/>
      <c r="F5" s="3"/>
      <c r="G5" s="3"/>
    </row>
    <row r="6" spans="1:7" ht="13.8" x14ac:dyDescent="0.25">
      <c r="A6" s="3" t="s">
        <v>9</v>
      </c>
      <c r="B6" s="3">
        <v>0.3</v>
      </c>
      <c r="C6" s="3" t="s">
        <v>10</v>
      </c>
      <c r="D6" s="3"/>
      <c r="E6" s="3"/>
      <c r="F6" s="3"/>
      <c r="G6" s="3"/>
    </row>
    <row r="7" spans="1:7" ht="13.8" x14ac:dyDescent="0.25">
      <c r="A7" s="3"/>
      <c r="B7" s="3"/>
      <c r="C7" s="3"/>
      <c r="D7" s="3"/>
      <c r="E7" s="3"/>
      <c r="F7" s="3"/>
      <c r="G7" s="3"/>
    </row>
    <row r="8" spans="1:7" ht="15.6" x14ac:dyDescent="0.35">
      <c r="A8" s="3" t="s">
        <v>11</v>
      </c>
      <c r="B8" s="7">
        <f>(LN(B2/B3)+(B4+B6^2/2)*B5)/(B6*SQRT(B5))</f>
        <v>0.65090667825228321</v>
      </c>
      <c r="C8" s="3" t="s">
        <v>12</v>
      </c>
      <c r="D8" s="3"/>
      <c r="E8" s="3"/>
      <c r="F8" s="3"/>
      <c r="G8" s="3"/>
    </row>
    <row r="9" spans="1:7" ht="15.6" x14ac:dyDescent="0.35">
      <c r="A9" s="3" t="s">
        <v>13</v>
      </c>
      <c r="B9" s="7">
        <f>B8-B6*SQRT(B5)</f>
        <v>0.39109905711695164</v>
      </c>
      <c r="C9" s="3" t="s">
        <v>14</v>
      </c>
      <c r="D9" s="3"/>
      <c r="E9" s="3"/>
      <c r="F9" s="3"/>
      <c r="G9" s="3"/>
    </row>
    <row r="10" spans="1:7" ht="13.8" x14ac:dyDescent="0.25">
      <c r="A10" s="3"/>
      <c r="B10" s="8"/>
      <c r="C10" s="3"/>
      <c r="D10" s="3"/>
      <c r="E10" s="3"/>
      <c r="F10" s="3"/>
      <c r="G10" s="3"/>
    </row>
    <row r="11" spans="1:7" ht="15.6" x14ac:dyDescent="0.35">
      <c r="A11" s="3" t="s">
        <v>15</v>
      </c>
      <c r="B11" s="8">
        <f>_xlfn.NORM.S.DIST(B8,TRUE)</f>
        <v>0.74244663489664375</v>
      </c>
      <c r="C11" s="3" t="s">
        <v>16</v>
      </c>
      <c r="D11" s="3"/>
      <c r="E11" s="3"/>
      <c r="F11" s="3"/>
      <c r="G11" s="3"/>
    </row>
    <row r="12" spans="1:7" ht="15.6" x14ac:dyDescent="0.35">
      <c r="A12" s="3" t="s">
        <v>17</v>
      </c>
      <c r="B12" s="8">
        <f>_xlfn.NORM.S.DIST(B9,TRUE)</f>
        <v>0.65213799122144234</v>
      </c>
      <c r="C12" s="3" t="s">
        <v>18</v>
      </c>
      <c r="D12" s="3"/>
      <c r="E12" s="3"/>
      <c r="F12" s="3"/>
      <c r="G12" s="3"/>
    </row>
    <row r="13" spans="1:7" ht="13.8" x14ac:dyDescent="0.25">
      <c r="A13" s="3"/>
      <c r="B13" s="8"/>
      <c r="C13" s="3"/>
      <c r="D13" s="3"/>
      <c r="E13" s="17" t="s">
        <v>28</v>
      </c>
      <c r="F13" s="3"/>
      <c r="G13" s="3"/>
    </row>
    <row r="14" spans="1:7" ht="15.6" x14ac:dyDescent="0.35">
      <c r="A14" s="9" t="s">
        <v>19</v>
      </c>
      <c r="B14" s="10">
        <f>B2*B11-B3*EXP(-B4*B5)*B12</f>
        <v>8.6434337071156619</v>
      </c>
      <c r="C14" s="3" t="s">
        <v>20</v>
      </c>
      <c r="D14" s="3"/>
      <c r="E14" s="18">
        <f>[2]!BSCall(B2,B3,B5,B4,B6)</f>
        <v>8.6434337071156619</v>
      </c>
      <c r="F14" s="3" t="str">
        <f ca="1">_xlfn.FORMULATEXT(E14)</f>
        <v>=BSCall(B2,B3,B5,B4,B6)</v>
      </c>
      <c r="G14" s="3"/>
    </row>
    <row r="15" spans="1:7" ht="13.8" x14ac:dyDescent="0.25">
      <c r="A15" s="9" t="s">
        <v>21</v>
      </c>
      <c r="B15" s="11">
        <f>B14-B2+B3*EXP(-B4*B5)</f>
        <v>2.3134827167985321</v>
      </c>
      <c r="C15" s="3" t="s">
        <v>22</v>
      </c>
      <c r="D15" s="3"/>
      <c r="E15" s="18">
        <f>[2]!BSPut(B2,B3,B5,B4,B6)</f>
        <v>2.3134827167985321</v>
      </c>
      <c r="F15" s="3" t="str">
        <f ca="1">_xlfn.FORMULATEXT(E15)</f>
        <v>=BSPut(B2,B3,B5,B4,B6)</v>
      </c>
      <c r="G15" s="3"/>
    </row>
    <row r="16" spans="1:7" ht="15.6" x14ac:dyDescent="0.35">
      <c r="A16" s="9"/>
      <c r="B16" s="10">
        <f>B3*EXP(-B4*B5)*_xlfn.NORM.S.DIST(-B9,TRUE)-B2*_xlfn.NORM.S.DIST(-B8,TRUE)</f>
        <v>2.3134827167985339</v>
      </c>
      <c r="C16" s="3" t="s">
        <v>23</v>
      </c>
      <c r="D16" s="3"/>
      <c r="E16" s="3"/>
      <c r="F16" s="3"/>
      <c r="G16" s="3"/>
    </row>
    <row r="17" spans="1:7" ht="13.8" x14ac:dyDescent="0.25">
      <c r="A17" s="3"/>
      <c r="B17" s="12"/>
      <c r="C17" s="3"/>
      <c r="D17" s="3"/>
      <c r="E17" s="3"/>
      <c r="F17" s="3"/>
      <c r="G17" s="3"/>
    </row>
    <row r="18" spans="1:7" ht="47.4" customHeight="1" x14ac:dyDescent="0.3">
      <c r="A18" s="3"/>
      <c r="B18" s="12"/>
      <c r="C18" s="3"/>
      <c r="D18" s="16" t="s">
        <v>24</v>
      </c>
      <c r="E18" s="16"/>
      <c r="F18" s="16"/>
      <c r="G18" s="3"/>
    </row>
    <row r="19" spans="1:7" ht="26.4" x14ac:dyDescent="0.25">
      <c r="D19" s="13" t="s">
        <v>25</v>
      </c>
      <c r="E19" s="13" t="s">
        <v>26</v>
      </c>
      <c r="F19" s="13" t="s">
        <v>27</v>
      </c>
    </row>
    <row r="20" spans="1:7" x14ac:dyDescent="0.25">
      <c r="E20" s="14">
        <f>B14</f>
        <v>8.6434337071156619</v>
      </c>
      <c r="F20" s="2">
        <f>MAX(B2-B3,0)</f>
        <v>5</v>
      </c>
    </row>
    <row r="21" spans="1:7" x14ac:dyDescent="0.25">
      <c r="D21" s="2">
        <v>5</v>
      </c>
      <c r="E21" s="14">
        <f t="dataTable" ref="E21:F36" dt2D="0" dtr="0" r1="B2"/>
        <v>1.6271103795261353E-17</v>
      </c>
      <c r="F21" s="2">
        <v>0</v>
      </c>
    </row>
    <row r="22" spans="1:7" x14ac:dyDescent="0.25">
      <c r="D22" s="2">
        <v>10</v>
      </c>
      <c r="E22" s="14">
        <v>6.2724512246643584E-9</v>
      </c>
      <c r="F22" s="2">
        <v>0</v>
      </c>
    </row>
    <row r="23" spans="1:7" x14ac:dyDescent="0.25">
      <c r="D23" s="2">
        <v>15</v>
      </c>
      <c r="E23" s="14">
        <v>2.8392918447725339E-5</v>
      </c>
      <c r="F23" s="2">
        <v>0</v>
      </c>
    </row>
    <row r="24" spans="1:7" x14ac:dyDescent="0.25">
      <c r="D24" s="2">
        <v>20</v>
      </c>
      <c r="E24" s="14">
        <v>2.8537602395158762E-3</v>
      </c>
      <c r="F24" s="2">
        <v>0</v>
      </c>
    </row>
    <row r="25" spans="1:7" x14ac:dyDescent="0.25">
      <c r="D25" s="2">
        <v>25</v>
      </c>
      <c r="E25" s="14">
        <v>4.8405224028071792E-2</v>
      </c>
      <c r="F25" s="2">
        <v>0</v>
      </c>
    </row>
    <row r="26" spans="1:7" x14ac:dyDescent="0.25">
      <c r="D26" s="2">
        <v>30</v>
      </c>
      <c r="E26" s="14">
        <v>0.31005154938344548</v>
      </c>
      <c r="F26" s="2">
        <v>0</v>
      </c>
    </row>
    <row r="27" spans="1:7" x14ac:dyDescent="0.25">
      <c r="D27" s="2">
        <v>35</v>
      </c>
      <c r="E27" s="14">
        <v>1.1076855598914648</v>
      </c>
      <c r="F27" s="2">
        <v>0</v>
      </c>
    </row>
    <row r="28" spans="1:7" x14ac:dyDescent="0.25">
      <c r="D28" s="2">
        <v>40</v>
      </c>
      <c r="E28" s="14">
        <v>2.7318630834502908</v>
      </c>
      <c r="F28" s="2">
        <v>0</v>
      </c>
    </row>
    <row r="29" spans="1:7" x14ac:dyDescent="0.25">
      <c r="D29" s="2">
        <v>45</v>
      </c>
      <c r="E29" s="14">
        <v>5.2776725210471618</v>
      </c>
      <c r="F29" s="2">
        <v>0</v>
      </c>
    </row>
    <row r="30" spans="1:7" x14ac:dyDescent="0.25">
      <c r="D30" s="2">
        <v>50</v>
      </c>
      <c r="E30" s="14">
        <v>8.6434337071156619</v>
      </c>
      <c r="F30" s="2">
        <v>5</v>
      </c>
    </row>
    <row r="31" spans="1:7" x14ac:dyDescent="0.25">
      <c r="D31" s="2">
        <v>55</v>
      </c>
      <c r="E31" s="14">
        <v>12.6307309804506</v>
      </c>
      <c r="F31" s="2">
        <v>10</v>
      </c>
    </row>
    <row r="32" spans="1:7" x14ac:dyDescent="0.25">
      <c r="D32" s="2">
        <v>60</v>
      </c>
      <c r="E32" s="14">
        <v>17.037833435617188</v>
      </c>
      <c r="F32" s="2">
        <v>15</v>
      </c>
    </row>
    <row r="33" spans="4:6" x14ac:dyDescent="0.25">
      <c r="D33" s="2">
        <v>65</v>
      </c>
      <c r="E33" s="14">
        <v>21.705621303373071</v>
      </c>
      <c r="F33" s="2">
        <v>20</v>
      </c>
    </row>
    <row r="34" spans="4:6" x14ac:dyDescent="0.25">
      <c r="D34" s="2">
        <v>70</v>
      </c>
      <c r="E34" s="14">
        <v>26.525589687810623</v>
      </c>
      <c r="F34" s="2">
        <v>25</v>
      </c>
    </row>
    <row r="35" spans="4:6" x14ac:dyDescent="0.25">
      <c r="D35" s="2">
        <v>75</v>
      </c>
      <c r="E35" s="14">
        <v>31.430439448391141</v>
      </c>
      <c r="F35" s="2">
        <v>30</v>
      </c>
    </row>
    <row r="36" spans="4:6" x14ac:dyDescent="0.25">
      <c r="D36" s="2">
        <v>80</v>
      </c>
      <c r="E36" s="14">
        <v>36.381069196126973</v>
      </c>
      <c r="F36" s="2">
        <v>35</v>
      </c>
    </row>
  </sheetData>
  <mergeCells count="2">
    <mergeCell ref="A1:C1"/>
    <mergeCell ref="D18:F18"/>
  </mergeCells>
  <phoneticPr fontId="1" type="noConversion"/>
  <printOptions headings="1" gridLines="1"/>
  <pageMargins left="0.75" right="0.75" top="1" bottom="1" header="0.5" footer="0.5"/>
  <pageSetup orientation="landscape" verticalDpi="300" r:id="rId1"/>
  <headerFooter alignWithMargins="0">
    <oddHeader>&amp;CUN-13B</oddHead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Page 510-11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2024-11-27T13:11:42Z</dcterms:modified>
</cp:coreProperties>
</file>