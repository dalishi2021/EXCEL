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3\"/>
    </mc:Choice>
  </mc:AlternateContent>
  <xr:revisionPtr revIDLastSave="0" documentId="13_ncr:1_{4EF700EA-2295-4834-9187-0073592EFEB2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0" i="1" l="1"/>
  <c r="K19" i="1"/>
  <c r="J19" i="1"/>
  <c r="J18" i="1"/>
  <c r="K18" i="1"/>
  <c r="I18" i="1"/>
  <c r="I17" i="1"/>
  <c r="J17" i="1"/>
  <c r="K17" i="1"/>
  <c r="H17" i="1"/>
  <c r="H16" i="1"/>
  <c r="I16" i="1"/>
  <c r="J16" i="1"/>
  <c r="K16" i="1"/>
  <c r="G16" i="1"/>
  <c r="G15" i="1"/>
  <c r="H15" i="1"/>
  <c r="I15" i="1"/>
  <c r="J15" i="1"/>
  <c r="K15" i="1"/>
  <c r="F15" i="1"/>
  <c r="F14" i="1"/>
  <c r="G14" i="1"/>
  <c r="H14" i="1"/>
  <c r="I14" i="1"/>
  <c r="J14" i="1"/>
  <c r="K14" i="1"/>
  <c r="E14" i="1"/>
  <c r="E13" i="1"/>
  <c r="F13" i="1"/>
  <c r="G13" i="1"/>
  <c r="H13" i="1"/>
  <c r="I13" i="1"/>
  <c r="J13" i="1"/>
  <c r="K13" i="1"/>
  <c r="D13" i="1"/>
  <c r="B11" i="1"/>
  <c r="C12" i="1"/>
  <c r="D12" i="1"/>
  <c r="E12" i="1"/>
  <c r="F12" i="1"/>
  <c r="G12" i="1"/>
  <c r="H12" i="1"/>
  <c r="I12" i="1"/>
  <c r="J12" i="1"/>
  <c r="K12" i="1"/>
  <c r="C11" i="1"/>
  <c r="D11" i="1"/>
  <c r="E11" i="1"/>
  <c r="F11" i="1"/>
  <c r="G11" i="1"/>
  <c r="H11" i="1"/>
  <c r="I11" i="1"/>
  <c r="J11" i="1"/>
  <c r="K11" i="1"/>
  <c r="K83" i="1"/>
  <c r="J83" i="1"/>
  <c r="I83" i="1"/>
  <c r="H83" i="1"/>
  <c r="G83" i="1"/>
  <c r="F83" i="1"/>
  <c r="E83" i="1"/>
  <c r="D83" i="1"/>
  <c r="C83" i="1"/>
  <c r="B83" i="1"/>
  <c r="K82" i="1"/>
  <c r="J82" i="1"/>
  <c r="I82" i="1"/>
  <c r="H82" i="1"/>
  <c r="G82" i="1"/>
  <c r="F82" i="1"/>
  <c r="E82" i="1"/>
  <c r="D82" i="1"/>
  <c r="C82" i="1"/>
  <c r="B82" i="1"/>
  <c r="K81" i="1"/>
  <c r="J81" i="1"/>
  <c r="I81" i="1"/>
  <c r="H81" i="1"/>
  <c r="G81" i="1"/>
  <c r="F81" i="1"/>
  <c r="E81" i="1"/>
  <c r="D81" i="1"/>
  <c r="C81" i="1"/>
  <c r="B81" i="1"/>
  <c r="K80" i="1"/>
  <c r="J80" i="1"/>
  <c r="I80" i="1"/>
  <c r="H80" i="1"/>
  <c r="G80" i="1"/>
  <c r="F80" i="1"/>
  <c r="E80" i="1"/>
  <c r="D80" i="1"/>
  <c r="C80" i="1"/>
  <c r="B80" i="1"/>
  <c r="K79" i="1"/>
  <c r="J79" i="1"/>
  <c r="I79" i="1"/>
  <c r="H79" i="1"/>
  <c r="G79" i="1"/>
  <c r="F79" i="1"/>
  <c r="E79" i="1"/>
  <c r="D79" i="1"/>
  <c r="C79" i="1"/>
  <c r="B79" i="1"/>
  <c r="K78" i="1"/>
  <c r="J78" i="1"/>
  <c r="I78" i="1"/>
  <c r="H78" i="1"/>
  <c r="G78" i="1"/>
  <c r="F78" i="1"/>
  <c r="E78" i="1"/>
  <c r="D78" i="1"/>
  <c r="C78" i="1"/>
  <c r="B78" i="1"/>
  <c r="K77" i="1"/>
  <c r="J77" i="1"/>
  <c r="I77" i="1"/>
  <c r="H77" i="1"/>
  <c r="G77" i="1"/>
  <c r="F77" i="1"/>
  <c r="E77" i="1"/>
  <c r="D77" i="1"/>
  <c r="C77" i="1"/>
  <c r="B77" i="1"/>
  <c r="K76" i="1"/>
  <c r="J76" i="1"/>
  <c r="I76" i="1"/>
  <c r="H76" i="1"/>
  <c r="G76" i="1"/>
  <c r="F76" i="1"/>
  <c r="E76" i="1"/>
  <c r="D76" i="1"/>
  <c r="C76" i="1"/>
  <c r="B76" i="1"/>
  <c r="K75" i="1"/>
  <c r="J75" i="1"/>
  <c r="I75" i="1"/>
  <c r="H75" i="1"/>
  <c r="G75" i="1"/>
  <c r="F75" i="1"/>
  <c r="E75" i="1"/>
  <c r="D75" i="1"/>
  <c r="C75" i="1"/>
  <c r="B75" i="1"/>
  <c r="K74" i="1"/>
  <c r="J74" i="1"/>
  <c r="I74" i="1"/>
  <c r="H74" i="1"/>
  <c r="G74" i="1"/>
  <c r="F74" i="1"/>
  <c r="E74" i="1"/>
  <c r="D74" i="1"/>
  <c r="C74" i="1"/>
  <c r="B74" i="1"/>
  <c r="K73" i="1"/>
  <c r="J73" i="1"/>
  <c r="I73" i="1"/>
  <c r="H73" i="1"/>
  <c r="G73" i="1"/>
  <c r="F73" i="1"/>
  <c r="E73" i="1"/>
  <c r="D73" i="1"/>
  <c r="C73" i="1"/>
  <c r="B73" i="1"/>
  <c r="K72" i="1"/>
  <c r="J72" i="1"/>
  <c r="I72" i="1"/>
  <c r="H72" i="1"/>
  <c r="G72" i="1"/>
  <c r="F72" i="1"/>
  <c r="E72" i="1"/>
  <c r="D72" i="1"/>
  <c r="C72" i="1"/>
  <c r="B72" i="1"/>
  <c r="K71" i="1"/>
  <c r="J71" i="1"/>
  <c r="I71" i="1"/>
  <c r="H71" i="1"/>
  <c r="G71" i="1"/>
  <c r="F71" i="1"/>
  <c r="E71" i="1"/>
  <c r="D71" i="1"/>
  <c r="C71" i="1"/>
  <c r="B71" i="1"/>
  <c r="K70" i="1"/>
  <c r="J70" i="1"/>
  <c r="I70" i="1"/>
  <c r="H70" i="1"/>
  <c r="G70" i="1"/>
  <c r="F70" i="1"/>
  <c r="E70" i="1"/>
  <c r="D70" i="1"/>
  <c r="C70" i="1"/>
  <c r="B70" i="1"/>
  <c r="K69" i="1"/>
  <c r="J69" i="1"/>
  <c r="I69" i="1"/>
  <c r="H69" i="1"/>
  <c r="G69" i="1"/>
  <c r="F69" i="1"/>
  <c r="E69" i="1"/>
  <c r="D69" i="1"/>
  <c r="C69" i="1"/>
  <c r="B69" i="1"/>
  <c r="K68" i="1"/>
  <c r="J68" i="1"/>
  <c r="I68" i="1"/>
  <c r="H68" i="1"/>
  <c r="G68" i="1"/>
  <c r="F68" i="1"/>
  <c r="E68" i="1"/>
  <c r="D68" i="1"/>
  <c r="C68" i="1"/>
  <c r="B68" i="1"/>
  <c r="K67" i="1"/>
  <c r="J67" i="1"/>
  <c r="I67" i="1"/>
  <c r="H67" i="1"/>
  <c r="G67" i="1"/>
  <c r="F67" i="1"/>
  <c r="E67" i="1"/>
  <c r="D67" i="1"/>
  <c r="C67" i="1"/>
  <c r="B67" i="1"/>
  <c r="K66" i="1"/>
  <c r="J66" i="1"/>
  <c r="I66" i="1"/>
  <c r="H66" i="1"/>
  <c r="G66" i="1"/>
  <c r="F66" i="1"/>
  <c r="E66" i="1"/>
  <c r="D66" i="1"/>
  <c r="C66" i="1"/>
  <c r="B66" i="1"/>
  <c r="K65" i="1"/>
  <c r="J65" i="1"/>
  <c r="I65" i="1"/>
  <c r="H65" i="1"/>
  <c r="G65" i="1"/>
  <c r="F65" i="1"/>
  <c r="E65" i="1"/>
  <c r="D65" i="1"/>
  <c r="C65" i="1"/>
  <c r="B65" i="1"/>
  <c r="K64" i="1"/>
  <c r="J64" i="1"/>
  <c r="I64" i="1"/>
  <c r="H64" i="1"/>
  <c r="G64" i="1"/>
  <c r="F64" i="1"/>
  <c r="E64" i="1"/>
  <c r="D64" i="1"/>
  <c r="C64" i="1"/>
  <c r="B64" i="1"/>
  <c r="K63" i="1"/>
  <c r="J63" i="1"/>
  <c r="I63" i="1"/>
  <c r="H63" i="1"/>
  <c r="G63" i="1"/>
  <c r="F63" i="1"/>
  <c r="E63" i="1"/>
  <c r="D63" i="1"/>
  <c r="C63" i="1"/>
  <c r="B63" i="1"/>
  <c r="K62" i="1"/>
  <c r="J62" i="1"/>
  <c r="I62" i="1"/>
  <c r="H62" i="1"/>
  <c r="G62" i="1"/>
  <c r="F62" i="1"/>
  <c r="E62" i="1"/>
  <c r="D62" i="1"/>
  <c r="C62" i="1"/>
  <c r="B62" i="1"/>
  <c r="K61" i="1"/>
  <c r="J61" i="1"/>
  <c r="I61" i="1"/>
  <c r="H61" i="1"/>
  <c r="G61" i="1"/>
  <c r="F61" i="1"/>
  <c r="E61" i="1"/>
  <c r="D61" i="1"/>
  <c r="C61" i="1"/>
  <c r="B61" i="1"/>
  <c r="K60" i="1"/>
  <c r="J60" i="1"/>
  <c r="I60" i="1"/>
  <c r="H60" i="1"/>
  <c r="G60" i="1"/>
  <c r="F60" i="1"/>
  <c r="E60" i="1"/>
  <c r="D60" i="1"/>
  <c r="C60" i="1"/>
  <c r="B60" i="1"/>
  <c r="K59" i="1"/>
  <c r="J59" i="1"/>
  <c r="I59" i="1"/>
  <c r="H59" i="1"/>
  <c r="G59" i="1"/>
  <c r="F59" i="1"/>
  <c r="E59" i="1"/>
  <c r="D59" i="1"/>
  <c r="C59" i="1"/>
  <c r="B59" i="1"/>
  <c r="K58" i="1"/>
  <c r="J58" i="1"/>
  <c r="I58" i="1"/>
  <c r="H58" i="1"/>
  <c r="G58" i="1"/>
  <c r="F58" i="1"/>
  <c r="E58" i="1"/>
  <c r="D58" i="1"/>
  <c r="C58" i="1"/>
  <c r="B58" i="1"/>
  <c r="K57" i="1"/>
  <c r="J57" i="1"/>
  <c r="I57" i="1"/>
  <c r="H57" i="1"/>
  <c r="G57" i="1"/>
  <c r="F57" i="1"/>
  <c r="E57" i="1"/>
  <c r="D57" i="1"/>
  <c r="C57" i="1"/>
  <c r="B57" i="1"/>
  <c r="K56" i="1"/>
  <c r="J56" i="1"/>
  <c r="I56" i="1"/>
  <c r="H56" i="1"/>
  <c r="G56" i="1"/>
  <c r="F56" i="1"/>
  <c r="E56" i="1"/>
  <c r="D56" i="1"/>
  <c r="C56" i="1"/>
  <c r="B56" i="1"/>
  <c r="K55" i="1"/>
  <c r="J55" i="1"/>
  <c r="I55" i="1"/>
  <c r="H55" i="1"/>
  <c r="G55" i="1"/>
  <c r="F55" i="1"/>
  <c r="E55" i="1"/>
  <c r="D55" i="1"/>
  <c r="C55" i="1"/>
  <c r="B55" i="1"/>
  <c r="K54" i="1"/>
  <c r="J54" i="1"/>
  <c r="I54" i="1"/>
  <c r="H54" i="1"/>
  <c r="G54" i="1"/>
  <c r="F54" i="1"/>
  <c r="E54" i="1"/>
  <c r="D54" i="1"/>
  <c r="C54" i="1"/>
  <c r="B54" i="1"/>
  <c r="K53" i="1"/>
  <c r="J53" i="1"/>
  <c r="I53" i="1"/>
  <c r="H53" i="1"/>
  <c r="G53" i="1"/>
  <c r="F53" i="1"/>
  <c r="E53" i="1"/>
  <c r="D53" i="1"/>
  <c r="C53" i="1"/>
  <c r="B53" i="1"/>
  <c r="K52" i="1"/>
  <c r="J52" i="1"/>
  <c r="I52" i="1"/>
  <c r="H52" i="1"/>
  <c r="G52" i="1"/>
  <c r="F52" i="1"/>
  <c r="E52" i="1"/>
  <c r="D52" i="1"/>
  <c r="C52" i="1"/>
  <c r="B52" i="1"/>
  <c r="K51" i="1"/>
  <c r="J51" i="1"/>
  <c r="I51" i="1"/>
  <c r="H51" i="1"/>
  <c r="G51" i="1"/>
  <c r="F51" i="1"/>
  <c r="E51" i="1"/>
  <c r="D51" i="1"/>
  <c r="C51" i="1"/>
  <c r="B51" i="1"/>
  <c r="K50" i="1"/>
  <c r="J50" i="1"/>
  <c r="I50" i="1"/>
  <c r="H50" i="1"/>
  <c r="G50" i="1"/>
  <c r="F50" i="1"/>
  <c r="E50" i="1"/>
  <c r="D50" i="1"/>
  <c r="C50" i="1"/>
  <c r="B50" i="1"/>
  <c r="K49" i="1"/>
  <c r="J49" i="1"/>
  <c r="I49" i="1"/>
  <c r="H49" i="1"/>
  <c r="G49" i="1"/>
  <c r="F49" i="1"/>
  <c r="E49" i="1"/>
  <c r="D49" i="1"/>
  <c r="C49" i="1"/>
  <c r="B49" i="1"/>
  <c r="K48" i="1"/>
  <c r="J48" i="1"/>
  <c r="I48" i="1"/>
  <c r="H48" i="1"/>
  <c r="G48" i="1"/>
  <c r="F48" i="1"/>
  <c r="E48" i="1"/>
  <c r="D48" i="1"/>
  <c r="C48" i="1"/>
  <c r="B48" i="1"/>
  <c r="K47" i="1"/>
  <c r="J47" i="1"/>
  <c r="I47" i="1"/>
  <c r="H47" i="1"/>
  <c r="G47" i="1"/>
  <c r="F47" i="1"/>
  <c r="E47" i="1"/>
  <c r="D47" i="1"/>
  <c r="C47" i="1"/>
  <c r="B47" i="1"/>
  <c r="K46" i="1"/>
  <c r="J46" i="1"/>
  <c r="I46" i="1"/>
  <c r="H46" i="1"/>
  <c r="G46" i="1"/>
  <c r="F46" i="1"/>
  <c r="E46" i="1"/>
  <c r="D46" i="1"/>
  <c r="C46" i="1"/>
  <c r="B46" i="1"/>
  <c r="K45" i="1"/>
  <c r="J45" i="1"/>
  <c r="I45" i="1"/>
  <c r="H45" i="1"/>
  <c r="G45" i="1"/>
  <c r="F45" i="1"/>
  <c r="E45" i="1"/>
  <c r="D45" i="1"/>
  <c r="C45" i="1"/>
  <c r="B45" i="1"/>
  <c r="K44" i="1"/>
  <c r="J44" i="1"/>
  <c r="I44" i="1"/>
  <c r="H44" i="1"/>
  <c r="G44" i="1"/>
  <c r="F44" i="1"/>
  <c r="E44" i="1"/>
  <c r="D44" i="1"/>
  <c r="C44" i="1"/>
  <c r="B44" i="1"/>
  <c r="K43" i="1"/>
  <c r="J43" i="1"/>
  <c r="I43" i="1"/>
  <c r="H43" i="1"/>
  <c r="G43" i="1"/>
  <c r="F43" i="1"/>
  <c r="E43" i="1"/>
  <c r="D43" i="1"/>
  <c r="C43" i="1"/>
  <c r="B43" i="1"/>
  <c r="K42" i="1"/>
  <c r="J42" i="1"/>
  <c r="I42" i="1"/>
  <c r="H42" i="1"/>
  <c r="G42" i="1"/>
  <c r="F42" i="1"/>
  <c r="E42" i="1"/>
  <c r="D42" i="1"/>
  <c r="C42" i="1"/>
  <c r="B42" i="1"/>
  <c r="K41" i="1"/>
  <c r="J41" i="1"/>
  <c r="I41" i="1"/>
  <c r="H41" i="1"/>
  <c r="G41" i="1"/>
  <c r="F41" i="1"/>
  <c r="E41" i="1"/>
  <c r="D41" i="1"/>
  <c r="C41" i="1"/>
  <c r="B41" i="1"/>
  <c r="K40" i="1"/>
  <c r="J40" i="1"/>
  <c r="I40" i="1"/>
  <c r="H40" i="1"/>
  <c r="G40" i="1"/>
  <c r="F40" i="1"/>
  <c r="E40" i="1"/>
  <c r="D40" i="1"/>
  <c r="C40" i="1"/>
  <c r="B40" i="1"/>
  <c r="K39" i="1"/>
  <c r="J39" i="1"/>
  <c r="I39" i="1"/>
  <c r="H39" i="1"/>
  <c r="G39" i="1"/>
  <c r="F39" i="1"/>
  <c r="E39" i="1"/>
  <c r="D39" i="1"/>
  <c r="C39" i="1"/>
  <c r="B39" i="1"/>
  <c r="K38" i="1"/>
  <c r="J38" i="1"/>
  <c r="I38" i="1"/>
  <c r="H38" i="1"/>
  <c r="G38" i="1"/>
  <c r="F38" i="1"/>
  <c r="E38" i="1"/>
  <c r="D38" i="1"/>
  <c r="C38" i="1"/>
  <c r="B38" i="1"/>
  <c r="K37" i="1"/>
  <c r="J37" i="1"/>
  <c r="I37" i="1"/>
  <c r="H37" i="1"/>
  <c r="G37" i="1"/>
  <c r="F37" i="1"/>
  <c r="E37" i="1"/>
  <c r="D37" i="1"/>
  <c r="C37" i="1"/>
  <c r="B37" i="1"/>
  <c r="K36" i="1"/>
  <c r="J36" i="1"/>
  <c r="I36" i="1"/>
  <c r="H36" i="1"/>
  <c r="G36" i="1"/>
  <c r="F36" i="1"/>
  <c r="E36" i="1"/>
  <c r="D36" i="1"/>
  <c r="C36" i="1"/>
  <c r="B36" i="1"/>
  <c r="K35" i="1"/>
  <c r="J35" i="1"/>
  <c r="I35" i="1"/>
  <c r="H35" i="1"/>
  <c r="G35" i="1"/>
  <c r="F35" i="1"/>
  <c r="E35" i="1"/>
  <c r="D35" i="1"/>
  <c r="C35" i="1"/>
  <c r="B35" i="1"/>
  <c r="K34" i="1"/>
  <c r="J34" i="1"/>
  <c r="I34" i="1"/>
  <c r="H34" i="1"/>
  <c r="G34" i="1"/>
  <c r="F34" i="1"/>
  <c r="E34" i="1"/>
  <c r="D34" i="1"/>
  <c r="C34" i="1"/>
  <c r="B34" i="1"/>
  <c r="K33" i="1"/>
  <c r="J33" i="1"/>
  <c r="I33" i="1"/>
  <c r="H33" i="1"/>
  <c r="G33" i="1"/>
  <c r="F33" i="1"/>
  <c r="E33" i="1"/>
  <c r="D33" i="1"/>
  <c r="C33" i="1"/>
  <c r="B33" i="1"/>
  <c r="K32" i="1"/>
  <c r="J32" i="1"/>
  <c r="I32" i="1"/>
  <c r="H32" i="1"/>
  <c r="G32" i="1"/>
  <c r="F32" i="1"/>
  <c r="E32" i="1"/>
  <c r="D32" i="1"/>
  <c r="C32" i="1"/>
  <c r="B32" i="1"/>
  <c r="K31" i="1"/>
  <c r="J31" i="1"/>
  <c r="I31" i="1"/>
  <c r="H31" i="1"/>
  <c r="G31" i="1"/>
  <c r="F31" i="1"/>
  <c r="E31" i="1"/>
  <c r="D31" i="1"/>
  <c r="C31" i="1"/>
  <c r="B31" i="1"/>
  <c r="K30" i="1"/>
  <c r="J30" i="1"/>
  <c r="I30" i="1"/>
  <c r="H30" i="1"/>
  <c r="G30" i="1"/>
  <c r="F30" i="1"/>
  <c r="E30" i="1"/>
  <c r="D30" i="1"/>
  <c r="C30" i="1"/>
  <c r="B30" i="1"/>
  <c r="K29" i="1"/>
  <c r="J29" i="1"/>
  <c r="I29" i="1"/>
  <c r="H29" i="1"/>
  <c r="G29" i="1"/>
  <c r="F29" i="1"/>
  <c r="E29" i="1"/>
  <c r="D29" i="1"/>
  <c r="C29" i="1"/>
  <c r="B29" i="1"/>
  <c r="K28" i="1"/>
  <c r="J28" i="1"/>
  <c r="I28" i="1"/>
  <c r="H28" i="1"/>
  <c r="G28" i="1"/>
  <c r="F28" i="1"/>
  <c r="E28" i="1"/>
  <c r="D28" i="1"/>
  <c r="C28" i="1"/>
  <c r="B28" i="1"/>
  <c r="K27" i="1"/>
  <c r="J27" i="1"/>
  <c r="I27" i="1"/>
  <c r="H27" i="1"/>
  <c r="G27" i="1"/>
  <c r="F27" i="1"/>
  <c r="E27" i="1"/>
  <c r="D27" i="1"/>
  <c r="C27" i="1"/>
  <c r="B27" i="1"/>
  <c r="K26" i="1"/>
  <c r="J26" i="1"/>
  <c r="I26" i="1"/>
  <c r="H26" i="1"/>
  <c r="G26" i="1"/>
  <c r="F26" i="1"/>
  <c r="E26" i="1"/>
  <c r="D26" i="1"/>
  <c r="C26" i="1"/>
  <c r="B26" i="1"/>
  <c r="K25" i="1"/>
  <c r="J25" i="1"/>
  <c r="I25" i="1"/>
  <c r="H25" i="1"/>
  <c r="G25" i="1"/>
  <c r="F25" i="1"/>
  <c r="E25" i="1"/>
  <c r="D25" i="1"/>
  <c r="C25" i="1"/>
  <c r="B25" i="1"/>
  <c r="K24" i="1"/>
  <c r="J24" i="1"/>
  <c r="I24" i="1"/>
  <c r="H24" i="1"/>
  <c r="G24" i="1"/>
  <c r="F24" i="1"/>
  <c r="E24" i="1"/>
  <c r="D24" i="1"/>
  <c r="C24" i="1"/>
  <c r="B24" i="1"/>
  <c r="K7" i="1"/>
  <c r="J7" i="1"/>
  <c r="I7" i="1"/>
  <c r="H7" i="1"/>
  <c r="G7" i="1"/>
  <c r="F7" i="1"/>
  <c r="E7" i="1"/>
  <c r="D7" i="1"/>
  <c r="C7" i="1"/>
  <c r="B7" i="1"/>
  <c r="K6" i="1"/>
  <c r="J6" i="1"/>
  <c r="I6" i="1"/>
  <c r="H6" i="1"/>
  <c r="G6" i="1"/>
  <c r="F6" i="1"/>
  <c r="E6" i="1"/>
  <c r="D6" i="1"/>
  <c r="C6" i="1"/>
  <c r="B6" i="1"/>
  <c r="K4" i="1"/>
  <c r="J4" i="1"/>
  <c r="I4" i="1"/>
  <c r="H4" i="1"/>
  <c r="G4" i="1"/>
  <c r="F4" i="1"/>
  <c r="E4" i="1"/>
  <c r="D4" i="1"/>
  <c r="C4" i="1"/>
  <c r="B4" i="1"/>
  <c r="L24" i="1"/>
  <c r="L13" i="1"/>
  <c r="L12" i="1"/>
  <c r="L11" i="1"/>
</calcChain>
</file>

<file path=xl/sharedStrings.xml><?xml version="1.0" encoding="utf-8"?>
<sst xmlns="http://schemas.openxmlformats.org/spreadsheetml/2006/main" count="47" uniqueCount="26">
  <si>
    <t>NEGATIVE RETURNS AND HIGH CORRELATIONS</t>
  </si>
  <si>
    <t>General Motors
GM</t>
  </si>
  <si>
    <t>Home Depot
HD</t>
  </si>
  <si>
    <t>International Paper
IP</t>
  </si>
  <si>
    <t>Hewlett-Packard
HPQ</t>
  </si>
  <si>
    <t>Altria
MO</t>
  </si>
  <si>
    <t>American Express
AXP</t>
  </si>
  <si>
    <t>Alcoa Aluminum
AA</t>
  </si>
  <si>
    <t>DuPont
DD</t>
  </si>
  <si>
    <t>Merck
MRK</t>
  </si>
  <si>
    <t>MMM</t>
  </si>
  <si>
    <t>Market cap (billion $)</t>
  </si>
  <si>
    <t>Benchmark proportion</t>
  </si>
  <si>
    <t>Mean return</t>
  </si>
  <si>
    <t>Return sigma</t>
  </si>
  <si>
    <t>GM</t>
  </si>
  <si>
    <t>HD</t>
  </si>
  <si>
    <t>IP</t>
  </si>
  <si>
    <t>HPQ</t>
  </si>
  <si>
    <t>MO</t>
  </si>
  <si>
    <t>AXP</t>
  </si>
  <si>
    <t>AA</t>
  </si>
  <si>
    <t>DD</t>
  </si>
  <si>
    <t>MRK</t>
  </si>
  <si>
    <t>Excess returns:  Monthly minus sample mean for each asset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</si>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</sst>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/>
    <xf numFmtId="10" fontId="2" fillId="0" borderId="0" xfId="1" applyNumberFormat="1" applyAlignment="1"/>
    <xf numFmtId="10" fontId="0" fillId="2" borderId="0" xfId="0" applyNumberFormat="1" applyFill="1" applyAlignment="1"/>
    <xf numFmtId="10" fontId="0" fillId="0" borderId="0" xfId="0" applyNumberFormat="1" applyAlignment="1"/>
    <xf numFmtId="0" fontId="0" fillId="0" borderId="0" xfId="0" applyAlignment="1">
      <alignment horizontal="center"/>
    </xf>
    <xf numFmtId="176" fontId="0" fillId="0" borderId="0" xfId="0" applyNumberFormat="1" applyAlignment="1"/>
    <xf numFmtId="0" fontId="4" fillId="0" borderId="0" xfId="0" applyFont="1" applyAlignment="1"/>
    <xf numFmtId="15" fontId="0" fillId="0" borderId="0" xfId="0" applyNumberFormat="1" applyAlignment="1">
      <alignment horizontal="center"/>
    </xf>
  </cellXfs>
  <cellStyles count="2">
    <cellStyle name="百分比" xfId="1" builtinId="5"/>
    <cellStyle name="常规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200025</xdr:colOff>
      <xdr:row>1</xdr:row>
      <xdr:rowOff>9525</xdr:rowOff>
    </xdr:from>
    <xdr:to>
      <xdr:col>29</xdr:col>
      <xdr:colOff>552451</xdr:colOff>
      <xdr:row>81</xdr:row>
      <xdr:rowOff>135255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59A8D604-1ABF-75D5-69EE-DBBBF8B449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896600" y="228600"/>
          <a:ext cx="10096500" cy="143827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3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3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351"/>
      <sheetName val="Page 351中文"/>
      <sheetName val="Page 352"/>
      <sheetName val="Page 352中文"/>
      <sheetName val="Page 353"/>
      <sheetName val="Page 353中文"/>
      <sheetName val="Page 355"/>
      <sheetName val="Page 355中文"/>
      <sheetName val="Page 356"/>
      <sheetName val="Page 356中文"/>
      <sheetName val="Page 358"/>
      <sheetName val="Page 358中文"/>
      <sheetName val="Page 359"/>
      <sheetName val="Page 359中文"/>
      <sheetName val="Pages 361-63"/>
      <sheetName val="Pages 361-63中文"/>
      <sheetName val="Page 364"/>
      <sheetName val="Page 364中文"/>
      <sheetName val="Pages 365-367"/>
      <sheetName val="Pages 365-367中文"/>
      <sheetName val="3month T-bills中文"/>
    </sheetNames>
    <sheetDataSet>
      <sheetData sheetId="0"/>
      <sheetData sheetId="1"/>
      <sheetData sheetId="2">
        <row r="6">
          <cell r="B6">
            <v>-8.7338516296339343E-3</v>
          </cell>
          <cell r="C6">
            <v>-3.912585257124279E-3</v>
          </cell>
          <cell r="D6">
            <v>5.6680525235541432E-4</v>
          </cell>
          <cell r="E6">
            <v>2.9945591784535926E-3</v>
          </cell>
          <cell r="F6">
            <v>1.0657665224744494E-2</v>
          </cell>
          <cell r="G6">
            <v>8.2352946572464818E-3</v>
          </cell>
          <cell r="H6">
            <v>-1.8043520930813397E-3</v>
          </cell>
          <cell r="I6">
            <v>2.9098702286280479E-4</v>
          </cell>
          <cell r="J6">
            <v>-5.5220323858443934E-3</v>
          </cell>
          <cell r="K6">
            <v>7.4809905230536237E-3</v>
          </cell>
        </row>
        <row r="7">
          <cell r="B7">
            <v>0.1078459820081009</v>
          </cell>
          <cell r="C7">
            <v>8.409336866723402E-2</v>
          </cell>
          <cell r="D7">
            <v>6.2332673442510929E-2</v>
          </cell>
          <cell r="E7">
            <v>0.10804776551035467</v>
          </cell>
          <cell r="F7">
            <v>8.708088772267801E-2</v>
          </cell>
          <cell r="G7">
            <v>6.4300566754148969E-2</v>
          </cell>
          <cell r="H7">
            <v>9.5436731071418715E-2</v>
          </cell>
          <cell r="I7">
            <v>6.1245872475255668E-2</v>
          </cell>
          <cell r="J7">
            <v>8.0624541353884208E-2</v>
          </cell>
          <cell r="K7">
            <v>5.5357268068069863E-2</v>
          </cell>
        </row>
        <row r="11">
          <cell r="B11">
            <v>-1.1796597860716827E-2</v>
          </cell>
          <cell r="C11">
            <v>6.4179419991494263E-2</v>
          </cell>
          <cell r="D11">
            <v>0.13240968751532264</v>
          </cell>
          <cell r="E11">
            <v>-0.14793655569730582</v>
          </cell>
          <cell r="F11">
            <v>-8.4246160689163574E-2</v>
          </cell>
          <cell r="G11">
            <v>4.0735757355679775E-2</v>
          </cell>
          <cell r="H11">
            <v>-1.9320214557782059E-2</v>
          </cell>
          <cell r="I11">
            <v>-0.11909872467047006</v>
          </cell>
          <cell r="J11">
            <v>6.1899053418722663E-2</v>
          </cell>
          <cell r="K11">
            <v>-1.9783232604506363E-2</v>
          </cell>
        </row>
        <row r="12">
          <cell r="B12">
            <v>-0.14195662568150003</v>
          </cell>
          <cell r="C12">
            <v>-9.1050718822688559E-2</v>
          </cell>
          <cell r="D12">
            <v>-9.0192268668492556E-3</v>
          </cell>
          <cell r="E12">
            <v>-6.0953190901040094E-2</v>
          </cell>
          <cell r="F12">
            <v>4.0990472323703141E-2</v>
          </cell>
          <cell r="G12">
            <v>-0.10201504367994793</v>
          </cell>
          <cell r="H12">
            <v>-2.4904679180075117E-2</v>
          </cell>
          <cell r="I12">
            <v>-3.5908486258404655E-2</v>
          </cell>
          <cell r="J12">
            <v>-3.8139415787459788E-2</v>
          </cell>
          <cell r="K12">
            <v>-6.645264996859318E-2</v>
          </cell>
        </row>
        <row r="13">
          <cell r="B13">
            <v>-0.24369402424121561</v>
          </cell>
          <cell r="C13">
            <v>-0.18032627225751421</v>
          </cell>
          <cell r="D13">
            <v>-0.14149050229209117</v>
          </cell>
          <cell r="E13">
            <v>-0.36441967486504917</v>
          </cell>
          <cell r="F13">
            <v>1.8427547748008123E-2</v>
          </cell>
          <cell r="G13">
            <v>-0.2256844321533715</v>
          </cell>
          <cell r="H13">
            <v>-0.2066142493629993</v>
          </cell>
          <cell r="I13">
            <v>-8.7712721261510654E-2</v>
          </cell>
          <cell r="J13">
            <v>2.2832042042645689E-2</v>
          </cell>
          <cell r="K13">
            <v>-5.6313105251997946E-2</v>
          </cell>
        </row>
        <row r="14">
          <cell r="B14">
            <v>-3.7672075585455093E-2</v>
          </cell>
          <cell r="C14">
            <v>-3.5398267051240623E-3</v>
          </cell>
          <cell r="D14">
            <v>2.70286723879192E-2</v>
          </cell>
          <cell r="E14">
            <v>4.7768322210547512E-2</v>
          </cell>
          <cell r="F14">
            <v>-3.1176940570674497E-2</v>
          </cell>
          <cell r="G14">
            <v>1.5472621377584426E-2</v>
          </cell>
          <cell r="H14">
            <v>4.4606698040520781E-2</v>
          </cell>
          <cell r="I14">
            <v>6.3719663982381269E-2</v>
          </cell>
          <cell r="J14">
            <v>-4.2854092948531319E-2</v>
          </cell>
          <cell r="K14">
            <v>5.9057749643601151E-2</v>
          </cell>
        </row>
        <row r="15">
          <cell r="B15">
            <v>0.19650186606800416</v>
          </cell>
          <cell r="C15">
            <v>0.20007536875904985</v>
          </cell>
          <cell r="D15">
            <v>0.1158764573858018</v>
          </cell>
          <cell r="E15">
            <v>0.2675119655026485</v>
          </cell>
          <cell r="F15">
            <v>7.8858328439283774E-3</v>
          </cell>
          <cell r="G15">
            <v>0.1118846417347696</v>
          </cell>
          <cell r="H15">
            <v>0.17896441688028816</v>
          </cell>
          <cell r="I15">
            <v>0.11145658377136383</v>
          </cell>
          <cell r="J15">
            <v>5.9827362497400234E-2</v>
          </cell>
          <cell r="K15">
            <v>9.8314880494626E-2</v>
          </cell>
        </row>
        <row r="16">
          <cell r="B16">
            <v>-2.2455651402987761E-2</v>
          </cell>
          <cell r="C16">
            <v>8.9446254543617196E-2</v>
          </cell>
          <cell r="D16">
            <v>1.0126668817929268E-2</v>
          </cell>
          <cell r="E16">
            <v>-6.4636325431257524E-2</v>
          </cell>
          <cell r="F16">
            <v>-1.5834346666626219E-2</v>
          </cell>
          <cell r="G16">
            <v>8.115369545584715E-2</v>
          </cell>
          <cell r="H16">
            <v>-8.2229955942229177E-2</v>
          </cell>
          <cell r="I16">
            <v>-4.2229684668085556E-2</v>
          </cell>
          <cell r="J16">
            <v>-0.13630942941438459</v>
          </cell>
          <cell r="K16">
            <v>3.1229023846079226E-2</v>
          </cell>
        </row>
        <row r="17">
          <cell r="B17">
            <v>5.0815761031806052E-2</v>
          </cell>
          <cell r="C17">
            <v>-1.8133610424654605E-2</v>
          </cell>
          <cell r="D17">
            <v>3.4656933809044402E-2</v>
          </cell>
          <cell r="E17">
            <v>7.3884383555808855E-2</v>
          </cell>
          <cell r="F17">
            <v>8.8683982175134984E-2</v>
          </cell>
          <cell r="G17">
            <v>6.6401306392775573E-3</v>
          </cell>
          <cell r="H17">
            <v>8.3192591965755795E-3</v>
          </cell>
          <cell r="I17">
            <v>3.8296285077280327E-2</v>
          </cell>
          <cell r="J17">
            <v>6.3384957619382039E-3</v>
          </cell>
          <cell r="K17">
            <v>-6.2872933633058056E-2</v>
          </cell>
        </row>
        <row r="18">
          <cell r="B18">
            <v>4.5549580368746484E-2</v>
          </cell>
          <cell r="C18">
            <v>-1.8732443816804475E-3</v>
          </cell>
          <cell r="D18">
            <v>5.1887872929971726E-2</v>
          </cell>
          <cell r="E18">
            <v>-9.4438466833245069E-2</v>
          </cell>
          <cell r="F18">
            <v>4.9617249460301077E-2</v>
          </cell>
          <cell r="G18">
            <v>1.6409951434877855E-2</v>
          </cell>
          <cell r="H18">
            <v>5.1431364020888035E-2</v>
          </cell>
          <cell r="I18">
            <v>6.6572709312355663E-2</v>
          </cell>
          <cell r="J18">
            <v>3.5788285136419642E-2</v>
          </cell>
          <cell r="K18">
            <v>6.6016718006881941E-2</v>
          </cell>
        </row>
        <row r="19">
          <cell r="B19">
            <v>0.13197757299470086</v>
          </cell>
          <cell r="C19">
            <v>-2.7242736393874256E-2</v>
          </cell>
          <cell r="D19">
            <v>-1.7085582587734117E-2</v>
          </cell>
          <cell r="E19">
            <v>-0.11081852635959275</v>
          </cell>
          <cell r="F19">
            <v>1.1436865190946199E-2</v>
          </cell>
          <cell r="G19">
            <v>0.11662495793575585</v>
          </cell>
          <cell r="H19">
            <v>4.6525236584155066E-3</v>
          </cell>
          <cell r="I19">
            <v>6.6152391187194043E-3</v>
          </cell>
          <cell r="J19">
            <v>-5.7505127535623791E-2</v>
          </cell>
          <cell r="K19">
            <v>-2.5242061885177698E-2</v>
          </cell>
        </row>
        <row r="20">
          <cell r="B20">
            <v>5.9403672104483787E-2</v>
          </cell>
          <cell r="C20">
            <v>-4.7121678894988021E-2</v>
          </cell>
          <cell r="D20">
            <v>-3.7238345140118763E-2</v>
          </cell>
          <cell r="E20">
            <v>-4.8136005780311027E-2</v>
          </cell>
          <cell r="F20">
            <v>3.2858600979075607E-2</v>
          </cell>
          <cell r="G20">
            <v>3.4702174790071237E-3</v>
          </cell>
          <cell r="H20">
            <v>-0.10352485502932729</v>
          </cell>
          <cell r="I20">
            <v>-5.7805035265647606E-2</v>
          </cell>
          <cell r="J20">
            <v>-5.7817008524070991E-2</v>
          </cell>
          <cell r="K20">
            <v>8.9769043074332422E-2</v>
          </cell>
        </row>
        <row r="21">
          <cell r="B21">
            <v>-2.4291106210459393E-2</v>
          </cell>
          <cell r="C21">
            <v>-0.10645826538135635</v>
          </cell>
          <cell r="D21">
            <v>4.5040725424303811E-2</v>
          </cell>
          <cell r="E21">
            <v>0.11040395588041478</v>
          </cell>
          <cell r="F21">
            <v>5.0513531487687044E-2</v>
          </cell>
          <cell r="G21">
            <v>3.5728211799998744E-2</v>
          </cell>
          <cell r="H21">
            <v>3.1979929622318874E-2</v>
          </cell>
          <cell r="I21">
            <v>4.1059999829931984E-2</v>
          </cell>
          <cell r="J21">
            <v>4.9387260129633438E-2</v>
          </cell>
          <cell r="K21">
            <v>1.9022919701089634E-3</v>
          </cell>
        </row>
        <row r="22">
          <cell r="B22">
            <v>-0.15081827824135915</v>
          </cell>
          <cell r="C22">
            <v>-0.12536286334612179</v>
          </cell>
          <cell r="D22">
            <v>1.1078304721738328E-2</v>
          </cell>
          <cell r="E22">
            <v>-0.21840354522772715</v>
          </cell>
          <cell r="F22">
            <v>-0.25818816652428989</v>
          </cell>
          <cell r="G22">
            <v>-0.15712631899517768</v>
          </cell>
          <cell r="H22">
            <v>-5.3772953432492283E-2</v>
          </cell>
          <cell r="I22">
            <v>-3.5641330914068861E-2</v>
          </cell>
          <cell r="J22">
            <v>-0.11366735780091598</v>
          </cell>
          <cell r="K22">
            <v>-1.9540049471441244E-2</v>
          </cell>
        </row>
        <row r="23">
          <cell r="B23">
            <v>-0.13825282112290918</v>
          </cell>
          <cell r="C23">
            <v>-0.17353177741703407</v>
          </cell>
          <cell r="D23">
            <v>-9.0020581821723469E-2</v>
          </cell>
          <cell r="E23">
            <v>-7.6571687180657641E-2</v>
          </cell>
          <cell r="F23">
            <v>5.3027117760512429E-2</v>
          </cell>
          <cell r="G23">
            <v>-2.7761201163495279E-2</v>
          </cell>
          <cell r="H23">
            <v>-0.19749695818804633</v>
          </cell>
          <cell r="I23">
            <v>-5.7461205582103388E-2</v>
          </cell>
          <cell r="J23">
            <v>-2.0639553296548048E-2</v>
          </cell>
          <cell r="K23">
            <v>2.2817327092116615E-2</v>
          </cell>
        </row>
        <row r="24">
          <cell r="B24">
            <v>3.9200346761899596E-2</v>
          </cell>
          <cell r="C24">
            <v>6.4517484228313049E-2</v>
          </cell>
          <cell r="D24">
            <v>-4.9421145366095001E-2</v>
          </cell>
          <cell r="E24">
            <v>-5.2400276393531675E-2</v>
          </cell>
          <cell r="F24">
            <v>8.2160633720963452E-2</v>
          </cell>
          <cell r="G24">
            <v>2.253243108069606E-2</v>
          </cell>
          <cell r="H24">
            <v>-7.5279762968983976E-2</v>
          </cell>
          <cell r="I24">
            <v>-3.0720556129501569E-2</v>
          </cell>
          <cell r="J24">
            <v>1.8448438603733165E-2</v>
          </cell>
          <cell r="K24">
            <v>-2.2411870427542419E-3</v>
          </cell>
        </row>
        <row r="25">
          <cell r="B25">
            <v>-0.20716947675957453</v>
          </cell>
          <cell r="C25">
            <v>-0.23114327715708133</v>
          </cell>
          <cell r="D25">
            <v>-0.12003151151106271</v>
          </cell>
          <cell r="E25">
            <v>-0.13443596075494954</v>
          </cell>
          <cell r="F25">
            <v>-0.24010943692820372</v>
          </cell>
          <cell r="G25">
            <v>-0.14539705590102359</v>
          </cell>
          <cell r="H25">
            <v>-0.26223468323067284</v>
          </cell>
          <cell r="I25">
            <v>-0.11106032126150675</v>
          </cell>
          <cell r="J25">
            <v>-9.2632802033608533E-2</v>
          </cell>
          <cell r="K25">
            <v>-0.12777845727413992</v>
          </cell>
        </row>
        <row r="26">
          <cell r="B26">
            <v>-0.15702567200644355</v>
          </cell>
          <cell r="C26">
            <v>0.10125667899205118</v>
          </cell>
          <cell r="D26">
            <v>4.4812692619290689E-2</v>
          </cell>
          <cell r="E26">
            <v>0.3029495445825694</v>
          </cell>
          <cell r="F26">
            <v>4.8924461459066891E-2</v>
          </cell>
          <cell r="G26">
            <v>0.15647569641978207</v>
          </cell>
          <cell r="H26">
            <v>0.13332081458703388</v>
          </cell>
          <cell r="I26">
            <v>0.13412010121115972</v>
          </cell>
          <cell r="J26">
            <v>0.17111821308396172</v>
          </cell>
          <cell r="K26">
            <v>0.14353220773826222</v>
          </cell>
        </row>
        <row r="27">
          <cell r="B27">
            <v>0.19180375767263116</v>
          </cell>
          <cell r="C27">
            <v>-8.97918370658779E-2</v>
          </cell>
          <cell r="D27">
            <v>0.12379856748967527</v>
          </cell>
          <cell r="E27">
            <v>0.20968439794020491</v>
          </cell>
          <cell r="F27">
            <v>-7.7211744000826268E-2</v>
          </cell>
          <cell r="G27">
            <v>6.7955392467683576E-2</v>
          </cell>
          <cell r="H27">
            <v>0.15323766224092053</v>
          </cell>
          <cell r="I27">
            <v>8.6759582955818135E-2</v>
          </cell>
          <cell r="J27">
            <v>9.1040353552916189E-2</v>
          </cell>
          <cell r="K27">
            <v>2.748162223146906E-2</v>
          </cell>
        </row>
        <row r="28">
          <cell r="B28">
            <v>-7.4061437799726737E-2</v>
          </cell>
          <cell r="C28">
            <v>-9.2170459799657226E-2</v>
          </cell>
          <cell r="D28">
            <v>-0.11557587726390794</v>
          </cell>
          <cell r="E28">
            <v>-0.11109811255449942</v>
          </cell>
          <cell r="F28">
            <v>8.7602218956596464E-2</v>
          </cell>
          <cell r="G28">
            <v>-9.4220855077869967E-2</v>
          </cell>
          <cell r="H28">
            <v>-0.11467866863723777</v>
          </cell>
          <cell r="I28">
            <v>-5.0882505202755855E-2</v>
          </cell>
          <cell r="J28">
            <v>-4.2014160672714566E-2</v>
          </cell>
          <cell r="K28">
            <v>-5.1728360742031007E-2</v>
          </cell>
        </row>
        <row r="29">
          <cell r="B29">
            <v>-1.443594623294148E-2</v>
          </cell>
          <cell r="C29">
            <v>-0.1389648463475181</v>
          </cell>
          <cell r="D29">
            <v>2.0882790968829369E-2</v>
          </cell>
          <cell r="E29">
            <v>3.0238910250769192E-3</v>
          </cell>
          <cell r="F29">
            <v>-6.7812233805536068E-2</v>
          </cell>
          <cell r="G29">
            <v>4.9776110737522064E-3</v>
          </cell>
          <cell r="H29">
            <v>-0.14146552029994253</v>
          </cell>
          <cell r="I29">
            <v>-0.11292601069443486</v>
          </cell>
          <cell r="J29">
            <v>-2.1907393864309101E-2</v>
          </cell>
          <cell r="K29">
            <v>1.0045113907752113E-2</v>
          </cell>
        </row>
        <row r="30">
          <cell r="B30">
            <v>-5.9221112814114754E-2</v>
          </cell>
          <cell r="C30">
            <v>0.11497241960429672</v>
          </cell>
          <cell r="D30">
            <v>-1.2102552686463255E-2</v>
          </cell>
          <cell r="E30">
            <v>-9.3620786377303575E-2</v>
          </cell>
          <cell r="F30">
            <v>2.0335441870730667E-2</v>
          </cell>
          <cell r="G30">
            <v>-5.6165857927197062E-2</v>
          </cell>
          <cell r="H30">
            <v>4.3693684262947743E-2</v>
          </cell>
          <cell r="I30">
            <v>-2.2803268297453029E-2</v>
          </cell>
          <cell r="J30">
            <v>-4.8757269973609955E-2</v>
          </cell>
          <cell r="K30">
            <v>1.1820266103743152E-2</v>
          </cell>
        </row>
        <row r="31">
          <cell r="B31">
            <v>-4.5686250612152913E-3</v>
          </cell>
          <cell r="C31">
            <v>4.0663041490540751E-2</v>
          </cell>
          <cell r="D31">
            <v>-3.5593207477041901E-2</v>
          </cell>
          <cell r="E31">
            <v>-1.4023602107746367E-2</v>
          </cell>
          <cell r="F31">
            <v>-0.23686375406622115</v>
          </cell>
          <cell r="G31">
            <v>-1.0559760215002106E-2</v>
          </cell>
          <cell r="H31">
            <v>-5.5748624768301544E-2</v>
          </cell>
          <cell r="I31">
            <v>5.8068470022885253E-2</v>
          </cell>
          <cell r="J31">
            <v>4.4802090130681892E-2</v>
          </cell>
          <cell r="K31">
            <v>3.6616980542133158E-2</v>
          </cell>
        </row>
        <row r="32">
          <cell r="B32">
            <v>7.0049023671026195E-2</v>
          </cell>
          <cell r="C32">
            <v>0.14386358786172787</v>
          </cell>
          <cell r="D32">
            <v>5.5989464592094307E-2</v>
          </cell>
          <cell r="E32">
            <v>4.6642279970538637E-2</v>
          </cell>
          <cell r="F32">
            <v>2.6337695885035418E-2</v>
          </cell>
          <cell r="G32">
            <v>0.13269062880748922</v>
          </cell>
          <cell r="H32">
            <v>0.17457387000312879</v>
          </cell>
          <cell r="I32">
            <v>9.0299207840725426E-2</v>
          </cell>
          <cell r="J32">
            <v>6.0028697403467925E-2</v>
          </cell>
          <cell r="K32">
            <v>-3.1182184556176201E-2</v>
          </cell>
        </row>
        <row r="33">
          <cell r="B33">
            <v>-6.2592857956961399E-3</v>
          </cell>
          <cell r="C33">
            <v>0.14434822979500392</v>
          </cell>
          <cell r="D33">
            <v>3.2207448991637175E-2</v>
          </cell>
          <cell r="E33">
            <v>0.17932176881484305</v>
          </cell>
          <cell r="F33">
            <v>0.29453924217791788</v>
          </cell>
          <cell r="G33">
            <v>9.5676340891126005E-2</v>
          </cell>
          <cell r="H33">
            <v>7.0596523221486157E-2</v>
          </cell>
          <cell r="I33">
            <v>-1.047120514525356E-3</v>
          </cell>
          <cell r="J33">
            <v>-4.5602217693244643E-2</v>
          </cell>
          <cell r="K33">
            <v>8.6011155090919712E-3</v>
          </cell>
        </row>
        <row r="34">
          <cell r="B34">
            <v>1.8661533537849079E-2</v>
          </cell>
          <cell r="C34">
            <v>2.1066649233051005E-2</v>
          </cell>
          <cell r="D34">
            <v>-2.5804011956430128E-2</v>
          </cell>
          <cell r="E34">
            <v>9.2183956078058613E-2</v>
          </cell>
          <cell r="F34">
            <v>0.11041605200128428</v>
          </cell>
          <cell r="G34">
            <v>3.654255647612212E-3</v>
          </cell>
          <cell r="H34">
            <v>3.5596978740231759E-2</v>
          </cell>
          <cell r="I34">
            <v>-1.212136053234485E-2</v>
          </cell>
          <cell r="J34">
            <v>9.1990281094654625E-2</v>
          </cell>
          <cell r="K34">
            <v>1.9786163816293573E-2</v>
          </cell>
        </row>
        <row r="35">
          <cell r="B35">
            <v>3.8808941468620115E-2</v>
          </cell>
          <cell r="C35">
            <v>-5.9944237275739262E-2</v>
          </cell>
          <cell r="D35">
            <v>9.0601681976483966E-2</v>
          </cell>
          <cell r="E35">
            <v>-5.8881426252225975E-3</v>
          </cell>
          <cell r="F35">
            <v>-0.12735830936629924</v>
          </cell>
          <cell r="G35">
            <v>5.7251937337795711E-2</v>
          </cell>
          <cell r="H35">
            <v>8.5344709937160576E-2</v>
          </cell>
          <cell r="I35">
            <v>5.392767924696916E-2</v>
          </cell>
          <cell r="J35">
            <v>-9.1122602081432233E-2</v>
          </cell>
          <cell r="K35">
            <v>8.3355266807444053E-2</v>
          </cell>
        </row>
        <row r="36">
          <cell r="B36">
            <v>0.10701281600412117</v>
          </cell>
          <cell r="C36">
            <v>3.0260971781809479E-2</v>
          </cell>
          <cell r="D36">
            <v>4.1865314592252102E-2</v>
          </cell>
          <cell r="E36">
            <v>-6.0347839258119644E-2</v>
          </cell>
          <cell r="F36">
            <v>2.9674074558462916E-2</v>
          </cell>
          <cell r="G36">
            <v>1.9677927355250688E-2</v>
          </cell>
          <cell r="H36">
            <v>3.3825096153643881E-2</v>
          </cell>
          <cell r="I36">
            <v>2.6033452377250046E-2</v>
          </cell>
          <cell r="J36">
            <v>-3.8908532918691993E-2</v>
          </cell>
          <cell r="K36">
            <v>2.0687291493214577E-2</v>
          </cell>
        </row>
        <row r="37">
          <cell r="B37">
            <v>-4.2140812468307665E-3</v>
          </cell>
          <cell r="C37">
            <v>-7.3991008303252196E-3</v>
          </cell>
          <cell r="D37">
            <v>-3.8262705735288539E-2</v>
          </cell>
          <cell r="E37">
            <v>-2.5411637362336956E-2</v>
          </cell>
          <cell r="F37">
            <v>7.7335818616388816E-2</v>
          </cell>
          <cell r="G37">
            <v>2.5977399808370356E-4</v>
          </cell>
          <cell r="H37">
            <v>-8.8019746541645447E-2</v>
          </cell>
          <cell r="I37">
            <v>-0.11174403843961539</v>
          </cell>
          <cell r="J37">
            <v>1.321259843546308E-2</v>
          </cell>
          <cell r="K37">
            <v>-3.0887577848030593E-2</v>
          </cell>
        </row>
        <row r="38">
          <cell r="B38">
            <v>4.1632476801552E-2</v>
          </cell>
          <cell r="C38">
            <v>0.15188786974584667</v>
          </cell>
          <cell r="D38">
            <v>8.2645098498936517E-3</v>
          </cell>
          <cell r="E38">
            <v>0.14220678904379266</v>
          </cell>
          <cell r="F38">
            <v>5.98436768333633E-2</v>
          </cell>
          <cell r="G38">
            <v>4.2959967167371181E-2</v>
          </cell>
          <cell r="H38">
            <v>0.18815599644086031</v>
          </cell>
          <cell r="I38">
            <v>9.8040000966208348E-3</v>
          </cell>
          <cell r="J38">
            <v>-0.13458072734726104</v>
          </cell>
          <cell r="K38">
            <v>0.1326511277227809</v>
          </cell>
        </row>
        <row r="39">
          <cell r="B39">
            <v>1.4477464660356284E-2</v>
          </cell>
          <cell r="C39">
            <v>-8.3565945909413047E-3</v>
          </cell>
          <cell r="D39">
            <v>-4.8913628580972354E-2</v>
          </cell>
          <cell r="E39">
            <v>-2.5914288765470354E-2</v>
          </cell>
          <cell r="F39">
            <v>0.11166413544612598</v>
          </cell>
          <cell r="G39">
            <v>-2.6473246493179468E-2</v>
          </cell>
          <cell r="H39">
            <v>4.3186298653130631E-2</v>
          </cell>
          <cell r="I39">
            <v>3.4362150190943297E-2</v>
          </cell>
          <cell r="J39">
            <v>-8.6063169839410369E-2</v>
          </cell>
          <cell r="K39">
            <v>6.4119909770771703E-3</v>
          </cell>
        </row>
        <row r="40">
          <cell r="B40">
            <v>0.22159857351561749</v>
          </cell>
          <cell r="C40">
            <v>-3.3274788884872321E-2</v>
          </cell>
          <cell r="D40">
            <v>0.14708789103548778</v>
          </cell>
          <cell r="E40">
            <v>5.8403991538189343E-2</v>
          </cell>
          <cell r="F40">
            <v>5.8326808890349982E-2</v>
          </cell>
          <cell r="G40">
            <v>5.5894343792710806E-2</v>
          </cell>
          <cell r="H40">
            <v>0.1468508746690195</v>
          </cell>
          <cell r="I40">
            <v>0.10150391334127384</v>
          </cell>
          <cell r="J40">
            <v>0.13813244202968306</v>
          </cell>
          <cell r="K40">
            <v>7.3032636721528266E-2</v>
          </cell>
        </row>
        <row r="41">
          <cell r="B41">
            <v>-7.2059445965976701E-2</v>
          </cell>
          <cell r="C41">
            <v>-5.7853631928948075E-4</v>
          </cell>
          <cell r="D41">
            <v>-1.9588773019646882E-2</v>
          </cell>
          <cell r="E41">
            <v>3.4951578022813505E-2</v>
          </cell>
          <cell r="F41">
            <v>2.1277398447284879E-2</v>
          </cell>
          <cell r="G41">
            <v>7.2225139057309498E-2</v>
          </cell>
          <cell r="H41">
            <v>-0.10606730547874653</v>
          </cell>
          <cell r="I41">
            <v>-4.4258220426428019E-2</v>
          </cell>
          <cell r="J41">
            <v>2.9753474096948125E-2</v>
          </cell>
          <cell r="K41">
            <v>-7.2367079292633765E-2</v>
          </cell>
        </row>
        <row r="42">
          <cell r="B42">
            <v>-2.1780286365647616E-2</v>
          </cell>
          <cell r="C42">
            <v>2.3449744795784353E-2</v>
          </cell>
          <cell r="D42">
            <v>5.1648290968097574E-2</v>
          </cell>
          <cell r="E42">
            <v>-4.6271599287819744E-2</v>
          </cell>
          <cell r="F42">
            <v>3.4616545669163876E-2</v>
          </cell>
          <cell r="G42">
            <v>2.9892627588533782E-2</v>
          </cell>
          <cell r="H42">
            <v>9.634365614730557E-2</v>
          </cell>
          <cell r="I42">
            <v>3.4511322865583019E-2</v>
          </cell>
          <cell r="J42">
            <v>1.0033919208430145E-2</v>
          </cell>
          <cell r="K42">
            <v>-9.0897564764294558E-3</v>
          </cell>
        </row>
        <row r="43">
          <cell r="B43">
            <v>-1.8201660757083821E-2</v>
          </cell>
          <cell r="C43">
            <v>3.03433160889496E-2</v>
          </cell>
          <cell r="D43">
            <v>-4.6336529395846038E-2</v>
          </cell>
          <cell r="E43">
            <v>9.0662452377530418E-3</v>
          </cell>
          <cell r="F43">
            <v>-4.3767600886521159E-2</v>
          </cell>
          <cell r="G43">
            <v>-2.7871744448761455E-2</v>
          </cell>
          <cell r="H43">
            <v>-7.7162066365471571E-2</v>
          </cell>
          <cell r="I43">
            <v>-6.5653970221436778E-2</v>
          </cell>
          <cell r="J43">
            <v>-7.6450375170201493E-2</v>
          </cell>
          <cell r="K43">
            <v>4.8105729904370467E-2</v>
          </cell>
        </row>
        <row r="44">
          <cell r="B44">
            <v>3.5718575896427612E-3</v>
          </cell>
          <cell r="C44">
            <v>-5.9887986152230469E-2</v>
          </cell>
          <cell r="D44">
            <v>-4.7000646231475811E-2</v>
          </cell>
          <cell r="E44">
            <v>-0.14755395425582776</v>
          </cell>
          <cell r="F44">
            <v>1.7014791677571944E-2</v>
          </cell>
          <cell r="G44">
            <v>-5.7475145175243408E-2</v>
          </cell>
          <cell r="H44">
            <v>-0.12034965592245828</v>
          </cell>
          <cell r="I44">
            <v>1.7198198297220822E-2</v>
          </cell>
          <cell r="J44">
            <v>6.1479335318415811E-2</v>
          </cell>
          <cell r="K44">
            <v>5.4780934697511344E-2</v>
          </cell>
        </row>
        <row r="45">
          <cell r="B45">
            <v>-3.2615525360162281E-2</v>
          </cell>
          <cell r="C45">
            <v>2.0458860824730089E-2</v>
          </cell>
          <cell r="D45">
            <v>4.5485876944108189E-2</v>
          </cell>
          <cell r="E45">
            <v>7.5041487279112279E-2</v>
          </cell>
          <cell r="F45">
            <v>-0.14359534999433954</v>
          </cell>
          <cell r="G45">
            <v>3.5017583467822043E-2</v>
          </cell>
          <cell r="H45">
            <v>2.2533322655801786E-2</v>
          </cell>
          <cell r="I45">
            <v>1.4191698410863171E-2</v>
          </cell>
          <cell r="J45">
            <v>6.3432610203455345E-3</v>
          </cell>
          <cell r="K45">
            <v>-1.809340312427337E-2</v>
          </cell>
        </row>
        <row r="46">
          <cell r="B46">
            <v>2.6176967288443334E-2</v>
          </cell>
          <cell r="C46">
            <v>-1.7842199933558494E-2</v>
          </cell>
          <cell r="D46">
            <v>6.3859285961827647E-2</v>
          </cell>
          <cell r="E46">
            <v>-2.9154539601240195E-3</v>
          </cell>
          <cell r="F46">
            <v>5.656571433412301E-2</v>
          </cell>
          <cell r="G46">
            <v>1.5253568372602168E-2</v>
          </cell>
          <cell r="H46">
            <v>5.3734608594666534E-2</v>
          </cell>
          <cell r="I46">
            <v>2.7793110250319549E-2</v>
          </cell>
          <cell r="J46">
            <v>1.1873029709262878E-2</v>
          </cell>
          <cell r="K46">
            <v>6.2408200320793056E-2</v>
          </cell>
        </row>
        <row r="47">
          <cell r="B47">
            <v>-7.705673949497438E-2</v>
          </cell>
          <cell r="C47">
            <v>-4.3014194319039925E-2</v>
          </cell>
          <cell r="D47">
            <v>-3.3256076718532868E-2</v>
          </cell>
          <cell r="E47">
            <v>-4.5801932653874042E-2</v>
          </cell>
          <cell r="F47">
            <v>-5.0325083887515769E-2</v>
          </cell>
          <cell r="G47">
            <v>-2.215967316901438E-2</v>
          </cell>
          <cell r="H47">
            <v>-3.0722416261153792E-2</v>
          </cell>
          <cell r="I47">
            <v>-3.548641038662833E-2</v>
          </cell>
          <cell r="J47">
            <v>-4.6178442300736068E-2</v>
          </cell>
          <cell r="K47">
            <v>-8.8783080819304527E-2</v>
          </cell>
        </row>
        <row r="48">
          <cell r="B48">
            <v>-3.1232035941940295E-2</v>
          </cell>
          <cell r="C48">
            <v>8.3139081805139362E-2</v>
          </cell>
          <cell r="D48">
            <v>-7.1340989691328641E-2</v>
          </cell>
          <cell r="E48">
            <v>-0.11886614875644017</v>
          </cell>
          <cell r="F48">
            <v>2.7946837534819531E-2</v>
          </cell>
          <cell r="G48">
            <v>-4.6307098261424984E-3</v>
          </cell>
          <cell r="H48">
            <v>1.5479186848460032E-2</v>
          </cell>
          <cell r="I48">
            <v>-5.9970194723744019E-3</v>
          </cell>
          <cell r="J48">
            <v>-8.5189757017985705E-3</v>
          </cell>
          <cell r="K48">
            <v>4.549483393577248E-3</v>
          </cell>
        </row>
        <row r="49">
          <cell r="B49">
            <v>2.7867208126340609E-2</v>
          </cell>
          <cell r="C49">
            <v>6.9755017056462379E-2</v>
          </cell>
          <cell r="D49">
            <v>9.6897445324751318E-3</v>
          </cell>
          <cell r="E49">
            <v>5.0891607296389224E-2</v>
          </cell>
          <cell r="F49">
            <v>-2.4955923076972433E-2</v>
          </cell>
          <cell r="G49">
            <v>2.8370697129215351E-2</v>
          </cell>
          <cell r="H49">
            <v>3.6756140125119671E-2</v>
          </cell>
          <cell r="I49">
            <v>1.2700955194564387E-2</v>
          </cell>
          <cell r="J49">
            <v>-0.30088710337205904</v>
          </cell>
          <cell r="K49">
            <v>-2.9428940544069474E-2</v>
          </cell>
        </row>
        <row r="50">
          <cell r="B50">
            <v>-9.7126710730722793E-2</v>
          </cell>
          <cell r="C50">
            <v>4.7004715101164184E-2</v>
          </cell>
          <cell r="D50">
            <v>-4.8047672097571097E-2</v>
          </cell>
          <cell r="E50">
            <v>-4.9193867998182173E-3</v>
          </cell>
          <cell r="F50">
            <v>2.9650242639753112E-2</v>
          </cell>
          <cell r="G50">
            <v>3.305902826838731E-2</v>
          </cell>
          <cell r="H50">
            <v>-3.2923494104943316E-2</v>
          </cell>
          <cell r="I50">
            <v>1.7307458888278151E-3</v>
          </cell>
          <cell r="J50">
            <v>-5.2545555578049831E-2</v>
          </cell>
          <cell r="K50">
            <v>-3.0455191412387114E-2</v>
          </cell>
        </row>
        <row r="51">
          <cell r="B51">
            <v>1.4184634991956381E-2</v>
          </cell>
          <cell r="C51">
            <v>1.820020725083887E-2</v>
          </cell>
          <cell r="D51">
            <v>8.1367002364949009E-2</v>
          </cell>
          <cell r="E51">
            <v>6.9832701379484413E-2</v>
          </cell>
          <cell r="F51">
            <v>0.17095779814363948</v>
          </cell>
          <cell r="G51">
            <v>4.8561500086365991E-2</v>
          </cell>
          <cell r="H51">
            <v>4.9139238745929577E-2</v>
          </cell>
          <cell r="I51">
            <v>6.3410785680541745E-2</v>
          </cell>
          <cell r="J51">
            <v>-0.11106185171340001</v>
          </cell>
          <cell r="K51">
            <v>3.006555571682842E-2</v>
          </cell>
        </row>
        <row r="52">
          <cell r="B52">
            <v>3.7322922153975452E-2</v>
          </cell>
          <cell r="C52">
            <v>2.3366111829273544E-2</v>
          </cell>
          <cell r="D52">
            <v>1.1528949752586601E-2</v>
          </cell>
          <cell r="E52">
            <v>5.0807739631713138E-2</v>
          </cell>
          <cell r="F52">
            <v>7.2845091274365475E-2</v>
          </cell>
          <cell r="G52">
            <v>1.1780646733647522E-2</v>
          </cell>
          <cell r="H52">
            <v>-7.8576913481500574E-2</v>
          </cell>
          <cell r="I52">
            <v>7.9096996758603308E-2</v>
          </cell>
          <cell r="J52">
            <v>0.15064395501804845</v>
          </cell>
          <cell r="K52">
            <v>3.0700799499319052E-2</v>
          </cell>
        </row>
        <row r="53">
          <cell r="B53">
            <v>-8.4621241930356389E-2</v>
          </cell>
          <cell r="C53">
            <v>-3.5380477259514341E-2</v>
          </cell>
          <cell r="D53">
            <v>-7.0186135918770765E-2</v>
          </cell>
          <cell r="E53">
            <v>-6.7814075802137774E-2</v>
          </cell>
          <cell r="F53">
            <v>4.3767669233827577E-2</v>
          </cell>
          <cell r="G53">
            <v>-5.2949201645518883E-2</v>
          </cell>
          <cell r="H53">
            <v>-6.230857333871094E-2</v>
          </cell>
          <cell r="I53">
            <v>-3.0892167212963981E-2</v>
          </cell>
          <cell r="J53">
            <v>-0.13597187714720946</v>
          </cell>
          <cell r="K53">
            <v>2.7582814615142014E-2</v>
          </cell>
        </row>
        <row r="54">
          <cell r="B54">
            <v>-1.8781294338486465E-2</v>
          </cell>
          <cell r="C54">
            <v>-3.0301554580135844E-2</v>
          </cell>
          <cell r="D54">
            <v>-4.0365447234627351E-2</v>
          </cell>
          <cell r="E54">
            <v>6.0012963591970378E-2</v>
          </cell>
          <cell r="F54">
            <v>2.8040761814603344E-2</v>
          </cell>
          <cell r="G54">
            <v>1.5050810879805461E-2</v>
          </cell>
          <cell r="H54">
            <v>8.9831761210009339E-2</v>
          </cell>
          <cell r="I54">
            <v>0.12096939095894733</v>
          </cell>
          <cell r="J54">
            <v>0.1224991236785478</v>
          </cell>
          <cell r="K54">
            <v>0</v>
          </cell>
        </row>
        <row r="55">
          <cell r="B55">
            <v>-0.19291006897247834</v>
          </cell>
          <cell r="C55">
            <v>-4.3123564739768361E-2</v>
          </cell>
          <cell r="D55">
            <v>-1.5143306768055377E-2</v>
          </cell>
          <cell r="E55">
            <v>5.7076831135436719E-2</v>
          </cell>
          <cell r="F55">
            <v>7.2927962795744389E-3</v>
          </cell>
          <cell r="G55">
            <v>-5.0327837460620924E-2</v>
          </cell>
          <cell r="H55">
            <v>-5.5487726498661551E-2</v>
          </cell>
          <cell r="I55">
            <v>-3.9533996363863642E-2</v>
          </cell>
          <cell r="J55">
            <v>3.2691370170432756E-2</v>
          </cell>
          <cell r="K55">
            <v>2.061928720273561E-2</v>
          </cell>
        </row>
        <row r="56">
          <cell r="B56">
            <v>-9.6880755578711189E-2</v>
          </cell>
          <cell r="C56">
            <v>-7.8097869719647564E-2</v>
          </cell>
          <cell r="D56">
            <v>-7.0224809116881906E-2</v>
          </cell>
          <cell r="E56">
            <v>-6.9389225039504426E-2</v>
          </cell>
          <cell r="F56">
            <v>-6.1548623195070394E-3</v>
          </cell>
          <cell r="G56">
            <v>2.5480496724624442E-2</v>
          </cell>
          <cell r="H56">
            <v>-4.594142352617691E-2</v>
          </cell>
          <cell r="I56">
            <v>-8.4090263411085331E-2</v>
          </cell>
          <cell r="J56">
            <v>4.6176847292534448E-2</v>
          </cell>
          <cell r="K56">
            <v>-0.11379938430369087</v>
          </cell>
        </row>
        <row r="57">
          <cell r="B57">
            <v>0.18352710244930318</v>
          </cell>
          <cell r="C57">
            <v>0.10662263503826326</v>
          </cell>
          <cell r="D57">
            <v>-5.4825313945502885E-2</v>
          </cell>
          <cell r="E57">
            <v>9.5400273952770856E-2</v>
          </cell>
          <cell r="F57">
            <v>3.260637264885393E-2</v>
          </cell>
          <cell r="G57">
            <v>2.1641182170363763E-2</v>
          </cell>
          <cell r="H57">
            <v>-6.3478637625527953E-2</v>
          </cell>
          <cell r="I57">
            <v>-4.8856415191471511E-3</v>
          </cell>
          <cell r="J57">
            <v>-4.4209633543365608E-2</v>
          </cell>
          <cell r="K57">
            <v>7.7717127067817651E-3</v>
          </cell>
        </row>
        <row r="58">
          <cell r="B58">
            <v>7.5398017484211849E-2</v>
          </cell>
          <cell r="C58">
            <v>-8.810629682154807E-3</v>
          </cell>
          <cell r="D58">
            <v>-6.4133010455345182E-2</v>
          </cell>
          <cell r="E58">
            <v>4.6642858212284775E-2</v>
          </cell>
          <cell r="F58">
            <v>-2.7097609528046317E-2</v>
          </cell>
          <cell r="G58">
            <v>-9.4644715951083796E-3</v>
          </cell>
          <cell r="H58">
            <v>-3.6437396202430979E-2</v>
          </cell>
          <cell r="I58">
            <v>-7.8226311422276262E-2</v>
          </cell>
          <cell r="J58">
            <v>-4.0098923757426963E-2</v>
          </cell>
          <cell r="K58">
            <v>-5.839972287312481E-2</v>
          </cell>
        </row>
        <row r="59">
          <cell r="B59">
            <v>7.961287744985443E-2</v>
          </cell>
          <cell r="C59">
            <v>0.111924040446493</v>
          </cell>
          <cell r="D59">
            <v>4.4733760005041763E-2</v>
          </cell>
          <cell r="E59">
            <v>4.6207295751177817E-2</v>
          </cell>
          <cell r="F59">
            <v>3.492972976486533E-2</v>
          </cell>
          <cell r="G59">
            <v>3.2741019719103662E-2</v>
          </cell>
          <cell r="H59">
            <v>7.086611586863184E-2</v>
          </cell>
          <cell r="I59">
            <v>-7.7332429856533293E-3</v>
          </cell>
          <cell r="J59">
            <v>8.487574293294043E-3</v>
          </cell>
          <cell r="K59">
            <v>3.6675870532732226E-2</v>
          </cell>
        </row>
        <row r="60">
          <cell r="B60">
            <v>-5.9944142589560705E-2</v>
          </cell>
          <cell r="C60">
            <v>-7.3624746343640385E-2</v>
          </cell>
          <cell r="D60">
            <v>-1.5794997671489491E-2</v>
          </cell>
          <cell r="E60">
            <v>0.12015205726548621</v>
          </cell>
          <cell r="F60">
            <v>5.4354604727998697E-2</v>
          </cell>
          <cell r="G60">
            <v>4.3827681550951342E-3</v>
          </cell>
          <cell r="H60">
            <v>-4.0852320064980054E-2</v>
          </cell>
          <cell r="I60">
            <v>-6.6967475452974504E-2</v>
          </cell>
          <cell r="J60">
            <v>-8.2044936173400654E-2</v>
          </cell>
          <cell r="K60">
            <v>-4.6773375085093986E-2</v>
          </cell>
        </row>
        <row r="61">
          <cell r="B61">
            <v>-0.11058139743583054</v>
          </cell>
          <cell r="C61">
            <v>-5.5627110165963341E-2</v>
          </cell>
          <cell r="D61">
            <v>-3.4759699844709162E-2</v>
          </cell>
          <cell r="E61">
            <v>5.3166311674076518E-2</v>
          </cell>
          <cell r="F61">
            <v>5.2814229686611279E-2</v>
          </cell>
          <cell r="G61">
            <v>3.9004433719410765E-2</v>
          </cell>
          <cell r="H61">
            <v>-9.2471150737398339E-2</v>
          </cell>
          <cell r="I61">
            <v>-1.0168253429252682E-2</v>
          </cell>
          <cell r="J61">
            <v>-3.6625917411804654E-2</v>
          </cell>
          <cell r="K61">
            <v>3.0546396365180008E-2</v>
          </cell>
        </row>
        <row r="62">
          <cell r="B62">
            <v>-0.1109657416650736</v>
          </cell>
          <cell r="C62">
            <v>7.3256368722335555E-2</v>
          </cell>
          <cell r="D62">
            <v>-2.081962778239007E-2</v>
          </cell>
          <cell r="E62">
            <v>-4.0505625285962132E-2</v>
          </cell>
          <cell r="F62">
            <v>1.8058554362292371E-2</v>
          </cell>
          <cell r="G62">
            <v>-7.8416004513044302E-3</v>
          </cell>
          <cell r="H62">
            <v>-5.4200674693391446E-3</v>
          </cell>
          <cell r="I62">
            <v>6.2472709572152785E-2</v>
          </cell>
          <cell r="J62">
            <v>3.6258877583862995E-2</v>
          </cell>
          <cell r="K62">
            <v>3.5010045623190378E-2</v>
          </cell>
        </row>
        <row r="63">
          <cell r="B63">
            <v>-0.20545063730561666</v>
          </cell>
          <cell r="C63">
            <v>2.0222397007998206E-2</v>
          </cell>
          <cell r="D63">
            <v>8.5637127858860893E-2</v>
          </cell>
          <cell r="E63">
            <v>5.6599107365378584E-2</v>
          </cell>
          <cell r="F63">
            <v>-3.0612495948348563E-2</v>
          </cell>
          <cell r="G63">
            <v>3.2763776408278281E-2</v>
          </cell>
          <cell r="H63">
            <v>0.12703037360806441</v>
          </cell>
          <cell r="I63">
            <v>3.3885139264615775E-2</v>
          </cell>
          <cell r="J63">
            <v>5.3951285962047978E-2</v>
          </cell>
          <cell r="K63">
            <v>3.7700662364008368E-2</v>
          </cell>
        </row>
        <row r="64">
          <cell r="B64">
            <v>-0.12029317970226346</v>
          </cell>
          <cell r="C64">
            <v>-3.1608658636442653E-2</v>
          </cell>
          <cell r="D64">
            <v>6.3894606112102861E-2</v>
          </cell>
          <cell r="E64">
            <v>-3.3152207316900509E-2</v>
          </cell>
          <cell r="F64">
            <v>3.6651493165116622E-2</v>
          </cell>
          <cell r="G64">
            <v>7.8109748161892467E-4</v>
          </cell>
          <cell r="H64">
            <v>7.5842213332526193E-2</v>
          </cell>
          <cell r="I64">
            <v>-5.9673169077704346E-3</v>
          </cell>
          <cell r="J64">
            <v>7.8570051941829144E-2</v>
          </cell>
          <cell r="K64">
            <v>-1.2583677756234533E-2</v>
          </cell>
        </row>
        <row r="65">
          <cell r="B65">
            <v>0.21458520228304806</v>
          </cell>
          <cell r="C65">
            <v>1.7410774202929755E-3</v>
          </cell>
          <cell r="D65">
            <v>-2.9724878833430512E-2</v>
          </cell>
          <cell r="E65">
            <v>8.5430071204617777E-2</v>
          </cell>
          <cell r="F65">
            <v>-3.240219498645891E-2</v>
          </cell>
          <cell r="G65">
            <v>2.1244522433005595E-2</v>
          </cell>
          <cell r="H65">
            <v>6.3151040259666502E-2</v>
          </cell>
          <cell r="I65">
            <v>-8.2039752711578345E-2</v>
          </cell>
          <cell r="J65">
            <v>8.1179829888370206E-2</v>
          </cell>
          <cell r="K65">
            <v>-6.3181739632142964E-2</v>
          </cell>
        </row>
        <row r="66">
          <cell r="B66">
            <v>-0.1583331549988253</v>
          </cell>
          <cell r="C66">
            <v>3.8752259662623204E-2</v>
          </cell>
          <cell r="D66">
            <v>1.1750289801631692E-2</v>
          </cell>
          <cell r="E66">
            <v>5.090637234751344E-2</v>
          </cell>
          <cell r="F66">
            <v>-6.0962831464255992E-3</v>
          </cell>
          <cell r="G66">
            <v>2.6959875830777722E-2</v>
          </cell>
          <cell r="H66">
            <v>-6.6912371416664659E-2</v>
          </cell>
          <cell r="I66">
            <v>3.6488293263136684E-2</v>
          </cell>
          <cell r="J66">
            <v>1.0616437076253071E-2</v>
          </cell>
          <cell r="K66">
            <v>1.7780083852863355E-2</v>
          </cell>
        </row>
        <row r="67">
          <cell r="B67">
            <v>4.6158302921268657E-2</v>
          </cell>
          <cell r="C67">
            <v>7.1462905368182526E-3</v>
          </cell>
          <cell r="D67">
            <v>5.3565534134501359E-2</v>
          </cell>
          <cell r="E67">
            <v>5.1948168771041511E-3</v>
          </cell>
          <cell r="F67">
            <v>-3.7042356075807268E-3</v>
          </cell>
          <cell r="G67">
            <v>-2.5050749630452611E-2</v>
          </cell>
          <cell r="H67">
            <v>4.1602779042856315E-2</v>
          </cell>
          <cell r="I67">
            <v>4.7942660970409473E-2</v>
          </cell>
          <cell r="J67">
            <v>2.1474998228097959E-2</v>
          </cell>
          <cell r="K67">
            <v>2.815190289476506E-2</v>
          </cell>
        </row>
        <row r="68">
          <cell r="B68">
            <v>7.3225748894030954E-2</v>
          </cell>
          <cell r="C68">
            <v>-5.7647216771325914E-2</v>
          </cell>
          <cell r="D68">
            <v>5.0287544034935766E-2</v>
          </cell>
          <cell r="E68">
            <v>-1.3192398723521168E-2</v>
          </cell>
          <cell r="F68">
            <v>3.2025208754611109E-2</v>
          </cell>
          <cell r="G68">
            <v>2.5980376916886951E-2</v>
          </cell>
          <cell r="H68">
            <v>9.9989561843298519E-2</v>
          </cell>
          <cell r="I68">
            <v>4.3693435217569923E-2</v>
          </cell>
          <cell r="J68">
            <v>-2.3236595865095331E-2</v>
          </cell>
          <cell r="K68">
            <v>0.12106861082463452</v>
          </cell>
        </row>
        <row r="69">
          <cell r="B69">
            <v>0.17263965122364733</v>
          </cell>
          <cell r="C69">
            <v>-4.6316484975888444E-2</v>
          </cell>
          <cell r="D69">
            <v>-6.0243702410911405E-2</v>
          </cell>
          <cell r="E69">
            <v>-2.7833634793053221E-3</v>
          </cell>
          <cell r="F69">
            <v>-1.1120492693080124E-2</v>
          </cell>
          <cell r="G69">
            <v>1.016926578161461E-2</v>
          </cell>
          <cell r="H69">
            <v>-5.8471128985531085E-2</v>
          </cell>
          <cell r="I69">
            <v>-2.8053305983079591E-2</v>
          </cell>
          <cell r="J69">
            <v>-2.1985436925880866E-2</v>
          </cell>
          <cell r="K69">
            <v>-1.5654968672613196E-2</v>
          </cell>
        </row>
        <row r="70">
          <cell r="B70">
            <v>0.10093185990168346</v>
          </cell>
          <cell r="C70">
            <v>-5.9127849465776476E-2</v>
          </cell>
          <cell r="D70">
            <v>-5.0704886015175053E-2</v>
          </cell>
          <cell r="E70">
            <v>-1.9072017823958738E-2</v>
          </cell>
          <cell r="F70">
            <v>2.6075837632647349E-2</v>
          </cell>
          <cell r="G70">
            <v>-2.1194323733399835E-2</v>
          </cell>
          <cell r="H70">
            <v>1.9975695423643827E-2</v>
          </cell>
          <cell r="I70">
            <v>-2.2109541998324524E-2</v>
          </cell>
          <cell r="J70">
            <v>9.0135559433538959E-2</v>
          </cell>
          <cell r="K70">
            <v>-3.5155356559847424E-2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L114"/>
  <sheetViews>
    <sheetView tabSelected="1" zoomScale="115" zoomScaleNormal="115" workbookViewId="0">
      <selection activeCell="L28" sqref="L28"/>
    </sheetView>
  </sheetViews>
  <sheetFormatPr defaultRowHeight="13.8" x14ac:dyDescent="0.25"/>
  <cols>
    <col min="1" max="1" width="20.5546875" style="4" customWidth="1"/>
    <col min="2" max="2" width="9.44140625" style="4" bestFit="1" customWidth="1"/>
    <col min="3" max="3" width="8.88671875" style="4"/>
    <col min="4" max="4" width="11.44140625" style="4" customWidth="1"/>
    <col min="5" max="11" width="8.88671875" style="4"/>
    <col min="12" max="12" width="35.109375" style="4" bestFit="1" customWidth="1"/>
  </cols>
  <sheetData>
    <row r="1" spans="1:12" ht="17.399999999999999" x14ac:dyDescent="0.3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ht="55.2" x14ac:dyDescent="0.25">
      <c r="A2" s="2"/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  <c r="I2" s="3" t="s">
        <v>8</v>
      </c>
      <c r="J2" s="3" t="s">
        <v>9</v>
      </c>
      <c r="K2" s="2" t="s">
        <v>10</v>
      </c>
      <c r="L2" s="2"/>
    </row>
    <row r="3" spans="1:12" x14ac:dyDescent="0.25">
      <c r="A3" s="4" t="s">
        <v>11</v>
      </c>
      <c r="B3" s="4">
        <v>16.850000000000001</v>
      </c>
      <c r="C3" s="4">
        <v>73.98</v>
      </c>
      <c r="D3" s="4">
        <v>15.92</v>
      </c>
      <c r="E3" s="4">
        <v>88.37</v>
      </c>
      <c r="F3" s="4">
        <v>153.33000000000001</v>
      </c>
      <c r="G3" s="4">
        <v>65.66</v>
      </c>
      <c r="H3" s="4">
        <v>28.16</v>
      </c>
      <c r="I3" s="4">
        <v>38.32</v>
      </c>
      <c r="J3" s="4">
        <v>79.510000000000005</v>
      </c>
      <c r="K3" s="4">
        <v>60.9</v>
      </c>
    </row>
    <row r="4" spans="1:12" x14ac:dyDescent="0.25">
      <c r="A4" s="4" t="s">
        <v>12</v>
      </c>
      <c r="B4" s="5">
        <f t="shared" ref="B4:K4" si="0">B3/SUM($B$3:$K$3)</f>
        <v>2.7133655394524961E-2</v>
      </c>
      <c r="C4" s="5">
        <f t="shared" si="0"/>
        <v>0.11913043478260871</v>
      </c>
      <c r="D4" s="5">
        <f t="shared" si="0"/>
        <v>2.5636070853462159E-2</v>
      </c>
      <c r="E4" s="5">
        <f t="shared" si="0"/>
        <v>0.14230273752012884</v>
      </c>
      <c r="F4" s="5">
        <f t="shared" si="0"/>
        <v>0.2469082125603865</v>
      </c>
      <c r="G4" s="5">
        <f t="shared" si="0"/>
        <v>0.10573268921095008</v>
      </c>
      <c r="H4" s="5">
        <f t="shared" si="0"/>
        <v>4.5346215780998393E-2</v>
      </c>
      <c r="I4" s="5">
        <f t="shared" si="0"/>
        <v>6.1706924315619971E-2</v>
      </c>
      <c r="J4" s="5">
        <f t="shared" si="0"/>
        <v>0.1280354267310789</v>
      </c>
      <c r="K4" s="5">
        <f t="shared" si="0"/>
        <v>9.8067632850241546E-2</v>
      </c>
    </row>
    <row r="6" spans="1:12" x14ac:dyDescent="0.25">
      <c r="A6" s="4" t="s">
        <v>13</v>
      </c>
      <c r="B6" s="6">
        <f>'[1]Page 352'!B6</f>
        <v>-8.7338516296339343E-3</v>
      </c>
      <c r="C6" s="6">
        <f>'[1]Page 352'!C6</f>
        <v>-3.912585257124279E-3</v>
      </c>
      <c r="D6" s="7">
        <f>'[1]Page 352'!D6</f>
        <v>5.6680525235541432E-4</v>
      </c>
      <c r="E6" s="7">
        <f>'[1]Page 352'!E6</f>
        <v>2.9945591784535926E-3</v>
      </c>
      <c r="F6" s="7">
        <f>'[1]Page 352'!F6</f>
        <v>1.0657665224744494E-2</v>
      </c>
      <c r="G6" s="7">
        <f>'[1]Page 352'!G6</f>
        <v>8.2352946572464818E-3</v>
      </c>
      <c r="H6" s="6">
        <f>'[1]Page 352'!H6</f>
        <v>-1.8043520930813397E-3</v>
      </c>
      <c r="I6" s="7">
        <f>'[1]Page 352'!I6</f>
        <v>2.9098702286280479E-4</v>
      </c>
      <c r="J6" s="6">
        <f>'[1]Page 352'!J6</f>
        <v>-5.5220323858443934E-3</v>
      </c>
      <c r="K6" s="7">
        <f>'[1]Page 352'!K6</f>
        <v>7.4809905230536237E-3</v>
      </c>
    </row>
    <row r="7" spans="1:12" x14ac:dyDescent="0.25">
      <c r="A7" s="4" t="s">
        <v>14</v>
      </c>
      <c r="B7" s="5">
        <f>'[1]Page 352'!B7</f>
        <v>0.1078459820081009</v>
      </c>
      <c r="C7" s="5">
        <f>'[1]Page 352'!C7</f>
        <v>8.409336866723402E-2</v>
      </c>
      <c r="D7" s="5">
        <f>'[1]Page 352'!D7</f>
        <v>6.2332673442510929E-2</v>
      </c>
      <c r="E7" s="5">
        <f>'[1]Page 352'!E7</f>
        <v>0.10804776551035467</v>
      </c>
      <c r="F7" s="5">
        <f>'[1]Page 352'!F7</f>
        <v>8.708088772267801E-2</v>
      </c>
      <c r="G7" s="5">
        <f>'[1]Page 352'!G7</f>
        <v>6.4300566754148969E-2</v>
      </c>
      <c r="H7" s="5">
        <f>'[1]Page 352'!H7</f>
        <v>9.5436731071418715E-2</v>
      </c>
      <c r="I7" s="5">
        <f>'[1]Page 352'!I7</f>
        <v>6.1245872475255668E-2</v>
      </c>
      <c r="J7" s="5">
        <f>'[1]Page 352'!J7</f>
        <v>8.0624541353884208E-2</v>
      </c>
      <c r="K7" s="5">
        <f>'[1]Page 352'!K7</f>
        <v>5.5357268068069863E-2</v>
      </c>
    </row>
    <row r="10" spans="1:12" x14ac:dyDescent="0.25">
      <c r="B10" s="8" t="s">
        <v>15</v>
      </c>
      <c r="C10" s="8" t="s">
        <v>16</v>
      </c>
      <c r="D10" s="8" t="s">
        <v>17</v>
      </c>
      <c r="E10" s="8" t="s">
        <v>18</v>
      </c>
      <c r="F10" s="8" t="s">
        <v>19</v>
      </c>
      <c r="G10" s="8" t="s">
        <v>20</v>
      </c>
      <c r="H10" s="8" t="s">
        <v>21</v>
      </c>
      <c r="I10" s="8" t="s">
        <v>22</v>
      </c>
      <c r="J10" s="8" t="s">
        <v>23</v>
      </c>
      <c r="K10" s="8" t="s">
        <v>10</v>
      </c>
    </row>
    <row r="11" spans="1:12" x14ac:dyDescent="0.25">
      <c r="A11" s="8" t="s">
        <v>15</v>
      </c>
      <c r="B11" s="9">
        <f>CORREL($B$24:$B$83,B24:B83)</f>
        <v>1.0000000000000002</v>
      </c>
      <c r="C11" s="9">
        <f t="shared" ref="C11:K11" si="1">CORREL($B$24:$B$83,C24:C83)</f>
        <v>0.33196874702201357</v>
      </c>
      <c r="D11" s="9">
        <f t="shared" si="1"/>
        <v>0.34592929956961432</v>
      </c>
      <c r="E11" s="9">
        <f t="shared" si="1"/>
        <v>0.35336056465617799</v>
      </c>
      <c r="F11" s="9">
        <f t="shared" si="1"/>
        <v>0.14280281531568095</v>
      </c>
      <c r="G11" s="9">
        <f t="shared" si="1"/>
        <v>0.46762291383844962</v>
      </c>
      <c r="H11" s="9">
        <f t="shared" si="1"/>
        <v>0.44299143205232072</v>
      </c>
      <c r="I11" s="9">
        <f t="shared" si="1"/>
        <v>0.27373410570703616</v>
      </c>
      <c r="J11" s="9">
        <f t="shared" si="1"/>
        <v>0.11090271242503912</v>
      </c>
      <c r="K11" s="9">
        <f t="shared" si="1"/>
        <v>0.22774687021990875</v>
      </c>
      <c r="L11" s="9" t="str">
        <f ca="1">[2]!getformula(K11)</f>
        <v>&lt;--  =CORREL($B$24:$B$83,K24:K83)</v>
      </c>
    </row>
    <row r="12" spans="1:12" x14ac:dyDescent="0.25">
      <c r="A12" s="8" t="s">
        <v>16</v>
      </c>
      <c r="B12" s="9"/>
      <c r="C12" s="9">
        <f>CORREL($C$24:$C$83,C24:C83)</f>
        <v>1</v>
      </c>
      <c r="D12" s="9">
        <f t="shared" ref="D12:K12" si="2">CORREL($C$24:$C$83,D24:D83)</f>
        <v>0.35118613666789711</v>
      </c>
      <c r="E12" s="9">
        <f t="shared" si="2"/>
        <v>0.46180582639019552</v>
      </c>
      <c r="F12" s="9">
        <f t="shared" si="2"/>
        <v>0.30123389520875637</v>
      </c>
      <c r="G12" s="9">
        <f t="shared" si="2"/>
        <v>0.6061247847349146</v>
      </c>
      <c r="H12" s="9">
        <f t="shared" si="2"/>
        <v>0.56178424116101433</v>
      </c>
      <c r="I12" s="9">
        <f t="shared" si="2"/>
        <v>0.38912243614957809</v>
      </c>
      <c r="J12" s="9">
        <f t="shared" si="2"/>
        <v>2.6036720954528997E-2</v>
      </c>
      <c r="K12" s="9">
        <f t="shared" si="2"/>
        <v>0.37995315401550506</v>
      </c>
      <c r="L12" s="9" t="str">
        <f ca="1">[2]!getformula(K12)</f>
        <v>&lt;--  =CORREL($C$24:$C$83,K24:K83)</v>
      </c>
    </row>
    <row r="13" spans="1:12" x14ac:dyDescent="0.25">
      <c r="A13" s="8" t="s">
        <v>17</v>
      </c>
      <c r="B13" s="9"/>
      <c r="C13" s="9"/>
      <c r="D13" s="9">
        <f>CORREL($D$24:$D$83,D24:D83)</f>
        <v>1</v>
      </c>
      <c r="E13" s="9">
        <f t="shared" ref="E13:K13" si="3">CORREL($D$24:$D$83,E24:E83)</f>
        <v>0.45804437882344723</v>
      </c>
      <c r="F13" s="9">
        <f t="shared" si="3"/>
        <v>1.5868981822027572E-2</v>
      </c>
      <c r="G13" s="9">
        <f t="shared" si="3"/>
        <v>0.57718397728817084</v>
      </c>
      <c r="H13" s="9">
        <f t="shared" si="3"/>
        <v>0.71808189311659287</v>
      </c>
      <c r="I13" s="9">
        <f t="shared" si="3"/>
        <v>0.53998226104482994</v>
      </c>
      <c r="J13" s="9">
        <f t="shared" si="3"/>
        <v>0.23624453301005408</v>
      </c>
      <c r="K13" s="9">
        <f t="shared" si="3"/>
        <v>0.45749014636637525</v>
      </c>
      <c r="L13" s="9" t="str">
        <f ca="1">[2]!getformula(K13)</f>
        <v>&lt;--  =CORREL($D$24:$D$83,K24:K83)</v>
      </c>
    </row>
    <row r="14" spans="1:12" x14ac:dyDescent="0.25">
      <c r="A14" s="8" t="s">
        <v>18</v>
      </c>
      <c r="B14" s="9"/>
      <c r="C14" s="9"/>
      <c r="D14" s="9"/>
      <c r="E14" s="9">
        <f>CORREL($E$24:$E$83,E24:E83)</f>
        <v>1.0000000000000002</v>
      </c>
      <c r="F14" s="9">
        <f t="shared" ref="F14:K14" si="4">CORREL($E$24:$E$83,F24:F83)</f>
        <v>0.26822323348396782</v>
      </c>
      <c r="G14" s="9">
        <f t="shared" si="4"/>
        <v>0.69653408034764841</v>
      </c>
      <c r="H14" s="9">
        <f t="shared" si="4"/>
        <v>0.57703484575039132</v>
      </c>
      <c r="I14" s="9">
        <f t="shared" si="4"/>
        <v>0.49241946347950405</v>
      </c>
      <c r="J14" s="9">
        <f t="shared" si="4"/>
        <v>0.22317394196818549</v>
      </c>
      <c r="K14" s="9">
        <f t="shared" si="4"/>
        <v>0.36661252518053239</v>
      </c>
    </row>
    <row r="15" spans="1:12" x14ac:dyDescent="0.25">
      <c r="A15" s="8" t="s">
        <v>19</v>
      </c>
      <c r="B15" s="9"/>
      <c r="C15" s="9"/>
      <c r="D15" s="9"/>
      <c r="E15" s="9"/>
      <c r="F15" s="9">
        <f>CORREL($F$24:$F$83,F24:F83)</f>
        <v>1</v>
      </c>
      <c r="G15" s="9">
        <f t="shared" ref="G15:K15" si="5">CORREL($F$24:$F$83,G24:G83)</f>
        <v>0.2838842123468639</v>
      </c>
      <c r="H15" s="9">
        <f t="shared" si="5"/>
        <v>0.21449707560970527</v>
      </c>
      <c r="I15" s="9">
        <f t="shared" si="5"/>
        <v>0.16470991385982944</v>
      </c>
      <c r="J15" s="9">
        <f t="shared" si="5"/>
        <v>9.5532626725274461E-2</v>
      </c>
      <c r="K15" s="9">
        <f t="shared" si="5"/>
        <v>0.16450201441471435</v>
      </c>
    </row>
    <row r="16" spans="1:12" x14ac:dyDescent="0.25">
      <c r="A16" s="8" t="s">
        <v>20</v>
      </c>
      <c r="B16" s="9"/>
      <c r="C16" s="9"/>
      <c r="D16" s="9"/>
      <c r="E16" s="9"/>
      <c r="F16" s="9"/>
      <c r="G16" s="9">
        <f>CORREL($G$24:$G$83,G24:G83)</f>
        <v>0.99999999999999978</v>
      </c>
      <c r="H16" s="9">
        <f t="shared" ref="H16:K16" si="6">CORREL($G$24:$G$83,H24:H83)</f>
        <v>0.60341871195945296</v>
      </c>
      <c r="I16" s="9">
        <f t="shared" si="6"/>
        <v>0.48547411569986559</v>
      </c>
      <c r="J16" s="9">
        <f t="shared" si="6"/>
        <v>0.20383108854761076</v>
      </c>
      <c r="K16" s="9">
        <f t="shared" si="6"/>
        <v>0.37983572404111177</v>
      </c>
    </row>
    <row r="17" spans="1:12" x14ac:dyDescent="0.25">
      <c r="A17" s="8" t="s">
        <v>21</v>
      </c>
      <c r="B17" s="9"/>
      <c r="C17" s="9"/>
      <c r="D17" s="9"/>
      <c r="E17" s="9"/>
      <c r="F17" s="9"/>
      <c r="G17" s="9"/>
      <c r="H17" s="9">
        <f>CORREL($H$24:$H$83,H24:H83)</f>
        <v>1</v>
      </c>
      <c r="I17" s="9">
        <f t="shared" ref="I17:K17" si="7">CORREL($H$24:$H$83,I24:I83)</f>
        <v>0.68625606685913632</v>
      </c>
      <c r="J17" s="9">
        <f t="shared" si="7"/>
        <v>0.22937132834635715</v>
      </c>
      <c r="K17" s="9">
        <f t="shared" si="7"/>
        <v>0.4525321950617443</v>
      </c>
    </row>
    <row r="18" spans="1:12" x14ac:dyDescent="0.25">
      <c r="A18" s="8" t="s">
        <v>22</v>
      </c>
      <c r="B18" s="9"/>
      <c r="C18" s="9"/>
      <c r="D18" s="9"/>
      <c r="E18" s="9"/>
      <c r="F18" s="9"/>
      <c r="G18" s="9"/>
      <c r="H18" s="9"/>
      <c r="I18" s="9">
        <f>CORREL($I$24:$I$83,I24:I83)</f>
        <v>1.0000000000000002</v>
      </c>
      <c r="J18" s="9">
        <f t="shared" ref="J18:K18" si="8">CORREL($I$24:$I$83,J24:J83)</f>
        <v>0.32871572291504386</v>
      </c>
      <c r="K18" s="9">
        <f t="shared" si="8"/>
        <v>0.56056539891550294</v>
      </c>
    </row>
    <row r="19" spans="1:12" x14ac:dyDescent="0.25">
      <c r="A19" s="8" t="s">
        <v>23</v>
      </c>
      <c r="B19" s="9"/>
      <c r="C19" s="9"/>
      <c r="D19" s="9"/>
      <c r="E19" s="9"/>
      <c r="F19" s="9"/>
      <c r="G19" s="9"/>
      <c r="H19" s="9"/>
      <c r="I19" s="9"/>
      <c r="J19" s="9">
        <f>CORREL($J$24:$J$83,J24:J83)</f>
        <v>1</v>
      </c>
      <c r="K19" s="9">
        <f>CORREL($J$24:$J$83,K24:K83)</f>
        <v>0.10786710242080622</v>
      </c>
    </row>
    <row r="20" spans="1:12" x14ac:dyDescent="0.25">
      <c r="A20" s="8" t="s">
        <v>10</v>
      </c>
      <c r="B20" s="9"/>
      <c r="C20" s="9"/>
      <c r="D20" s="9"/>
      <c r="E20" s="9"/>
      <c r="F20" s="9"/>
      <c r="G20" s="9"/>
      <c r="H20" s="9"/>
      <c r="I20" s="9"/>
      <c r="J20" s="9"/>
      <c r="K20" s="9">
        <f>CORREL($K$24:$K$83,K24:K83)</f>
        <v>0.99999999999999989</v>
      </c>
    </row>
    <row r="22" spans="1:12" x14ac:dyDescent="0.25">
      <c r="A22" s="10" t="s">
        <v>24</v>
      </c>
    </row>
    <row r="23" spans="1:12" x14ac:dyDescent="0.25">
      <c r="A23" s="8" t="s">
        <v>25</v>
      </c>
      <c r="B23" s="4" t="s">
        <v>15</v>
      </c>
      <c r="C23" s="4" t="s">
        <v>16</v>
      </c>
      <c r="D23" s="4" t="s">
        <v>17</v>
      </c>
      <c r="E23" s="4" t="s">
        <v>18</v>
      </c>
      <c r="F23" s="4" t="s">
        <v>19</v>
      </c>
      <c r="G23" s="4" t="s">
        <v>20</v>
      </c>
      <c r="H23" s="4" t="s">
        <v>21</v>
      </c>
      <c r="I23" s="4" t="s">
        <v>22</v>
      </c>
      <c r="J23" s="4" t="s">
        <v>23</v>
      </c>
      <c r="K23" s="4" t="s">
        <v>10</v>
      </c>
    </row>
    <row r="24" spans="1:12" x14ac:dyDescent="0.25">
      <c r="A24" s="11">
        <v>37074</v>
      </c>
      <c r="B24" s="5">
        <f>'[1]Page 352'!B11-'[1]Page 352'!B$6</f>
        <v>-3.0627462310828923E-3</v>
      </c>
      <c r="C24" s="5">
        <f>'[1]Page 352'!C11-'[1]Page 352'!C$6</f>
        <v>6.809200524861854E-2</v>
      </c>
      <c r="D24" s="5">
        <f>'[1]Page 352'!D11-'[1]Page 352'!D$6</f>
        <v>0.13184288226296723</v>
      </c>
      <c r="E24" s="5">
        <f>'[1]Page 352'!E11-'[1]Page 352'!E$6</f>
        <v>-0.15093111487575941</v>
      </c>
      <c r="F24" s="5">
        <f>'[1]Page 352'!F11-'[1]Page 352'!F$6</f>
        <v>-9.4903825913908071E-2</v>
      </c>
      <c r="G24" s="5">
        <f>'[1]Page 352'!G11-'[1]Page 352'!G$6</f>
        <v>3.2500462698433291E-2</v>
      </c>
      <c r="H24" s="5">
        <f>'[1]Page 352'!H11-'[1]Page 352'!H$6</f>
        <v>-1.7515862464700719E-2</v>
      </c>
      <c r="I24" s="5">
        <f>'[1]Page 352'!I11-'[1]Page 352'!I$6</f>
        <v>-0.11938971169333286</v>
      </c>
      <c r="J24" s="5">
        <f>'[1]Page 352'!J11-'[1]Page 352'!J$6</f>
        <v>6.7421085804567057E-2</v>
      </c>
      <c r="K24" s="5">
        <f>'[1]Page 352'!K11-'[1]Page 352'!K$6</f>
        <v>-2.7264223127559988E-2</v>
      </c>
      <c r="L24" s="4" t="str">
        <f ca="1">[2]!getformula(K24)</f>
        <v>&lt;--  ='[fm3_chapter13.xls]Page 352'!K11-'[fm3_chapter13.xls]Page 352'!K$6</v>
      </c>
    </row>
    <row r="25" spans="1:12" x14ac:dyDescent="0.25">
      <c r="A25" s="11">
        <v>37104</v>
      </c>
      <c r="B25" s="5">
        <f>'[1]Page 352'!B12-'[1]Page 352'!B$6</f>
        <v>-0.13322277405186608</v>
      </c>
      <c r="C25" s="5">
        <f>'[1]Page 352'!C12-'[1]Page 352'!C$6</f>
        <v>-8.7138133565564282E-2</v>
      </c>
      <c r="D25" s="5">
        <f>'[1]Page 352'!D12-'[1]Page 352'!D$6</f>
        <v>-9.58603211920467E-3</v>
      </c>
      <c r="E25" s="5">
        <f>'[1]Page 352'!E12-'[1]Page 352'!E$6</f>
        <v>-6.3947750079493687E-2</v>
      </c>
      <c r="F25" s="5">
        <f>'[1]Page 352'!F12-'[1]Page 352'!F$6</f>
        <v>3.0332807098958647E-2</v>
      </c>
      <c r="G25" s="5">
        <f>'[1]Page 352'!G12-'[1]Page 352'!G$6</f>
        <v>-0.11025033833719441</v>
      </c>
      <c r="H25" s="5">
        <f>'[1]Page 352'!H12-'[1]Page 352'!H$6</f>
        <v>-2.3100327086993777E-2</v>
      </c>
      <c r="I25" s="5">
        <f>'[1]Page 352'!I12-'[1]Page 352'!I$6</f>
        <v>-3.6199473281267457E-2</v>
      </c>
      <c r="J25" s="5">
        <f>'[1]Page 352'!J12-'[1]Page 352'!J$6</f>
        <v>-3.2617383401615394E-2</v>
      </c>
      <c r="K25" s="5">
        <f>'[1]Page 352'!K12-'[1]Page 352'!K$6</f>
        <v>-7.3933640491646802E-2</v>
      </c>
    </row>
    <row r="26" spans="1:12" x14ac:dyDescent="0.25">
      <c r="A26" s="11">
        <v>37138</v>
      </c>
      <c r="B26" s="5">
        <f>'[1]Page 352'!B13-'[1]Page 352'!B$6</f>
        <v>-0.23496017261158167</v>
      </c>
      <c r="C26" s="5">
        <f>'[1]Page 352'!C13-'[1]Page 352'!C$6</f>
        <v>-0.17641368700038992</v>
      </c>
      <c r="D26" s="5">
        <f>'[1]Page 352'!D13-'[1]Page 352'!D$6</f>
        <v>-0.14205730754444659</v>
      </c>
      <c r="E26" s="5">
        <f>'[1]Page 352'!E13-'[1]Page 352'!E$6</f>
        <v>-0.36741423404350276</v>
      </c>
      <c r="F26" s="5">
        <f>'[1]Page 352'!F13-'[1]Page 352'!F$6</f>
        <v>7.7698825232636291E-3</v>
      </c>
      <c r="G26" s="5">
        <f>'[1]Page 352'!G13-'[1]Page 352'!G$6</f>
        <v>-0.23391972681061798</v>
      </c>
      <c r="H26" s="5">
        <f>'[1]Page 352'!H13-'[1]Page 352'!H$6</f>
        <v>-0.20480989726991797</v>
      </c>
      <c r="I26" s="5">
        <f>'[1]Page 352'!I13-'[1]Page 352'!I$6</f>
        <v>-8.8003708284373455E-2</v>
      </c>
      <c r="J26" s="5">
        <f>'[1]Page 352'!J13-'[1]Page 352'!J$6</f>
        <v>2.8354074428490084E-2</v>
      </c>
      <c r="K26" s="5">
        <f>'[1]Page 352'!K13-'[1]Page 352'!K$6</f>
        <v>-6.3794095775051574E-2</v>
      </c>
    </row>
    <row r="27" spans="1:12" x14ac:dyDescent="0.25">
      <c r="A27" s="11">
        <v>37165</v>
      </c>
      <c r="B27" s="5">
        <f>'[1]Page 352'!B14-'[1]Page 352'!B$6</f>
        <v>-2.8938223955821157E-2</v>
      </c>
      <c r="C27" s="5">
        <f>'[1]Page 352'!C14-'[1]Page 352'!C$6</f>
        <v>3.7275855200021675E-4</v>
      </c>
      <c r="D27" s="5">
        <f>'[1]Page 352'!D14-'[1]Page 352'!D$6</f>
        <v>2.6461867135563786E-2</v>
      </c>
      <c r="E27" s="5">
        <f>'[1]Page 352'!E14-'[1]Page 352'!E$6</f>
        <v>4.4773763032093919E-2</v>
      </c>
      <c r="F27" s="5">
        <f>'[1]Page 352'!F14-'[1]Page 352'!F$6</f>
        <v>-4.1834605795418991E-2</v>
      </c>
      <c r="G27" s="5">
        <f>'[1]Page 352'!G14-'[1]Page 352'!G$6</f>
        <v>7.2373267203379443E-3</v>
      </c>
      <c r="H27" s="5">
        <f>'[1]Page 352'!H14-'[1]Page 352'!H$6</f>
        <v>4.6411050133602118E-2</v>
      </c>
      <c r="I27" s="5">
        <f>'[1]Page 352'!I14-'[1]Page 352'!I$6</f>
        <v>6.3428676959518468E-2</v>
      </c>
      <c r="J27" s="5">
        <f>'[1]Page 352'!J14-'[1]Page 352'!J$6</f>
        <v>-3.7332060562686925E-2</v>
      </c>
      <c r="K27" s="5">
        <f>'[1]Page 352'!K14-'[1]Page 352'!K$6</f>
        <v>5.157675912054753E-2</v>
      </c>
    </row>
    <row r="28" spans="1:12" x14ac:dyDescent="0.25">
      <c r="A28" s="11">
        <v>37196</v>
      </c>
      <c r="B28" s="5">
        <f>'[1]Page 352'!B15-'[1]Page 352'!B$6</f>
        <v>0.2052357176976381</v>
      </c>
      <c r="C28" s="5">
        <f>'[1]Page 352'!C15-'[1]Page 352'!C$6</f>
        <v>0.20398795401617414</v>
      </c>
      <c r="D28" s="5">
        <f>'[1]Page 352'!D15-'[1]Page 352'!D$6</f>
        <v>0.11530965213344638</v>
      </c>
      <c r="E28" s="5">
        <f>'[1]Page 352'!E15-'[1]Page 352'!E$6</f>
        <v>0.2645174063241949</v>
      </c>
      <c r="F28" s="5">
        <f>'[1]Page 352'!F15-'[1]Page 352'!F$6</f>
        <v>-2.7718323808161166E-3</v>
      </c>
      <c r="G28" s="5">
        <f>'[1]Page 352'!G15-'[1]Page 352'!G$6</f>
        <v>0.10364934707752312</v>
      </c>
      <c r="H28" s="5">
        <f>'[1]Page 352'!H15-'[1]Page 352'!H$6</f>
        <v>0.18076876897336949</v>
      </c>
      <c r="I28" s="5">
        <f>'[1]Page 352'!I15-'[1]Page 352'!I$6</f>
        <v>0.11116559674850103</v>
      </c>
      <c r="J28" s="5">
        <f>'[1]Page 352'!J15-'[1]Page 352'!J$6</f>
        <v>6.5349394883244621E-2</v>
      </c>
      <c r="K28" s="5">
        <f>'[1]Page 352'!K15-'[1]Page 352'!K$6</f>
        <v>9.0833889971572379E-2</v>
      </c>
    </row>
    <row r="29" spans="1:12" x14ac:dyDescent="0.25">
      <c r="A29" s="11">
        <v>37228</v>
      </c>
      <c r="B29" s="5">
        <f>'[1]Page 352'!B16-'[1]Page 352'!B$6</f>
        <v>-1.3721799773353827E-2</v>
      </c>
      <c r="C29" s="5">
        <f>'[1]Page 352'!C16-'[1]Page 352'!C$6</f>
        <v>9.3358839800741472E-2</v>
      </c>
      <c r="D29" s="5">
        <f>'[1]Page 352'!D16-'[1]Page 352'!D$6</f>
        <v>9.5598635655738534E-3</v>
      </c>
      <c r="E29" s="5">
        <f>'[1]Page 352'!E16-'[1]Page 352'!E$6</f>
        <v>-6.7630884609711117E-2</v>
      </c>
      <c r="F29" s="5">
        <f>'[1]Page 352'!F16-'[1]Page 352'!F$6</f>
        <v>-2.6492011891370713E-2</v>
      </c>
      <c r="G29" s="5">
        <f>'[1]Page 352'!G16-'[1]Page 352'!G$6</f>
        <v>7.2918400798600666E-2</v>
      </c>
      <c r="H29" s="5">
        <f>'[1]Page 352'!H16-'[1]Page 352'!H$6</f>
        <v>-8.0425603849147834E-2</v>
      </c>
      <c r="I29" s="5">
        <f>'[1]Page 352'!I16-'[1]Page 352'!I$6</f>
        <v>-4.2520671690948357E-2</v>
      </c>
      <c r="J29" s="5">
        <f>'[1]Page 352'!J16-'[1]Page 352'!J$6</f>
        <v>-0.1307873970285402</v>
      </c>
      <c r="K29" s="5">
        <f>'[1]Page 352'!K16-'[1]Page 352'!K$6</f>
        <v>2.3748033323025601E-2</v>
      </c>
    </row>
    <row r="30" spans="1:12" x14ac:dyDescent="0.25">
      <c r="A30" s="11">
        <v>37258</v>
      </c>
      <c r="B30" s="5">
        <f>'[1]Page 352'!B17-'[1]Page 352'!B$6</f>
        <v>5.9549612661439988E-2</v>
      </c>
      <c r="C30" s="5">
        <f>'[1]Page 352'!C17-'[1]Page 352'!C$6</f>
        <v>-1.4221025167530325E-2</v>
      </c>
      <c r="D30" s="5">
        <f>'[1]Page 352'!D17-'[1]Page 352'!D$6</f>
        <v>3.4090128556688991E-2</v>
      </c>
      <c r="E30" s="5">
        <f>'[1]Page 352'!E17-'[1]Page 352'!E$6</f>
        <v>7.0889824377355262E-2</v>
      </c>
      <c r="F30" s="5">
        <f>'[1]Page 352'!F17-'[1]Page 352'!F$6</f>
        <v>7.8026316950390487E-2</v>
      </c>
      <c r="G30" s="5">
        <f>'[1]Page 352'!G17-'[1]Page 352'!G$6</f>
        <v>-1.5951640179689246E-3</v>
      </c>
      <c r="H30" s="5">
        <f>'[1]Page 352'!H17-'[1]Page 352'!H$6</f>
        <v>1.0123611289656919E-2</v>
      </c>
      <c r="I30" s="5">
        <f>'[1]Page 352'!I17-'[1]Page 352'!I$6</f>
        <v>3.8005298054417526E-2</v>
      </c>
      <c r="J30" s="5">
        <f>'[1]Page 352'!J17-'[1]Page 352'!J$6</f>
        <v>1.1860528147782597E-2</v>
      </c>
      <c r="K30" s="5">
        <f>'[1]Page 352'!K17-'[1]Page 352'!K$6</f>
        <v>-7.0353924156111677E-2</v>
      </c>
    </row>
    <row r="31" spans="1:12" x14ac:dyDescent="0.25">
      <c r="A31" s="11">
        <v>37288</v>
      </c>
      <c r="B31" s="5">
        <f>'[1]Page 352'!B18-'[1]Page 352'!B$6</f>
        <v>5.428343199838042E-2</v>
      </c>
      <c r="C31" s="5">
        <f>'[1]Page 352'!C18-'[1]Page 352'!C$6</f>
        <v>2.0393408754438317E-3</v>
      </c>
      <c r="D31" s="5">
        <f>'[1]Page 352'!D18-'[1]Page 352'!D$6</f>
        <v>5.1321067677616315E-2</v>
      </c>
      <c r="E31" s="5">
        <f>'[1]Page 352'!E18-'[1]Page 352'!E$6</f>
        <v>-9.7433026011698662E-2</v>
      </c>
      <c r="F31" s="5">
        <f>'[1]Page 352'!F18-'[1]Page 352'!F$6</f>
        <v>3.895958423555658E-2</v>
      </c>
      <c r="G31" s="5">
        <f>'[1]Page 352'!G18-'[1]Page 352'!G$6</f>
        <v>8.1746567776313731E-3</v>
      </c>
      <c r="H31" s="5">
        <f>'[1]Page 352'!H18-'[1]Page 352'!H$6</f>
        <v>5.3235716113969371E-2</v>
      </c>
      <c r="I31" s="5">
        <f>'[1]Page 352'!I18-'[1]Page 352'!I$6</f>
        <v>6.6281722289492861E-2</v>
      </c>
      <c r="J31" s="5">
        <f>'[1]Page 352'!J18-'[1]Page 352'!J$6</f>
        <v>4.1310317522264037E-2</v>
      </c>
      <c r="K31" s="5">
        <f>'[1]Page 352'!K18-'[1]Page 352'!K$6</f>
        <v>5.853572748382832E-2</v>
      </c>
    </row>
    <row r="32" spans="1:12" x14ac:dyDescent="0.25">
      <c r="A32" s="11">
        <v>37316</v>
      </c>
      <c r="B32" s="5">
        <f>'[1]Page 352'!B19-'[1]Page 352'!B$6</f>
        <v>0.14071142462433481</v>
      </c>
      <c r="C32" s="5">
        <f>'[1]Page 352'!C19-'[1]Page 352'!C$6</f>
        <v>-2.3330151136749976E-2</v>
      </c>
      <c r="D32" s="5">
        <f>'[1]Page 352'!D19-'[1]Page 352'!D$6</f>
        <v>-1.7652387840089531E-2</v>
      </c>
      <c r="E32" s="5">
        <f>'[1]Page 352'!E19-'[1]Page 352'!E$6</f>
        <v>-0.11381308553804634</v>
      </c>
      <c r="F32" s="5">
        <f>'[1]Page 352'!F19-'[1]Page 352'!F$6</f>
        <v>7.7919996620170497E-4</v>
      </c>
      <c r="G32" s="5">
        <f>'[1]Page 352'!G19-'[1]Page 352'!G$6</f>
        <v>0.10838966327850937</v>
      </c>
      <c r="H32" s="5">
        <f>'[1]Page 352'!H19-'[1]Page 352'!H$6</f>
        <v>6.4568757514968465E-3</v>
      </c>
      <c r="I32" s="5">
        <f>'[1]Page 352'!I19-'[1]Page 352'!I$6</f>
        <v>6.3242520958565994E-3</v>
      </c>
      <c r="J32" s="5">
        <f>'[1]Page 352'!J19-'[1]Page 352'!J$6</f>
        <v>-5.1983095149779397E-2</v>
      </c>
      <c r="K32" s="5">
        <f>'[1]Page 352'!K19-'[1]Page 352'!K$6</f>
        <v>-3.2723052408231319E-2</v>
      </c>
    </row>
    <row r="33" spans="1:11" x14ac:dyDescent="0.25">
      <c r="A33" s="11">
        <v>37347</v>
      </c>
      <c r="B33" s="5">
        <f>'[1]Page 352'!B20-'[1]Page 352'!B$6</f>
        <v>6.8137523734117716E-2</v>
      </c>
      <c r="C33" s="5">
        <f>'[1]Page 352'!C20-'[1]Page 352'!C$6</f>
        <v>-4.3209093637863745E-2</v>
      </c>
      <c r="D33" s="5">
        <f>'[1]Page 352'!D20-'[1]Page 352'!D$6</f>
        <v>-3.7805150392474174E-2</v>
      </c>
      <c r="E33" s="5">
        <f>'[1]Page 352'!E20-'[1]Page 352'!E$6</f>
        <v>-5.113056495876462E-2</v>
      </c>
      <c r="F33" s="5">
        <f>'[1]Page 352'!F20-'[1]Page 352'!F$6</f>
        <v>2.2200935754331113E-2</v>
      </c>
      <c r="G33" s="5">
        <f>'[1]Page 352'!G20-'[1]Page 352'!G$6</f>
        <v>-4.7650771782393585E-3</v>
      </c>
      <c r="H33" s="5">
        <f>'[1]Page 352'!H20-'[1]Page 352'!H$6</f>
        <v>-0.10172050293624595</v>
      </c>
      <c r="I33" s="5">
        <f>'[1]Page 352'!I20-'[1]Page 352'!I$6</f>
        <v>-5.8096022288510407E-2</v>
      </c>
      <c r="J33" s="5">
        <f>'[1]Page 352'!J20-'[1]Page 352'!J$6</f>
        <v>-5.2294976138226597E-2</v>
      </c>
      <c r="K33" s="5">
        <f>'[1]Page 352'!K20-'[1]Page 352'!K$6</f>
        <v>8.2288052551278801E-2</v>
      </c>
    </row>
    <row r="34" spans="1:11" x14ac:dyDescent="0.25">
      <c r="A34" s="11">
        <v>37377</v>
      </c>
      <c r="B34" s="5">
        <f>'[1]Page 352'!B21-'[1]Page 352'!B$6</f>
        <v>-1.5557254580825458E-2</v>
      </c>
      <c r="C34" s="5">
        <f>'[1]Page 352'!C21-'[1]Page 352'!C$6</f>
        <v>-0.10254568012423207</v>
      </c>
      <c r="D34" s="5">
        <f>'[1]Page 352'!D21-'[1]Page 352'!D$6</f>
        <v>4.44739201719484E-2</v>
      </c>
      <c r="E34" s="5">
        <f>'[1]Page 352'!E21-'[1]Page 352'!E$6</f>
        <v>0.10740939670196119</v>
      </c>
      <c r="F34" s="5">
        <f>'[1]Page 352'!F21-'[1]Page 352'!F$6</f>
        <v>3.9855866262942546E-2</v>
      </c>
      <c r="G34" s="5">
        <f>'[1]Page 352'!G21-'[1]Page 352'!G$6</f>
        <v>2.749291714275226E-2</v>
      </c>
      <c r="H34" s="5">
        <f>'[1]Page 352'!H21-'[1]Page 352'!H$6</f>
        <v>3.3784281715400211E-2</v>
      </c>
      <c r="I34" s="5">
        <f>'[1]Page 352'!I21-'[1]Page 352'!I$6</f>
        <v>4.0769012807069183E-2</v>
      </c>
      <c r="J34" s="5">
        <f>'[1]Page 352'!J21-'[1]Page 352'!J$6</f>
        <v>5.4909292515477832E-2</v>
      </c>
      <c r="K34" s="5">
        <f>'[1]Page 352'!K21-'[1]Page 352'!K$6</f>
        <v>-5.5786985529446605E-3</v>
      </c>
    </row>
    <row r="35" spans="1:11" x14ac:dyDescent="0.25">
      <c r="A35" s="11">
        <v>37410</v>
      </c>
      <c r="B35" s="5">
        <f>'[1]Page 352'!B22-'[1]Page 352'!B$6</f>
        <v>-0.14208442661172521</v>
      </c>
      <c r="C35" s="5">
        <f>'[1]Page 352'!C22-'[1]Page 352'!C$6</f>
        <v>-0.12145027808899751</v>
      </c>
      <c r="D35" s="5">
        <f>'[1]Page 352'!D22-'[1]Page 352'!D$6</f>
        <v>1.0511499469382913E-2</v>
      </c>
      <c r="E35" s="5">
        <f>'[1]Page 352'!E22-'[1]Page 352'!E$6</f>
        <v>-0.22139810440618074</v>
      </c>
      <c r="F35" s="5">
        <f>'[1]Page 352'!F22-'[1]Page 352'!F$6</f>
        <v>-0.26884583174903437</v>
      </c>
      <c r="G35" s="5">
        <f>'[1]Page 352'!G22-'[1]Page 352'!G$6</f>
        <v>-0.16536161365242416</v>
      </c>
      <c r="H35" s="5">
        <f>'[1]Page 352'!H22-'[1]Page 352'!H$6</f>
        <v>-5.1968601339410947E-2</v>
      </c>
      <c r="I35" s="5">
        <f>'[1]Page 352'!I22-'[1]Page 352'!I$6</f>
        <v>-3.5932317936931663E-2</v>
      </c>
      <c r="J35" s="5">
        <f>'[1]Page 352'!J22-'[1]Page 352'!J$6</f>
        <v>-0.10814532541507159</v>
      </c>
      <c r="K35" s="5">
        <f>'[1]Page 352'!K22-'[1]Page 352'!K$6</f>
        <v>-2.7021039994494869E-2</v>
      </c>
    </row>
    <row r="36" spans="1:11" x14ac:dyDescent="0.25">
      <c r="A36" s="11">
        <v>37438</v>
      </c>
      <c r="B36" s="5">
        <f>'[1]Page 352'!B23-'[1]Page 352'!B$6</f>
        <v>-0.12951896949327524</v>
      </c>
      <c r="C36" s="5">
        <f>'[1]Page 352'!C23-'[1]Page 352'!C$6</f>
        <v>-0.16961919215990978</v>
      </c>
      <c r="D36" s="5">
        <f>'[1]Page 352'!D23-'[1]Page 352'!D$6</f>
        <v>-9.0587387074078887E-2</v>
      </c>
      <c r="E36" s="5">
        <f>'[1]Page 352'!E23-'[1]Page 352'!E$6</f>
        <v>-7.9566246359111234E-2</v>
      </c>
      <c r="F36" s="5">
        <f>'[1]Page 352'!F23-'[1]Page 352'!F$6</f>
        <v>4.2369452535767932E-2</v>
      </c>
      <c r="G36" s="5">
        <f>'[1]Page 352'!G23-'[1]Page 352'!G$6</f>
        <v>-3.5996495820741763E-2</v>
      </c>
      <c r="H36" s="5">
        <f>'[1]Page 352'!H23-'[1]Page 352'!H$6</f>
        <v>-0.195692606094965</v>
      </c>
      <c r="I36" s="5">
        <f>'[1]Page 352'!I23-'[1]Page 352'!I$6</f>
        <v>-5.7752192604966189E-2</v>
      </c>
      <c r="J36" s="5">
        <f>'[1]Page 352'!J23-'[1]Page 352'!J$6</f>
        <v>-1.5117520910703654E-2</v>
      </c>
      <c r="K36" s="5">
        <f>'[1]Page 352'!K23-'[1]Page 352'!K$6</f>
        <v>1.533633656906299E-2</v>
      </c>
    </row>
    <row r="37" spans="1:11" x14ac:dyDescent="0.25">
      <c r="A37" s="11">
        <v>37469</v>
      </c>
      <c r="B37" s="5">
        <f>'[1]Page 352'!B24-'[1]Page 352'!B$6</f>
        <v>4.7934198391533532E-2</v>
      </c>
      <c r="C37" s="5">
        <f>'[1]Page 352'!C24-'[1]Page 352'!C$6</f>
        <v>6.8430069485437325E-2</v>
      </c>
      <c r="D37" s="5">
        <f>'[1]Page 352'!D24-'[1]Page 352'!D$6</f>
        <v>-4.9987950618450412E-2</v>
      </c>
      <c r="E37" s="5">
        <f>'[1]Page 352'!E24-'[1]Page 352'!E$6</f>
        <v>-5.5394835571985268E-2</v>
      </c>
      <c r="F37" s="5">
        <f>'[1]Page 352'!F24-'[1]Page 352'!F$6</f>
        <v>7.1502968496218955E-2</v>
      </c>
      <c r="G37" s="5">
        <f>'[1]Page 352'!G24-'[1]Page 352'!G$6</f>
        <v>1.4297136423449578E-2</v>
      </c>
      <c r="H37" s="5">
        <f>'[1]Page 352'!H24-'[1]Page 352'!H$6</f>
        <v>-7.3475410875902633E-2</v>
      </c>
      <c r="I37" s="5">
        <f>'[1]Page 352'!I24-'[1]Page 352'!I$6</f>
        <v>-3.1011543152364374E-2</v>
      </c>
      <c r="J37" s="5">
        <f>'[1]Page 352'!J24-'[1]Page 352'!J$6</f>
        <v>2.3970470989577559E-2</v>
      </c>
      <c r="K37" s="5">
        <f>'[1]Page 352'!K24-'[1]Page 352'!K$6</f>
        <v>-9.7221775658078661E-3</v>
      </c>
    </row>
    <row r="38" spans="1:11" x14ac:dyDescent="0.25">
      <c r="A38" s="11">
        <v>37502</v>
      </c>
      <c r="B38" s="5">
        <f>'[1]Page 352'!B25-'[1]Page 352'!B$6</f>
        <v>-0.19843562512994059</v>
      </c>
      <c r="C38" s="5">
        <f>'[1]Page 352'!C25-'[1]Page 352'!C$6</f>
        <v>-0.22723069189995704</v>
      </c>
      <c r="D38" s="5">
        <f>'[1]Page 352'!D25-'[1]Page 352'!D$6</f>
        <v>-0.12059831676341813</v>
      </c>
      <c r="E38" s="5">
        <f>'[1]Page 352'!E25-'[1]Page 352'!E$6</f>
        <v>-0.13743051993340313</v>
      </c>
      <c r="F38" s="5">
        <f>'[1]Page 352'!F25-'[1]Page 352'!F$6</f>
        <v>-0.25076710215294823</v>
      </c>
      <c r="G38" s="5">
        <f>'[1]Page 352'!G25-'[1]Page 352'!G$6</f>
        <v>-0.15363235055827007</v>
      </c>
      <c r="H38" s="5">
        <f>'[1]Page 352'!H25-'[1]Page 352'!H$6</f>
        <v>-0.26043033113759151</v>
      </c>
      <c r="I38" s="5">
        <f>'[1]Page 352'!I25-'[1]Page 352'!I$6</f>
        <v>-0.11135130828436955</v>
      </c>
      <c r="J38" s="5">
        <f>'[1]Page 352'!J25-'[1]Page 352'!J$6</f>
        <v>-8.7110769647764139E-2</v>
      </c>
      <c r="K38" s="5">
        <f>'[1]Page 352'!K25-'[1]Page 352'!K$6</f>
        <v>-0.13525944779719354</v>
      </c>
    </row>
    <row r="39" spans="1:11" x14ac:dyDescent="0.25">
      <c r="A39" s="11">
        <v>37530</v>
      </c>
      <c r="B39" s="5">
        <f>'[1]Page 352'!B26-'[1]Page 352'!B$6</f>
        <v>-0.1482918203768096</v>
      </c>
      <c r="C39" s="5">
        <f>'[1]Page 352'!C26-'[1]Page 352'!C$6</f>
        <v>0.10516926424917546</v>
      </c>
      <c r="D39" s="5">
        <f>'[1]Page 352'!D26-'[1]Page 352'!D$6</f>
        <v>4.4245887366935278E-2</v>
      </c>
      <c r="E39" s="5">
        <f>'[1]Page 352'!E26-'[1]Page 352'!E$6</f>
        <v>0.2999549854041158</v>
      </c>
      <c r="F39" s="5">
        <f>'[1]Page 352'!F26-'[1]Page 352'!F$6</f>
        <v>3.8266796234322401E-2</v>
      </c>
      <c r="G39" s="5">
        <f>'[1]Page 352'!G26-'[1]Page 352'!G$6</f>
        <v>0.14824040176253558</v>
      </c>
      <c r="H39" s="5">
        <f>'[1]Page 352'!H26-'[1]Page 352'!H$6</f>
        <v>0.13512516668011521</v>
      </c>
      <c r="I39" s="5">
        <f>'[1]Page 352'!I26-'[1]Page 352'!I$6</f>
        <v>0.1338291141882969</v>
      </c>
      <c r="J39" s="5">
        <f>'[1]Page 352'!J26-'[1]Page 352'!J$6</f>
        <v>0.17664024546980611</v>
      </c>
      <c r="K39" s="5">
        <f>'[1]Page 352'!K26-'[1]Page 352'!K$6</f>
        <v>0.1360512172152086</v>
      </c>
    </row>
    <row r="40" spans="1:11" x14ac:dyDescent="0.25">
      <c r="A40" s="11">
        <v>37561</v>
      </c>
      <c r="B40" s="5">
        <f>'[1]Page 352'!B27-'[1]Page 352'!B$6</f>
        <v>0.20053760930226511</v>
      </c>
      <c r="C40" s="5">
        <f>'[1]Page 352'!C27-'[1]Page 352'!C$6</f>
        <v>-8.5879251808753623E-2</v>
      </c>
      <c r="D40" s="5">
        <f>'[1]Page 352'!D27-'[1]Page 352'!D$6</f>
        <v>0.12323176223731985</v>
      </c>
      <c r="E40" s="5">
        <f>'[1]Page 352'!E27-'[1]Page 352'!E$6</f>
        <v>0.20668983876175132</v>
      </c>
      <c r="F40" s="5">
        <f>'[1]Page 352'!F27-'[1]Page 352'!F$6</f>
        <v>-8.7869409225570766E-2</v>
      </c>
      <c r="G40" s="5">
        <f>'[1]Page 352'!G27-'[1]Page 352'!G$6</f>
        <v>5.9720097810437092E-2</v>
      </c>
      <c r="H40" s="5">
        <f>'[1]Page 352'!H27-'[1]Page 352'!H$6</f>
        <v>0.15504201433400186</v>
      </c>
      <c r="I40" s="5">
        <f>'[1]Page 352'!I27-'[1]Page 352'!I$6</f>
        <v>8.6468595932955333E-2</v>
      </c>
      <c r="J40" s="5">
        <f>'[1]Page 352'!J27-'[1]Page 352'!J$6</f>
        <v>9.6562385938760584E-2</v>
      </c>
      <c r="K40" s="5">
        <f>'[1]Page 352'!K27-'[1]Page 352'!K$6</f>
        <v>2.0000631708415435E-2</v>
      </c>
    </row>
    <row r="41" spans="1:11" x14ac:dyDescent="0.25">
      <c r="A41" s="11">
        <v>37592</v>
      </c>
      <c r="B41" s="5">
        <f>'[1]Page 352'!B28-'[1]Page 352'!B$6</f>
        <v>-6.5327586170092808E-2</v>
      </c>
      <c r="C41" s="5">
        <f>'[1]Page 352'!C28-'[1]Page 352'!C$6</f>
        <v>-8.8257874542532949E-2</v>
      </c>
      <c r="D41" s="5">
        <f>'[1]Page 352'!D28-'[1]Page 352'!D$6</f>
        <v>-0.11614268251626336</v>
      </c>
      <c r="E41" s="5">
        <f>'[1]Page 352'!E28-'[1]Page 352'!E$6</f>
        <v>-0.11409267173295301</v>
      </c>
      <c r="F41" s="5">
        <f>'[1]Page 352'!F28-'[1]Page 352'!F$6</f>
        <v>7.6944553731851967E-2</v>
      </c>
      <c r="G41" s="5">
        <f>'[1]Page 352'!G28-'[1]Page 352'!G$6</f>
        <v>-0.10245614973511645</v>
      </c>
      <c r="H41" s="5">
        <f>'[1]Page 352'!H28-'[1]Page 352'!H$6</f>
        <v>-0.11287431654415643</v>
      </c>
      <c r="I41" s="5">
        <f>'[1]Page 352'!I28-'[1]Page 352'!I$6</f>
        <v>-5.1173492225618657E-2</v>
      </c>
      <c r="J41" s="5">
        <f>'[1]Page 352'!J28-'[1]Page 352'!J$6</f>
        <v>-3.6492128286870172E-2</v>
      </c>
      <c r="K41" s="5">
        <f>'[1]Page 352'!K28-'[1]Page 352'!K$6</f>
        <v>-5.9209351265084628E-2</v>
      </c>
    </row>
    <row r="42" spans="1:11" x14ac:dyDescent="0.25">
      <c r="A42" s="11">
        <v>37623</v>
      </c>
      <c r="B42" s="5">
        <f>'[1]Page 352'!B29-'[1]Page 352'!B$6</f>
        <v>-5.7020946033075458E-3</v>
      </c>
      <c r="C42" s="5">
        <f>'[1]Page 352'!C29-'[1]Page 352'!C$6</f>
        <v>-0.13505226109039381</v>
      </c>
      <c r="D42" s="5">
        <f>'[1]Page 352'!D29-'[1]Page 352'!D$6</f>
        <v>2.0315985716473955E-2</v>
      </c>
      <c r="E42" s="5">
        <f>'[1]Page 352'!E29-'[1]Page 352'!E$6</f>
        <v>2.9331846623326628E-5</v>
      </c>
      <c r="F42" s="5">
        <f>'[1]Page 352'!F29-'[1]Page 352'!F$6</f>
        <v>-7.8469899030280565E-2</v>
      </c>
      <c r="G42" s="5">
        <f>'[1]Page 352'!G29-'[1]Page 352'!G$6</f>
        <v>-3.2576835834942754E-3</v>
      </c>
      <c r="H42" s="5">
        <f>'[1]Page 352'!H29-'[1]Page 352'!H$6</f>
        <v>-0.1396611682068612</v>
      </c>
      <c r="I42" s="5">
        <f>'[1]Page 352'!I29-'[1]Page 352'!I$6</f>
        <v>-0.11321699771729767</v>
      </c>
      <c r="J42" s="5">
        <f>'[1]Page 352'!J29-'[1]Page 352'!J$6</f>
        <v>-1.6385361478464706E-2</v>
      </c>
      <c r="K42" s="5">
        <f>'[1]Page 352'!K29-'[1]Page 352'!K$6</f>
        <v>2.564123384698489E-3</v>
      </c>
    </row>
    <row r="43" spans="1:11" x14ac:dyDescent="0.25">
      <c r="A43" s="11">
        <v>37655</v>
      </c>
      <c r="B43" s="5">
        <f>'[1]Page 352'!B30-'[1]Page 352'!B$6</f>
        <v>-5.0487261184480818E-2</v>
      </c>
      <c r="C43" s="5">
        <f>'[1]Page 352'!C30-'[1]Page 352'!C$6</f>
        <v>0.11888500486142099</v>
      </c>
      <c r="D43" s="5">
        <f>'[1]Page 352'!D30-'[1]Page 352'!D$6</f>
        <v>-1.266935793881867E-2</v>
      </c>
      <c r="E43" s="5">
        <f>'[1]Page 352'!E30-'[1]Page 352'!E$6</f>
        <v>-9.6615345555757168E-2</v>
      </c>
      <c r="F43" s="5">
        <f>'[1]Page 352'!F30-'[1]Page 352'!F$6</f>
        <v>9.6777766459861733E-3</v>
      </c>
      <c r="G43" s="5">
        <f>'[1]Page 352'!G30-'[1]Page 352'!G$6</f>
        <v>-6.4401152584443538E-2</v>
      </c>
      <c r="H43" s="5">
        <f>'[1]Page 352'!H30-'[1]Page 352'!H$6</f>
        <v>4.549803635602908E-2</v>
      </c>
      <c r="I43" s="5">
        <f>'[1]Page 352'!I30-'[1]Page 352'!I$6</f>
        <v>-2.3094255320315834E-2</v>
      </c>
      <c r="J43" s="5">
        <f>'[1]Page 352'!J30-'[1]Page 352'!J$6</f>
        <v>-4.3235237587765561E-2</v>
      </c>
      <c r="K43" s="5">
        <f>'[1]Page 352'!K30-'[1]Page 352'!K$6</f>
        <v>4.3392755806895287E-3</v>
      </c>
    </row>
    <row r="44" spans="1:11" x14ac:dyDescent="0.25">
      <c r="A44" s="11">
        <v>37683</v>
      </c>
      <c r="B44" s="5">
        <f>'[1]Page 352'!B31-'[1]Page 352'!B$6</f>
        <v>4.1652265684186431E-3</v>
      </c>
      <c r="C44" s="5">
        <f>'[1]Page 352'!C31-'[1]Page 352'!C$6</f>
        <v>4.4575626747665027E-2</v>
      </c>
      <c r="D44" s="5">
        <f>'[1]Page 352'!D31-'[1]Page 352'!D$6</f>
        <v>-3.6160012729397312E-2</v>
      </c>
      <c r="E44" s="5">
        <f>'[1]Page 352'!E31-'[1]Page 352'!E$6</f>
        <v>-1.701816128619996E-2</v>
      </c>
      <c r="F44" s="5">
        <f>'[1]Page 352'!F31-'[1]Page 352'!F$6</f>
        <v>-0.24752141929096563</v>
      </c>
      <c r="G44" s="5">
        <f>'[1]Page 352'!G31-'[1]Page 352'!G$6</f>
        <v>-1.8795054872248588E-2</v>
      </c>
      <c r="H44" s="5">
        <f>'[1]Page 352'!H31-'[1]Page 352'!H$6</f>
        <v>-5.3944272675220208E-2</v>
      </c>
      <c r="I44" s="5">
        <f>'[1]Page 352'!I31-'[1]Page 352'!I$6</f>
        <v>5.7777483000022452E-2</v>
      </c>
      <c r="J44" s="5">
        <f>'[1]Page 352'!J31-'[1]Page 352'!J$6</f>
        <v>5.0324122516526286E-2</v>
      </c>
      <c r="K44" s="5">
        <f>'[1]Page 352'!K31-'[1]Page 352'!K$6</f>
        <v>2.9135990019079534E-2</v>
      </c>
    </row>
    <row r="45" spans="1:11" x14ac:dyDescent="0.25">
      <c r="A45" s="11">
        <v>37712</v>
      </c>
      <c r="B45" s="5">
        <f>'[1]Page 352'!B32-'[1]Page 352'!B$6</f>
        <v>7.8782875300660124E-2</v>
      </c>
      <c r="C45" s="5">
        <f>'[1]Page 352'!C32-'[1]Page 352'!C$6</f>
        <v>0.14777617311885216</v>
      </c>
      <c r="D45" s="5">
        <f>'[1]Page 352'!D32-'[1]Page 352'!D$6</f>
        <v>5.5422659339738896E-2</v>
      </c>
      <c r="E45" s="5">
        <f>'[1]Page 352'!E32-'[1]Page 352'!E$6</f>
        <v>4.3647720792085044E-2</v>
      </c>
      <c r="F45" s="5">
        <f>'[1]Page 352'!F32-'[1]Page 352'!F$6</f>
        <v>1.5680030660290924E-2</v>
      </c>
      <c r="G45" s="5">
        <f>'[1]Page 352'!G32-'[1]Page 352'!G$6</f>
        <v>0.12445533415024274</v>
      </c>
      <c r="H45" s="5">
        <f>'[1]Page 352'!H32-'[1]Page 352'!H$6</f>
        <v>0.17637822209621012</v>
      </c>
      <c r="I45" s="5">
        <f>'[1]Page 352'!I32-'[1]Page 352'!I$6</f>
        <v>9.0008220817862625E-2</v>
      </c>
      <c r="J45" s="5">
        <f>'[1]Page 352'!J32-'[1]Page 352'!J$6</f>
        <v>6.5550729789312312E-2</v>
      </c>
      <c r="K45" s="5">
        <f>'[1]Page 352'!K32-'[1]Page 352'!K$6</f>
        <v>-3.8663175079229825E-2</v>
      </c>
    </row>
    <row r="46" spans="1:11" x14ac:dyDescent="0.25">
      <c r="A46" s="11">
        <v>37742</v>
      </c>
      <c r="B46" s="5">
        <f>'[1]Page 352'!B33-'[1]Page 352'!B$6</f>
        <v>2.4745658339377944E-3</v>
      </c>
      <c r="C46" s="5">
        <f>'[1]Page 352'!C33-'[1]Page 352'!C$6</f>
        <v>0.14826081505212821</v>
      </c>
      <c r="D46" s="5">
        <f>'[1]Page 352'!D33-'[1]Page 352'!D$6</f>
        <v>3.1640643739281764E-2</v>
      </c>
      <c r="E46" s="5">
        <f>'[1]Page 352'!E33-'[1]Page 352'!E$6</f>
        <v>0.17632720963638945</v>
      </c>
      <c r="F46" s="5">
        <f>'[1]Page 352'!F33-'[1]Page 352'!F$6</f>
        <v>0.2838815769531734</v>
      </c>
      <c r="G46" s="5">
        <f>'[1]Page 352'!G33-'[1]Page 352'!G$6</f>
        <v>8.7441046233879521E-2</v>
      </c>
      <c r="H46" s="5">
        <f>'[1]Page 352'!H33-'[1]Page 352'!H$6</f>
        <v>7.24008753145675E-2</v>
      </c>
      <c r="I46" s="5">
        <f>'[1]Page 352'!I33-'[1]Page 352'!I$6</f>
        <v>-1.3381075373881607E-3</v>
      </c>
      <c r="J46" s="5">
        <f>'[1]Page 352'!J33-'[1]Page 352'!J$6</f>
        <v>-4.0080185307400248E-2</v>
      </c>
      <c r="K46" s="5">
        <f>'[1]Page 352'!K33-'[1]Page 352'!K$6</f>
        <v>1.1201249860383474E-3</v>
      </c>
    </row>
    <row r="47" spans="1:11" x14ac:dyDescent="0.25">
      <c r="A47" s="11">
        <v>37774</v>
      </c>
      <c r="B47" s="5">
        <f>'[1]Page 352'!B34-'[1]Page 352'!B$6</f>
        <v>2.7395385167483015E-2</v>
      </c>
      <c r="C47" s="5">
        <f>'[1]Page 352'!C34-'[1]Page 352'!C$6</f>
        <v>2.4979234490175285E-2</v>
      </c>
      <c r="D47" s="5">
        <f>'[1]Page 352'!D34-'[1]Page 352'!D$6</f>
        <v>-2.6370817208785542E-2</v>
      </c>
      <c r="E47" s="5">
        <f>'[1]Page 352'!E34-'[1]Page 352'!E$6</f>
        <v>8.918939689960502E-2</v>
      </c>
      <c r="F47" s="5">
        <f>'[1]Page 352'!F34-'[1]Page 352'!F$6</f>
        <v>9.9758386776539781E-2</v>
      </c>
      <c r="G47" s="5">
        <f>'[1]Page 352'!G34-'[1]Page 352'!G$6</f>
        <v>-4.5810390096342694E-3</v>
      </c>
      <c r="H47" s="5">
        <f>'[1]Page 352'!H34-'[1]Page 352'!H$6</f>
        <v>3.7401330833313096E-2</v>
      </c>
      <c r="I47" s="5">
        <f>'[1]Page 352'!I34-'[1]Page 352'!I$6</f>
        <v>-1.2412347555207655E-2</v>
      </c>
      <c r="J47" s="5">
        <f>'[1]Page 352'!J34-'[1]Page 352'!J$6</f>
        <v>9.7512313480499019E-2</v>
      </c>
      <c r="K47" s="5">
        <f>'[1]Page 352'!K34-'[1]Page 352'!K$6</f>
        <v>1.2305173293239949E-2</v>
      </c>
    </row>
    <row r="48" spans="1:11" x14ac:dyDescent="0.25">
      <c r="A48" s="11">
        <v>37803</v>
      </c>
      <c r="B48" s="5">
        <f>'[1]Page 352'!B35-'[1]Page 352'!B$6</f>
        <v>4.7542793098254051E-2</v>
      </c>
      <c r="C48" s="5">
        <f>'[1]Page 352'!C35-'[1]Page 352'!C$6</f>
        <v>-5.6031652018614986E-2</v>
      </c>
      <c r="D48" s="5">
        <f>'[1]Page 352'!D35-'[1]Page 352'!D$6</f>
        <v>9.0034876724128549E-2</v>
      </c>
      <c r="E48" s="5">
        <f>'[1]Page 352'!E35-'[1]Page 352'!E$6</f>
        <v>-8.8827018036761896E-3</v>
      </c>
      <c r="F48" s="5">
        <f>'[1]Page 352'!F35-'[1]Page 352'!F$6</f>
        <v>-0.13801597459104373</v>
      </c>
      <c r="G48" s="5">
        <f>'[1]Page 352'!G35-'[1]Page 352'!G$6</f>
        <v>4.9016642680549227E-2</v>
      </c>
      <c r="H48" s="5">
        <f>'[1]Page 352'!H35-'[1]Page 352'!H$6</f>
        <v>8.7149062030241919E-2</v>
      </c>
      <c r="I48" s="5">
        <f>'[1]Page 352'!I35-'[1]Page 352'!I$6</f>
        <v>5.3636692224106358E-2</v>
      </c>
      <c r="J48" s="5">
        <f>'[1]Page 352'!J35-'[1]Page 352'!J$6</f>
        <v>-8.5600569695587839E-2</v>
      </c>
      <c r="K48" s="5">
        <f>'[1]Page 352'!K35-'[1]Page 352'!K$6</f>
        <v>7.5874276284390432E-2</v>
      </c>
    </row>
    <row r="49" spans="1:11" x14ac:dyDescent="0.25">
      <c r="A49" s="11">
        <v>37834</v>
      </c>
      <c r="B49" s="5">
        <f>'[1]Page 352'!B36-'[1]Page 352'!B$6</f>
        <v>0.1157466676337551</v>
      </c>
      <c r="C49" s="5">
        <f>'[1]Page 352'!C36-'[1]Page 352'!C$6</f>
        <v>3.4173557038933759E-2</v>
      </c>
      <c r="D49" s="5">
        <f>'[1]Page 352'!D36-'[1]Page 352'!D$6</f>
        <v>4.1298509339896691E-2</v>
      </c>
      <c r="E49" s="5">
        <f>'[1]Page 352'!E36-'[1]Page 352'!E$6</f>
        <v>-6.334239843657323E-2</v>
      </c>
      <c r="F49" s="5">
        <f>'[1]Page 352'!F36-'[1]Page 352'!F$6</f>
        <v>1.9016409333718422E-2</v>
      </c>
      <c r="G49" s="5">
        <f>'[1]Page 352'!G36-'[1]Page 352'!G$6</f>
        <v>1.1442632698004206E-2</v>
      </c>
      <c r="H49" s="5">
        <f>'[1]Page 352'!H36-'[1]Page 352'!H$6</f>
        <v>3.5629448246725218E-2</v>
      </c>
      <c r="I49" s="5">
        <f>'[1]Page 352'!I36-'[1]Page 352'!I$6</f>
        <v>2.5742465354387241E-2</v>
      </c>
      <c r="J49" s="5">
        <f>'[1]Page 352'!J36-'[1]Page 352'!J$6</f>
        <v>-3.3386500532847599E-2</v>
      </c>
      <c r="K49" s="5">
        <f>'[1]Page 352'!K36-'[1]Page 352'!K$6</f>
        <v>1.3206300970160952E-2</v>
      </c>
    </row>
    <row r="50" spans="1:11" x14ac:dyDescent="0.25">
      <c r="A50" s="11">
        <v>37866</v>
      </c>
      <c r="B50" s="5">
        <f>'[1]Page 352'!B37-'[1]Page 352'!B$6</f>
        <v>4.5197703828031678E-3</v>
      </c>
      <c r="C50" s="5">
        <f>'[1]Page 352'!C37-'[1]Page 352'!C$6</f>
        <v>-3.4865155732009406E-3</v>
      </c>
      <c r="D50" s="5">
        <f>'[1]Page 352'!D37-'[1]Page 352'!D$6</f>
        <v>-3.882951098764395E-2</v>
      </c>
      <c r="E50" s="5">
        <f>'[1]Page 352'!E37-'[1]Page 352'!E$6</f>
        <v>-2.8406196540790549E-2</v>
      </c>
      <c r="F50" s="5">
        <f>'[1]Page 352'!F37-'[1]Page 352'!F$6</f>
        <v>6.6678153391644318E-2</v>
      </c>
      <c r="G50" s="5">
        <f>'[1]Page 352'!G37-'[1]Page 352'!G$6</f>
        <v>-7.975520659162778E-3</v>
      </c>
      <c r="H50" s="5">
        <f>'[1]Page 352'!H37-'[1]Page 352'!H$6</f>
        <v>-8.6215394448564103E-2</v>
      </c>
      <c r="I50" s="5">
        <f>'[1]Page 352'!I37-'[1]Page 352'!I$6</f>
        <v>-0.11203502546247819</v>
      </c>
      <c r="J50" s="5">
        <f>'[1]Page 352'!J37-'[1]Page 352'!J$6</f>
        <v>1.8734630821307472E-2</v>
      </c>
      <c r="K50" s="5">
        <f>'[1]Page 352'!K37-'[1]Page 352'!K$6</f>
        <v>-3.8368568371084218E-2</v>
      </c>
    </row>
    <row r="51" spans="1:11" x14ac:dyDescent="0.25">
      <c r="A51" s="11">
        <v>37895</v>
      </c>
      <c r="B51" s="5">
        <f>'[1]Page 352'!B38-'[1]Page 352'!B$6</f>
        <v>5.0366328431185936E-2</v>
      </c>
      <c r="C51" s="5">
        <f>'[1]Page 352'!C38-'[1]Page 352'!C$6</f>
        <v>0.15580045500297096</v>
      </c>
      <c r="D51" s="5">
        <f>'[1]Page 352'!D38-'[1]Page 352'!D$6</f>
        <v>7.6977045975382373E-3</v>
      </c>
      <c r="E51" s="5">
        <f>'[1]Page 352'!E38-'[1]Page 352'!E$6</f>
        <v>0.13921222986533907</v>
      </c>
      <c r="F51" s="5">
        <f>'[1]Page 352'!F38-'[1]Page 352'!F$6</f>
        <v>4.918601160861881E-2</v>
      </c>
      <c r="G51" s="5">
        <f>'[1]Page 352'!G38-'[1]Page 352'!G$6</f>
        <v>3.4724672510124698E-2</v>
      </c>
      <c r="H51" s="5">
        <f>'[1]Page 352'!H38-'[1]Page 352'!H$6</f>
        <v>0.18996034853394164</v>
      </c>
      <c r="I51" s="5">
        <f>'[1]Page 352'!I38-'[1]Page 352'!I$6</f>
        <v>9.5130130737580299E-3</v>
      </c>
      <c r="J51" s="5">
        <f>'[1]Page 352'!J38-'[1]Page 352'!J$6</f>
        <v>-0.12905869496141664</v>
      </c>
      <c r="K51" s="5">
        <f>'[1]Page 352'!K38-'[1]Page 352'!K$6</f>
        <v>0.12517013719972728</v>
      </c>
    </row>
    <row r="52" spans="1:11" x14ac:dyDescent="0.25">
      <c r="A52" s="11">
        <v>37928</v>
      </c>
      <c r="B52" s="5">
        <f>'[1]Page 352'!B39-'[1]Page 352'!B$6</f>
        <v>2.3211316289990219E-2</v>
      </c>
      <c r="C52" s="5">
        <f>'[1]Page 352'!C39-'[1]Page 352'!C$6</f>
        <v>-4.4440093338170257E-3</v>
      </c>
      <c r="D52" s="5">
        <f>'[1]Page 352'!D39-'[1]Page 352'!D$6</f>
        <v>-4.9480433833327765E-2</v>
      </c>
      <c r="E52" s="5">
        <f>'[1]Page 352'!E39-'[1]Page 352'!E$6</f>
        <v>-2.8908847943923947E-2</v>
      </c>
      <c r="F52" s="5">
        <f>'[1]Page 352'!F39-'[1]Page 352'!F$6</f>
        <v>0.10100647022138148</v>
      </c>
      <c r="G52" s="5">
        <f>'[1]Page 352'!G39-'[1]Page 352'!G$6</f>
        <v>-3.4708541150425952E-2</v>
      </c>
      <c r="H52" s="5">
        <f>'[1]Page 352'!H39-'[1]Page 352'!H$6</f>
        <v>4.4990650746211967E-2</v>
      </c>
      <c r="I52" s="5">
        <f>'[1]Page 352'!I39-'[1]Page 352'!I$6</f>
        <v>3.4071163168080495E-2</v>
      </c>
      <c r="J52" s="5">
        <f>'[1]Page 352'!J39-'[1]Page 352'!J$6</f>
        <v>-8.0541137453565975E-2</v>
      </c>
      <c r="K52" s="5">
        <f>'[1]Page 352'!K39-'[1]Page 352'!K$6</f>
        <v>-1.0689995459764534E-3</v>
      </c>
    </row>
    <row r="53" spans="1:11" x14ac:dyDescent="0.25">
      <c r="A53" s="11">
        <v>37956</v>
      </c>
      <c r="B53" s="5">
        <f>'[1]Page 352'!B40-'[1]Page 352'!B$6</f>
        <v>0.23033242514525143</v>
      </c>
      <c r="C53" s="5">
        <f>'[1]Page 352'!C40-'[1]Page 352'!C$6</f>
        <v>-2.9362203627748041E-2</v>
      </c>
      <c r="D53" s="5">
        <f>'[1]Page 352'!D40-'[1]Page 352'!D$6</f>
        <v>0.14652108578313236</v>
      </c>
      <c r="E53" s="5">
        <f>'[1]Page 352'!E40-'[1]Page 352'!E$6</f>
        <v>5.540943235973575E-2</v>
      </c>
      <c r="F53" s="5">
        <f>'[1]Page 352'!F40-'[1]Page 352'!F$6</f>
        <v>4.7669143665605485E-2</v>
      </c>
      <c r="G53" s="5">
        <f>'[1]Page 352'!G40-'[1]Page 352'!G$6</f>
        <v>4.7659049135464322E-2</v>
      </c>
      <c r="H53" s="5">
        <f>'[1]Page 352'!H40-'[1]Page 352'!H$6</f>
        <v>0.14865522676210083</v>
      </c>
      <c r="I53" s="5">
        <f>'[1]Page 352'!I40-'[1]Page 352'!I$6</f>
        <v>0.10121292631841104</v>
      </c>
      <c r="J53" s="5">
        <f>'[1]Page 352'!J40-'[1]Page 352'!J$6</f>
        <v>0.14365447441552745</v>
      </c>
      <c r="K53" s="5">
        <f>'[1]Page 352'!K40-'[1]Page 352'!K$6</f>
        <v>6.5551646198474645E-2</v>
      </c>
    </row>
    <row r="54" spans="1:11" x14ac:dyDescent="0.25">
      <c r="A54" s="11">
        <v>37988</v>
      </c>
      <c r="B54" s="5">
        <f>'[1]Page 352'!B41-'[1]Page 352'!B$6</f>
        <v>-6.3325594336342772E-2</v>
      </c>
      <c r="C54" s="5">
        <f>'[1]Page 352'!C41-'[1]Page 352'!C$6</f>
        <v>3.3340489378347981E-3</v>
      </c>
      <c r="D54" s="5">
        <f>'[1]Page 352'!D41-'[1]Page 352'!D$6</f>
        <v>-2.0155578272002296E-2</v>
      </c>
      <c r="E54" s="5">
        <f>'[1]Page 352'!E41-'[1]Page 352'!E$6</f>
        <v>3.1957018844359912E-2</v>
      </c>
      <c r="F54" s="5">
        <f>'[1]Page 352'!F41-'[1]Page 352'!F$6</f>
        <v>1.0619733222540385E-2</v>
      </c>
      <c r="G54" s="5">
        <f>'[1]Page 352'!G41-'[1]Page 352'!G$6</f>
        <v>6.3989844400063015E-2</v>
      </c>
      <c r="H54" s="5">
        <f>'[1]Page 352'!H41-'[1]Page 352'!H$6</f>
        <v>-0.10426295338566519</v>
      </c>
      <c r="I54" s="5">
        <f>'[1]Page 352'!I41-'[1]Page 352'!I$6</f>
        <v>-4.454920744929082E-2</v>
      </c>
      <c r="J54" s="5">
        <f>'[1]Page 352'!J41-'[1]Page 352'!J$6</f>
        <v>3.5275506482792519E-2</v>
      </c>
      <c r="K54" s="5">
        <f>'[1]Page 352'!K41-'[1]Page 352'!K$6</f>
        <v>-7.9848069815687386E-2</v>
      </c>
    </row>
    <row r="55" spans="1:11" x14ac:dyDescent="0.25">
      <c r="A55" s="11">
        <v>38019</v>
      </c>
      <c r="B55" s="5">
        <f>'[1]Page 352'!B42-'[1]Page 352'!B$6</f>
        <v>-1.3046434736013681E-2</v>
      </c>
      <c r="C55" s="5">
        <f>'[1]Page 352'!C42-'[1]Page 352'!C$6</f>
        <v>2.7362330052908633E-2</v>
      </c>
      <c r="D55" s="5">
        <f>'[1]Page 352'!D42-'[1]Page 352'!D$6</f>
        <v>5.1081485715742163E-2</v>
      </c>
      <c r="E55" s="5">
        <f>'[1]Page 352'!E42-'[1]Page 352'!E$6</f>
        <v>-4.9266158466273337E-2</v>
      </c>
      <c r="F55" s="5">
        <f>'[1]Page 352'!F42-'[1]Page 352'!F$6</f>
        <v>2.3958880444419382E-2</v>
      </c>
      <c r="G55" s="5">
        <f>'[1]Page 352'!G42-'[1]Page 352'!G$6</f>
        <v>2.1657332931287299E-2</v>
      </c>
      <c r="H55" s="5">
        <f>'[1]Page 352'!H42-'[1]Page 352'!H$6</f>
        <v>9.8148008240386914E-2</v>
      </c>
      <c r="I55" s="5">
        <f>'[1]Page 352'!I42-'[1]Page 352'!I$6</f>
        <v>3.4220335842720218E-2</v>
      </c>
      <c r="J55" s="5">
        <f>'[1]Page 352'!J42-'[1]Page 352'!J$6</f>
        <v>1.5555951594274538E-2</v>
      </c>
      <c r="K55" s="5">
        <f>'[1]Page 352'!K42-'[1]Page 352'!K$6</f>
        <v>-1.657074699948308E-2</v>
      </c>
    </row>
    <row r="56" spans="1:11" x14ac:dyDescent="0.25">
      <c r="A56" s="11">
        <v>38047</v>
      </c>
      <c r="B56" s="5">
        <f>'[1]Page 352'!B43-'[1]Page 352'!B$6</f>
        <v>-9.4678091274498864E-3</v>
      </c>
      <c r="C56" s="5">
        <f>'[1]Page 352'!C43-'[1]Page 352'!C$6</f>
        <v>3.4255901346073876E-2</v>
      </c>
      <c r="D56" s="5">
        <f>'[1]Page 352'!D43-'[1]Page 352'!D$6</f>
        <v>-4.6903334648201449E-2</v>
      </c>
      <c r="E56" s="5">
        <f>'[1]Page 352'!E43-'[1]Page 352'!E$6</f>
        <v>6.0716860592994488E-3</v>
      </c>
      <c r="F56" s="5">
        <f>'[1]Page 352'!F43-'[1]Page 352'!F$6</f>
        <v>-5.4425266111265649E-2</v>
      </c>
      <c r="G56" s="5">
        <f>'[1]Page 352'!G43-'[1]Page 352'!G$6</f>
        <v>-3.6107039106007939E-2</v>
      </c>
      <c r="H56" s="5">
        <f>'[1]Page 352'!H43-'[1]Page 352'!H$6</f>
        <v>-7.5357714272390228E-2</v>
      </c>
      <c r="I56" s="5">
        <f>'[1]Page 352'!I43-'[1]Page 352'!I$6</f>
        <v>-6.5944957244299579E-2</v>
      </c>
      <c r="J56" s="5">
        <f>'[1]Page 352'!J43-'[1]Page 352'!J$6</f>
        <v>-7.0928342784357098E-2</v>
      </c>
      <c r="K56" s="5">
        <f>'[1]Page 352'!K43-'[1]Page 352'!K$6</f>
        <v>4.0624739381316846E-2</v>
      </c>
    </row>
    <row r="57" spans="1:11" x14ac:dyDescent="0.25">
      <c r="A57" s="11">
        <v>38078</v>
      </c>
      <c r="B57" s="5">
        <f>'[1]Page 352'!B44-'[1]Page 352'!B$6</f>
        <v>1.2305709219276696E-2</v>
      </c>
      <c r="C57" s="5">
        <f>'[1]Page 352'!C44-'[1]Page 352'!C$6</f>
        <v>-5.5975400895106192E-2</v>
      </c>
      <c r="D57" s="5">
        <f>'[1]Page 352'!D44-'[1]Page 352'!D$6</f>
        <v>-4.7567451483831222E-2</v>
      </c>
      <c r="E57" s="5">
        <f>'[1]Page 352'!E44-'[1]Page 352'!E$6</f>
        <v>-0.15054851343428136</v>
      </c>
      <c r="F57" s="5">
        <f>'[1]Page 352'!F44-'[1]Page 352'!F$6</f>
        <v>6.3571264528274503E-3</v>
      </c>
      <c r="G57" s="5">
        <f>'[1]Page 352'!G44-'[1]Page 352'!G$6</f>
        <v>-6.5710439832489892E-2</v>
      </c>
      <c r="H57" s="5">
        <f>'[1]Page 352'!H44-'[1]Page 352'!H$6</f>
        <v>-0.11854530382937693</v>
      </c>
      <c r="I57" s="5">
        <f>'[1]Page 352'!I44-'[1]Page 352'!I$6</f>
        <v>1.6907211274358017E-2</v>
      </c>
      <c r="J57" s="5">
        <f>'[1]Page 352'!J44-'[1]Page 352'!J$6</f>
        <v>6.7001367704260198E-2</v>
      </c>
      <c r="K57" s="5">
        <f>'[1]Page 352'!K44-'[1]Page 352'!K$6</f>
        <v>4.7299944174457723E-2</v>
      </c>
    </row>
    <row r="58" spans="1:11" x14ac:dyDescent="0.25">
      <c r="A58" s="11">
        <v>38110</v>
      </c>
      <c r="B58" s="5">
        <f>'[1]Page 352'!B45-'[1]Page 352'!B$6</f>
        <v>-2.3881673730528345E-2</v>
      </c>
      <c r="C58" s="5">
        <f>'[1]Page 352'!C45-'[1]Page 352'!C$6</f>
        <v>2.4371446081854369E-2</v>
      </c>
      <c r="D58" s="5">
        <f>'[1]Page 352'!D45-'[1]Page 352'!D$6</f>
        <v>4.4919071691752778E-2</v>
      </c>
      <c r="E58" s="5">
        <f>'[1]Page 352'!E45-'[1]Page 352'!E$6</f>
        <v>7.2046928100658686E-2</v>
      </c>
      <c r="F58" s="5">
        <f>'[1]Page 352'!F45-'[1]Page 352'!F$6</f>
        <v>-0.15425301521908402</v>
      </c>
      <c r="G58" s="5">
        <f>'[1]Page 352'!G45-'[1]Page 352'!G$6</f>
        <v>2.6782288810575559E-2</v>
      </c>
      <c r="H58" s="5">
        <f>'[1]Page 352'!H45-'[1]Page 352'!H$6</f>
        <v>2.4337674748883126E-2</v>
      </c>
      <c r="I58" s="5">
        <f>'[1]Page 352'!I45-'[1]Page 352'!I$6</f>
        <v>1.3900711388000366E-2</v>
      </c>
      <c r="J58" s="5">
        <f>'[1]Page 352'!J45-'[1]Page 352'!J$6</f>
        <v>1.1865293406189928E-2</v>
      </c>
      <c r="K58" s="5">
        <f>'[1]Page 352'!K45-'[1]Page 352'!K$6</f>
        <v>-2.5574393647326995E-2</v>
      </c>
    </row>
    <row r="59" spans="1:11" x14ac:dyDescent="0.25">
      <c r="A59" s="11">
        <v>38139</v>
      </c>
      <c r="B59" s="5">
        <f>'[1]Page 352'!B46-'[1]Page 352'!B$6</f>
        <v>3.491081891807727E-2</v>
      </c>
      <c r="C59" s="5">
        <f>'[1]Page 352'!C46-'[1]Page 352'!C$6</f>
        <v>-1.3929614676434214E-2</v>
      </c>
      <c r="D59" s="5">
        <f>'[1]Page 352'!D46-'[1]Page 352'!D$6</f>
        <v>6.3292480709472229E-2</v>
      </c>
      <c r="E59" s="5">
        <f>'[1]Page 352'!E46-'[1]Page 352'!E$6</f>
        <v>-5.9100131385776116E-3</v>
      </c>
      <c r="F59" s="5">
        <f>'[1]Page 352'!F46-'[1]Page 352'!F$6</f>
        <v>4.5908049109378513E-2</v>
      </c>
      <c r="G59" s="5">
        <f>'[1]Page 352'!G46-'[1]Page 352'!G$6</f>
        <v>7.0182737153556864E-3</v>
      </c>
      <c r="H59" s="5">
        <f>'[1]Page 352'!H46-'[1]Page 352'!H$6</f>
        <v>5.5538960687747871E-2</v>
      </c>
      <c r="I59" s="5">
        <f>'[1]Page 352'!I46-'[1]Page 352'!I$6</f>
        <v>2.7502123227456744E-2</v>
      </c>
      <c r="J59" s="5">
        <f>'[1]Page 352'!J46-'[1]Page 352'!J$6</f>
        <v>1.7395062095107272E-2</v>
      </c>
      <c r="K59" s="5">
        <f>'[1]Page 352'!K46-'[1]Page 352'!K$6</f>
        <v>5.4927209797739435E-2</v>
      </c>
    </row>
    <row r="60" spans="1:11" x14ac:dyDescent="0.25">
      <c r="A60" s="11">
        <v>38169</v>
      </c>
      <c r="B60" s="5">
        <f>'[1]Page 352'!B47-'[1]Page 352'!B$6</f>
        <v>-6.8322887865340451E-2</v>
      </c>
      <c r="C60" s="5">
        <f>'[1]Page 352'!C47-'[1]Page 352'!C$6</f>
        <v>-3.9101609061915649E-2</v>
      </c>
      <c r="D60" s="5">
        <f>'[1]Page 352'!D47-'[1]Page 352'!D$6</f>
        <v>-3.3822881970888279E-2</v>
      </c>
      <c r="E60" s="5">
        <f>'[1]Page 352'!E47-'[1]Page 352'!E$6</f>
        <v>-4.8796491832327635E-2</v>
      </c>
      <c r="F60" s="5">
        <f>'[1]Page 352'!F47-'[1]Page 352'!F$6</f>
        <v>-6.0982749112260259E-2</v>
      </c>
      <c r="G60" s="5">
        <f>'[1]Page 352'!G47-'[1]Page 352'!G$6</f>
        <v>-3.039496782626086E-2</v>
      </c>
      <c r="H60" s="5">
        <f>'[1]Page 352'!H47-'[1]Page 352'!H$6</f>
        <v>-2.8918064168072452E-2</v>
      </c>
      <c r="I60" s="5">
        <f>'[1]Page 352'!I47-'[1]Page 352'!I$6</f>
        <v>-3.5777397409491131E-2</v>
      </c>
      <c r="J60" s="5">
        <f>'[1]Page 352'!J47-'[1]Page 352'!J$6</f>
        <v>-4.0656409914891674E-2</v>
      </c>
      <c r="K60" s="5">
        <f>'[1]Page 352'!K47-'[1]Page 352'!K$6</f>
        <v>-9.6264071342358148E-2</v>
      </c>
    </row>
    <row r="61" spans="1:11" x14ac:dyDescent="0.25">
      <c r="A61" s="11">
        <v>38201</v>
      </c>
      <c r="B61" s="5">
        <f>'[1]Page 352'!B48-'[1]Page 352'!B$6</f>
        <v>-2.2498184312306359E-2</v>
      </c>
      <c r="C61" s="5">
        <f>'[1]Page 352'!C48-'[1]Page 352'!C$6</f>
        <v>8.7051667062263638E-2</v>
      </c>
      <c r="D61" s="5">
        <f>'[1]Page 352'!D48-'[1]Page 352'!D$6</f>
        <v>-7.1907794943684059E-2</v>
      </c>
      <c r="E61" s="5">
        <f>'[1]Page 352'!E48-'[1]Page 352'!E$6</f>
        <v>-0.12186070793489376</v>
      </c>
      <c r="F61" s="5">
        <f>'[1]Page 352'!F48-'[1]Page 352'!F$6</f>
        <v>1.7289172310075037E-2</v>
      </c>
      <c r="G61" s="5">
        <f>'[1]Page 352'!G48-'[1]Page 352'!G$6</f>
        <v>-1.286600448338898E-2</v>
      </c>
      <c r="H61" s="5">
        <f>'[1]Page 352'!H48-'[1]Page 352'!H$6</f>
        <v>1.728353894154137E-2</v>
      </c>
      <c r="I61" s="5">
        <f>'[1]Page 352'!I48-'[1]Page 352'!I$6</f>
        <v>-6.2880064952372068E-3</v>
      </c>
      <c r="J61" s="5">
        <f>'[1]Page 352'!J48-'[1]Page 352'!J$6</f>
        <v>-2.9969433159541771E-3</v>
      </c>
      <c r="K61" s="5">
        <f>'[1]Page 352'!K48-'[1]Page 352'!K$6</f>
        <v>-2.9315071294763757E-3</v>
      </c>
    </row>
    <row r="62" spans="1:11" x14ac:dyDescent="0.25">
      <c r="A62" s="11">
        <v>38231</v>
      </c>
      <c r="B62" s="5">
        <f>'[1]Page 352'!B49-'[1]Page 352'!B$6</f>
        <v>3.6601059755974545E-2</v>
      </c>
      <c r="C62" s="5">
        <f>'[1]Page 352'!C49-'[1]Page 352'!C$6</f>
        <v>7.3667602313586655E-2</v>
      </c>
      <c r="D62" s="5">
        <f>'[1]Page 352'!D49-'[1]Page 352'!D$6</f>
        <v>9.1229392801197174E-3</v>
      </c>
      <c r="E62" s="5">
        <f>'[1]Page 352'!E49-'[1]Page 352'!E$6</f>
        <v>4.7897048117935631E-2</v>
      </c>
      <c r="F62" s="5">
        <f>'[1]Page 352'!F49-'[1]Page 352'!F$6</f>
        <v>-3.5613588301716931E-2</v>
      </c>
      <c r="G62" s="5">
        <f>'[1]Page 352'!G49-'[1]Page 352'!G$6</f>
        <v>2.013540247196887E-2</v>
      </c>
      <c r="H62" s="5">
        <f>'[1]Page 352'!H49-'[1]Page 352'!H$6</f>
        <v>3.8560492218201008E-2</v>
      </c>
      <c r="I62" s="5">
        <f>'[1]Page 352'!I49-'[1]Page 352'!I$6</f>
        <v>1.2409968171701582E-2</v>
      </c>
      <c r="J62" s="5">
        <f>'[1]Page 352'!J49-'[1]Page 352'!J$6</f>
        <v>-0.29536507098621467</v>
      </c>
      <c r="K62" s="5">
        <f>'[1]Page 352'!K49-'[1]Page 352'!K$6</f>
        <v>-3.6909931067123099E-2</v>
      </c>
    </row>
    <row r="63" spans="1:11" x14ac:dyDescent="0.25">
      <c r="A63" s="11">
        <v>38261</v>
      </c>
      <c r="B63" s="5">
        <f>'[1]Page 352'!B50-'[1]Page 352'!B$6</f>
        <v>-8.8392859101088864E-2</v>
      </c>
      <c r="C63" s="5">
        <f>'[1]Page 352'!C50-'[1]Page 352'!C$6</f>
        <v>5.091730035828846E-2</v>
      </c>
      <c r="D63" s="5">
        <f>'[1]Page 352'!D50-'[1]Page 352'!D$6</f>
        <v>-4.8614477349926508E-2</v>
      </c>
      <c r="E63" s="5">
        <f>'[1]Page 352'!E50-'[1]Page 352'!E$6</f>
        <v>-7.9139459782718094E-3</v>
      </c>
      <c r="F63" s="5">
        <f>'[1]Page 352'!F50-'[1]Page 352'!F$6</f>
        <v>1.8992577415008618E-2</v>
      </c>
      <c r="G63" s="5">
        <f>'[1]Page 352'!G50-'[1]Page 352'!G$6</f>
        <v>2.4823733611140826E-2</v>
      </c>
      <c r="H63" s="5">
        <f>'[1]Page 352'!H50-'[1]Page 352'!H$6</f>
        <v>-3.1119142011861976E-2</v>
      </c>
      <c r="I63" s="5">
        <f>'[1]Page 352'!I50-'[1]Page 352'!I$6</f>
        <v>1.4397588659650104E-3</v>
      </c>
      <c r="J63" s="5">
        <f>'[1]Page 352'!J50-'[1]Page 352'!J$6</f>
        <v>-4.7023523192205437E-2</v>
      </c>
      <c r="K63" s="5">
        <f>'[1]Page 352'!K50-'[1]Page 352'!K$6</f>
        <v>-3.7936181935440738E-2</v>
      </c>
    </row>
    <row r="64" spans="1:11" x14ac:dyDescent="0.25">
      <c r="A64" s="11">
        <v>38292</v>
      </c>
      <c r="B64" s="5">
        <f>'[1]Page 352'!B51-'[1]Page 352'!B$6</f>
        <v>2.2918486621590316E-2</v>
      </c>
      <c r="C64" s="5">
        <f>'[1]Page 352'!C51-'[1]Page 352'!C$6</f>
        <v>2.211279250796315E-2</v>
      </c>
      <c r="D64" s="5">
        <f>'[1]Page 352'!D51-'[1]Page 352'!D$6</f>
        <v>8.0800197112593591E-2</v>
      </c>
      <c r="E64" s="5">
        <f>'[1]Page 352'!E51-'[1]Page 352'!E$6</f>
        <v>6.683814220103082E-2</v>
      </c>
      <c r="F64" s="5">
        <f>'[1]Page 352'!F51-'[1]Page 352'!F$6</f>
        <v>0.160300132918895</v>
      </c>
      <c r="G64" s="5">
        <f>'[1]Page 352'!G51-'[1]Page 352'!G$6</f>
        <v>4.0326205429119508E-2</v>
      </c>
      <c r="H64" s="5">
        <f>'[1]Page 352'!H51-'[1]Page 352'!H$6</f>
        <v>5.0943590839010913E-2</v>
      </c>
      <c r="I64" s="5">
        <f>'[1]Page 352'!I51-'[1]Page 352'!I$6</f>
        <v>6.3119798657678944E-2</v>
      </c>
      <c r="J64" s="5">
        <f>'[1]Page 352'!J51-'[1]Page 352'!J$6</f>
        <v>-0.10553981932755561</v>
      </c>
      <c r="K64" s="5">
        <f>'[1]Page 352'!K51-'[1]Page 352'!K$6</f>
        <v>2.2584565193774796E-2</v>
      </c>
    </row>
    <row r="65" spans="1:11" x14ac:dyDescent="0.25">
      <c r="A65" s="11">
        <v>38322</v>
      </c>
      <c r="B65" s="5">
        <f>'[1]Page 352'!B52-'[1]Page 352'!B$6</f>
        <v>4.6056773783609388E-2</v>
      </c>
      <c r="C65" s="5">
        <f>'[1]Page 352'!C52-'[1]Page 352'!C$6</f>
        <v>2.7278697086397824E-2</v>
      </c>
      <c r="D65" s="5">
        <f>'[1]Page 352'!D52-'[1]Page 352'!D$6</f>
        <v>1.0962144500231186E-2</v>
      </c>
      <c r="E65" s="5">
        <f>'[1]Page 352'!E52-'[1]Page 352'!E$6</f>
        <v>4.7813180453259545E-2</v>
      </c>
      <c r="F65" s="5">
        <f>'[1]Page 352'!F52-'[1]Page 352'!F$6</f>
        <v>6.2187426049620978E-2</v>
      </c>
      <c r="G65" s="5">
        <f>'[1]Page 352'!G52-'[1]Page 352'!G$6</f>
        <v>3.5453520764010399E-3</v>
      </c>
      <c r="H65" s="5">
        <f>'[1]Page 352'!H52-'[1]Page 352'!H$6</f>
        <v>-7.677256138841923E-2</v>
      </c>
      <c r="I65" s="5">
        <f>'[1]Page 352'!I52-'[1]Page 352'!I$6</f>
        <v>7.8806009735740506E-2</v>
      </c>
      <c r="J65" s="5">
        <f>'[1]Page 352'!J52-'[1]Page 352'!J$6</f>
        <v>0.15616598740389284</v>
      </c>
      <c r="K65" s="5">
        <f>'[1]Page 352'!K52-'[1]Page 352'!K$6</f>
        <v>2.3219808976265428E-2</v>
      </c>
    </row>
    <row r="66" spans="1:11" x14ac:dyDescent="0.25">
      <c r="A66" s="11">
        <v>38355</v>
      </c>
      <c r="B66" s="5">
        <f>'[1]Page 352'!B53-'[1]Page 352'!B$6</f>
        <v>-7.588739030072246E-2</v>
      </c>
      <c r="C66" s="5">
        <f>'[1]Page 352'!C53-'[1]Page 352'!C$6</f>
        <v>-3.1467892002390065E-2</v>
      </c>
      <c r="D66" s="5">
        <f>'[1]Page 352'!D53-'[1]Page 352'!D$6</f>
        <v>-7.0752941171126182E-2</v>
      </c>
      <c r="E66" s="5">
        <f>'[1]Page 352'!E53-'[1]Page 352'!E$6</f>
        <v>-7.0808634980591367E-2</v>
      </c>
      <c r="F66" s="5">
        <f>'[1]Page 352'!F53-'[1]Page 352'!F$6</f>
        <v>3.311000400908308E-2</v>
      </c>
      <c r="G66" s="5">
        <f>'[1]Page 352'!G53-'[1]Page 352'!G$6</f>
        <v>-6.1184496302765366E-2</v>
      </c>
      <c r="H66" s="5">
        <f>'[1]Page 352'!H53-'[1]Page 352'!H$6</f>
        <v>-6.0504221245629604E-2</v>
      </c>
      <c r="I66" s="5">
        <f>'[1]Page 352'!I53-'[1]Page 352'!I$6</f>
        <v>-3.1183154235826786E-2</v>
      </c>
      <c r="J66" s="5">
        <f>'[1]Page 352'!J53-'[1]Page 352'!J$6</f>
        <v>-0.13044984476136506</v>
      </c>
      <c r="K66" s="5">
        <f>'[1]Page 352'!K53-'[1]Page 352'!K$6</f>
        <v>2.010182409208839E-2</v>
      </c>
    </row>
    <row r="67" spans="1:11" x14ac:dyDescent="0.25">
      <c r="A67" s="11">
        <v>38384</v>
      </c>
      <c r="B67" s="5">
        <f>'[1]Page 352'!B54-'[1]Page 352'!B$6</f>
        <v>-1.0047442708852531E-2</v>
      </c>
      <c r="C67" s="5">
        <f>'[1]Page 352'!C54-'[1]Page 352'!C$6</f>
        <v>-2.6388969323011564E-2</v>
      </c>
      <c r="D67" s="5">
        <f>'[1]Page 352'!D54-'[1]Page 352'!D$6</f>
        <v>-4.0932252486982762E-2</v>
      </c>
      <c r="E67" s="5">
        <f>'[1]Page 352'!E54-'[1]Page 352'!E$6</f>
        <v>5.7018404413516785E-2</v>
      </c>
      <c r="F67" s="5">
        <f>'[1]Page 352'!F54-'[1]Page 352'!F$6</f>
        <v>1.738309658985885E-2</v>
      </c>
      <c r="G67" s="5">
        <f>'[1]Page 352'!G54-'[1]Page 352'!G$6</f>
        <v>6.8155162225589788E-3</v>
      </c>
      <c r="H67" s="5">
        <f>'[1]Page 352'!H54-'[1]Page 352'!H$6</f>
        <v>9.1636113303090683E-2</v>
      </c>
      <c r="I67" s="5">
        <f>'[1]Page 352'!I54-'[1]Page 352'!I$6</f>
        <v>0.12067840393608453</v>
      </c>
      <c r="J67" s="5">
        <f>'[1]Page 352'!J54-'[1]Page 352'!J$6</f>
        <v>0.12802115606439218</v>
      </c>
      <c r="K67" s="5">
        <f>'[1]Page 352'!K54-'[1]Page 352'!K$6</f>
        <v>-7.4809905230536237E-3</v>
      </c>
    </row>
    <row r="68" spans="1:11" x14ac:dyDescent="0.25">
      <c r="A68" s="11">
        <v>38412</v>
      </c>
      <c r="B68" s="5">
        <f>'[1]Page 352'!B55-'[1]Page 352'!B$6</f>
        <v>-0.18417621734284439</v>
      </c>
      <c r="C68" s="5">
        <f>'[1]Page 352'!C55-'[1]Page 352'!C$6</f>
        <v>-3.9210979482644084E-2</v>
      </c>
      <c r="D68" s="5">
        <f>'[1]Page 352'!D55-'[1]Page 352'!D$6</f>
        <v>-1.5710112020410789E-2</v>
      </c>
      <c r="E68" s="5">
        <f>'[1]Page 352'!E55-'[1]Page 352'!E$6</f>
        <v>5.4082271956983126E-2</v>
      </c>
      <c r="F68" s="5">
        <f>'[1]Page 352'!F55-'[1]Page 352'!F$6</f>
        <v>-3.3648689451700551E-3</v>
      </c>
      <c r="G68" s="5">
        <f>'[1]Page 352'!G55-'[1]Page 352'!G$6</f>
        <v>-5.8563132117867407E-2</v>
      </c>
      <c r="H68" s="5">
        <f>'[1]Page 352'!H55-'[1]Page 352'!H$6</f>
        <v>-5.3683374405580214E-2</v>
      </c>
      <c r="I68" s="5">
        <f>'[1]Page 352'!I55-'[1]Page 352'!I$6</f>
        <v>-3.9824983386726444E-2</v>
      </c>
      <c r="J68" s="5">
        <f>'[1]Page 352'!J55-'[1]Page 352'!J$6</f>
        <v>3.821340255627715E-2</v>
      </c>
      <c r="K68" s="5">
        <f>'[1]Page 352'!K55-'[1]Page 352'!K$6</f>
        <v>1.3138296679681985E-2</v>
      </c>
    </row>
    <row r="69" spans="1:11" x14ac:dyDescent="0.25">
      <c r="A69" s="11">
        <v>38443</v>
      </c>
      <c r="B69" s="5">
        <f>'[1]Page 352'!B56-'[1]Page 352'!B$6</f>
        <v>-8.814690394907726E-2</v>
      </c>
      <c r="C69" s="5">
        <f>'[1]Page 352'!C56-'[1]Page 352'!C$6</f>
        <v>-7.4185284462523288E-2</v>
      </c>
      <c r="D69" s="5">
        <f>'[1]Page 352'!D56-'[1]Page 352'!D$6</f>
        <v>-7.0791614369237324E-2</v>
      </c>
      <c r="E69" s="5">
        <f>'[1]Page 352'!E56-'[1]Page 352'!E$6</f>
        <v>-7.2383784217958019E-2</v>
      </c>
      <c r="F69" s="5">
        <f>'[1]Page 352'!F56-'[1]Page 352'!F$6</f>
        <v>-1.6812527544251533E-2</v>
      </c>
      <c r="G69" s="5">
        <f>'[1]Page 352'!G56-'[1]Page 352'!G$6</f>
        <v>1.7245202067377959E-2</v>
      </c>
      <c r="H69" s="5">
        <f>'[1]Page 352'!H56-'[1]Page 352'!H$6</f>
        <v>-4.4137071433095573E-2</v>
      </c>
      <c r="I69" s="5">
        <f>'[1]Page 352'!I56-'[1]Page 352'!I$6</f>
        <v>-8.4381250433948132E-2</v>
      </c>
      <c r="J69" s="5">
        <f>'[1]Page 352'!J56-'[1]Page 352'!J$6</f>
        <v>5.1698879678378842E-2</v>
      </c>
      <c r="K69" s="5">
        <f>'[1]Page 352'!K56-'[1]Page 352'!K$6</f>
        <v>-0.12128037482674449</v>
      </c>
    </row>
    <row r="70" spans="1:11" x14ac:dyDescent="0.25">
      <c r="A70" s="11">
        <v>38474</v>
      </c>
      <c r="B70" s="5">
        <f>'[1]Page 352'!B57-'[1]Page 352'!B$6</f>
        <v>0.19226095407893712</v>
      </c>
      <c r="C70" s="5">
        <f>'[1]Page 352'!C57-'[1]Page 352'!C$6</f>
        <v>0.11053522029538754</v>
      </c>
      <c r="D70" s="5">
        <f>'[1]Page 352'!D57-'[1]Page 352'!D$6</f>
        <v>-5.5392119197858296E-2</v>
      </c>
      <c r="E70" s="5">
        <f>'[1]Page 352'!E57-'[1]Page 352'!E$6</f>
        <v>9.2405714774317263E-2</v>
      </c>
      <c r="F70" s="5">
        <f>'[1]Page 352'!F57-'[1]Page 352'!F$6</f>
        <v>2.1948707424109436E-2</v>
      </c>
      <c r="G70" s="5">
        <f>'[1]Page 352'!G57-'[1]Page 352'!G$6</f>
        <v>1.3405887513117281E-2</v>
      </c>
      <c r="H70" s="5">
        <f>'[1]Page 352'!H57-'[1]Page 352'!H$6</f>
        <v>-6.1674285532446617E-2</v>
      </c>
      <c r="I70" s="5">
        <f>'[1]Page 352'!I57-'[1]Page 352'!I$6</f>
        <v>-5.176628542009956E-3</v>
      </c>
      <c r="J70" s="5">
        <f>'[1]Page 352'!J57-'[1]Page 352'!J$6</f>
        <v>-3.8687601157521213E-2</v>
      </c>
      <c r="K70" s="5">
        <f>'[1]Page 352'!K57-'[1]Page 352'!K$6</f>
        <v>2.9072218372814141E-4</v>
      </c>
    </row>
    <row r="71" spans="1:11" x14ac:dyDescent="0.25">
      <c r="A71" s="11">
        <v>38504</v>
      </c>
      <c r="B71" s="5">
        <f>'[1]Page 352'!B58-'[1]Page 352'!B$6</f>
        <v>8.4131869113845778E-2</v>
      </c>
      <c r="C71" s="5">
        <f>'[1]Page 352'!C58-'[1]Page 352'!C$6</f>
        <v>-4.898044425030528E-3</v>
      </c>
      <c r="D71" s="5">
        <f>'[1]Page 352'!D58-'[1]Page 352'!D$6</f>
        <v>-6.46998157077006E-2</v>
      </c>
      <c r="E71" s="5">
        <f>'[1]Page 352'!E58-'[1]Page 352'!E$6</f>
        <v>4.3648299033831182E-2</v>
      </c>
      <c r="F71" s="5">
        <f>'[1]Page 352'!F58-'[1]Page 352'!F$6</f>
        <v>-3.7755274752790807E-2</v>
      </c>
      <c r="G71" s="5">
        <f>'[1]Page 352'!G58-'[1]Page 352'!G$6</f>
        <v>-1.7699766252354861E-2</v>
      </c>
      <c r="H71" s="5">
        <f>'[1]Page 352'!H58-'[1]Page 352'!H$6</f>
        <v>-3.4633044109349642E-2</v>
      </c>
      <c r="I71" s="5">
        <f>'[1]Page 352'!I58-'[1]Page 352'!I$6</f>
        <v>-7.8517298445139064E-2</v>
      </c>
      <c r="J71" s="5">
        <f>'[1]Page 352'!J58-'[1]Page 352'!J$6</f>
        <v>-3.4576891371582569E-2</v>
      </c>
      <c r="K71" s="5">
        <f>'[1]Page 352'!K58-'[1]Page 352'!K$6</f>
        <v>-6.5880713396178431E-2</v>
      </c>
    </row>
    <row r="72" spans="1:11" x14ac:dyDescent="0.25">
      <c r="A72" s="11">
        <v>38534</v>
      </c>
      <c r="B72" s="5">
        <f>'[1]Page 352'!B59-'[1]Page 352'!B$6</f>
        <v>8.8346729079488359E-2</v>
      </c>
      <c r="C72" s="5">
        <f>'[1]Page 352'!C59-'[1]Page 352'!C$6</f>
        <v>0.11583662570361727</v>
      </c>
      <c r="D72" s="5">
        <f>'[1]Page 352'!D59-'[1]Page 352'!D$6</f>
        <v>4.4166954752686352E-2</v>
      </c>
      <c r="E72" s="5">
        <f>'[1]Page 352'!E59-'[1]Page 352'!E$6</f>
        <v>4.3212736572724224E-2</v>
      </c>
      <c r="F72" s="5">
        <f>'[1]Page 352'!F59-'[1]Page 352'!F$6</f>
        <v>2.4272064540120836E-2</v>
      </c>
      <c r="G72" s="5">
        <f>'[1]Page 352'!G59-'[1]Page 352'!G$6</f>
        <v>2.4505725061857178E-2</v>
      </c>
      <c r="H72" s="5">
        <f>'[1]Page 352'!H59-'[1]Page 352'!H$6</f>
        <v>7.2670467961713184E-2</v>
      </c>
      <c r="I72" s="5">
        <f>'[1]Page 352'!I59-'[1]Page 352'!I$6</f>
        <v>-8.0242300085161342E-3</v>
      </c>
      <c r="J72" s="5">
        <f>'[1]Page 352'!J59-'[1]Page 352'!J$6</f>
        <v>1.4009606679138437E-2</v>
      </c>
      <c r="K72" s="5">
        <f>'[1]Page 352'!K59-'[1]Page 352'!K$6</f>
        <v>2.9194880009678601E-2</v>
      </c>
    </row>
    <row r="73" spans="1:11" x14ac:dyDescent="0.25">
      <c r="A73" s="11">
        <v>38565</v>
      </c>
      <c r="B73" s="5">
        <f>'[1]Page 352'!B60-'[1]Page 352'!B$6</f>
        <v>-5.1210290959926769E-2</v>
      </c>
      <c r="C73" s="5">
        <f>'[1]Page 352'!C60-'[1]Page 352'!C$6</f>
        <v>-6.9712161086516108E-2</v>
      </c>
      <c r="D73" s="5">
        <f>'[1]Page 352'!D60-'[1]Page 352'!D$6</f>
        <v>-1.6361802923844905E-2</v>
      </c>
      <c r="E73" s="5">
        <f>'[1]Page 352'!E60-'[1]Page 352'!E$6</f>
        <v>0.11715749808703262</v>
      </c>
      <c r="F73" s="5">
        <f>'[1]Page 352'!F60-'[1]Page 352'!F$6</f>
        <v>4.3696939503254206E-2</v>
      </c>
      <c r="G73" s="5">
        <f>'[1]Page 352'!G60-'[1]Page 352'!G$6</f>
        <v>-3.8525265021513476E-3</v>
      </c>
      <c r="H73" s="5">
        <f>'[1]Page 352'!H60-'[1]Page 352'!H$6</f>
        <v>-3.9047967971898717E-2</v>
      </c>
      <c r="I73" s="5">
        <f>'[1]Page 352'!I60-'[1]Page 352'!I$6</f>
        <v>-6.7258462475837305E-2</v>
      </c>
      <c r="J73" s="5">
        <f>'[1]Page 352'!J60-'[1]Page 352'!J$6</f>
        <v>-7.652290378755626E-2</v>
      </c>
      <c r="K73" s="5">
        <f>'[1]Page 352'!K60-'[1]Page 352'!K$6</f>
        <v>-5.4254365608147608E-2</v>
      </c>
    </row>
    <row r="74" spans="1:11" x14ac:dyDescent="0.25">
      <c r="A74" s="11">
        <v>38596</v>
      </c>
      <c r="B74" s="5">
        <f>'[1]Page 352'!B61-'[1]Page 352'!B$6</f>
        <v>-0.10184754580619661</v>
      </c>
      <c r="C74" s="5">
        <f>'[1]Page 352'!C61-'[1]Page 352'!C$6</f>
        <v>-5.1714524908839064E-2</v>
      </c>
      <c r="D74" s="5">
        <f>'[1]Page 352'!D61-'[1]Page 352'!D$6</f>
        <v>-3.5326505097064573E-2</v>
      </c>
      <c r="E74" s="5">
        <f>'[1]Page 352'!E61-'[1]Page 352'!E$6</f>
        <v>5.0171752495622925E-2</v>
      </c>
      <c r="F74" s="5">
        <f>'[1]Page 352'!F61-'[1]Page 352'!F$6</f>
        <v>4.2156564461866788E-2</v>
      </c>
      <c r="G74" s="5">
        <f>'[1]Page 352'!G61-'[1]Page 352'!G$6</f>
        <v>3.0769139062164282E-2</v>
      </c>
      <c r="H74" s="5">
        <f>'[1]Page 352'!H61-'[1]Page 352'!H$6</f>
        <v>-9.0666798644316995E-2</v>
      </c>
      <c r="I74" s="5">
        <f>'[1]Page 352'!I61-'[1]Page 352'!I$6</f>
        <v>-1.0459240452115487E-2</v>
      </c>
      <c r="J74" s="5">
        <f>'[1]Page 352'!J61-'[1]Page 352'!J$6</f>
        <v>-3.110388502596026E-2</v>
      </c>
      <c r="K74" s="5">
        <f>'[1]Page 352'!K61-'[1]Page 352'!K$6</f>
        <v>2.3065405842126383E-2</v>
      </c>
    </row>
    <row r="75" spans="1:11" x14ac:dyDescent="0.25">
      <c r="A75" s="11">
        <v>38628</v>
      </c>
      <c r="B75" s="5">
        <f>'[1]Page 352'!B62-'[1]Page 352'!B$6</f>
        <v>-0.10223189003543967</v>
      </c>
      <c r="C75" s="5">
        <f>'[1]Page 352'!C62-'[1]Page 352'!C$6</f>
        <v>7.7168953979459831E-2</v>
      </c>
      <c r="D75" s="5">
        <f>'[1]Page 352'!D62-'[1]Page 352'!D$6</f>
        <v>-2.1386433034745484E-2</v>
      </c>
      <c r="E75" s="5">
        <f>'[1]Page 352'!E62-'[1]Page 352'!E$6</f>
        <v>-4.3500184464415725E-2</v>
      </c>
      <c r="F75" s="5">
        <f>'[1]Page 352'!F62-'[1]Page 352'!F$6</f>
        <v>7.4008891375478766E-3</v>
      </c>
      <c r="G75" s="5">
        <f>'[1]Page 352'!G62-'[1]Page 352'!G$6</f>
        <v>-1.6076895108550912E-2</v>
      </c>
      <c r="H75" s="5">
        <f>'[1]Page 352'!H62-'[1]Page 352'!H$6</f>
        <v>-3.6157153762578047E-3</v>
      </c>
      <c r="I75" s="5">
        <f>'[1]Page 352'!I62-'[1]Page 352'!I$6</f>
        <v>6.2181722549289983E-2</v>
      </c>
      <c r="J75" s="5">
        <f>'[1]Page 352'!J62-'[1]Page 352'!J$6</f>
        <v>4.1780909969707389E-2</v>
      </c>
      <c r="K75" s="5">
        <f>'[1]Page 352'!K62-'[1]Page 352'!K$6</f>
        <v>2.7529055100136753E-2</v>
      </c>
    </row>
    <row r="76" spans="1:11" x14ac:dyDescent="0.25">
      <c r="A76" s="11">
        <v>38657</v>
      </c>
      <c r="B76" s="5">
        <f>'[1]Page 352'!B63-'[1]Page 352'!B$6</f>
        <v>-0.19671678567598272</v>
      </c>
      <c r="C76" s="5">
        <f>'[1]Page 352'!C63-'[1]Page 352'!C$6</f>
        <v>2.4134982265122486E-2</v>
      </c>
      <c r="D76" s="5">
        <f>'[1]Page 352'!D63-'[1]Page 352'!D$6</f>
        <v>8.5070322606505475E-2</v>
      </c>
      <c r="E76" s="5">
        <f>'[1]Page 352'!E63-'[1]Page 352'!E$6</f>
        <v>5.3604548186924991E-2</v>
      </c>
      <c r="F76" s="5">
        <f>'[1]Page 352'!F63-'[1]Page 352'!F$6</f>
        <v>-4.1270161173093053E-2</v>
      </c>
      <c r="G76" s="5">
        <f>'[1]Page 352'!G63-'[1]Page 352'!G$6</f>
        <v>2.4528481751031797E-2</v>
      </c>
      <c r="H76" s="5">
        <f>'[1]Page 352'!H63-'[1]Page 352'!H$6</f>
        <v>0.12883472570114574</v>
      </c>
      <c r="I76" s="5">
        <f>'[1]Page 352'!I63-'[1]Page 352'!I$6</f>
        <v>3.3594152241752974E-2</v>
      </c>
      <c r="J76" s="5">
        <f>'[1]Page 352'!J63-'[1]Page 352'!J$6</f>
        <v>5.9473318347892372E-2</v>
      </c>
      <c r="K76" s="5">
        <f>'[1]Page 352'!K63-'[1]Page 352'!K$6</f>
        <v>3.0219671840954743E-2</v>
      </c>
    </row>
    <row r="77" spans="1:11" x14ac:dyDescent="0.25">
      <c r="A77" s="11">
        <v>38687</v>
      </c>
      <c r="B77" s="5">
        <f>'[1]Page 352'!B64-'[1]Page 352'!B$6</f>
        <v>-0.11155932807262953</v>
      </c>
      <c r="C77" s="5">
        <f>'[1]Page 352'!C64-'[1]Page 352'!C$6</f>
        <v>-2.7696073379318373E-2</v>
      </c>
      <c r="D77" s="5">
        <f>'[1]Page 352'!D64-'[1]Page 352'!D$6</f>
        <v>6.3327800859747443E-2</v>
      </c>
      <c r="E77" s="5">
        <f>'[1]Page 352'!E64-'[1]Page 352'!E$6</f>
        <v>-3.6146766495354102E-2</v>
      </c>
      <c r="F77" s="5">
        <f>'[1]Page 352'!F64-'[1]Page 352'!F$6</f>
        <v>2.5993827940372128E-2</v>
      </c>
      <c r="G77" s="5">
        <f>'[1]Page 352'!G64-'[1]Page 352'!G$6</f>
        <v>-7.4541971756275568E-3</v>
      </c>
      <c r="H77" s="5">
        <f>'[1]Page 352'!H64-'[1]Page 352'!H$6</f>
        <v>7.7646565425607536E-2</v>
      </c>
      <c r="I77" s="5">
        <f>'[1]Page 352'!I64-'[1]Page 352'!I$6</f>
        <v>-6.2583039306332395E-3</v>
      </c>
      <c r="J77" s="5">
        <f>'[1]Page 352'!J64-'[1]Page 352'!J$6</f>
        <v>8.4092084327673539E-2</v>
      </c>
      <c r="K77" s="5">
        <f>'[1]Page 352'!K64-'[1]Page 352'!K$6</f>
        <v>-2.0064668279288156E-2</v>
      </c>
    </row>
    <row r="78" spans="1:11" x14ac:dyDescent="0.25">
      <c r="A78" s="11">
        <v>38720</v>
      </c>
      <c r="B78" s="5">
        <f>'[1]Page 352'!B65-'[1]Page 352'!B$6</f>
        <v>0.223319053912682</v>
      </c>
      <c r="C78" s="5">
        <f>'[1]Page 352'!C65-'[1]Page 352'!C$6</f>
        <v>5.6536626774172545E-3</v>
      </c>
      <c r="D78" s="5">
        <f>'[1]Page 352'!D65-'[1]Page 352'!D$6</f>
        <v>-3.0291684085785926E-2</v>
      </c>
      <c r="E78" s="5">
        <f>'[1]Page 352'!E65-'[1]Page 352'!E$6</f>
        <v>8.2435512026164184E-2</v>
      </c>
      <c r="F78" s="5">
        <f>'[1]Page 352'!F65-'[1]Page 352'!F$6</f>
        <v>-4.3059860211203407E-2</v>
      </c>
      <c r="G78" s="5">
        <f>'[1]Page 352'!G65-'[1]Page 352'!G$6</f>
        <v>1.3009227775759113E-2</v>
      </c>
      <c r="H78" s="5">
        <f>'[1]Page 352'!H65-'[1]Page 352'!H$6</f>
        <v>6.4955392352747846E-2</v>
      </c>
      <c r="I78" s="5">
        <f>'[1]Page 352'!I65-'[1]Page 352'!I$6</f>
        <v>-8.2330739734441147E-2</v>
      </c>
      <c r="J78" s="5">
        <f>'[1]Page 352'!J65-'[1]Page 352'!J$6</f>
        <v>8.67018622742146E-2</v>
      </c>
      <c r="K78" s="5">
        <f>'[1]Page 352'!K65-'[1]Page 352'!K$6</f>
        <v>-7.0662730155196585E-2</v>
      </c>
    </row>
    <row r="79" spans="1:11" x14ac:dyDescent="0.25">
      <c r="A79" s="11">
        <v>38749</v>
      </c>
      <c r="B79" s="5">
        <f>'[1]Page 352'!B66-'[1]Page 352'!B$6</f>
        <v>-0.14959930336919136</v>
      </c>
      <c r="C79" s="5">
        <f>'[1]Page 352'!C66-'[1]Page 352'!C$6</f>
        <v>4.266484491974748E-2</v>
      </c>
      <c r="D79" s="5">
        <f>'[1]Page 352'!D66-'[1]Page 352'!D$6</f>
        <v>1.1183484549276278E-2</v>
      </c>
      <c r="E79" s="5">
        <f>'[1]Page 352'!E66-'[1]Page 352'!E$6</f>
        <v>4.7911813169059847E-2</v>
      </c>
      <c r="F79" s="5">
        <f>'[1]Page 352'!F66-'[1]Page 352'!F$6</f>
        <v>-1.6753948371170092E-2</v>
      </c>
      <c r="G79" s="5">
        <f>'[1]Page 352'!G66-'[1]Page 352'!G$6</f>
        <v>1.8724581173531242E-2</v>
      </c>
      <c r="H79" s="5">
        <f>'[1]Page 352'!H66-'[1]Page 352'!H$6</f>
        <v>-6.5108019323583316E-2</v>
      </c>
      <c r="I79" s="5">
        <f>'[1]Page 352'!I66-'[1]Page 352'!I$6</f>
        <v>3.6197306240273883E-2</v>
      </c>
      <c r="J79" s="5">
        <f>'[1]Page 352'!J66-'[1]Page 352'!J$6</f>
        <v>1.6138469462097463E-2</v>
      </c>
      <c r="K79" s="5">
        <f>'[1]Page 352'!K66-'[1]Page 352'!K$6</f>
        <v>1.029909332980973E-2</v>
      </c>
    </row>
    <row r="80" spans="1:11" x14ac:dyDescent="0.25">
      <c r="A80" s="11">
        <v>38777</v>
      </c>
      <c r="B80" s="5">
        <f>'[1]Page 352'!B67-'[1]Page 352'!B$6</f>
        <v>5.4892154550902593E-2</v>
      </c>
      <c r="C80" s="5">
        <f>'[1]Page 352'!C67-'[1]Page 352'!C$6</f>
        <v>1.1058875793942533E-2</v>
      </c>
      <c r="D80" s="5">
        <f>'[1]Page 352'!D67-'[1]Page 352'!D$6</f>
        <v>5.2998728882145948E-2</v>
      </c>
      <c r="E80" s="5">
        <f>'[1]Page 352'!E67-'[1]Page 352'!E$6</f>
        <v>2.2002576986505586E-3</v>
      </c>
      <c r="F80" s="5">
        <f>'[1]Page 352'!F67-'[1]Page 352'!F$6</f>
        <v>-1.4361900832325221E-2</v>
      </c>
      <c r="G80" s="5">
        <f>'[1]Page 352'!G67-'[1]Page 352'!G$6</f>
        <v>-3.3286044287699094E-2</v>
      </c>
      <c r="H80" s="5">
        <f>'[1]Page 352'!H67-'[1]Page 352'!H$6</f>
        <v>4.3407131135937652E-2</v>
      </c>
      <c r="I80" s="5">
        <f>'[1]Page 352'!I67-'[1]Page 352'!I$6</f>
        <v>4.7651673947546672E-2</v>
      </c>
      <c r="J80" s="5">
        <f>'[1]Page 352'!J67-'[1]Page 352'!J$6</f>
        <v>2.6997030613942354E-2</v>
      </c>
      <c r="K80" s="5">
        <f>'[1]Page 352'!K67-'[1]Page 352'!K$6</f>
        <v>2.0670912371711436E-2</v>
      </c>
    </row>
    <row r="81" spans="1:11" x14ac:dyDescent="0.25">
      <c r="A81" s="11">
        <v>38810</v>
      </c>
      <c r="B81" s="5">
        <f>'[1]Page 352'!B68-'[1]Page 352'!B$6</f>
        <v>8.1959600523664883E-2</v>
      </c>
      <c r="C81" s="5">
        <f>'[1]Page 352'!C68-'[1]Page 352'!C$6</f>
        <v>-5.3734631514201638E-2</v>
      </c>
      <c r="D81" s="5">
        <f>'[1]Page 352'!D68-'[1]Page 352'!D$6</f>
        <v>4.9720738782580355E-2</v>
      </c>
      <c r="E81" s="5">
        <f>'[1]Page 352'!E68-'[1]Page 352'!E$6</f>
        <v>-1.6186957901974761E-2</v>
      </c>
      <c r="F81" s="5">
        <f>'[1]Page 352'!F68-'[1]Page 352'!F$6</f>
        <v>2.1367543529866615E-2</v>
      </c>
      <c r="G81" s="5">
        <f>'[1]Page 352'!G68-'[1]Page 352'!G$6</f>
        <v>1.7745082259640471E-2</v>
      </c>
      <c r="H81" s="5">
        <f>'[1]Page 352'!H68-'[1]Page 352'!H$6</f>
        <v>0.10179391393637986</v>
      </c>
      <c r="I81" s="5">
        <f>'[1]Page 352'!I68-'[1]Page 352'!I$6</f>
        <v>4.3402448194707122E-2</v>
      </c>
      <c r="J81" s="5">
        <f>'[1]Page 352'!J68-'[1]Page 352'!J$6</f>
        <v>-1.7714563479250937E-2</v>
      </c>
      <c r="K81" s="5">
        <f>'[1]Page 352'!K68-'[1]Page 352'!K$6</f>
        <v>0.1135876203015809</v>
      </c>
    </row>
    <row r="82" spans="1:11" x14ac:dyDescent="0.25">
      <c r="A82" s="11">
        <v>38838</v>
      </c>
      <c r="B82" s="5">
        <f>'[1]Page 352'!B69-'[1]Page 352'!B$6</f>
        <v>0.18137350285328127</v>
      </c>
      <c r="C82" s="5">
        <f>'[1]Page 352'!C69-'[1]Page 352'!C$6</f>
        <v>-4.2403899718764168E-2</v>
      </c>
      <c r="D82" s="5">
        <f>'[1]Page 352'!D69-'[1]Page 352'!D$6</f>
        <v>-6.0810507663266816E-2</v>
      </c>
      <c r="E82" s="5">
        <f>'[1]Page 352'!E69-'[1]Page 352'!E$6</f>
        <v>-5.7779226577589146E-3</v>
      </c>
      <c r="F82" s="5">
        <f>'[1]Page 352'!F69-'[1]Page 352'!F$6</f>
        <v>-2.1778157917824618E-2</v>
      </c>
      <c r="G82" s="5">
        <f>'[1]Page 352'!G69-'[1]Page 352'!G$6</f>
        <v>1.9339711243681282E-3</v>
      </c>
      <c r="H82" s="5">
        <f>'[1]Page 352'!H69-'[1]Page 352'!H$6</f>
        <v>-5.6666776892449748E-2</v>
      </c>
      <c r="I82" s="5">
        <f>'[1]Page 352'!I69-'[1]Page 352'!I$6</f>
        <v>-2.8344293005942395E-2</v>
      </c>
      <c r="J82" s="5">
        <f>'[1]Page 352'!J69-'[1]Page 352'!J$6</f>
        <v>-1.6463404540036471E-2</v>
      </c>
      <c r="K82" s="5">
        <f>'[1]Page 352'!K69-'[1]Page 352'!K$6</f>
        <v>-2.3135959195666821E-2</v>
      </c>
    </row>
    <row r="83" spans="1:11" x14ac:dyDescent="0.25">
      <c r="A83" s="11">
        <v>38869</v>
      </c>
      <c r="B83" s="5">
        <f>'[1]Page 352'!B70-'[1]Page 352'!B$6</f>
        <v>0.10966571153131739</v>
      </c>
      <c r="C83" s="5">
        <f>'[1]Page 352'!C70-'[1]Page 352'!C$6</f>
        <v>-5.52152642086522E-2</v>
      </c>
      <c r="D83" s="5">
        <f>'[1]Page 352'!D70-'[1]Page 352'!D$6</f>
        <v>-5.1271691267530464E-2</v>
      </c>
      <c r="E83" s="5">
        <f>'[1]Page 352'!E70-'[1]Page 352'!E$6</f>
        <v>-2.2066577002412331E-2</v>
      </c>
      <c r="F83" s="5">
        <f>'[1]Page 352'!F70-'[1]Page 352'!F$6</f>
        <v>1.5418172407902855E-2</v>
      </c>
      <c r="G83" s="5">
        <f>'[1]Page 352'!G70-'[1]Page 352'!G$6</f>
        <v>-2.9429618390646319E-2</v>
      </c>
      <c r="H83" s="5">
        <f>'[1]Page 352'!H70-'[1]Page 352'!H$6</f>
        <v>2.1780047516725166E-2</v>
      </c>
      <c r="I83" s="5">
        <f>'[1]Page 352'!I70-'[1]Page 352'!I$6</f>
        <v>-2.2400529021187329E-2</v>
      </c>
      <c r="J83" s="5">
        <f>'[1]Page 352'!J70-'[1]Page 352'!J$6</f>
        <v>9.5657591819383353E-2</v>
      </c>
      <c r="K83" s="5">
        <f>'[1]Page 352'!K70-'[1]Page 352'!K$6</f>
        <v>-4.2636347082901045E-2</v>
      </c>
    </row>
    <row r="84" spans="1:11" x14ac:dyDescent="0.25">
      <c r="A84" s="8"/>
    </row>
    <row r="85" spans="1:11" x14ac:dyDescent="0.25">
      <c r="A85" s="8"/>
    </row>
    <row r="86" spans="1:11" x14ac:dyDescent="0.25">
      <c r="A86" s="8"/>
    </row>
    <row r="87" spans="1:11" x14ac:dyDescent="0.25">
      <c r="A87" s="8"/>
    </row>
    <row r="88" spans="1:11" x14ac:dyDescent="0.25">
      <c r="A88" s="8"/>
    </row>
    <row r="89" spans="1:11" x14ac:dyDescent="0.25">
      <c r="A89" s="8"/>
    </row>
    <row r="90" spans="1:11" x14ac:dyDescent="0.25">
      <c r="A90" s="8"/>
    </row>
    <row r="91" spans="1:11" x14ac:dyDescent="0.25">
      <c r="A91" s="8"/>
    </row>
    <row r="92" spans="1:11" x14ac:dyDescent="0.25">
      <c r="A92" s="8"/>
    </row>
    <row r="93" spans="1:11" x14ac:dyDescent="0.25">
      <c r="A93" s="8"/>
    </row>
    <row r="94" spans="1:11" x14ac:dyDescent="0.25">
      <c r="A94" s="8"/>
    </row>
    <row r="95" spans="1:11" x14ac:dyDescent="0.25">
      <c r="A95" s="8"/>
    </row>
    <row r="96" spans="1:11" x14ac:dyDescent="0.25">
      <c r="A96" s="8"/>
    </row>
    <row r="97" spans="1:1" x14ac:dyDescent="0.25">
      <c r="A97" s="8"/>
    </row>
    <row r="98" spans="1:1" x14ac:dyDescent="0.25">
      <c r="A98" s="8"/>
    </row>
    <row r="99" spans="1:1" x14ac:dyDescent="0.25">
      <c r="A99" s="8"/>
    </row>
    <row r="100" spans="1:1" x14ac:dyDescent="0.25">
      <c r="A100" s="8"/>
    </row>
    <row r="101" spans="1:1" x14ac:dyDescent="0.25">
      <c r="A101" s="8"/>
    </row>
    <row r="102" spans="1:1" x14ac:dyDescent="0.25">
      <c r="A102" s="8"/>
    </row>
    <row r="103" spans="1:1" x14ac:dyDescent="0.25">
      <c r="A103" s="8"/>
    </row>
    <row r="104" spans="1:1" x14ac:dyDescent="0.25">
      <c r="A104" s="8"/>
    </row>
    <row r="105" spans="1:1" x14ac:dyDescent="0.25">
      <c r="A105" s="8"/>
    </row>
    <row r="106" spans="1:1" x14ac:dyDescent="0.25">
      <c r="A106" s="8"/>
    </row>
    <row r="107" spans="1:1" x14ac:dyDescent="0.25">
      <c r="A107" s="8"/>
    </row>
    <row r="108" spans="1:1" x14ac:dyDescent="0.25">
      <c r="A108" s="8"/>
    </row>
    <row r="109" spans="1:1" x14ac:dyDescent="0.25">
      <c r="A109" s="8"/>
    </row>
    <row r="110" spans="1:1" x14ac:dyDescent="0.25">
      <c r="A110" s="8"/>
    </row>
    <row r="111" spans="1:1" x14ac:dyDescent="0.25">
      <c r="A111" s="8"/>
    </row>
    <row r="112" spans="1:1" x14ac:dyDescent="0.25">
      <c r="A112" s="8"/>
    </row>
    <row r="113" spans="1:1" x14ac:dyDescent="0.25">
      <c r="A113" s="8"/>
    </row>
    <row r="114" spans="1:1" x14ac:dyDescent="0.25">
      <c r="A114" s="8"/>
    </row>
  </sheetData>
  <mergeCells count="1">
    <mergeCell ref="A1:L1"/>
  </mergeCells>
  <phoneticPr fontId="1" type="noConversion"/>
  <conditionalFormatting sqref="B11:K20">
    <cfRule type="cellIs" dxfId="2" priority="2" operator="between">
      <formula>0.5</formula>
      <formula>0.999</formula>
    </cfRule>
  </conditionalFormatting>
  <conditionalFormatting sqref="B6:K6">
    <cfRule type="cellIs" dxfId="0" priority="1" operator="lessThan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2024-11-08T03:28:22Z</dcterms:modified>
</cp:coreProperties>
</file>