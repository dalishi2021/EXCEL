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2C9F4183-E271-4A56-A371-5357F4104DC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Sheet1!$B$24:$B$33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Sheet1!$D$24</definedName>
    <definedName name="solver_lhs2" localSheetId="0" hidden="1">Sheet1!$D$25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Sheet1!$B$35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hs1" localSheetId="0" hidden="1">0.011</definedName>
    <definedName name="solver_rhs2" localSheetId="0" hidden="1">0.01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1" l="1" a="1"/>
  <c r="B35" i="1" s="1"/>
  <c r="K67" i="1" l="1"/>
  <c r="J67" i="1"/>
  <c r="I67" i="1"/>
  <c r="H67" i="1"/>
  <c r="G67" i="1"/>
  <c r="F67" i="1"/>
  <c r="E67" i="1"/>
  <c r="D67" i="1"/>
  <c r="C67" i="1"/>
  <c r="B67" i="1"/>
  <c r="K66" i="1"/>
  <c r="J66" i="1"/>
  <c r="I66" i="1"/>
  <c r="H66" i="1"/>
  <c r="G66" i="1"/>
  <c r="F66" i="1"/>
  <c r="E66" i="1"/>
  <c r="D66" i="1"/>
  <c r="C66" i="1"/>
  <c r="B66" i="1"/>
  <c r="K65" i="1"/>
  <c r="J65" i="1"/>
  <c r="I65" i="1"/>
  <c r="H65" i="1"/>
  <c r="G65" i="1"/>
  <c r="F65" i="1"/>
  <c r="E65" i="1"/>
  <c r="D65" i="1"/>
  <c r="C65" i="1"/>
  <c r="B65" i="1"/>
  <c r="K64" i="1"/>
  <c r="J64" i="1"/>
  <c r="I64" i="1"/>
  <c r="H64" i="1"/>
  <c r="G64" i="1"/>
  <c r="F64" i="1"/>
  <c r="E64" i="1"/>
  <c r="D64" i="1"/>
  <c r="C64" i="1"/>
  <c r="B64" i="1"/>
  <c r="K63" i="1"/>
  <c r="J63" i="1"/>
  <c r="I63" i="1"/>
  <c r="H63" i="1"/>
  <c r="G63" i="1"/>
  <c r="F63" i="1"/>
  <c r="E63" i="1"/>
  <c r="D63" i="1"/>
  <c r="C63" i="1"/>
  <c r="B63" i="1"/>
  <c r="K62" i="1"/>
  <c r="J62" i="1"/>
  <c r="I62" i="1"/>
  <c r="H62" i="1"/>
  <c r="G62" i="1"/>
  <c r="F62" i="1"/>
  <c r="E62" i="1"/>
  <c r="D62" i="1"/>
  <c r="C62" i="1"/>
  <c r="B62" i="1"/>
  <c r="K61" i="1"/>
  <c r="J61" i="1"/>
  <c r="I61" i="1"/>
  <c r="H61" i="1"/>
  <c r="G61" i="1"/>
  <c r="F61" i="1"/>
  <c r="E61" i="1"/>
  <c r="D61" i="1"/>
  <c r="C61" i="1"/>
  <c r="B61" i="1"/>
  <c r="K60" i="1"/>
  <c r="J60" i="1"/>
  <c r="I60" i="1"/>
  <c r="H60" i="1"/>
  <c r="G60" i="1"/>
  <c r="F60" i="1"/>
  <c r="E60" i="1"/>
  <c r="D60" i="1"/>
  <c r="C60" i="1"/>
  <c r="B60" i="1"/>
  <c r="K59" i="1"/>
  <c r="J59" i="1"/>
  <c r="I59" i="1"/>
  <c r="H59" i="1"/>
  <c r="G59" i="1"/>
  <c r="F59" i="1"/>
  <c r="E59" i="1"/>
  <c r="D59" i="1"/>
  <c r="C59" i="1"/>
  <c r="B59" i="1"/>
  <c r="K58" i="1"/>
  <c r="J58" i="1"/>
  <c r="I58" i="1"/>
  <c r="H58" i="1"/>
  <c r="G58" i="1"/>
  <c r="F58" i="1"/>
  <c r="E58" i="1"/>
  <c r="D58" i="1"/>
  <c r="C58" i="1"/>
  <c r="B58" i="1"/>
  <c r="L24" i="1" a="1"/>
  <c r="L33" i="1" s="1"/>
  <c r="B3" i="1"/>
  <c r="A24" i="1" s="1" a="1"/>
  <c r="A33" i="1" s="1"/>
  <c r="B2" i="1"/>
  <c r="C2" i="1"/>
  <c r="C40" i="1"/>
  <c r="F27" i="1"/>
  <c r="E24" i="1"/>
  <c r="A24" i="1" l="1"/>
  <c r="A26" i="1"/>
  <c r="L24" i="1"/>
  <c r="A27" i="1"/>
  <c r="L25" i="1"/>
  <c r="A28" i="1"/>
  <c r="L26" i="1"/>
  <c r="A29" i="1"/>
  <c r="L27" i="1"/>
  <c r="L28" i="1"/>
  <c r="A25" i="1"/>
  <c r="A30" i="1"/>
  <c r="A31" i="1"/>
  <c r="L29" i="1"/>
  <c r="A32" i="1"/>
  <c r="L30" i="1"/>
  <c r="L31" i="1"/>
  <c r="L32" i="1"/>
  <c r="D24" i="1" l="1" a="1"/>
  <c r="D24" i="1" l="1"/>
  <c r="J24" i="1" s="1" a="1"/>
  <c r="D33" i="1"/>
  <c r="D32" i="1"/>
  <c r="D31" i="1"/>
  <c r="D26" i="1"/>
  <c r="D30" i="1"/>
  <c r="D29" i="1"/>
  <c r="D28" i="1"/>
  <c r="D27" i="1"/>
  <c r="D25" i="1"/>
  <c r="J28" i="1" l="1"/>
  <c r="B44" i="1" s="1"/>
  <c r="J27" i="1"/>
  <c r="B43" i="1" s="1"/>
  <c r="J26" i="1"/>
  <c r="B42" i="1" s="1"/>
  <c r="J25" i="1"/>
  <c r="B41" i="1" s="1"/>
  <c r="J24" i="1"/>
  <c r="B40" i="1" s="1"/>
  <c r="J33" i="1"/>
  <c r="B49" i="1" s="1"/>
  <c r="J32" i="1"/>
  <c r="B48" i="1" s="1"/>
  <c r="J30" i="1"/>
  <c r="B46" i="1" s="1"/>
  <c r="J29" i="1"/>
  <c r="B45" i="1" s="1"/>
  <c r="J31" i="1"/>
  <c r="B47" i="1" s="1"/>
  <c r="B50" i="1" l="1"/>
</calcChain>
</file>

<file path=xl/sharedStrings.xml><?xml version="1.0" encoding="utf-8"?>
<sst xmlns="http://schemas.openxmlformats.org/spreadsheetml/2006/main" count="87" uniqueCount="36">
  <si>
    <r>
      <t xml:space="preserve">ADJUSTING THE BENCHMARK FOR AN ANALYST'S OPINION
This version includes two opinions (GM and HD) and has a weight </t>
    </r>
    <r>
      <rPr>
        <b/>
        <sz val="14"/>
        <rFont val="Symbol"/>
        <family val="1"/>
        <charset val="2"/>
      </rPr>
      <t>g</t>
    </r>
    <r>
      <rPr>
        <b/>
        <sz val="14"/>
        <rFont val="Arial"/>
        <family val="2"/>
      </rPr>
      <t xml:space="preserve"> for the opinions</t>
    </r>
  </si>
  <si>
    <t>Anticipated benchmark return</t>
  </si>
  <si>
    <t>Current t-bill rate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</si>
  <si>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</si>
  <si>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</si>
  <si>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</si>
  <si>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</si>
  <si>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</si>
  <si>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</si>
  <si>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</si>
  <si>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</si>
  <si>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</si>
  <si>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</si>
  <si>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Equity value</t>
  </si>
  <si>
    <t>Benchmark proportions</t>
  </si>
  <si>
    <t>Variance-covariance matrix</t>
  </si>
  <si>
    <t>GM</t>
  </si>
  <si>
    <t>HD</t>
  </si>
  <si>
    <t>IP</t>
  </si>
  <si>
    <t>HPQ</t>
  </si>
  <si>
    <t>MO</t>
  </si>
  <si>
    <t>AXP</t>
  </si>
  <si>
    <t>AA</t>
  </si>
  <si>
    <t>DD</t>
  </si>
  <si>
    <t>MRK</t>
  </si>
  <si>
    <t>Expected benchmark returns, no opinions</t>
  </si>
  <si>
    <t>Analyst
opinion,
delta</t>
  </si>
  <si>
    <t>Returns
adjusted for opinions</t>
  </si>
  <si>
    <t>Optimized 
benchmark weights</t>
  </si>
  <si>
    <t>Benchmark weights, no opinions</t>
  </si>
  <si>
    <t>&lt;-- Weight attached to analyst opinion</t>
  </si>
  <si>
    <t>Opinion and confidence-
adjusted portfolio</t>
  </si>
  <si>
    <t>Sum of weights</t>
  </si>
  <si>
    <r>
      <t>Tracking factors:  in each row i Cov(r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,r</t>
    </r>
    <r>
      <rPr>
        <b/>
        <vertAlign val="subscript"/>
        <sz val="10"/>
        <rFont val="Arial"/>
        <family val="2"/>
      </rPr>
      <t>j</t>
    </r>
    <r>
      <rPr>
        <b/>
        <sz val="10"/>
        <rFont val="Arial"/>
        <family val="2"/>
      </rPr>
      <t>) is divided by Var(r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)</t>
    </r>
  </si>
  <si>
    <r>
      <t>g</t>
    </r>
    <r>
      <rPr>
        <sz val="12"/>
        <color theme="1"/>
        <rFont val="等线"/>
        <family val="2"/>
        <charset val="134"/>
        <scheme val="minor"/>
      </rPr>
      <t>, opinion confidence</t>
    </r>
    <phoneticPr fontId="1" type="noConversion"/>
  </si>
  <si>
    <t>σ 的平方和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</si>
</sst>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_);[Red]\(0.0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4"/>
      <name val="Symbol"/>
      <family val="1"/>
      <charset val="2"/>
    </font>
    <font>
      <b/>
      <sz val="10"/>
      <name val="Arial"/>
      <family val="2"/>
    </font>
    <font>
      <sz val="9"/>
      <name val="Arial"/>
      <family val="2"/>
    </font>
    <font>
      <b/>
      <vertAlign val="subscript"/>
      <sz val="10"/>
      <name val="Arial"/>
      <family val="2"/>
    </font>
    <font>
      <sz val="12"/>
      <name val="Symbol"/>
      <family val="1"/>
      <charset val="2"/>
    </font>
    <font>
      <sz val="12"/>
      <color theme="1"/>
      <name val="等线"/>
      <family val="2"/>
      <charset val="134"/>
      <scheme val="minor"/>
    </font>
    <font>
      <sz val="12"/>
      <color theme="1"/>
      <name val="Malgun Gothic Semilight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Alignment="1"/>
    <xf numFmtId="0" fontId="0" fillId="2" borderId="0" xfId="0" applyFill="1" applyAlignment="1"/>
    <xf numFmtId="10" fontId="2" fillId="2" borderId="0" xfId="1" applyNumberFormat="1" applyFill="1" applyAlignment="1"/>
    <xf numFmtId="0" fontId="0" fillId="0" borderId="0" xfId="0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0" fontId="2" fillId="0" borderId="0" xfId="1" applyNumberFormat="1" applyAlignment="1"/>
    <xf numFmtId="0" fontId="5" fillId="0" borderId="0" xfId="0" applyFont="1" applyAlignment="1"/>
    <xf numFmtId="176" fontId="0" fillId="0" borderId="0" xfId="0" applyNumberFormat="1" applyAlignment="1"/>
    <xf numFmtId="10" fontId="2" fillId="0" borderId="0" xfId="1" applyNumberFormat="1" applyAlignment="1">
      <alignment horizontal="center"/>
    </xf>
    <xf numFmtId="10" fontId="2" fillId="0" borderId="0" xfId="1" applyNumberFormat="1" applyFill="1" applyAlignment="1"/>
    <xf numFmtId="0" fontId="5" fillId="0" borderId="0" xfId="0" applyFont="1" applyAlignment="1">
      <alignment wrapText="1"/>
    </xf>
    <xf numFmtId="0" fontId="0" fillId="0" borderId="0" xfId="0" applyAlignment="1">
      <alignment horizontal="left"/>
    </xf>
    <xf numFmtId="10" fontId="0" fillId="2" borderId="0" xfId="1" applyNumberFormat="1" applyFont="1" applyFill="1" applyAlignment="1"/>
    <xf numFmtId="0" fontId="8" fillId="4" borderId="0" xfId="0" applyFont="1" applyFill="1" applyAlignment="1"/>
    <xf numFmtId="11" fontId="2" fillId="2" borderId="0" xfId="1" applyNumberFormat="1" applyFill="1" applyAlignment="1"/>
    <xf numFmtId="0" fontId="10" fillId="4" borderId="0" xfId="0" applyFont="1" applyFill="1" applyAlignment="1"/>
    <xf numFmtId="177" fontId="2" fillId="2" borderId="0" xfId="1" applyNumberFormat="1" applyFill="1" applyAlignme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91440</xdr:rowOff>
    </xdr:from>
    <xdr:to>
      <xdr:col>9</xdr:col>
      <xdr:colOff>121920</xdr:colOff>
      <xdr:row>28</xdr:row>
      <xdr:rowOff>114300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25493943-F003-4E72-ACE7-CB1744CE663E}"/>
            </a:ext>
          </a:extLst>
        </xdr:cNvPr>
        <xdr:cNvSpPr>
          <a:spLocks noChangeShapeType="1"/>
        </xdr:cNvSpPr>
      </xdr:nvSpPr>
      <xdr:spPr bwMode="auto">
        <a:xfrm flipV="1">
          <a:off x="6296025" y="5600700"/>
          <a:ext cx="733425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</xdr:col>
      <xdr:colOff>485775</xdr:colOff>
      <xdr:row>0</xdr:row>
      <xdr:rowOff>180975</xdr:rowOff>
    </xdr:from>
    <xdr:to>
      <xdr:col>28</xdr:col>
      <xdr:colOff>398145</xdr:colOff>
      <xdr:row>49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AE0A260-3555-DF03-7D75-A4A8E69F2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53650" y="180975"/>
          <a:ext cx="9067800" cy="9448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12</xdr:col>
      <xdr:colOff>152400</xdr:colOff>
      <xdr:row>53</xdr:row>
      <xdr:rowOff>9525</xdr:rowOff>
    </xdr:from>
    <xdr:to>
      <xdr:col>21</xdr:col>
      <xdr:colOff>305586</xdr:colOff>
      <xdr:row>83</xdr:row>
      <xdr:rowOff>88364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AF8D6BC-EFFC-E301-8AB6-257B64136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10675" y="10306050"/>
          <a:ext cx="5639586" cy="5250914"/>
        </a:xfrm>
        <a:prstGeom prst="rect">
          <a:avLst/>
        </a:prstGeom>
      </xdr:spPr>
    </xdr:pic>
    <xdr:clientData/>
  </xdr:twoCellAnchor>
  <xdr:twoCellAnchor>
    <xdr:from>
      <xdr:col>12</xdr:col>
      <xdr:colOff>350520</xdr:colOff>
      <xdr:row>71</xdr:row>
      <xdr:rowOff>163830</xdr:rowOff>
    </xdr:from>
    <xdr:to>
      <xdr:col>13</xdr:col>
      <xdr:colOff>285750</xdr:colOff>
      <xdr:row>73</xdr:row>
      <xdr:rowOff>163830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8745CE9E-082A-B7BC-ED59-D47073C9E5B9}"/>
            </a:ext>
          </a:extLst>
        </xdr:cNvPr>
        <xdr:cNvSpPr/>
      </xdr:nvSpPr>
      <xdr:spPr>
        <a:xfrm>
          <a:off x="9408795" y="13575030"/>
          <a:ext cx="544830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/>
      <sheetData sheetId="1"/>
      <sheetData sheetId="2"/>
      <sheetData sheetId="3"/>
      <sheetData sheetId="4">
        <row r="19">
          <cell r="B19">
            <v>4.0249999999999999E-3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L67"/>
  <sheetViews>
    <sheetView tabSelected="1" workbookViewId="0">
      <selection activeCell="B35" sqref="B35"/>
    </sheetView>
  </sheetViews>
  <sheetFormatPr defaultRowHeight="13.8" x14ac:dyDescent="0.25"/>
  <cols>
    <col min="1" max="1" width="25.5546875" style="4" customWidth="1"/>
    <col min="2" max="2" width="9.33203125" style="4" bestFit="1" customWidth="1"/>
    <col min="3" max="3" width="8.88671875" style="4"/>
    <col min="4" max="4" width="12.5546875" style="4" customWidth="1"/>
    <col min="5" max="9" width="8.88671875" style="4"/>
    <col min="10" max="10" width="11.109375" style="4" customWidth="1"/>
    <col min="11" max="11" width="8.88671875" style="4"/>
    <col min="12" max="12" width="11.33203125" style="4" customWidth="1"/>
  </cols>
  <sheetData>
    <row r="1" spans="1:12" ht="17.399999999999999" x14ac:dyDescent="0.3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1"/>
    </row>
    <row r="2" spans="1:12" x14ac:dyDescent="0.25">
      <c r="A2" s="2" t="s">
        <v>1</v>
      </c>
      <c r="B2" s="3">
        <f>12%/12</f>
        <v>0.01</v>
      </c>
      <c r="C2" s="4" t="str">
        <f ca="1">[1]!getformula(B2)</f>
        <v>&lt;--  =12%/12</v>
      </c>
    </row>
    <row r="3" spans="1:12" x14ac:dyDescent="0.25">
      <c r="A3" s="4" t="s">
        <v>2</v>
      </c>
      <c r="B3" s="5">
        <f>'[2]Page 353'!B19</f>
        <v>4.0249999999999999E-3</v>
      </c>
    </row>
    <row r="4" spans="1:12" x14ac:dyDescent="0.25">
      <c r="B4" s="5"/>
    </row>
    <row r="5" spans="1:12" ht="55.2" x14ac:dyDescent="0.25">
      <c r="A5" s="6"/>
      <c r="B5" s="7" t="s">
        <v>3</v>
      </c>
      <c r="C5" s="7" t="s">
        <v>4</v>
      </c>
      <c r="D5" s="7" t="s">
        <v>5</v>
      </c>
      <c r="E5" s="7" t="s">
        <v>6</v>
      </c>
      <c r="F5" s="7" t="s">
        <v>7</v>
      </c>
      <c r="G5" s="7" t="s">
        <v>8</v>
      </c>
      <c r="H5" s="7" t="s">
        <v>9</v>
      </c>
      <c r="I5" s="7" t="s">
        <v>10</v>
      </c>
      <c r="J5" s="7" t="s">
        <v>11</v>
      </c>
      <c r="K5" s="6" t="s">
        <v>12</v>
      </c>
      <c r="L5" s="6"/>
    </row>
    <row r="6" spans="1:12" x14ac:dyDescent="0.25">
      <c r="A6" s="4" t="s">
        <v>13</v>
      </c>
      <c r="B6" s="4">
        <v>16.850000000000001</v>
      </c>
      <c r="C6" s="4">
        <v>73.98</v>
      </c>
      <c r="D6" s="4">
        <v>15.92</v>
      </c>
      <c r="E6" s="4">
        <v>88.37</v>
      </c>
      <c r="F6" s="4">
        <v>153.33000000000001</v>
      </c>
      <c r="G6" s="4">
        <v>65.66</v>
      </c>
      <c r="H6" s="4">
        <v>28.16</v>
      </c>
      <c r="I6" s="4">
        <v>38.32</v>
      </c>
      <c r="J6" s="4">
        <v>79.510000000000005</v>
      </c>
      <c r="K6" s="4">
        <v>60.9</v>
      </c>
    </row>
    <row r="7" spans="1:12" x14ac:dyDescent="0.25">
      <c r="A7" s="4" t="s">
        <v>14</v>
      </c>
      <c r="B7" s="8">
        <v>2.7133655394524961E-2</v>
      </c>
      <c r="C7" s="8">
        <v>0.11913043478260871</v>
      </c>
      <c r="D7" s="8">
        <v>2.5636070853462159E-2</v>
      </c>
      <c r="E7" s="8">
        <v>0.14230273752012884</v>
      </c>
      <c r="F7" s="8">
        <v>0.2469082125603865</v>
      </c>
      <c r="G7" s="8">
        <v>0.10573268921095008</v>
      </c>
      <c r="H7" s="8">
        <v>4.5346215780998393E-2</v>
      </c>
      <c r="I7" s="8">
        <v>6.1706924315619971E-2</v>
      </c>
      <c r="J7" s="8">
        <v>0.1280354267310789</v>
      </c>
      <c r="K7" s="8">
        <v>9.8067632850241546E-2</v>
      </c>
    </row>
    <row r="9" spans="1:12" x14ac:dyDescent="0.25">
      <c r="A9" s="9" t="s">
        <v>15</v>
      </c>
    </row>
    <row r="10" spans="1:12" x14ac:dyDescent="0.25">
      <c r="B10" s="6" t="s">
        <v>16</v>
      </c>
      <c r="C10" s="6" t="s">
        <v>17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12</v>
      </c>
    </row>
    <row r="11" spans="1:12" x14ac:dyDescent="0.25">
      <c r="A11" s="4" t="s">
        <v>16</v>
      </c>
      <c r="B11" s="10">
        <v>1.1630755835291622E-2</v>
      </c>
      <c r="C11" s="10">
        <v>3.0106683614829358E-3</v>
      </c>
      <c r="D11" s="10">
        <v>2.3254503474852994E-3</v>
      </c>
      <c r="E11" s="10">
        <v>4.1175401193825735E-3</v>
      </c>
      <c r="F11" s="10">
        <v>1.3411074854054656E-3</v>
      </c>
      <c r="G11" s="10">
        <v>3.2427581083806453E-3</v>
      </c>
      <c r="H11" s="10">
        <v>4.559475130716641E-3</v>
      </c>
      <c r="I11" s="10">
        <v>1.8080469614764566E-3</v>
      </c>
      <c r="J11" s="10">
        <v>9.6430272616627988E-4</v>
      </c>
      <c r="K11" s="10">
        <v>1.3596622377221395E-3</v>
      </c>
    </row>
    <row r="12" spans="1:12" x14ac:dyDescent="0.25">
      <c r="A12" s="4" t="s">
        <v>17</v>
      </c>
      <c r="B12" s="10">
        <v>3.0106683614829358E-3</v>
      </c>
      <c r="C12" s="10">
        <v>7.0716946538033343E-3</v>
      </c>
      <c r="D12" s="10">
        <v>1.8408350197988616E-3</v>
      </c>
      <c r="E12" s="10">
        <v>4.196014186426276E-3</v>
      </c>
      <c r="F12" s="10">
        <v>2.2059132808523074E-3</v>
      </c>
      <c r="G12" s="10">
        <v>3.2774690093504469E-3</v>
      </c>
      <c r="H12" s="10">
        <v>4.5086534769155561E-3</v>
      </c>
      <c r="I12" s="10">
        <v>2.0041251959796755E-3</v>
      </c>
      <c r="J12" s="10">
        <v>1.7652868895021674E-4</v>
      </c>
      <c r="K12" s="10">
        <v>1.7687500013320796E-3</v>
      </c>
    </row>
    <row r="13" spans="1:12" x14ac:dyDescent="0.25">
      <c r="A13" s="4" t="s">
        <v>18</v>
      </c>
      <c r="B13" s="10">
        <v>2.3254503474852994E-3</v>
      </c>
      <c r="C13" s="10">
        <v>1.8408350197988616E-3</v>
      </c>
      <c r="D13" s="10">
        <v>3.8853621784907073E-3</v>
      </c>
      <c r="E13" s="10">
        <v>3.0848858735654937E-3</v>
      </c>
      <c r="F13" s="10">
        <v>8.6136587955860312E-5</v>
      </c>
      <c r="G13" s="10">
        <v>2.3133685203074361E-3</v>
      </c>
      <c r="H13" s="10">
        <v>4.271744661217867E-3</v>
      </c>
      <c r="I13" s="10">
        <v>2.0614465225272187E-3</v>
      </c>
      <c r="J13" s="10">
        <v>1.1872571082164032E-3</v>
      </c>
      <c r="K13" s="10">
        <v>1.5786001791508973E-3</v>
      </c>
    </row>
    <row r="14" spans="1:12" x14ac:dyDescent="0.25">
      <c r="A14" s="4" t="s">
        <v>19</v>
      </c>
      <c r="B14" s="10">
        <v>4.1175401193825735E-3</v>
      </c>
      <c r="C14" s="10">
        <v>4.196014186426276E-3</v>
      </c>
      <c r="D14" s="10">
        <v>3.0848858735654937E-3</v>
      </c>
      <c r="E14" s="10">
        <v>1.1674319631780589E-2</v>
      </c>
      <c r="F14" s="10">
        <v>2.5236843308274301E-3</v>
      </c>
      <c r="G14" s="10">
        <v>4.839193201553617E-3</v>
      </c>
      <c r="H14" s="10">
        <v>5.9502249563246961E-3</v>
      </c>
      <c r="I14" s="10">
        <v>3.2585757875472402E-3</v>
      </c>
      <c r="J14" s="10">
        <v>1.9441355040393943E-3</v>
      </c>
      <c r="K14" s="10">
        <v>2.1927935111878674E-3</v>
      </c>
    </row>
    <row r="15" spans="1:12" x14ac:dyDescent="0.25">
      <c r="A15" s="4" t="s">
        <v>20</v>
      </c>
      <c r="B15" s="10">
        <v>1.3411074854054656E-3</v>
      </c>
      <c r="C15" s="10">
        <v>2.2059132808523074E-3</v>
      </c>
      <c r="D15" s="10">
        <v>8.6136587955860312E-5</v>
      </c>
      <c r="E15" s="10">
        <v>2.5236843308274301E-3</v>
      </c>
      <c r="F15" s="10">
        <v>7.5830810065696539E-3</v>
      </c>
      <c r="G15" s="10">
        <v>1.5895671876165788E-3</v>
      </c>
      <c r="H15" s="10">
        <v>1.7826241201490873E-3</v>
      </c>
      <c r="I15" s="10">
        <v>8.784547863925602E-4</v>
      </c>
      <c r="J15" s="10">
        <v>6.7072087604358205E-4</v>
      </c>
      <c r="K15" s="10">
        <v>7.9299183805396536E-4</v>
      </c>
    </row>
    <row r="16" spans="1:12" x14ac:dyDescent="0.25">
      <c r="A16" s="4" t="s">
        <v>21</v>
      </c>
      <c r="B16" s="10">
        <v>3.2427581083806453E-3</v>
      </c>
      <c r="C16" s="10">
        <v>3.2774690093504469E-3</v>
      </c>
      <c r="D16" s="10">
        <v>2.3133685203074361E-3</v>
      </c>
      <c r="E16" s="10">
        <v>4.839193201553617E-3</v>
      </c>
      <c r="F16" s="10">
        <v>1.5895671876165788E-3</v>
      </c>
      <c r="G16" s="10">
        <v>4.1345628849047671E-3</v>
      </c>
      <c r="H16" s="10">
        <v>3.702960928765384E-3</v>
      </c>
      <c r="I16" s="10">
        <v>1.911867127129391E-3</v>
      </c>
      <c r="J16" s="10">
        <v>1.0567018841059934E-3</v>
      </c>
      <c r="K16" s="10">
        <v>1.3520266691952857E-3</v>
      </c>
    </row>
    <row r="17" spans="1:12" x14ac:dyDescent="0.25">
      <c r="A17" s="4" t="s">
        <v>22</v>
      </c>
      <c r="B17" s="10">
        <v>4.559475130716641E-3</v>
      </c>
      <c r="C17" s="10">
        <v>4.5086534769155561E-3</v>
      </c>
      <c r="D17" s="10">
        <v>4.271744661217867E-3</v>
      </c>
      <c r="E17" s="10">
        <v>5.9502249563246961E-3</v>
      </c>
      <c r="F17" s="10">
        <v>1.7826241201490873E-3</v>
      </c>
      <c r="G17" s="10">
        <v>3.702960928765384E-3</v>
      </c>
      <c r="H17" s="10">
        <v>9.1081696375982964E-3</v>
      </c>
      <c r="I17" s="10">
        <v>4.0112393583086482E-3</v>
      </c>
      <c r="J17" s="10">
        <v>1.7649074734528689E-3</v>
      </c>
      <c r="K17" s="10">
        <v>2.3907803994895555E-3</v>
      </c>
    </row>
    <row r="18" spans="1:12" x14ac:dyDescent="0.25">
      <c r="A18" s="4" t="s">
        <v>23</v>
      </c>
      <c r="B18" s="10">
        <v>1.8080469614764566E-3</v>
      </c>
      <c r="C18" s="10">
        <v>2.0041251959796755E-3</v>
      </c>
      <c r="D18" s="10">
        <v>2.0614465225272187E-3</v>
      </c>
      <c r="E18" s="10">
        <v>3.2585757875472402E-3</v>
      </c>
      <c r="F18" s="10">
        <v>8.784547863925602E-4</v>
      </c>
      <c r="G18" s="10">
        <v>1.911867127129391E-3</v>
      </c>
      <c r="H18" s="10">
        <v>4.0112393583086482E-3</v>
      </c>
      <c r="I18" s="10">
        <v>3.7510568952552801E-3</v>
      </c>
      <c r="J18" s="10">
        <v>1.6231720667958919E-3</v>
      </c>
      <c r="K18" s="10">
        <v>1.9005432720251786E-3</v>
      </c>
    </row>
    <row r="19" spans="1:12" x14ac:dyDescent="0.25">
      <c r="A19" s="4" t="s">
        <v>24</v>
      </c>
      <c r="B19" s="10">
        <v>9.6430272616627988E-4</v>
      </c>
      <c r="C19" s="10">
        <v>1.7652868895021674E-4</v>
      </c>
      <c r="D19" s="10">
        <v>1.1872571082164032E-3</v>
      </c>
      <c r="E19" s="10">
        <v>1.9441355040393943E-3</v>
      </c>
      <c r="F19" s="10">
        <v>6.7072087604358205E-4</v>
      </c>
      <c r="G19" s="10">
        <v>1.0567018841059934E-3</v>
      </c>
      <c r="H19" s="10">
        <v>1.7649074734528689E-3</v>
      </c>
      <c r="I19" s="10">
        <v>1.6231720667958919E-3</v>
      </c>
      <c r="J19" s="10">
        <v>6.5003166685241873E-3</v>
      </c>
      <c r="K19" s="10">
        <v>4.814275272394565E-4</v>
      </c>
    </row>
    <row r="20" spans="1:12" x14ac:dyDescent="0.25">
      <c r="A20" s="4" t="s">
        <v>12</v>
      </c>
      <c r="B20" s="10">
        <v>1.3596622377221395E-3</v>
      </c>
      <c r="C20" s="10">
        <v>1.7687500013320796E-3</v>
      </c>
      <c r="D20" s="10">
        <v>1.5786001791508973E-3</v>
      </c>
      <c r="E20" s="10">
        <v>2.1927935111878674E-3</v>
      </c>
      <c r="F20" s="10">
        <v>7.9299183805396536E-4</v>
      </c>
      <c r="G20" s="10">
        <v>1.3520266691952857E-3</v>
      </c>
      <c r="H20" s="10">
        <v>2.3907803994895555E-3</v>
      </c>
      <c r="I20" s="10">
        <v>1.9005432720251786E-3</v>
      </c>
      <c r="J20" s="10">
        <v>4.814275272394565E-4</v>
      </c>
      <c r="K20" s="10">
        <v>3.0644271279601479E-3</v>
      </c>
    </row>
    <row r="23" spans="1:12" ht="41.4" x14ac:dyDescent="0.25">
      <c r="A23" s="7" t="s">
        <v>25</v>
      </c>
      <c r="B23" s="7" t="s">
        <v>26</v>
      </c>
      <c r="D23" s="7" t="s">
        <v>27</v>
      </c>
      <c r="J23" s="7" t="s">
        <v>28</v>
      </c>
      <c r="K23" s="6"/>
      <c r="L23" s="7" t="s">
        <v>29</v>
      </c>
    </row>
    <row r="24" spans="1:12" x14ac:dyDescent="0.25">
      <c r="A24" s="11">
        <f t="array" ref="A24:A33">(MMULT(B11:K20,TRANSPOSE(B7:K7))*(B2-B3)/MMULT(B7:K7,MMULT(B11:K20,TRANSPOSE(B7:K7))))+B3</f>
        <v>9.569555680628946E-3</v>
      </c>
      <c r="B24" s="5">
        <v>1.7918299783996445E-3</v>
      </c>
      <c r="D24" s="12">
        <f t="array" ref="D24:D33">A24:A33+MMULT(B58:K67,B24:B33)</f>
        <v>1.1000000005556112E-2</v>
      </c>
      <c r="E24" s="4" t="str">
        <f ca="1">[1]!getformula(D24)</f>
        <v>&lt;--  {=A24:A33+MMULT(B58:K67,B24:B33)}</v>
      </c>
      <c r="J24" s="12">
        <f t="array" ref="J24:J33">MMULT(MINVERSE(B11:K20),D24:D33-B3)/SUM(MMULT(MINVERSE(B11:K20),D24:D33-B3))</f>
        <v>8.9226748228107458E-2</v>
      </c>
      <c r="K24" s="6" t="s">
        <v>16</v>
      </c>
      <c r="L24" s="8">
        <f t="array" ref="L24:L33">TRANSPOSE(B7:K7)</f>
        <v>2.7133655394524961E-2</v>
      </c>
    </row>
    <row r="25" spans="1:12" x14ac:dyDescent="0.25">
      <c r="A25" s="11">
        <v>1.0465017543034114E-2</v>
      </c>
      <c r="B25" s="8">
        <v>-9.9739605063192053E-4</v>
      </c>
      <c r="D25" s="12">
        <v>9.9999999944814025E-3</v>
      </c>
      <c r="J25" s="12">
        <v>5.3608062683468551E-2</v>
      </c>
      <c r="K25" s="6" t="s">
        <v>17</v>
      </c>
      <c r="L25" s="8">
        <v>0.11913043478260871</v>
      </c>
    </row>
    <row r="26" spans="1:12" x14ac:dyDescent="0.25">
      <c r="A26" s="11">
        <v>7.7256329954965919E-3</v>
      </c>
      <c r="B26" s="8">
        <v>7.0563833505158809E-5</v>
      </c>
      <c r="D26" s="12">
        <v>8.1610000062720817E-3</v>
      </c>
      <c r="J26" s="12">
        <v>8.1910733592899299E-2</v>
      </c>
      <c r="K26" s="6" t="s">
        <v>18</v>
      </c>
      <c r="L26" s="8">
        <v>2.5636070853462159E-2</v>
      </c>
    </row>
    <row r="27" spans="1:12" x14ac:dyDescent="0.25">
      <c r="A27" s="11">
        <v>1.3568233600962151E-2</v>
      </c>
      <c r="B27" s="8">
        <v>-9.2543855056846424E-5</v>
      </c>
      <c r="D27" s="12">
        <v>1.3638943165301724E-2</v>
      </c>
      <c r="F27" s="22" t="str">
        <f ca="1">"Cells "&amp;CHAR(COLUMN(J24)+64)&amp;ROW(J24)&amp;":"&amp;CHAR(COLUMN(J33)+64)&amp;ROW(J33)&amp;" contain the array formula "&amp;[1]!ggetformula(J24)</f>
        <v>Cells J24:J33 contain the array formula  {=MMULT(MINVERSE(B11:K20),D24:D33-B3)/SUM(MMULT(MINVERSE(B11:K20),D24:D33-B3))}</v>
      </c>
      <c r="G27" s="22"/>
      <c r="H27" s="22"/>
      <c r="J27" s="12">
        <v>0.12009278239521957</v>
      </c>
      <c r="K27" s="6" t="s">
        <v>19</v>
      </c>
      <c r="L27" s="8">
        <v>0.14230273752012884</v>
      </c>
    </row>
    <row r="28" spans="1:12" x14ac:dyDescent="0.25">
      <c r="A28" s="11">
        <v>1.0499082035422068E-2</v>
      </c>
      <c r="B28" s="8">
        <v>-2.2503246096604798E-4</v>
      </c>
      <c r="D28" s="12">
        <v>1.0233358881760107E-2</v>
      </c>
      <c r="F28" s="22"/>
      <c r="G28" s="22"/>
      <c r="H28" s="22"/>
      <c r="J28" s="12">
        <v>0.2296427446583717</v>
      </c>
      <c r="K28" s="6" t="s">
        <v>20</v>
      </c>
      <c r="L28" s="8">
        <v>0.2469082125603865</v>
      </c>
    </row>
    <row r="29" spans="1:12" x14ac:dyDescent="0.25">
      <c r="A29" s="11">
        <v>9.65774130902676E-3</v>
      </c>
      <c r="B29" s="8">
        <v>-6.6591614469206054E-5</v>
      </c>
      <c r="D29" s="12">
        <v>9.9544388020676739E-3</v>
      </c>
      <c r="F29" s="22"/>
      <c r="G29" s="22"/>
      <c r="H29" s="22"/>
      <c r="J29" s="12">
        <v>0.14490533379285106</v>
      </c>
      <c r="K29" s="6" t="s">
        <v>21</v>
      </c>
      <c r="L29" s="8">
        <v>0.10573268921095008</v>
      </c>
    </row>
    <row r="30" spans="1:12" x14ac:dyDescent="0.25">
      <c r="A30" s="11">
        <v>1.1729586575864329E-2</v>
      </c>
      <c r="B30" s="8">
        <v>-7.0495558679983157E-5</v>
      </c>
      <c r="D30" s="12">
        <v>1.1930137042451583E-2</v>
      </c>
      <c r="F30" s="22"/>
      <c r="G30" s="22"/>
      <c r="H30" s="22"/>
      <c r="J30" s="12">
        <v>2.330008789121836E-2</v>
      </c>
      <c r="K30" s="6" t="s">
        <v>22</v>
      </c>
      <c r="L30" s="8">
        <v>4.5346215780998393E-2</v>
      </c>
    </row>
    <row r="31" spans="1:12" x14ac:dyDescent="0.25">
      <c r="A31" s="11">
        <v>8.4084879918391725E-3</v>
      </c>
      <c r="B31" s="8">
        <v>-7.8168248693516695E-5</v>
      </c>
      <c r="D31" s="12">
        <v>8.4685299590879694E-3</v>
      </c>
      <c r="F31" s="22"/>
      <c r="G31" s="22"/>
      <c r="H31" s="22"/>
      <c r="J31" s="12">
        <v>6.3611786855714447E-2</v>
      </c>
      <c r="K31" s="6" t="s">
        <v>23</v>
      </c>
      <c r="L31" s="8">
        <v>6.1706924315619971E-2</v>
      </c>
    </row>
    <row r="32" spans="1:12" x14ac:dyDescent="0.25">
      <c r="A32" s="11">
        <v>7.6753599960958175E-3</v>
      </c>
      <c r="B32" s="8">
        <v>1.6553196411391645E-4</v>
      </c>
      <c r="D32" s="12">
        <v>7.9832707274678262E-3</v>
      </c>
      <c r="F32" s="22"/>
      <c r="G32" s="22"/>
      <c r="H32" s="22"/>
      <c r="J32" s="12">
        <v>0.13049008922702651</v>
      </c>
      <c r="K32" s="6" t="s">
        <v>24</v>
      </c>
      <c r="L32" s="8">
        <v>0.1280354267310789</v>
      </c>
    </row>
    <row r="33" spans="1:12" x14ac:dyDescent="0.25">
      <c r="A33" s="11">
        <v>7.3201358684277396E-3</v>
      </c>
      <c r="B33" s="8">
        <v>-1.1954021558924808E-4</v>
      </c>
      <c r="D33" s="12">
        <v>7.2249752076189826E-3</v>
      </c>
      <c r="F33" s="22"/>
      <c r="G33" s="22"/>
      <c r="H33" s="22"/>
      <c r="J33" s="12">
        <v>6.3211630675123212E-2</v>
      </c>
      <c r="K33" s="6" t="s">
        <v>12</v>
      </c>
      <c r="L33" s="8">
        <v>9.8067632850241546E-2</v>
      </c>
    </row>
    <row r="35" spans="1:12" ht="18.600000000000001" customHeight="1" x14ac:dyDescent="0.45">
      <c r="A35" s="18" t="s">
        <v>35</v>
      </c>
      <c r="B35" s="17">
        <f t="array" ref="B35">SUM((B24:B33)^2)</f>
        <v>4.3268418178055514E-6</v>
      </c>
      <c r="C35" s="4" t="s">
        <v>30</v>
      </c>
    </row>
    <row r="36" spans="1:12" ht="15.6" x14ac:dyDescent="0.3">
      <c r="A36" s="16" t="s">
        <v>34</v>
      </c>
      <c r="B36" s="19">
        <v>0.6</v>
      </c>
    </row>
    <row r="37" spans="1:12" ht="15" x14ac:dyDescent="0.25">
      <c r="A37" s="16"/>
      <c r="B37" s="17"/>
    </row>
    <row r="39" spans="1:12" ht="26.4" x14ac:dyDescent="0.25">
      <c r="A39" s="13" t="s">
        <v>31</v>
      </c>
    </row>
    <row r="40" spans="1:12" x14ac:dyDescent="0.25">
      <c r="A40" s="14" t="s">
        <v>16</v>
      </c>
      <c r="B40" s="15">
        <f>(1-$B$36)*L24+$B$36*J24</f>
        <v>6.4389511094674459E-2</v>
      </c>
      <c r="C40" s="4" t="str">
        <f ca="1">[1]!getformula(B40)</f>
        <v>&lt;--  =(1-$B$36)*L24+$B$36*J24</v>
      </c>
    </row>
    <row r="41" spans="1:12" x14ac:dyDescent="0.25">
      <c r="A41" s="14" t="s">
        <v>17</v>
      </c>
      <c r="B41" s="15">
        <f t="shared" ref="B41:B49" si="0">(1-$B$36)*L25+$B$36*J25</f>
        <v>7.981701152312462E-2</v>
      </c>
    </row>
    <row r="42" spans="1:12" x14ac:dyDescent="0.25">
      <c r="A42" s="14" t="s">
        <v>18</v>
      </c>
      <c r="B42" s="15">
        <f t="shared" si="0"/>
        <v>5.9400868497124448E-2</v>
      </c>
    </row>
    <row r="43" spans="1:12" x14ac:dyDescent="0.25">
      <c r="A43" s="14" t="s">
        <v>19</v>
      </c>
      <c r="B43" s="15">
        <f t="shared" si="0"/>
        <v>0.12897676444518327</v>
      </c>
    </row>
    <row r="44" spans="1:12" x14ac:dyDescent="0.25">
      <c r="A44" s="14" t="s">
        <v>20</v>
      </c>
      <c r="B44" s="15">
        <f t="shared" si="0"/>
        <v>0.2365489318191776</v>
      </c>
    </row>
    <row r="45" spans="1:12" x14ac:dyDescent="0.25">
      <c r="A45" s="14" t="s">
        <v>21</v>
      </c>
      <c r="B45" s="15">
        <f t="shared" si="0"/>
        <v>0.12923627596009069</v>
      </c>
    </row>
    <row r="46" spans="1:12" x14ac:dyDescent="0.25">
      <c r="A46" s="14" t="s">
        <v>22</v>
      </c>
      <c r="B46" s="15">
        <f t="shared" si="0"/>
        <v>3.2118539047130371E-2</v>
      </c>
    </row>
    <row r="47" spans="1:12" x14ac:dyDescent="0.25">
      <c r="A47" s="14" t="s">
        <v>23</v>
      </c>
      <c r="B47" s="15">
        <f t="shared" si="0"/>
        <v>6.2849841839676651E-2</v>
      </c>
    </row>
    <row r="48" spans="1:12" x14ac:dyDescent="0.25">
      <c r="A48" s="14" t="s">
        <v>24</v>
      </c>
      <c r="B48" s="15">
        <f t="shared" si="0"/>
        <v>0.12950822422864747</v>
      </c>
    </row>
    <row r="49" spans="1:11" x14ac:dyDescent="0.25">
      <c r="A49" s="14" t="s">
        <v>12</v>
      </c>
      <c r="B49" s="15">
        <f t="shared" si="0"/>
        <v>7.7154031545170546E-2</v>
      </c>
    </row>
    <row r="50" spans="1:11" x14ac:dyDescent="0.25">
      <c r="A50" s="14" t="s">
        <v>32</v>
      </c>
      <c r="B50" s="5">
        <f>SUM(B40:B49)</f>
        <v>1.0000000000000002</v>
      </c>
    </row>
    <row r="56" spans="1:11" ht="15.6" x14ac:dyDescent="0.35">
      <c r="A56" s="9" t="s">
        <v>33</v>
      </c>
    </row>
    <row r="57" spans="1:11" x14ac:dyDescent="0.25">
      <c r="B57" s="6" t="s">
        <v>16</v>
      </c>
      <c r="C57" s="6" t="s">
        <v>17</v>
      </c>
      <c r="D57" s="6" t="s">
        <v>18</v>
      </c>
      <c r="E57" s="6" t="s">
        <v>19</v>
      </c>
      <c r="F57" s="6" t="s">
        <v>20</v>
      </c>
      <c r="G57" s="6" t="s">
        <v>21</v>
      </c>
      <c r="H57" s="6" t="s">
        <v>22</v>
      </c>
      <c r="I57" s="6" t="s">
        <v>23</v>
      </c>
      <c r="J57" s="6" t="s">
        <v>24</v>
      </c>
      <c r="K57" s="6" t="s">
        <v>12</v>
      </c>
    </row>
    <row r="58" spans="1:11" x14ac:dyDescent="0.25">
      <c r="A58" s="4" t="s">
        <v>16</v>
      </c>
      <c r="B58" s="10">
        <f t="shared" ref="B58:K58" si="1">B11/$B$11</f>
        <v>1</v>
      </c>
      <c r="C58" s="10">
        <f t="shared" si="1"/>
        <v>0.25885405936796957</v>
      </c>
      <c r="D58" s="10">
        <f t="shared" si="1"/>
        <v>0.19993974427948194</v>
      </c>
      <c r="E58" s="10">
        <f t="shared" si="1"/>
        <v>0.3540217142972405</v>
      </c>
      <c r="F58" s="10">
        <f t="shared" si="1"/>
        <v>0.11530699331990917</v>
      </c>
      <c r="G58" s="10">
        <f t="shared" si="1"/>
        <v>0.27880888863138431</v>
      </c>
      <c r="H58" s="10">
        <f t="shared" si="1"/>
        <v>0.39201881591234689</v>
      </c>
      <c r="I58" s="10">
        <f t="shared" si="1"/>
        <v>0.15545395218341998</v>
      </c>
      <c r="J58" s="10">
        <f t="shared" si="1"/>
        <v>8.2909721416407123E-2</v>
      </c>
      <c r="K58" s="10">
        <f t="shared" si="1"/>
        <v>0.11690231116334394</v>
      </c>
    </row>
    <row r="59" spans="1:11" x14ac:dyDescent="0.25">
      <c r="A59" s="4" t="s">
        <v>17</v>
      </c>
      <c r="B59" s="10">
        <f t="shared" ref="B59:K59" si="2">B12/$C$12</f>
        <v>0.42573506194356442</v>
      </c>
      <c r="C59" s="10">
        <f t="shared" si="2"/>
        <v>1</v>
      </c>
      <c r="D59" s="10">
        <f t="shared" si="2"/>
        <v>0.26031030890294654</v>
      </c>
      <c r="E59" s="10">
        <f t="shared" si="2"/>
        <v>0.5933534169450535</v>
      </c>
      <c r="F59" s="10">
        <f t="shared" si="2"/>
        <v>0.31193559519229414</v>
      </c>
      <c r="G59" s="10">
        <f t="shared" si="2"/>
        <v>0.46346302686976765</v>
      </c>
      <c r="H59" s="10">
        <f t="shared" si="2"/>
        <v>0.63756337025817278</v>
      </c>
      <c r="I59" s="10">
        <f t="shared" si="2"/>
        <v>0.2834009801175178</v>
      </c>
      <c r="J59" s="10">
        <f t="shared" si="2"/>
        <v>2.4962713690596806E-2</v>
      </c>
      <c r="K59" s="10">
        <f t="shared" si="2"/>
        <v>0.25011685146512957</v>
      </c>
    </row>
    <row r="60" spans="1:11" x14ac:dyDescent="0.25">
      <c r="A60" s="4" t="s">
        <v>18</v>
      </c>
      <c r="B60" s="10">
        <f t="shared" ref="B60:K60" si="3">B13/$D$13</f>
        <v>0.59851572148381671</v>
      </c>
      <c r="C60" s="10">
        <f t="shared" si="3"/>
        <v>0.47378723918961535</v>
      </c>
      <c r="D60" s="10">
        <f t="shared" si="3"/>
        <v>1</v>
      </c>
      <c r="E60" s="10">
        <f t="shared" si="3"/>
        <v>0.79397639958595478</v>
      </c>
      <c r="F60" s="10">
        <f t="shared" si="3"/>
        <v>2.2169513162173363E-2</v>
      </c>
      <c r="G60" s="10">
        <f t="shared" si="3"/>
        <v>0.59540614594804087</v>
      </c>
      <c r="H60" s="10">
        <f t="shared" si="3"/>
        <v>1.0994456797016674</v>
      </c>
      <c r="I60" s="10">
        <f t="shared" si="3"/>
        <v>0.53056740345580866</v>
      </c>
      <c r="J60" s="10">
        <f t="shared" si="3"/>
        <v>0.30557179837417381</v>
      </c>
      <c r="K60" s="10">
        <f t="shared" si="3"/>
        <v>0.40629421573360613</v>
      </c>
    </row>
    <row r="61" spans="1:11" x14ac:dyDescent="0.25">
      <c r="A61" s="4" t="s">
        <v>19</v>
      </c>
      <c r="B61" s="10">
        <f t="shared" ref="B61:K61" si="4">B14/$E$14</f>
        <v>0.352700649738383</v>
      </c>
      <c r="C61" s="10">
        <f t="shared" si="4"/>
        <v>0.35942258896215368</v>
      </c>
      <c r="D61" s="10">
        <f t="shared" si="4"/>
        <v>0.26424545248595194</v>
      </c>
      <c r="E61" s="10">
        <f t="shared" si="4"/>
        <v>1</v>
      </c>
      <c r="F61" s="10">
        <f t="shared" si="4"/>
        <v>0.21617399646633739</v>
      </c>
      <c r="G61" s="10">
        <f t="shared" si="4"/>
        <v>0.41451607923943184</v>
      </c>
      <c r="H61" s="10">
        <f t="shared" si="4"/>
        <v>0.50968494473344794</v>
      </c>
      <c r="I61" s="10">
        <f t="shared" si="4"/>
        <v>0.27912339993471946</v>
      </c>
      <c r="J61" s="10">
        <f t="shared" si="4"/>
        <v>0.16653094701527127</v>
      </c>
      <c r="K61" s="10">
        <f t="shared" si="4"/>
        <v>0.18783051863840552</v>
      </c>
    </row>
    <row r="62" spans="1:11" x14ac:dyDescent="0.25">
      <c r="A62" s="4" t="s">
        <v>20</v>
      </c>
      <c r="B62" s="10">
        <f t="shared" ref="B62:K62" si="5">B15/$F$15</f>
        <v>0.17685522339054377</v>
      </c>
      <c r="C62" s="10">
        <f t="shared" si="5"/>
        <v>0.29089934275279394</v>
      </c>
      <c r="D62" s="10">
        <f t="shared" si="5"/>
        <v>1.1359048898625148E-2</v>
      </c>
      <c r="E62" s="10">
        <f t="shared" si="5"/>
        <v>0.33280461182480037</v>
      </c>
      <c r="F62" s="10">
        <f t="shared" si="5"/>
        <v>1</v>
      </c>
      <c r="G62" s="10">
        <f t="shared" si="5"/>
        <v>0.20962023038385669</v>
      </c>
      <c r="H62" s="10">
        <f t="shared" si="5"/>
        <v>0.23507913453709631</v>
      </c>
      <c r="I62" s="10">
        <f t="shared" si="5"/>
        <v>0.11584404619065851</v>
      </c>
      <c r="J62" s="10">
        <f t="shared" si="5"/>
        <v>8.8449651990068212E-2</v>
      </c>
      <c r="K62" s="10">
        <f t="shared" si="5"/>
        <v>0.10457383184578294</v>
      </c>
    </row>
    <row r="63" spans="1:11" x14ac:dyDescent="0.25">
      <c r="A63" s="4" t="s">
        <v>21</v>
      </c>
      <c r="B63" s="10">
        <f t="shared" ref="B63:K63" si="6">B16/$G$16</f>
        <v>0.7843049431464475</v>
      </c>
      <c r="C63" s="10">
        <f t="shared" si="6"/>
        <v>0.79270024439982323</v>
      </c>
      <c r="D63" s="10">
        <f t="shared" si="6"/>
        <v>0.55951949086407982</v>
      </c>
      <c r="E63" s="10">
        <f t="shared" si="6"/>
        <v>1.1704243801010854</v>
      </c>
      <c r="F63" s="10">
        <f t="shared" si="6"/>
        <v>0.38445834103045501</v>
      </c>
      <c r="G63" s="10">
        <f t="shared" si="6"/>
        <v>1</v>
      </c>
      <c r="H63" s="10">
        <f t="shared" si="6"/>
        <v>0.89561122465565679</v>
      </c>
      <c r="I63" s="10">
        <f t="shared" si="6"/>
        <v>0.46241094411929057</v>
      </c>
      <c r="J63" s="10">
        <f t="shared" si="6"/>
        <v>0.25557765440308033</v>
      </c>
      <c r="K63" s="10">
        <f t="shared" si="6"/>
        <v>0.3270059512534001</v>
      </c>
    </row>
    <row r="64" spans="1:11" x14ac:dyDescent="0.25">
      <c r="A64" s="4" t="s">
        <v>22</v>
      </c>
      <c r="B64" s="10">
        <f t="shared" ref="B64:K64" si="7">B17/$H$17</f>
        <v>0.50059181066360925</v>
      </c>
      <c r="C64" s="10">
        <f t="shared" si="7"/>
        <v>0.49501202286614726</v>
      </c>
      <c r="D64" s="10">
        <f t="shared" si="7"/>
        <v>0.46900143839923797</v>
      </c>
      <c r="E64" s="10">
        <f t="shared" si="7"/>
        <v>0.65328438018570889</v>
      </c>
      <c r="F64" s="10">
        <f t="shared" si="7"/>
        <v>0.19571705304987508</v>
      </c>
      <c r="G64" s="10">
        <f t="shared" si="7"/>
        <v>0.40655379468116776</v>
      </c>
      <c r="H64" s="10">
        <f t="shared" si="7"/>
        <v>1</v>
      </c>
      <c r="I64" s="10">
        <f t="shared" si="7"/>
        <v>0.44040015918789571</v>
      </c>
      <c r="J64" s="10">
        <f t="shared" si="7"/>
        <v>0.19377191506923355</v>
      </c>
      <c r="K64" s="10">
        <f t="shared" si="7"/>
        <v>0.26248746944945711</v>
      </c>
    </row>
    <row r="65" spans="1:11" x14ac:dyDescent="0.25">
      <c r="A65" s="4" t="s">
        <v>23</v>
      </c>
      <c r="B65" s="10">
        <f t="shared" ref="B65:K65" si="8">B18/$I$18</f>
        <v>0.48201000730313076</v>
      </c>
      <c r="C65" s="10">
        <f t="shared" si="8"/>
        <v>0.53428280400510531</v>
      </c>
      <c r="D65" s="10">
        <f t="shared" si="8"/>
        <v>0.54956418419959097</v>
      </c>
      <c r="E65" s="10">
        <f t="shared" si="8"/>
        <v>0.86870870758292673</v>
      </c>
      <c r="F65" s="10">
        <f t="shared" si="8"/>
        <v>0.23418860628419674</v>
      </c>
      <c r="G65" s="10">
        <f t="shared" si="8"/>
        <v>0.5096875841973274</v>
      </c>
      <c r="H65" s="10">
        <f t="shared" si="8"/>
        <v>1.0693624411249196</v>
      </c>
      <c r="I65" s="10">
        <f t="shared" si="8"/>
        <v>1</v>
      </c>
      <c r="J65" s="10">
        <f t="shared" si="8"/>
        <v>0.43272392611507593</v>
      </c>
      <c r="K65" s="10">
        <f t="shared" si="8"/>
        <v>0.50666874033000675</v>
      </c>
    </row>
    <row r="66" spans="1:11" x14ac:dyDescent="0.25">
      <c r="A66" s="4" t="s">
        <v>24</v>
      </c>
      <c r="B66" s="10">
        <f t="shared" ref="B66:K66" si="9">B19/$J$19</f>
        <v>0.14834703835824237</v>
      </c>
      <c r="C66" s="10">
        <f t="shared" si="9"/>
        <v>2.7156936800479797E-2</v>
      </c>
      <c r="D66" s="10">
        <f t="shared" si="9"/>
        <v>0.18264604153292036</v>
      </c>
      <c r="E66" s="10">
        <f t="shared" si="9"/>
        <v>0.2990831990467912</v>
      </c>
      <c r="F66" s="10">
        <f t="shared" si="9"/>
        <v>0.10318280019977251</v>
      </c>
      <c r="G66" s="10">
        <f t="shared" si="9"/>
        <v>0.16256160091749866</v>
      </c>
      <c r="H66" s="10">
        <f t="shared" si="9"/>
        <v>0.27151099914853355</v>
      </c>
      <c r="I66" s="10">
        <f t="shared" si="9"/>
        <v>0.24970661424167387</v>
      </c>
      <c r="J66" s="10">
        <f t="shared" si="9"/>
        <v>1</v>
      </c>
      <c r="K66" s="10">
        <f t="shared" si="9"/>
        <v>7.4062165243521647E-2</v>
      </c>
    </row>
    <row r="67" spans="1:11" x14ac:dyDescent="0.25">
      <c r="A67" s="4" t="s">
        <v>12</v>
      </c>
      <c r="B67" s="10">
        <f t="shared" ref="B67:K67" si="10">B20/$K$20</f>
        <v>0.44369214242898503</v>
      </c>
      <c r="C67" s="10">
        <f t="shared" si="10"/>
        <v>0.57718781601749403</v>
      </c>
      <c r="D67" s="10">
        <f t="shared" si="10"/>
        <v>0.51513712456974003</v>
      </c>
      <c r="E67" s="10">
        <f t="shared" si="10"/>
        <v>0.7155639274892831</v>
      </c>
      <c r="F67" s="10">
        <f t="shared" si="10"/>
        <v>0.25877327309193499</v>
      </c>
      <c r="G67" s="10">
        <f t="shared" si="10"/>
        <v>0.44120046349259068</v>
      </c>
      <c r="H67" s="10">
        <f t="shared" si="10"/>
        <v>0.78017205162943171</v>
      </c>
      <c r="I67" s="10">
        <f t="shared" si="10"/>
        <v>0.62019529023367093</v>
      </c>
      <c r="J67" s="10">
        <f t="shared" si="10"/>
        <v>0.15710196625230938</v>
      </c>
      <c r="K67" s="10">
        <f t="shared" si="10"/>
        <v>1</v>
      </c>
    </row>
  </sheetData>
  <mergeCells count="2">
    <mergeCell ref="A1:K1"/>
    <mergeCell ref="F27:H3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2024-11-08T10:09:23Z</dcterms:modified>
</cp:coreProperties>
</file>