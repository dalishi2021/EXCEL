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211E2236-62AA-4D28-8B94-13D5A44D0B8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Sheet1!$H$46:$H$50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Sheet1!$H$46:$H$50</definedName>
    <definedName name="solver_lhs2" localSheetId="0" hidden="1">Sheet1!$H$52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Sheet1!$L$54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hs1" localSheetId="0" hidden="1">0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4" i="1" l="1" a="1"/>
  <c r="I54" i="1" s="1"/>
  <c r="G54" i="1"/>
  <c r="H52" i="1"/>
  <c r="C52" i="1" a="1"/>
  <c r="C52" i="1" s="1"/>
  <c r="L54" i="1" l="1"/>
  <c r="D46" i="1" l="1" a="1"/>
  <c r="D49" i="1" s="1"/>
  <c r="C59" i="1"/>
  <c r="D59" i="1"/>
  <c r="E59" i="1"/>
  <c r="F59" i="1"/>
  <c r="C60" i="1"/>
  <c r="D60" i="1"/>
  <c r="E60" i="1"/>
  <c r="F60" i="1"/>
  <c r="C61" i="1"/>
  <c r="D61" i="1"/>
  <c r="E61" i="1"/>
  <c r="F61" i="1"/>
  <c r="B61" i="1"/>
  <c r="B60" i="1"/>
  <c r="B59" i="1"/>
  <c r="C58" i="1"/>
  <c r="D58" i="1"/>
  <c r="E58" i="1"/>
  <c r="F58" i="1"/>
  <c r="B58" i="1"/>
  <c r="C57" i="1"/>
  <c r="D57" i="1"/>
  <c r="E57" i="1"/>
  <c r="F57" i="1"/>
  <c r="B57" i="1"/>
  <c r="J46" i="1" a="1"/>
  <c r="J47" i="1" s="1"/>
  <c r="D48" i="1" l="1"/>
  <c r="D50" i="1"/>
  <c r="D46" i="1"/>
  <c r="D47" i="1"/>
  <c r="J49" i="1"/>
  <c r="J46" i="1"/>
  <c r="J50" i="1"/>
  <c r="J48" i="1"/>
  <c r="B46" i="1" l="1" a="1"/>
  <c r="B49" i="1" s="1"/>
  <c r="F21" i="1"/>
  <c r="E21" i="1"/>
  <c r="D21" i="1"/>
  <c r="C21" i="1"/>
  <c r="B21" i="1"/>
  <c r="B14" i="1" a="1"/>
  <c r="E16" i="1" s="1"/>
  <c r="H9" i="1"/>
  <c r="A12" i="1"/>
  <c r="C29" i="1"/>
  <c r="I29" i="1"/>
  <c r="C22" i="1"/>
  <c r="G21" i="1"/>
  <c r="B50" i="1" l="1"/>
  <c r="B47" i="1"/>
  <c r="B48" i="1"/>
  <c r="B46" i="1"/>
  <c r="B14" i="1"/>
  <c r="C17" i="1"/>
  <c r="C14" i="1"/>
  <c r="D17" i="1"/>
  <c r="D14" i="1"/>
  <c r="F14" i="1"/>
  <c r="B15" i="1"/>
  <c r="C18" i="1"/>
  <c r="C15" i="1"/>
  <c r="D18" i="1"/>
  <c r="D15" i="1"/>
  <c r="E18" i="1"/>
  <c r="E15" i="1"/>
  <c r="F18" i="1"/>
  <c r="F15" i="1"/>
  <c r="B16" i="1"/>
  <c r="B17" i="1"/>
  <c r="E17" i="1"/>
  <c r="F17" i="1"/>
  <c r="C16" i="1"/>
  <c r="F16" i="1"/>
  <c r="E14" i="1"/>
  <c r="B18" i="1"/>
  <c r="D16" i="1"/>
  <c r="B29" i="1" l="1" a="1"/>
  <c r="H29" i="1" a="1"/>
  <c r="B22" i="1" a="1"/>
  <c r="B22" i="1" s="1"/>
  <c r="H30" i="1" l="1"/>
  <c r="H32" i="1"/>
  <c r="H29" i="1"/>
  <c r="J36" i="1" s="1" a="1"/>
  <c r="H33" i="1"/>
  <c r="H31" i="1"/>
  <c r="B31" i="1"/>
  <c r="B30" i="1"/>
  <c r="B29" i="1"/>
  <c r="B36" i="1" s="1" a="1"/>
  <c r="B33" i="1"/>
  <c r="B32" i="1"/>
  <c r="B36" i="1" l="1"/>
  <c r="B40" i="1"/>
  <c r="B39" i="1"/>
  <c r="B38" i="1"/>
  <c r="B37" i="1"/>
  <c r="J37" i="1"/>
  <c r="J39" i="1"/>
  <c r="J36" i="1"/>
  <c r="J38" i="1"/>
  <c r="J40" i="1"/>
</calcChain>
</file>

<file path=xl/sharedStrings.xml><?xml version="1.0" encoding="utf-8"?>
<sst xmlns="http://schemas.openxmlformats.org/spreadsheetml/2006/main" count="80" uniqueCount="27">
  <si>
    <t>INDEX DATA, 2001-2005</t>
  </si>
  <si>
    <t>5 YEARS ENDING DEC05</t>
  </si>
  <si>
    <t>Correlation</t>
  </si>
  <si>
    <t>S&amp;P 500</t>
  </si>
  <si>
    <t>MSCI World ex-US</t>
  </si>
  <si>
    <t>Russell 2000</t>
  </si>
  <si>
    <t>MSCI Emerging</t>
  </si>
  <si>
    <t>LB Global aggregate</t>
  </si>
  <si>
    <t>Weight</t>
  </si>
  <si>
    <t>Standard deviation</t>
  </si>
  <si>
    <t>Variance-covariance matrix</t>
  </si>
  <si>
    <t>Checks</t>
  </si>
  <si>
    <t>First row of var-cov</t>
  </si>
  <si>
    <t>Standard deviation of composite</t>
  </si>
  <si>
    <t>Risk-free rate</t>
  </si>
  <si>
    <t>Expected return on S&amp;P 500</t>
  </si>
  <si>
    <t>Black-Litterman implied returns</t>
  </si>
  <si>
    <t>Additional check:
Optimal portfolio</t>
  </si>
  <si>
    <t>Analyst
opinion,
delta</t>
  </si>
  <si>
    <t>Returns
adjusted for opinions</t>
  </si>
  <si>
    <t>Optimized 
benchmark proportions</t>
  </si>
  <si>
    <t>Portfolio
benchmark, no opinions</t>
  </si>
  <si>
    <r>
      <t>Tracking factors:  in each row i Cov(r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,r</t>
    </r>
    <r>
      <rPr>
        <b/>
        <vertAlign val="subscript"/>
        <sz val="10"/>
        <rFont val="Arial"/>
        <family val="2"/>
      </rPr>
      <t>j</t>
    </r>
    <r>
      <rPr>
        <b/>
        <sz val="10"/>
        <rFont val="Arial"/>
        <family val="2"/>
      </rPr>
      <t>) is divided by Var(r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)</t>
    </r>
  </si>
  <si>
    <t>σ 的平方和</t>
    <phoneticPr fontId="1" type="noConversion"/>
  </si>
  <si>
    <t>Mean</t>
    <phoneticPr fontId="1" type="noConversion"/>
  </si>
  <si>
    <t>STDEV</t>
    <phoneticPr fontId="1" type="noConversion"/>
  </si>
  <si>
    <t>Max 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</si>
</sst>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0.00000%"/>
    <numFmt numFmtId="178" formatCode="0.000000%"/>
    <numFmt numFmtId="179" formatCode="0.0%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rgb="FFFF0000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b/>
      <vertAlign val="subscript"/>
      <sz val="10"/>
      <name val="Arial"/>
      <family val="2"/>
    </font>
    <font>
      <sz val="12"/>
      <color theme="1"/>
      <name val="Malgun Gothic Semilight"/>
      <family val="2"/>
      <charset val="134"/>
    </font>
    <font>
      <b/>
      <sz val="11"/>
      <color rgb="FFFF0000"/>
      <name val="等线"/>
      <family val="2"/>
      <charset val="134"/>
      <scheme val="minor"/>
    </font>
    <font>
      <b/>
      <sz val="11"/>
      <color rgb="FFFF0000"/>
      <name val="Malgun Gothic Semilight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0" fontId="4" fillId="0" borderId="0" xfId="0" applyFont="1" applyAlignment="1"/>
    <xf numFmtId="176" fontId="0" fillId="0" borderId="0" xfId="0" applyNumberFormat="1" applyAlignment="1"/>
    <xf numFmtId="9" fontId="0" fillId="0" borderId="0" xfId="0" applyNumberFormat="1" applyAlignment="1"/>
    <xf numFmtId="10" fontId="0" fillId="0" borderId="0" xfId="0" applyNumberFormat="1" applyAlignment="1"/>
    <xf numFmtId="9" fontId="4" fillId="0" borderId="0" xfId="0" applyNumberFormat="1" applyFont="1" applyAlignment="1"/>
    <xf numFmtId="10" fontId="4" fillId="0" borderId="0" xfId="1" applyNumberFormat="1" applyFont="1" applyAlignme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horizontal="left" vertical="center" wrapText="1" indent="1"/>
    </xf>
    <xf numFmtId="10" fontId="0" fillId="0" borderId="0" xfId="1" applyNumberFormat="1" applyFont="1" applyAlignment="1"/>
    <xf numFmtId="177" fontId="0" fillId="0" borderId="0" xfId="0" applyNumberFormat="1" applyAlignment="1"/>
    <xf numFmtId="178" fontId="0" fillId="0" borderId="0" xfId="0" applyNumberFormat="1" applyAlignment="1"/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0" borderId="0" xfId="0" applyFont="1" applyAlignment="1"/>
    <xf numFmtId="179" fontId="0" fillId="0" borderId="0" xfId="1" applyNumberFormat="1" applyFont="1">
      <alignment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horizont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1" applyNumberFormat="1" applyFont="1" applyAlignment="1">
      <alignment horizontal="center"/>
    </xf>
    <xf numFmtId="0" fontId="10" fillId="3" borderId="0" xfId="0" applyFont="1" applyFill="1" applyAlignment="1"/>
    <xf numFmtId="10" fontId="7" fillId="0" borderId="0" xfId="1" applyNumberFormat="1" applyFont="1" applyAlignment="1">
      <alignment horizontal="center"/>
    </xf>
    <xf numFmtId="0" fontId="8" fillId="0" borderId="0" xfId="0" applyFont="1" applyAlignment="1"/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483446</xdr:colOff>
      <xdr:row>2</xdr:row>
      <xdr:rowOff>205154</xdr:rowOff>
    </xdr:from>
    <xdr:to>
      <xdr:col>18</xdr:col>
      <xdr:colOff>331324</xdr:colOff>
      <xdr:row>24</xdr:row>
      <xdr:rowOff>142725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318CF8C-9B1A-35A9-6FD0-B6579303A3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235331" y="762000"/>
          <a:ext cx="4714860" cy="47532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12</xdr:col>
      <xdr:colOff>321879</xdr:colOff>
      <xdr:row>40</xdr:row>
      <xdr:rowOff>78827</xdr:rowOff>
    </xdr:from>
    <xdr:to>
      <xdr:col>21</xdr:col>
      <xdr:colOff>446096</xdr:colOff>
      <xdr:row>65</xdr:row>
      <xdr:rowOff>55316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44B6E94E-47C0-DADE-D6E4-46D89BF6B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14793" y="8421413"/>
          <a:ext cx="5626251" cy="5218524"/>
        </a:xfrm>
        <a:prstGeom prst="rect">
          <a:avLst/>
        </a:prstGeom>
      </xdr:spPr>
    </xdr:pic>
    <xdr:clientData/>
  </xdr:twoCellAnchor>
  <xdr:twoCellAnchor>
    <xdr:from>
      <xdr:col>7</xdr:col>
      <xdr:colOff>388326</xdr:colOff>
      <xdr:row>54</xdr:row>
      <xdr:rowOff>157383</xdr:rowOff>
    </xdr:from>
    <xdr:to>
      <xdr:col>11</xdr:col>
      <xdr:colOff>261864</xdr:colOff>
      <xdr:row>64</xdr:row>
      <xdr:rowOff>87924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6653C6C-5116-500F-4614-655596CDE60C}"/>
            </a:ext>
          </a:extLst>
        </xdr:cNvPr>
        <xdr:cNvSpPr txBox="1"/>
      </xdr:nvSpPr>
      <xdr:spPr>
        <a:xfrm>
          <a:off x="6052038" y="11777883"/>
          <a:ext cx="2569845" cy="16157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3600" b="1" kern="1200">
              <a:solidFill>
                <a:srgbClr val="FF0000"/>
              </a:solidFill>
            </a:rPr>
            <a:t>限制卖空</a:t>
          </a:r>
          <a:endParaRPr lang="zh-CN" altLang="en-US" sz="1100" b="1" kern="12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L61"/>
  <sheetViews>
    <sheetView tabSelected="1" view="pageBreakPreview" zoomScale="60" zoomScaleNormal="130" workbookViewId="0">
      <selection activeCell="Z12" sqref="Z12"/>
    </sheetView>
  </sheetViews>
  <sheetFormatPr defaultRowHeight="13.8" x14ac:dyDescent="0.25"/>
  <cols>
    <col min="1" max="1" width="19.6640625" style="4" customWidth="1"/>
    <col min="2" max="6" width="10.88671875" style="4" customWidth="1"/>
    <col min="7" max="7" width="8.88671875" style="4"/>
    <col min="8" max="9" width="10.88671875" style="4" customWidth="1"/>
  </cols>
  <sheetData>
    <row r="1" spans="1:9" ht="17.399999999999999" x14ac:dyDescent="0.3">
      <c r="A1" s="20" t="s">
        <v>0</v>
      </c>
      <c r="B1" s="20"/>
      <c r="C1" s="20"/>
      <c r="D1" s="20"/>
      <c r="E1" s="20"/>
      <c r="F1" s="20"/>
      <c r="G1" s="20"/>
      <c r="H1" s="20"/>
      <c r="I1" s="20"/>
    </row>
    <row r="2" spans="1:9" ht="26.4" x14ac:dyDescent="0.3">
      <c r="A2" s="2" t="s">
        <v>1</v>
      </c>
      <c r="B2" s="1"/>
      <c r="C2" s="1"/>
      <c r="D2" s="1"/>
      <c r="E2" s="1"/>
      <c r="F2" s="1"/>
      <c r="G2" s="1"/>
      <c r="H2" s="1"/>
      <c r="I2" s="1"/>
    </row>
    <row r="3" spans="1:9" ht="39.6" x14ac:dyDescent="0.25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H3" s="3" t="s">
        <v>8</v>
      </c>
      <c r="I3" s="3" t="s">
        <v>9</v>
      </c>
    </row>
    <row r="4" spans="1:9" x14ac:dyDescent="0.25">
      <c r="A4" s="5" t="s">
        <v>3</v>
      </c>
      <c r="B4" s="6">
        <v>1</v>
      </c>
      <c r="C4" s="6">
        <v>0.88</v>
      </c>
      <c r="D4" s="6">
        <v>0.84</v>
      </c>
      <c r="E4" s="6">
        <v>0.81</v>
      </c>
      <c r="F4" s="6">
        <v>-0.16</v>
      </c>
      <c r="H4" s="7">
        <v>0.24</v>
      </c>
      <c r="I4" s="8">
        <v>0.14899999999999999</v>
      </c>
    </row>
    <row r="5" spans="1:9" x14ac:dyDescent="0.25">
      <c r="A5" s="5" t="s">
        <v>4</v>
      </c>
      <c r="B5" s="6">
        <v>0.88</v>
      </c>
      <c r="C5" s="6">
        <v>1</v>
      </c>
      <c r="D5" s="6">
        <v>0.83</v>
      </c>
      <c r="E5" s="6">
        <v>0.87</v>
      </c>
      <c r="F5" s="6">
        <v>7.0000000000000007E-2</v>
      </c>
      <c r="H5" s="7">
        <v>0.26</v>
      </c>
      <c r="I5" s="8">
        <v>0.156</v>
      </c>
    </row>
    <row r="6" spans="1:9" x14ac:dyDescent="0.25">
      <c r="A6" s="5" t="s">
        <v>5</v>
      </c>
      <c r="B6" s="6">
        <v>0.84</v>
      </c>
      <c r="C6" s="6">
        <v>0.83</v>
      </c>
      <c r="D6" s="6">
        <v>1</v>
      </c>
      <c r="E6" s="6">
        <v>0.83</v>
      </c>
      <c r="F6" s="6">
        <v>-0.14000000000000001</v>
      </c>
      <c r="H6" s="7">
        <v>0.03</v>
      </c>
      <c r="I6" s="8">
        <v>0.192</v>
      </c>
    </row>
    <row r="7" spans="1:9" x14ac:dyDescent="0.25">
      <c r="A7" s="5" t="s">
        <v>6</v>
      </c>
      <c r="B7" s="6">
        <v>0.81</v>
      </c>
      <c r="C7" s="6">
        <v>0.87</v>
      </c>
      <c r="D7" s="6">
        <v>0.83</v>
      </c>
      <c r="E7" s="6">
        <v>1</v>
      </c>
      <c r="F7" s="6">
        <v>-0.05</v>
      </c>
      <c r="H7" s="7">
        <v>0.03</v>
      </c>
      <c r="I7" s="8">
        <v>0.21</v>
      </c>
    </row>
    <row r="8" spans="1:9" x14ac:dyDescent="0.25">
      <c r="A8" s="5" t="s">
        <v>7</v>
      </c>
      <c r="B8" s="6">
        <v>-0.16</v>
      </c>
      <c r="C8" s="6">
        <v>7.0000000000000007E-2</v>
      </c>
      <c r="D8" s="6">
        <v>-0.14000000000000001</v>
      </c>
      <c r="E8" s="6">
        <v>-0.05</v>
      </c>
      <c r="F8" s="6">
        <v>1</v>
      </c>
      <c r="H8" s="7">
        <v>0.44</v>
      </c>
      <c r="I8" s="8">
        <v>5.8000000000000003E-2</v>
      </c>
    </row>
    <row r="9" spans="1:9" x14ac:dyDescent="0.25">
      <c r="H9" s="9">
        <f>SUM(H4:H8)</f>
        <v>1</v>
      </c>
      <c r="I9" s="10"/>
    </row>
    <row r="10" spans="1:9" x14ac:dyDescent="0.25">
      <c r="H10" s="7"/>
    </row>
    <row r="11" spans="1:9" x14ac:dyDescent="0.25">
      <c r="A11" s="5"/>
      <c r="H11" s="7"/>
    </row>
    <row r="12" spans="1:9" ht="33.6" customHeight="1" x14ac:dyDescent="0.25">
      <c r="A12" s="21" t="str">
        <f ca="1">"Variance-covariance matrix: cells below contain formula "&amp;CHAR(10)&amp;[1]!ggetformula(B14)</f>
        <v>Variance-covariance matrix: cells below contain formula 
 {=I4:I8*TRANSPOSE(I4:I8)*B4:F8}</v>
      </c>
      <c r="B12" s="21"/>
      <c r="C12" s="21"/>
      <c r="D12" s="21"/>
      <c r="E12" s="21"/>
      <c r="F12" s="21"/>
    </row>
    <row r="13" spans="1:9" ht="39.6" x14ac:dyDescent="0.25">
      <c r="A13" s="3" t="s">
        <v>10</v>
      </c>
      <c r="B13" s="3" t="s">
        <v>3</v>
      </c>
      <c r="C13" s="3" t="s">
        <v>4</v>
      </c>
      <c r="D13" s="3" t="s">
        <v>5</v>
      </c>
      <c r="E13" s="3" t="s">
        <v>6</v>
      </c>
      <c r="F13" s="3" t="s">
        <v>7</v>
      </c>
    </row>
    <row r="14" spans="1:9" x14ac:dyDescent="0.25">
      <c r="A14" s="5" t="s">
        <v>3</v>
      </c>
      <c r="B14" s="6">
        <f t="array" ref="B14:F18">I4:I8*TRANSPOSE(I4:I8)*B4:F8</f>
        <v>2.2200999999999999E-2</v>
      </c>
      <c r="C14" s="6">
        <v>2.0454719999999999E-2</v>
      </c>
      <c r="D14" s="6">
        <v>2.4030719999999998E-2</v>
      </c>
      <c r="E14" s="6">
        <v>2.53449E-2</v>
      </c>
      <c r="F14" s="6">
        <v>-1.38272E-3</v>
      </c>
    </row>
    <row r="15" spans="1:9" x14ac:dyDescent="0.25">
      <c r="A15" s="5" t="s">
        <v>4</v>
      </c>
      <c r="B15" s="6">
        <v>2.0454719999999999E-2</v>
      </c>
      <c r="C15" s="6">
        <v>2.4336E-2</v>
      </c>
      <c r="D15" s="6">
        <v>2.4860159999999999E-2</v>
      </c>
      <c r="E15" s="6">
        <v>2.8501199999999997E-2</v>
      </c>
      <c r="F15" s="6">
        <v>6.3336000000000013E-4</v>
      </c>
    </row>
    <row r="16" spans="1:9" x14ac:dyDescent="0.25">
      <c r="A16" s="5" t="s">
        <v>5</v>
      </c>
      <c r="B16" s="6">
        <v>2.4030719999999998E-2</v>
      </c>
      <c r="C16" s="6">
        <v>2.4860159999999999E-2</v>
      </c>
      <c r="D16" s="6">
        <v>3.6864000000000001E-2</v>
      </c>
      <c r="E16" s="6">
        <v>3.3465599999999998E-2</v>
      </c>
      <c r="F16" s="6">
        <v>-1.5590400000000003E-3</v>
      </c>
    </row>
    <row r="17" spans="1:9" x14ac:dyDescent="0.25">
      <c r="A17" s="5" t="s">
        <v>6</v>
      </c>
      <c r="B17" s="6">
        <v>2.53449E-2</v>
      </c>
      <c r="C17" s="6">
        <v>2.8501199999999997E-2</v>
      </c>
      <c r="D17" s="6">
        <v>3.3465599999999998E-2</v>
      </c>
      <c r="E17" s="6">
        <v>4.4099999999999993E-2</v>
      </c>
      <c r="F17" s="6">
        <v>-6.0900000000000006E-4</v>
      </c>
    </row>
    <row r="18" spans="1:9" x14ac:dyDescent="0.25">
      <c r="A18" s="5" t="s">
        <v>7</v>
      </c>
      <c r="B18" s="6">
        <v>-1.38272E-3</v>
      </c>
      <c r="C18" s="6">
        <v>6.3336000000000013E-4</v>
      </c>
      <c r="D18" s="6">
        <v>-1.5590400000000003E-3</v>
      </c>
      <c r="E18" s="6">
        <v>-6.0900000000000006E-4</v>
      </c>
      <c r="F18" s="6">
        <v>3.3640000000000002E-3</v>
      </c>
    </row>
    <row r="20" spans="1:9" x14ac:dyDescent="0.25">
      <c r="A20" s="5" t="s">
        <v>11</v>
      </c>
    </row>
    <row r="21" spans="1:9" x14ac:dyDescent="0.25">
      <c r="A21" s="11" t="s">
        <v>12</v>
      </c>
      <c r="B21" s="6">
        <f>I4^2</f>
        <v>2.2200999999999999E-2</v>
      </c>
      <c r="C21" s="6">
        <f>I4*I5*C4</f>
        <v>2.0454719999999999E-2</v>
      </c>
      <c r="D21" s="6">
        <f>I4*I6*D4</f>
        <v>2.4030719999999998E-2</v>
      </c>
      <c r="E21" s="6">
        <f>I4*I7*E4</f>
        <v>2.53449E-2</v>
      </c>
      <c r="F21" s="6">
        <f>I4*I8*F4</f>
        <v>-1.38272E-3</v>
      </c>
      <c r="G21" s="4" t="str">
        <f ca="1">[1]!getformula(F21)</f>
        <v>&lt;--  =I4*I8*F4</v>
      </c>
    </row>
    <row r="22" spans="1:9" ht="26.4" x14ac:dyDescent="0.25">
      <c r="A22" s="12" t="s">
        <v>13</v>
      </c>
      <c r="B22" s="13">
        <f t="array" ref="B22">SQRT(MMULT(MMULT(TRANSPOSE(H4:H8),B14:F18),H4:H8))</f>
        <v>8.7178601319360477E-2</v>
      </c>
      <c r="C22" s="6" t="str">
        <f ca="1">[1]!getformula(B22)</f>
        <v>&lt;--  {=SQRT(MMULT(MMULT(TRANSPOSE(H4:H8),B14:F18),H4:H8))}</v>
      </c>
      <c r="D22" s="6"/>
      <c r="E22" s="6"/>
      <c r="F22" s="6"/>
    </row>
    <row r="23" spans="1:9" x14ac:dyDescent="0.25">
      <c r="B23" s="6"/>
      <c r="C23" s="6"/>
      <c r="D23" s="6"/>
      <c r="E23" s="6"/>
      <c r="F23" s="6"/>
    </row>
    <row r="24" spans="1:9" x14ac:dyDescent="0.25">
      <c r="C24" s="14"/>
      <c r="D24" s="15"/>
      <c r="E24" s="14"/>
    </row>
    <row r="25" spans="1:9" x14ac:dyDescent="0.25">
      <c r="A25" s="4" t="s">
        <v>14</v>
      </c>
      <c r="B25" s="8">
        <v>0.05</v>
      </c>
    </row>
    <row r="26" spans="1:9" ht="27.6" x14ac:dyDescent="0.25">
      <c r="A26" s="16" t="s">
        <v>15</v>
      </c>
      <c r="B26" s="8">
        <v>0.12</v>
      </c>
    </row>
    <row r="28" spans="1:9" ht="15.6" x14ac:dyDescent="0.3">
      <c r="A28" s="17" t="s">
        <v>16</v>
      </c>
      <c r="H28" s="17" t="s">
        <v>16</v>
      </c>
    </row>
    <row r="29" spans="1:9" x14ac:dyDescent="0.25">
      <c r="A29" s="5" t="s">
        <v>3</v>
      </c>
      <c r="B29" s="8">
        <f t="array" ref="B29:B33">MMULT(B14:F18,H4:H8)*(B26-B12)/INDEX((MMULT(B14:F18,H4:H8)),1,1)+B12</f>
        <v>0.12</v>
      </c>
      <c r="C29" s="22" t="str">
        <f ca="1">[1]!getformula(B29)</f>
        <v>&lt;--  {=MMULT(B14:F18,H4:H8)*(B26-B12)/INDEX((MMULT(B14:F18,H4:H8)),1,1)+B12}</v>
      </c>
      <c r="D29" s="22"/>
      <c r="E29" s="22"/>
      <c r="F29" s="22"/>
      <c r="H29" s="13">
        <f t="array" ref="H29:H33">(MMULT(B14:F18,H4:H8)*($B$26-$B$25)/MMULT(MMULT(TRANSPOSE($H$4:$H$8),$B$14:$F$18),$H$4:$H$8))+B25</f>
        <v>0.15609765992541627</v>
      </c>
      <c r="I29" s="18" t="str">
        <f ca="1">_xlfn.FORMULATEXT(H29)</f>
        <v>{=(MMULT(B14:F18,H4:H8)*($B$26-$B$25)/MMULT(MMULT(TRANSPOSE($H$4:$H$8),$B$14:$F$18),$H$4:$H$8))+B25}</v>
      </c>
    </row>
    <row r="30" spans="1:9" x14ac:dyDescent="0.25">
      <c r="A30" s="5" t="s">
        <v>4</v>
      </c>
      <c r="B30" s="8">
        <v>0.13663296479077489</v>
      </c>
      <c r="C30" s="22"/>
      <c r="D30" s="22"/>
      <c r="E30" s="22"/>
      <c r="F30" s="22"/>
      <c r="H30" s="13">
        <v>0.17080364860810843</v>
      </c>
    </row>
    <row r="31" spans="1:9" x14ac:dyDescent="0.25">
      <c r="A31" s="5" t="s">
        <v>5</v>
      </c>
      <c r="B31" s="8">
        <v>0.14224696191335284</v>
      </c>
      <c r="C31" s="22"/>
      <c r="D31" s="22"/>
      <c r="E31" s="22"/>
      <c r="F31" s="22"/>
      <c r="H31" s="13">
        <v>0.17576724825422124</v>
      </c>
    </row>
    <row r="32" spans="1:9" x14ac:dyDescent="0.25">
      <c r="A32" s="5" t="s">
        <v>6</v>
      </c>
      <c r="B32" s="8">
        <v>0.16201029590326319</v>
      </c>
      <c r="H32" s="13">
        <v>0.19324094399300401</v>
      </c>
    </row>
    <row r="33" spans="1:10" x14ac:dyDescent="0.25">
      <c r="A33" s="5" t="s">
        <v>7</v>
      </c>
      <c r="B33" s="8">
        <v>1.3000116760171744E-2</v>
      </c>
      <c r="H33" s="13">
        <v>6.1494016391761719E-2</v>
      </c>
    </row>
    <row r="35" spans="1:10" x14ac:dyDescent="0.25">
      <c r="A35" s="23" t="s">
        <v>17</v>
      </c>
      <c r="B35" s="23"/>
      <c r="H35" s="23" t="s">
        <v>17</v>
      </c>
      <c r="I35" s="23"/>
    </row>
    <row r="36" spans="1:10" x14ac:dyDescent="0.25">
      <c r="A36" s="5" t="s">
        <v>3</v>
      </c>
      <c r="B36" s="13">
        <f t="array" ref="B36:B40">MMULT(MINVERSE($B$14:$F$18),$B$29:$B$33-$B$25)/SUM(MMULT(MINVERSE($B$14:$F$18),$B$29:$B$33-$B$25))</f>
        <v>0.4636138672429424</v>
      </c>
      <c r="H36" s="5" t="s">
        <v>3</v>
      </c>
      <c r="J36" s="19">
        <f t="array" ref="J36:J40">MMULT(MINVERSE($B$14:$F$18),$H$29:$H$33-$B$25)/SUM(MMULT(MINVERSE($B$14:$F$18),$H$29:$H$33-$B$25))</f>
        <v>0.23999999999999913</v>
      </c>
    </row>
    <row r="37" spans="1:10" x14ac:dyDescent="0.25">
      <c r="A37" s="5" t="s">
        <v>4</v>
      </c>
      <c r="B37" s="13">
        <v>-0.77245097129998874</v>
      </c>
      <c r="H37" s="5" t="s">
        <v>4</v>
      </c>
      <c r="J37" s="19">
        <v>0.26000000000000095</v>
      </c>
    </row>
    <row r="38" spans="1:10" x14ac:dyDescent="0.25">
      <c r="A38" s="5" t="s">
        <v>5</v>
      </c>
      <c r="B38" s="13">
        <v>9.2481418622007761E-2</v>
      </c>
      <c r="H38" s="5" t="s">
        <v>5</v>
      </c>
      <c r="J38" s="19">
        <v>3.0000000000000006E-2</v>
      </c>
    </row>
    <row r="39" spans="1:10" x14ac:dyDescent="0.25">
      <c r="A39" s="5" t="s">
        <v>6</v>
      </c>
      <c r="B39" s="13">
        <v>-1.8899398476812317E-2</v>
      </c>
      <c r="H39" s="5" t="s">
        <v>6</v>
      </c>
      <c r="J39" s="19">
        <v>2.9999999999999728E-2</v>
      </c>
    </row>
    <row r="40" spans="1:10" x14ac:dyDescent="0.25">
      <c r="A40" s="5" t="s">
        <v>7</v>
      </c>
      <c r="B40" s="13">
        <v>1.2352550839118508</v>
      </c>
      <c r="H40" s="5" t="s">
        <v>7</v>
      </c>
      <c r="J40" s="19">
        <v>0.44000000000000045</v>
      </c>
    </row>
    <row r="45" spans="1:10" ht="80.400000000000006" customHeight="1" x14ac:dyDescent="0.3">
      <c r="A45" s="17" t="s">
        <v>16</v>
      </c>
      <c r="C45" s="24" t="s">
        <v>18</v>
      </c>
      <c r="D45" s="25" t="s">
        <v>19</v>
      </c>
      <c r="H45" s="25" t="s">
        <v>20</v>
      </c>
      <c r="I45" s="25"/>
      <c r="J45" s="25" t="s">
        <v>21</v>
      </c>
    </row>
    <row r="46" spans="1:10" x14ac:dyDescent="0.25">
      <c r="A46" s="5" t="s">
        <v>3</v>
      </c>
      <c r="B46" s="13">
        <f t="array" ref="B46:B50">MMULT(B14:F18,H4:H8)*(B26-B25)/MMULT(MMULT(TRANSPOSE(H4:H8),B14:F18),H4:H8)+B25</f>
        <v>0.15609765992541627</v>
      </c>
      <c r="C46" s="27">
        <v>-8.3411680832342749E-3</v>
      </c>
      <c r="D46" s="13">
        <f t="array" ref="D46:D50">B46:B50+MMULT(B57:F61,C46:C50)</f>
        <v>0.12000000000000113</v>
      </c>
      <c r="H46" s="29">
        <v>5.3911094223126156E-2</v>
      </c>
      <c r="I46" s="5" t="s">
        <v>3</v>
      </c>
      <c r="J46" s="26">
        <f t="array" ref="J46:J50">MMULT(MINVERSE($B$14:$F$18),$H$29:$H$33-$B$25)/SUM(MMULT(MINVERSE($B$14:$F$18),$H$29:$H$33-$B$25))</f>
        <v>0.23999999999999913</v>
      </c>
    </row>
    <row r="47" spans="1:10" x14ac:dyDescent="0.25">
      <c r="A47" s="5" t="s">
        <v>4</v>
      </c>
      <c r="B47" s="13">
        <v>0.17080364860810843</v>
      </c>
      <c r="C47" s="27">
        <v>-7.6850710192037748E-3</v>
      </c>
      <c r="D47" s="13">
        <v>0.13574600446378282</v>
      </c>
      <c r="H47" s="29">
        <v>0</v>
      </c>
      <c r="I47" s="5" t="s">
        <v>4</v>
      </c>
      <c r="J47" s="26">
        <v>0.26000000000000095</v>
      </c>
    </row>
    <row r="48" spans="1:10" x14ac:dyDescent="0.25">
      <c r="A48" s="5" t="s">
        <v>5</v>
      </c>
      <c r="B48" s="13">
        <v>0.17576724825422124</v>
      </c>
      <c r="C48" s="27">
        <v>-9.0286148298323338E-3</v>
      </c>
      <c r="D48" s="13">
        <v>0.14745211963236285</v>
      </c>
      <c r="H48" s="29">
        <v>0.11566690423722374</v>
      </c>
      <c r="I48" s="5" t="s">
        <v>5</v>
      </c>
      <c r="J48" s="26">
        <v>3.0000000000000006E-2</v>
      </c>
    </row>
    <row r="49" spans="1:12" x14ac:dyDescent="0.25">
      <c r="A49" s="5" t="s">
        <v>6</v>
      </c>
      <c r="B49" s="13">
        <v>0.19324094399300401</v>
      </c>
      <c r="C49" s="27">
        <v>-9.5223676737657709E-3</v>
      </c>
      <c r="D49" s="13">
        <v>0.1670994332974787</v>
      </c>
      <c r="H49" s="29">
        <v>0.1498834277327826</v>
      </c>
      <c r="I49" s="5" t="s">
        <v>6</v>
      </c>
      <c r="J49" s="26">
        <v>2.9999999999999728E-2</v>
      </c>
    </row>
    <row r="50" spans="1:12" x14ac:dyDescent="0.25">
      <c r="A50" s="5" t="s">
        <v>7</v>
      </c>
      <c r="B50" s="13">
        <v>6.1494016391761719E-2</v>
      </c>
      <c r="C50" s="27">
        <v>5.1950365363553333E-4</v>
      </c>
      <c r="D50" s="13">
        <v>6.990328726565645E-2</v>
      </c>
      <c r="H50" s="29">
        <v>0.68053857336528156</v>
      </c>
      <c r="I50" s="5" t="s">
        <v>7</v>
      </c>
      <c r="J50" s="26">
        <v>0.44000000000000045</v>
      </c>
    </row>
    <row r="52" spans="1:12" ht="19.2" x14ac:dyDescent="0.45">
      <c r="A52" s="28" t="s">
        <v>23</v>
      </c>
      <c r="C52" s="4">
        <f t="array" ref="C52">SUM(C46:C50^2)</f>
        <v>3.0109665746896023E-4</v>
      </c>
      <c r="H52" s="8">
        <f>SUM(H46:H51)</f>
        <v>0.99999999955841412</v>
      </c>
    </row>
    <row r="54" spans="1:12" ht="17.399999999999999" x14ac:dyDescent="0.35">
      <c r="A54" s="5" t="s">
        <v>22</v>
      </c>
      <c r="F54" s="33" t="s">
        <v>24</v>
      </c>
      <c r="G54" s="30">
        <f>SUMPRODUCT(D46:D50,H46:H50)</f>
        <v>9.6141980732012244E-2</v>
      </c>
      <c r="H54" s="34" t="s">
        <v>25</v>
      </c>
      <c r="I54" s="30">
        <f t="array" ref="I54">SQRT(MMULT(MMULT(TRANSPOSE(H46:H50),B14:F18),H46:H50))</f>
        <v>6.7118675177407203E-2</v>
      </c>
      <c r="J54" s="31"/>
      <c r="K54" s="35" t="s">
        <v>26</v>
      </c>
      <c r="L54" s="32">
        <f>(G54-B25)/I54</f>
        <v>0.68746858620272766</v>
      </c>
    </row>
    <row r="56" spans="1:12" x14ac:dyDescent="0.25">
      <c r="B56" s="5" t="s">
        <v>3</v>
      </c>
      <c r="C56" s="5" t="s">
        <v>4</v>
      </c>
      <c r="D56" s="5" t="s">
        <v>5</v>
      </c>
      <c r="E56" s="5" t="s">
        <v>6</v>
      </c>
      <c r="F56" s="5" t="s">
        <v>7</v>
      </c>
    </row>
    <row r="57" spans="1:12" x14ac:dyDescent="0.25">
      <c r="A57" s="5" t="s">
        <v>3</v>
      </c>
      <c r="B57" s="4">
        <f>B14/$B$14</f>
        <v>1</v>
      </c>
      <c r="C57" s="4">
        <f t="shared" ref="C57:G57" si="0">C14/$B$14</f>
        <v>0.92134228187919465</v>
      </c>
      <c r="D57" s="4">
        <f t="shared" si="0"/>
        <v>1.0824161073825502</v>
      </c>
      <c r="E57" s="4">
        <f t="shared" si="0"/>
        <v>1.1416107382550336</v>
      </c>
      <c r="F57" s="4">
        <f t="shared" si="0"/>
        <v>-6.2281879194630879E-2</v>
      </c>
    </row>
    <row r="58" spans="1:12" x14ac:dyDescent="0.25">
      <c r="A58" s="5" t="s">
        <v>4</v>
      </c>
      <c r="B58" s="4">
        <f>B15/$C$15</f>
        <v>0.8405128205128205</v>
      </c>
      <c r="C58" s="4">
        <f t="shared" ref="C58:G58" si="1">C15/$C$15</f>
        <v>1</v>
      </c>
      <c r="D58" s="4">
        <f t="shared" si="1"/>
        <v>1.0215384615384615</v>
      </c>
      <c r="E58" s="4">
        <f t="shared" si="1"/>
        <v>1.171153846153846</v>
      </c>
      <c r="F58" s="4">
        <f t="shared" si="1"/>
        <v>2.602564102564103E-2</v>
      </c>
    </row>
    <row r="59" spans="1:12" x14ac:dyDescent="0.25">
      <c r="A59" s="5" t="s">
        <v>5</v>
      </c>
      <c r="B59" s="4">
        <f>B16/$D$16</f>
        <v>0.65187499999999998</v>
      </c>
      <c r="C59" s="4">
        <f t="shared" ref="C59:G59" si="2">C16/$D$16</f>
        <v>0.67437499999999995</v>
      </c>
      <c r="D59" s="4">
        <f t="shared" si="2"/>
        <v>1</v>
      </c>
      <c r="E59" s="4">
        <f t="shared" si="2"/>
        <v>0.90781249999999991</v>
      </c>
      <c r="F59" s="4">
        <f t="shared" si="2"/>
        <v>-4.2291666666666672E-2</v>
      </c>
    </row>
    <row r="60" spans="1:12" x14ac:dyDescent="0.25">
      <c r="A60" s="5" t="s">
        <v>6</v>
      </c>
      <c r="B60" s="4">
        <f>B17/$E$17</f>
        <v>0.57471428571428584</v>
      </c>
      <c r="C60" s="4">
        <f t="shared" ref="C60:G60" si="3">C17/$E$17</f>
        <v>0.64628571428571435</v>
      </c>
      <c r="D60" s="4">
        <f t="shared" si="3"/>
        <v>0.7588571428571429</v>
      </c>
      <c r="E60" s="4">
        <f t="shared" si="3"/>
        <v>1</v>
      </c>
      <c r="F60" s="4">
        <f t="shared" si="3"/>
        <v>-1.3809523809523813E-2</v>
      </c>
    </row>
    <row r="61" spans="1:12" x14ac:dyDescent="0.25">
      <c r="A61" s="5" t="s">
        <v>7</v>
      </c>
      <c r="B61" s="4">
        <f>B18/$F$18</f>
        <v>-0.4110344827586207</v>
      </c>
      <c r="C61" s="4">
        <f t="shared" ref="C61:G61" si="4">C18/$F$18</f>
        <v>0.18827586206896554</v>
      </c>
      <c r="D61" s="4">
        <f t="shared" si="4"/>
        <v>-0.46344827586206899</v>
      </c>
      <c r="E61" s="4">
        <f t="shared" si="4"/>
        <v>-0.18103448275862069</v>
      </c>
      <c r="F61" s="4">
        <f t="shared" si="4"/>
        <v>1</v>
      </c>
    </row>
  </sheetData>
  <mergeCells count="5">
    <mergeCell ref="A1:I1"/>
    <mergeCell ref="A12:F12"/>
    <mergeCell ref="C29:F31"/>
    <mergeCell ref="A35:B35"/>
    <mergeCell ref="H35:I35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8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2024-11-08T10:06:56Z</cp:lastPrinted>
  <dcterms:created xsi:type="dcterms:W3CDTF">2024-10-05T13:27:14Z</dcterms:created>
  <dcterms:modified xsi:type="dcterms:W3CDTF">2024-11-08T10:09:20Z</dcterms:modified>
</cp:coreProperties>
</file>