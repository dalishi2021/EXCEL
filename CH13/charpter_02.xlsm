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3\"/>
    </mc:Choice>
  </mc:AlternateContent>
  <xr:revisionPtr revIDLastSave="0" documentId="13_ncr:1_{7E7C062D-CA56-41FF-B4D0-48740C9A13B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  <externalReference r:id="rId5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1" l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11" i="1"/>
  <c r="B11" i="1"/>
  <c r="C11" i="1"/>
  <c r="D11" i="1"/>
  <c r="E11" i="1"/>
  <c r="F11" i="1"/>
  <c r="G11" i="1"/>
  <c r="H11" i="1"/>
  <c r="I11" i="1"/>
  <c r="J11" i="1"/>
  <c r="K11" i="1"/>
  <c r="B12" i="1"/>
  <c r="C12" i="1"/>
  <c r="D12" i="1"/>
  <c r="E12" i="1"/>
  <c r="F12" i="1"/>
  <c r="G12" i="1"/>
  <c r="H12" i="1"/>
  <c r="I12" i="1"/>
  <c r="J12" i="1"/>
  <c r="K12" i="1"/>
  <c r="B13" i="1"/>
  <c r="C13" i="1"/>
  <c r="D13" i="1"/>
  <c r="E13" i="1"/>
  <c r="F13" i="1"/>
  <c r="G13" i="1"/>
  <c r="H13" i="1"/>
  <c r="I13" i="1"/>
  <c r="J13" i="1"/>
  <c r="K13" i="1"/>
  <c r="K7" i="1" s="1"/>
  <c r="B14" i="1"/>
  <c r="C14" i="1"/>
  <c r="D14" i="1"/>
  <c r="E14" i="1"/>
  <c r="F14" i="1"/>
  <c r="G14" i="1"/>
  <c r="H14" i="1"/>
  <c r="I14" i="1"/>
  <c r="J14" i="1"/>
  <c r="K14" i="1"/>
  <c r="B15" i="1"/>
  <c r="C15" i="1"/>
  <c r="D15" i="1"/>
  <c r="E15" i="1"/>
  <c r="F15" i="1"/>
  <c r="G15" i="1"/>
  <c r="H15" i="1"/>
  <c r="I15" i="1"/>
  <c r="I7" i="1" s="1"/>
  <c r="J15" i="1"/>
  <c r="K15" i="1"/>
  <c r="B16" i="1"/>
  <c r="C16" i="1"/>
  <c r="D16" i="1"/>
  <c r="E16" i="1"/>
  <c r="F16" i="1"/>
  <c r="G16" i="1"/>
  <c r="H16" i="1"/>
  <c r="I16" i="1"/>
  <c r="J16" i="1"/>
  <c r="K16" i="1"/>
  <c r="B17" i="1"/>
  <c r="C17" i="1"/>
  <c r="D17" i="1"/>
  <c r="E17" i="1"/>
  <c r="F17" i="1"/>
  <c r="G17" i="1"/>
  <c r="H17" i="1"/>
  <c r="I17" i="1"/>
  <c r="J17" i="1"/>
  <c r="K17" i="1"/>
  <c r="B18" i="1"/>
  <c r="C18" i="1"/>
  <c r="D18" i="1"/>
  <c r="E18" i="1"/>
  <c r="F18" i="1"/>
  <c r="G18" i="1"/>
  <c r="H18" i="1"/>
  <c r="I18" i="1"/>
  <c r="J18" i="1"/>
  <c r="K18" i="1"/>
  <c r="B19" i="1"/>
  <c r="C19" i="1"/>
  <c r="D19" i="1"/>
  <c r="E19" i="1"/>
  <c r="F19" i="1"/>
  <c r="G19" i="1"/>
  <c r="H19" i="1"/>
  <c r="I19" i="1"/>
  <c r="J19" i="1"/>
  <c r="K19" i="1"/>
  <c r="B20" i="1"/>
  <c r="C20" i="1"/>
  <c r="D20" i="1"/>
  <c r="E20" i="1"/>
  <c r="F20" i="1"/>
  <c r="G20" i="1"/>
  <c r="H20" i="1"/>
  <c r="I20" i="1"/>
  <c r="J20" i="1"/>
  <c r="K20" i="1"/>
  <c r="B21" i="1"/>
  <c r="C21" i="1"/>
  <c r="D21" i="1"/>
  <c r="E21" i="1"/>
  <c r="F21" i="1"/>
  <c r="G21" i="1"/>
  <c r="H21" i="1"/>
  <c r="I21" i="1"/>
  <c r="J21" i="1"/>
  <c r="K21" i="1"/>
  <c r="B22" i="1"/>
  <c r="C22" i="1"/>
  <c r="D22" i="1"/>
  <c r="E22" i="1"/>
  <c r="F22" i="1"/>
  <c r="G22" i="1"/>
  <c r="H22" i="1"/>
  <c r="I22" i="1"/>
  <c r="J22" i="1"/>
  <c r="K22" i="1"/>
  <c r="B23" i="1"/>
  <c r="C23" i="1"/>
  <c r="D23" i="1"/>
  <c r="E23" i="1"/>
  <c r="F23" i="1"/>
  <c r="G23" i="1"/>
  <c r="H23" i="1"/>
  <c r="I23" i="1"/>
  <c r="J23" i="1"/>
  <c r="K23" i="1"/>
  <c r="B24" i="1"/>
  <c r="B6" i="1" s="1"/>
  <c r="C24" i="1"/>
  <c r="D24" i="1"/>
  <c r="E24" i="1"/>
  <c r="F24" i="1"/>
  <c r="G24" i="1"/>
  <c r="H24" i="1"/>
  <c r="I24" i="1"/>
  <c r="J24" i="1"/>
  <c r="K24" i="1"/>
  <c r="B25" i="1"/>
  <c r="C25" i="1"/>
  <c r="D25" i="1"/>
  <c r="E25" i="1"/>
  <c r="F25" i="1"/>
  <c r="G25" i="1"/>
  <c r="H25" i="1"/>
  <c r="I25" i="1"/>
  <c r="J25" i="1"/>
  <c r="K25" i="1"/>
  <c r="B26" i="1"/>
  <c r="C26" i="1"/>
  <c r="D26" i="1"/>
  <c r="E26" i="1"/>
  <c r="F26" i="1"/>
  <c r="G26" i="1"/>
  <c r="H26" i="1"/>
  <c r="I26" i="1"/>
  <c r="J26" i="1"/>
  <c r="K26" i="1"/>
  <c r="B27" i="1"/>
  <c r="C27" i="1"/>
  <c r="D27" i="1"/>
  <c r="E27" i="1"/>
  <c r="F27" i="1"/>
  <c r="G27" i="1"/>
  <c r="H27" i="1"/>
  <c r="I27" i="1"/>
  <c r="J27" i="1"/>
  <c r="K27" i="1"/>
  <c r="B28" i="1"/>
  <c r="C28" i="1"/>
  <c r="D28" i="1"/>
  <c r="E28" i="1"/>
  <c r="F28" i="1"/>
  <c r="G28" i="1"/>
  <c r="H28" i="1"/>
  <c r="I28" i="1"/>
  <c r="J28" i="1"/>
  <c r="K28" i="1"/>
  <c r="B29" i="1"/>
  <c r="C29" i="1"/>
  <c r="D29" i="1"/>
  <c r="E29" i="1"/>
  <c r="F29" i="1"/>
  <c r="G29" i="1"/>
  <c r="H29" i="1"/>
  <c r="I29" i="1"/>
  <c r="J29" i="1"/>
  <c r="K29" i="1"/>
  <c r="B30" i="1"/>
  <c r="C30" i="1"/>
  <c r="D30" i="1"/>
  <c r="E30" i="1"/>
  <c r="F30" i="1"/>
  <c r="G30" i="1"/>
  <c r="H30" i="1"/>
  <c r="I30" i="1"/>
  <c r="J30" i="1"/>
  <c r="K30" i="1"/>
  <c r="B31" i="1"/>
  <c r="C31" i="1"/>
  <c r="D31" i="1"/>
  <c r="E31" i="1"/>
  <c r="F31" i="1"/>
  <c r="G31" i="1"/>
  <c r="H31" i="1"/>
  <c r="I31" i="1"/>
  <c r="J31" i="1"/>
  <c r="K31" i="1"/>
  <c r="B32" i="1"/>
  <c r="C32" i="1"/>
  <c r="D32" i="1"/>
  <c r="E32" i="1"/>
  <c r="F32" i="1"/>
  <c r="G32" i="1"/>
  <c r="H32" i="1"/>
  <c r="I32" i="1"/>
  <c r="J32" i="1"/>
  <c r="K32" i="1"/>
  <c r="B33" i="1"/>
  <c r="C33" i="1"/>
  <c r="D33" i="1"/>
  <c r="E33" i="1"/>
  <c r="F33" i="1"/>
  <c r="G33" i="1"/>
  <c r="H33" i="1"/>
  <c r="I33" i="1"/>
  <c r="J33" i="1"/>
  <c r="K33" i="1"/>
  <c r="B34" i="1"/>
  <c r="C34" i="1"/>
  <c r="D34" i="1"/>
  <c r="E34" i="1"/>
  <c r="F34" i="1"/>
  <c r="G34" i="1"/>
  <c r="H34" i="1"/>
  <c r="I34" i="1"/>
  <c r="J34" i="1"/>
  <c r="K34" i="1"/>
  <c r="B35" i="1"/>
  <c r="C35" i="1"/>
  <c r="D35" i="1"/>
  <c r="E35" i="1"/>
  <c r="F35" i="1"/>
  <c r="G35" i="1"/>
  <c r="H35" i="1"/>
  <c r="I35" i="1"/>
  <c r="J35" i="1"/>
  <c r="K35" i="1"/>
  <c r="B36" i="1"/>
  <c r="C36" i="1"/>
  <c r="D36" i="1"/>
  <c r="E36" i="1"/>
  <c r="F36" i="1"/>
  <c r="G36" i="1"/>
  <c r="H36" i="1"/>
  <c r="I36" i="1"/>
  <c r="J36" i="1"/>
  <c r="K36" i="1"/>
  <c r="B37" i="1"/>
  <c r="C37" i="1"/>
  <c r="D37" i="1"/>
  <c r="E37" i="1"/>
  <c r="F37" i="1"/>
  <c r="G37" i="1"/>
  <c r="H37" i="1"/>
  <c r="I37" i="1"/>
  <c r="J37" i="1"/>
  <c r="K37" i="1"/>
  <c r="B38" i="1"/>
  <c r="C38" i="1"/>
  <c r="D38" i="1"/>
  <c r="E38" i="1"/>
  <c r="F38" i="1"/>
  <c r="G38" i="1"/>
  <c r="H38" i="1"/>
  <c r="I38" i="1"/>
  <c r="J38" i="1"/>
  <c r="K38" i="1"/>
  <c r="B39" i="1"/>
  <c r="C39" i="1"/>
  <c r="D39" i="1"/>
  <c r="E39" i="1"/>
  <c r="F39" i="1"/>
  <c r="G39" i="1"/>
  <c r="H39" i="1"/>
  <c r="I39" i="1"/>
  <c r="J39" i="1"/>
  <c r="K39" i="1"/>
  <c r="B40" i="1"/>
  <c r="C40" i="1"/>
  <c r="D40" i="1"/>
  <c r="E40" i="1"/>
  <c r="F40" i="1"/>
  <c r="G40" i="1"/>
  <c r="H40" i="1"/>
  <c r="I40" i="1"/>
  <c r="J40" i="1"/>
  <c r="K40" i="1"/>
  <c r="B41" i="1"/>
  <c r="C41" i="1"/>
  <c r="D41" i="1"/>
  <c r="E41" i="1"/>
  <c r="F41" i="1"/>
  <c r="G41" i="1"/>
  <c r="H41" i="1"/>
  <c r="I41" i="1"/>
  <c r="J41" i="1"/>
  <c r="K41" i="1"/>
  <c r="B42" i="1"/>
  <c r="C42" i="1"/>
  <c r="D42" i="1"/>
  <c r="E42" i="1"/>
  <c r="F42" i="1"/>
  <c r="G42" i="1"/>
  <c r="H42" i="1"/>
  <c r="I42" i="1"/>
  <c r="J42" i="1"/>
  <c r="K42" i="1"/>
  <c r="B43" i="1"/>
  <c r="C43" i="1"/>
  <c r="D43" i="1"/>
  <c r="E43" i="1"/>
  <c r="F43" i="1"/>
  <c r="G43" i="1"/>
  <c r="H43" i="1"/>
  <c r="I43" i="1"/>
  <c r="J43" i="1"/>
  <c r="K43" i="1"/>
  <c r="B44" i="1"/>
  <c r="C44" i="1"/>
  <c r="D44" i="1"/>
  <c r="E44" i="1"/>
  <c r="F44" i="1"/>
  <c r="G44" i="1"/>
  <c r="H44" i="1"/>
  <c r="I44" i="1"/>
  <c r="J44" i="1"/>
  <c r="K44" i="1"/>
  <c r="B45" i="1"/>
  <c r="C45" i="1"/>
  <c r="D45" i="1"/>
  <c r="E45" i="1"/>
  <c r="F45" i="1"/>
  <c r="G45" i="1"/>
  <c r="H45" i="1"/>
  <c r="I45" i="1"/>
  <c r="J45" i="1"/>
  <c r="K45" i="1"/>
  <c r="B46" i="1"/>
  <c r="C46" i="1"/>
  <c r="D46" i="1"/>
  <c r="E46" i="1"/>
  <c r="F46" i="1"/>
  <c r="G46" i="1"/>
  <c r="H46" i="1"/>
  <c r="I46" i="1"/>
  <c r="J46" i="1"/>
  <c r="K46" i="1"/>
  <c r="B47" i="1"/>
  <c r="C47" i="1"/>
  <c r="D47" i="1"/>
  <c r="E47" i="1"/>
  <c r="F47" i="1"/>
  <c r="G47" i="1"/>
  <c r="H47" i="1"/>
  <c r="I47" i="1"/>
  <c r="J47" i="1"/>
  <c r="K47" i="1"/>
  <c r="B48" i="1"/>
  <c r="C48" i="1"/>
  <c r="D48" i="1"/>
  <c r="D7" i="1" s="1"/>
  <c r="E48" i="1"/>
  <c r="F48" i="1"/>
  <c r="G48" i="1"/>
  <c r="H48" i="1"/>
  <c r="I48" i="1"/>
  <c r="J48" i="1"/>
  <c r="K48" i="1"/>
  <c r="B49" i="1"/>
  <c r="C49" i="1"/>
  <c r="D49" i="1"/>
  <c r="E49" i="1"/>
  <c r="F49" i="1"/>
  <c r="G49" i="1"/>
  <c r="H49" i="1"/>
  <c r="I49" i="1"/>
  <c r="J49" i="1"/>
  <c r="K49" i="1"/>
  <c r="B50" i="1"/>
  <c r="C50" i="1"/>
  <c r="D50" i="1"/>
  <c r="E50" i="1"/>
  <c r="F50" i="1"/>
  <c r="G50" i="1"/>
  <c r="H50" i="1"/>
  <c r="I50" i="1"/>
  <c r="J50" i="1"/>
  <c r="K50" i="1"/>
  <c r="B51" i="1"/>
  <c r="C51" i="1"/>
  <c r="D51" i="1"/>
  <c r="E51" i="1"/>
  <c r="F51" i="1"/>
  <c r="G51" i="1"/>
  <c r="H51" i="1"/>
  <c r="I51" i="1"/>
  <c r="J51" i="1"/>
  <c r="K51" i="1"/>
  <c r="B52" i="1"/>
  <c r="C52" i="1"/>
  <c r="D52" i="1"/>
  <c r="E52" i="1"/>
  <c r="F52" i="1"/>
  <c r="G52" i="1"/>
  <c r="H52" i="1"/>
  <c r="I52" i="1"/>
  <c r="J52" i="1"/>
  <c r="K52" i="1"/>
  <c r="B53" i="1"/>
  <c r="C53" i="1"/>
  <c r="D53" i="1"/>
  <c r="E53" i="1"/>
  <c r="F53" i="1"/>
  <c r="G53" i="1"/>
  <c r="H53" i="1"/>
  <c r="I53" i="1"/>
  <c r="J53" i="1"/>
  <c r="K53" i="1"/>
  <c r="B54" i="1"/>
  <c r="C54" i="1"/>
  <c r="D54" i="1"/>
  <c r="E54" i="1"/>
  <c r="F54" i="1"/>
  <c r="G54" i="1"/>
  <c r="H54" i="1"/>
  <c r="I54" i="1"/>
  <c r="J54" i="1"/>
  <c r="K54" i="1"/>
  <c r="B55" i="1"/>
  <c r="C55" i="1"/>
  <c r="D55" i="1"/>
  <c r="E55" i="1"/>
  <c r="F55" i="1"/>
  <c r="G55" i="1"/>
  <c r="H55" i="1"/>
  <c r="I55" i="1"/>
  <c r="J55" i="1"/>
  <c r="K55" i="1"/>
  <c r="B56" i="1"/>
  <c r="C56" i="1"/>
  <c r="D56" i="1"/>
  <c r="E56" i="1"/>
  <c r="F56" i="1"/>
  <c r="G56" i="1"/>
  <c r="H56" i="1"/>
  <c r="I56" i="1"/>
  <c r="J56" i="1"/>
  <c r="K56" i="1"/>
  <c r="B57" i="1"/>
  <c r="C57" i="1"/>
  <c r="D57" i="1"/>
  <c r="E57" i="1"/>
  <c r="F57" i="1"/>
  <c r="G57" i="1"/>
  <c r="H57" i="1"/>
  <c r="I57" i="1"/>
  <c r="J57" i="1"/>
  <c r="K57" i="1"/>
  <c r="B58" i="1"/>
  <c r="C58" i="1"/>
  <c r="D58" i="1"/>
  <c r="E58" i="1"/>
  <c r="F58" i="1"/>
  <c r="G58" i="1"/>
  <c r="H58" i="1"/>
  <c r="I58" i="1"/>
  <c r="J58" i="1"/>
  <c r="K58" i="1"/>
  <c r="B59" i="1"/>
  <c r="C59" i="1"/>
  <c r="D59" i="1"/>
  <c r="E59" i="1"/>
  <c r="F59" i="1"/>
  <c r="G59" i="1"/>
  <c r="H59" i="1"/>
  <c r="I59" i="1"/>
  <c r="J59" i="1"/>
  <c r="K59" i="1"/>
  <c r="B60" i="1"/>
  <c r="C60" i="1"/>
  <c r="D60" i="1"/>
  <c r="E60" i="1"/>
  <c r="F60" i="1"/>
  <c r="G60" i="1"/>
  <c r="H60" i="1"/>
  <c r="I60" i="1"/>
  <c r="J60" i="1"/>
  <c r="J6" i="1" s="1"/>
  <c r="K60" i="1"/>
  <c r="B61" i="1"/>
  <c r="C61" i="1"/>
  <c r="D61" i="1"/>
  <c r="E61" i="1"/>
  <c r="F61" i="1"/>
  <c r="G61" i="1"/>
  <c r="H61" i="1"/>
  <c r="I61" i="1"/>
  <c r="J61" i="1"/>
  <c r="K61" i="1"/>
  <c r="B62" i="1"/>
  <c r="C62" i="1"/>
  <c r="D62" i="1"/>
  <c r="E62" i="1"/>
  <c r="F62" i="1"/>
  <c r="G62" i="1"/>
  <c r="H62" i="1"/>
  <c r="I62" i="1"/>
  <c r="J62" i="1"/>
  <c r="K62" i="1"/>
  <c r="B63" i="1"/>
  <c r="C63" i="1"/>
  <c r="D63" i="1"/>
  <c r="E63" i="1"/>
  <c r="F63" i="1"/>
  <c r="G63" i="1"/>
  <c r="H63" i="1"/>
  <c r="I63" i="1"/>
  <c r="J63" i="1"/>
  <c r="K63" i="1"/>
  <c r="B64" i="1"/>
  <c r="C64" i="1"/>
  <c r="D64" i="1"/>
  <c r="E64" i="1"/>
  <c r="F64" i="1"/>
  <c r="G64" i="1"/>
  <c r="H64" i="1"/>
  <c r="I64" i="1"/>
  <c r="J64" i="1"/>
  <c r="K64" i="1"/>
  <c r="B65" i="1"/>
  <c r="C65" i="1"/>
  <c r="D65" i="1"/>
  <c r="E65" i="1"/>
  <c r="F65" i="1"/>
  <c r="G65" i="1"/>
  <c r="H65" i="1"/>
  <c r="I65" i="1"/>
  <c r="J65" i="1"/>
  <c r="K65" i="1"/>
  <c r="B66" i="1"/>
  <c r="C66" i="1"/>
  <c r="D66" i="1"/>
  <c r="E66" i="1"/>
  <c r="F66" i="1"/>
  <c r="G66" i="1"/>
  <c r="H66" i="1"/>
  <c r="I66" i="1"/>
  <c r="J66" i="1"/>
  <c r="K66" i="1"/>
  <c r="B67" i="1"/>
  <c r="C67" i="1"/>
  <c r="D67" i="1"/>
  <c r="E67" i="1"/>
  <c r="F67" i="1"/>
  <c r="G67" i="1"/>
  <c r="H67" i="1"/>
  <c r="I67" i="1"/>
  <c r="J67" i="1"/>
  <c r="K67" i="1"/>
  <c r="B68" i="1"/>
  <c r="C68" i="1"/>
  <c r="D68" i="1"/>
  <c r="E68" i="1"/>
  <c r="F68" i="1"/>
  <c r="G68" i="1"/>
  <c r="H68" i="1"/>
  <c r="I68" i="1"/>
  <c r="J68" i="1"/>
  <c r="K68" i="1"/>
  <c r="B69" i="1"/>
  <c r="C69" i="1"/>
  <c r="D69" i="1"/>
  <c r="E69" i="1"/>
  <c r="F69" i="1"/>
  <c r="G69" i="1"/>
  <c r="H69" i="1"/>
  <c r="I69" i="1"/>
  <c r="J69" i="1"/>
  <c r="K69" i="1"/>
  <c r="B70" i="1"/>
  <c r="C70" i="1"/>
  <c r="D70" i="1"/>
  <c r="E70" i="1"/>
  <c r="F70" i="1"/>
  <c r="G70" i="1"/>
  <c r="H70" i="1"/>
  <c r="I70" i="1"/>
  <c r="J70" i="1"/>
  <c r="K70" i="1"/>
  <c r="J7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K4" i="1"/>
  <c r="J4" i="1"/>
  <c r="I4" i="1"/>
  <c r="H4" i="1"/>
  <c r="G4" i="1"/>
  <c r="F4" i="1"/>
  <c r="E4" i="1"/>
  <c r="D4" i="1"/>
  <c r="C4" i="1"/>
  <c r="B4" i="1"/>
  <c r="M6" i="1"/>
  <c r="M7" i="1"/>
  <c r="M11" i="1"/>
  <c r="F6" i="1" l="1"/>
  <c r="C6" i="1"/>
  <c r="G6" i="1"/>
  <c r="E6" i="1"/>
  <c r="D6" i="1"/>
  <c r="H6" i="1"/>
  <c r="I6" i="1"/>
  <c r="L6" i="1"/>
  <c r="L7" i="1"/>
  <c r="K6" i="1"/>
  <c r="B7" i="1"/>
  <c r="C7" i="1"/>
  <c r="E7" i="1"/>
  <c r="F7" i="1"/>
  <c r="G7" i="1"/>
  <c r="H7" i="1"/>
</calcChain>
</file>

<file path=xl/sharedStrings.xml><?xml version="1.0" encoding="utf-8"?>
<sst xmlns="http://schemas.openxmlformats.org/spreadsheetml/2006/main" count="28" uniqueCount="26">
  <si>
    <t>RETURN DATA FOR THE SUPER-DUPER BENCHMARK PORTFOLIO</t>
  </si>
  <si>
    <t>General Motors
GM</t>
  </si>
  <si>
    <t>Home Depot
HD</t>
  </si>
  <si>
    <t>International Paper
IP</t>
  </si>
  <si>
    <t>Hewlett-Packard
HPQ</t>
  </si>
  <si>
    <t>Altria
MO</t>
  </si>
  <si>
    <t>American Express
AXP</t>
  </si>
  <si>
    <t>Alcoa Aluminum
AA</t>
  </si>
  <si>
    <t>DuPont
DD</t>
  </si>
  <si>
    <t>Merck
MRK</t>
  </si>
  <si>
    <t>MMM</t>
  </si>
  <si>
    <t>3month T-bill,
monthly</t>
  </si>
  <si>
    <t>Market cap (billion $)</t>
  </si>
  <si>
    <t>Benchmark proportion</t>
  </si>
  <si>
    <t>Mean return</t>
  </si>
  <si>
    <t>Return sigma</t>
  </si>
  <si>
    <t>Date</t>
  </si>
  <si>
    <t>GM</t>
  </si>
  <si>
    <t>HD</t>
  </si>
  <si>
    <t>IP</t>
  </si>
  <si>
    <t>HPQ</t>
  </si>
  <si>
    <t>MO</t>
  </si>
  <si>
    <t>AXP</t>
  </si>
  <si>
    <t>AA</t>
  </si>
  <si>
    <t>DD</t>
  </si>
  <si>
    <t>MRK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</si>
</sst>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2" fillId="0" borderId="0" xfId="1" applyNumberFormat="1" applyAlignment="1"/>
    <xf numFmtId="10" fontId="0" fillId="0" borderId="0" xfId="0" applyNumberFormat="1" applyAlignment="1"/>
    <xf numFmtId="10" fontId="0" fillId="0" borderId="0" xfId="1" applyNumberFormat="1" applyFont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/>
    </xf>
    <xf numFmtId="0" fontId="4" fillId="0" borderId="0" xfId="0" applyFont="1" applyAlignment="1"/>
    <xf numFmtId="0" fontId="3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552450</xdr:colOff>
      <xdr:row>1</xdr:row>
      <xdr:rowOff>114300</xdr:rowOff>
    </xdr:from>
    <xdr:to>
      <xdr:col>30</xdr:col>
      <xdr:colOff>129540</xdr:colOff>
      <xdr:row>29</xdr:row>
      <xdr:rowOff>91440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1ED4CCD-F462-972D-145D-568BDF34FA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500" y="333375"/>
          <a:ext cx="9934575" cy="5657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3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3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3\charpter_01.xlsm" TargetMode="External"/><Relationship Id="rId1" Type="http://schemas.openxmlformats.org/officeDocument/2006/relationships/externalLinkPath" Target="charpter_01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3\3month%20T-bills.xlsx" TargetMode="External"/><Relationship Id="rId1" Type="http://schemas.openxmlformats.org/officeDocument/2006/relationships/externalLinkPath" Target="3month%20T-bill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51"/>
      <sheetName val="Page 351中文"/>
      <sheetName val="Page 352"/>
      <sheetName val="Page 352中文"/>
      <sheetName val="Page 353"/>
      <sheetName val="Page 353中文"/>
      <sheetName val="Page 355"/>
      <sheetName val="Page 355中文"/>
      <sheetName val="Page 356"/>
      <sheetName val="Page 356中文"/>
      <sheetName val="Page 358"/>
      <sheetName val="Page 358中文"/>
      <sheetName val="Page 359"/>
      <sheetName val="Page 359中文"/>
      <sheetName val="Pages 361-63"/>
      <sheetName val="Pages 361-63中文"/>
      <sheetName val="Page 364"/>
      <sheetName val="Page 364中文"/>
      <sheetName val="Pages 365-367"/>
      <sheetName val="Pages 365-367中文"/>
      <sheetName val="3month T-bills中文"/>
    </sheetNames>
    <sheetDataSet>
      <sheetData sheetId="0">
        <row r="8">
          <cell r="A8">
            <v>37074</v>
          </cell>
        </row>
        <row r="9">
          <cell r="A9">
            <v>37104</v>
          </cell>
        </row>
        <row r="10">
          <cell r="A10">
            <v>37138</v>
          </cell>
        </row>
        <row r="11">
          <cell r="A11">
            <v>37165</v>
          </cell>
        </row>
        <row r="12">
          <cell r="A12">
            <v>37196</v>
          </cell>
        </row>
        <row r="13">
          <cell r="A13">
            <v>37228</v>
          </cell>
        </row>
        <row r="14">
          <cell r="A14">
            <v>37258</v>
          </cell>
        </row>
        <row r="15">
          <cell r="A15">
            <v>37288</v>
          </cell>
        </row>
        <row r="16">
          <cell r="A16">
            <v>37316</v>
          </cell>
        </row>
        <row r="17">
          <cell r="A17">
            <v>37347</v>
          </cell>
        </row>
        <row r="18">
          <cell r="A18">
            <v>37377</v>
          </cell>
        </row>
        <row r="19">
          <cell r="A19">
            <v>37410</v>
          </cell>
        </row>
        <row r="20">
          <cell r="A20">
            <v>37438</v>
          </cell>
        </row>
        <row r="21">
          <cell r="A21">
            <v>37469</v>
          </cell>
        </row>
        <row r="22">
          <cell r="A22">
            <v>37502</v>
          </cell>
        </row>
        <row r="23">
          <cell r="A23">
            <v>37530</v>
          </cell>
        </row>
        <row r="24">
          <cell r="A24">
            <v>37561</v>
          </cell>
        </row>
        <row r="25">
          <cell r="A25">
            <v>37592</v>
          </cell>
        </row>
        <row r="26">
          <cell r="A26">
            <v>37623</v>
          </cell>
        </row>
        <row r="27">
          <cell r="A27">
            <v>37655</v>
          </cell>
        </row>
        <row r="28">
          <cell r="A28">
            <v>37683</v>
          </cell>
        </row>
        <row r="29">
          <cell r="A29">
            <v>37712</v>
          </cell>
        </row>
        <row r="30">
          <cell r="A30">
            <v>37742</v>
          </cell>
        </row>
        <row r="31">
          <cell r="A31">
            <v>37774</v>
          </cell>
        </row>
        <row r="32">
          <cell r="A32">
            <v>37803</v>
          </cell>
        </row>
        <row r="33">
          <cell r="A33">
            <v>37834</v>
          </cell>
        </row>
        <row r="34">
          <cell r="A34">
            <v>37866</v>
          </cell>
        </row>
        <row r="35">
          <cell r="A35">
            <v>37895</v>
          </cell>
        </row>
        <row r="36">
          <cell r="A36">
            <v>37928</v>
          </cell>
        </row>
        <row r="37">
          <cell r="A37">
            <v>37956</v>
          </cell>
        </row>
        <row r="38">
          <cell r="A38">
            <v>37988</v>
          </cell>
        </row>
        <row r="39">
          <cell r="A39">
            <v>38019</v>
          </cell>
        </row>
        <row r="40">
          <cell r="A40">
            <v>38047</v>
          </cell>
        </row>
        <row r="41">
          <cell r="A41">
            <v>38078</v>
          </cell>
        </row>
        <row r="42">
          <cell r="A42">
            <v>38110</v>
          </cell>
        </row>
        <row r="43">
          <cell r="A43">
            <v>38139</v>
          </cell>
        </row>
        <row r="44">
          <cell r="A44">
            <v>38169</v>
          </cell>
        </row>
        <row r="45">
          <cell r="A45">
            <v>38201</v>
          </cell>
        </row>
        <row r="46">
          <cell r="A46">
            <v>38231</v>
          </cell>
        </row>
        <row r="47">
          <cell r="A47">
            <v>38261</v>
          </cell>
        </row>
        <row r="48">
          <cell r="A48">
            <v>38292</v>
          </cell>
        </row>
        <row r="49">
          <cell r="A49">
            <v>38322</v>
          </cell>
        </row>
        <row r="50">
          <cell r="A50">
            <v>38355</v>
          </cell>
        </row>
        <row r="51">
          <cell r="A51">
            <v>38384</v>
          </cell>
        </row>
        <row r="52">
          <cell r="A52">
            <v>38412</v>
          </cell>
        </row>
        <row r="53">
          <cell r="A53">
            <v>38443</v>
          </cell>
        </row>
        <row r="54">
          <cell r="A54">
            <v>38474</v>
          </cell>
        </row>
        <row r="55">
          <cell r="A55">
            <v>38504</v>
          </cell>
        </row>
        <row r="56">
          <cell r="A56">
            <v>38534</v>
          </cell>
        </row>
        <row r="57">
          <cell r="A57">
            <v>38565</v>
          </cell>
        </row>
        <row r="58">
          <cell r="A58">
            <v>38596</v>
          </cell>
        </row>
        <row r="59">
          <cell r="A59">
            <v>38628</v>
          </cell>
        </row>
        <row r="60">
          <cell r="A60">
            <v>38657</v>
          </cell>
        </row>
        <row r="61">
          <cell r="A61">
            <v>38687</v>
          </cell>
        </row>
        <row r="62">
          <cell r="A62">
            <v>38720</v>
          </cell>
        </row>
        <row r="63">
          <cell r="A63">
            <v>38749</v>
          </cell>
        </row>
        <row r="64">
          <cell r="A64">
            <v>38777</v>
          </cell>
        </row>
        <row r="65">
          <cell r="A65">
            <v>38810</v>
          </cell>
        </row>
        <row r="66">
          <cell r="A66">
            <v>38838</v>
          </cell>
        </row>
        <row r="67">
          <cell r="A67">
            <v>38869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7">
          <cell r="B7">
            <v>50.31</v>
          </cell>
          <cell r="C7">
            <v>45.26</v>
          </cell>
          <cell r="D7">
            <v>31.22</v>
          </cell>
          <cell r="E7">
            <v>26.47</v>
          </cell>
          <cell r="F7">
            <v>38.74</v>
          </cell>
          <cell r="G7">
            <v>32.47</v>
          </cell>
          <cell r="H7">
            <v>36.06</v>
          </cell>
          <cell r="I7">
            <v>40.880000000000003</v>
          </cell>
          <cell r="J7">
            <v>50.74</v>
          </cell>
          <cell r="K7">
            <v>51.56</v>
          </cell>
        </row>
        <row r="8">
          <cell r="B8">
            <v>49.72</v>
          </cell>
          <cell r="C8">
            <v>48.26</v>
          </cell>
          <cell r="D8">
            <v>35.64</v>
          </cell>
          <cell r="E8">
            <v>22.83</v>
          </cell>
          <cell r="F8">
            <v>35.61</v>
          </cell>
          <cell r="G8">
            <v>33.82</v>
          </cell>
          <cell r="H8">
            <v>35.369999999999997</v>
          </cell>
          <cell r="I8">
            <v>36.29</v>
          </cell>
          <cell r="J8">
            <v>53.98</v>
          </cell>
          <cell r="K8">
            <v>50.55</v>
          </cell>
        </row>
        <row r="9">
          <cell r="B9">
            <v>43.14</v>
          </cell>
          <cell r="C9">
            <v>44.06</v>
          </cell>
          <cell r="D9">
            <v>35.32</v>
          </cell>
          <cell r="E9">
            <v>21.48</v>
          </cell>
          <cell r="F9">
            <v>37.1</v>
          </cell>
          <cell r="G9">
            <v>30.54</v>
          </cell>
          <cell r="H9">
            <v>34.5</v>
          </cell>
          <cell r="I9">
            <v>35.01</v>
          </cell>
          <cell r="J9">
            <v>51.96</v>
          </cell>
          <cell r="K9">
            <v>47.3</v>
          </cell>
        </row>
        <row r="10">
          <cell r="B10">
            <v>33.81</v>
          </cell>
          <cell r="C10">
            <v>36.79</v>
          </cell>
          <cell r="D10">
            <v>30.66</v>
          </cell>
          <cell r="E10">
            <v>14.92</v>
          </cell>
          <cell r="F10">
            <v>37.79</v>
          </cell>
          <cell r="G10">
            <v>24.37</v>
          </cell>
          <cell r="H10">
            <v>28.06</v>
          </cell>
          <cell r="I10">
            <v>32.07</v>
          </cell>
          <cell r="J10">
            <v>53.16</v>
          </cell>
          <cell r="K10">
            <v>44.71</v>
          </cell>
        </row>
        <row r="11">
          <cell r="B11">
            <v>32.56</v>
          </cell>
          <cell r="C11">
            <v>36.659999999999997</v>
          </cell>
          <cell r="D11">
            <v>31.5</v>
          </cell>
          <cell r="E11">
            <v>15.65</v>
          </cell>
          <cell r="F11">
            <v>36.630000000000003</v>
          </cell>
          <cell r="G11">
            <v>24.75</v>
          </cell>
          <cell r="H11">
            <v>29.34</v>
          </cell>
          <cell r="I11">
            <v>34.18</v>
          </cell>
          <cell r="J11">
            <v>50.93</v>
          </cell>
          <cell r="K11">
            <v>47.43</v>
          </cell>
        </row>
        <row r="12">
          <cell r="B12">
            <v>39.630000000000003</v>
          </cell>
          <cell r="C12">
            <v>44.78</v>
          </cell>
          <cell r="D12">
            <v>35.369999999999997</v>
          </cell>
          <cell r="E12">
            <v>20.45</v>
          </cell>
          <cell r="F12">
            <v>36.92</v>
          </cell>
          <cell r="G12">
            <v>27.68</v>
          </cell>
          <cell r="H12">
            <v>35.090000000000003</v>
          </cell>
          <cell r="I12">
            <v>38.21</v>
          </cell>
          <cell r="J12">
            <v>54.07</v>
          </cell>
          <cell r="K12">
            <v>52.33</v>
          </cell>
        </row>
        <row r="13">
          <cell r="B13">
            <v>38.75</v>
          </cell>
          <cell r="C13">
            <v>48.97</v>
          </cell>
          <cell r="D13">
            <v>35.729999999999997</v>
          </cell>
          <cell r="E13">
            <v>19.170000000000002</v>
          </cell>
          <cell r="F13">
            <v>36.340000000000003</v>
          </cell>
          <cell r="G13">
            <v>30.02</v>
          </cell>
          <cell r="H13">
            <v>32.32</v>
          </cell>
          <cell r="I13">
            <v>36.630000000000003</v>
          </cell>
          <cell r="J13">
            <v>47.18</v>
          </cell>
          <cell r="K13">
            <v>53.99</v>
          </cell>
        </row>
        <row r="14">
          <cell r="B14">
            <v>40.770000000000003</v>
          </cell>
          <cell r="C14">
            <v>48.09</v>
          </cell>
          <cell r="D14">
            <v>36.99</v>
          </cell>
          <cell r="E14">
            <v>20.64</v>
          </cell>
          <cell r="F14">
            <v>39.71</v>
          </cell>
          <cell r="G14">
            <v>30.22</v>
          </cell>
          <cell r="H14">
            <v>32.590000000000003</v>
          </cell>
          <cell r="I14">
            <v>38.06</v>
          </cell>
          <cell r="J14">
            <v>47.48</v>
          </cell>
          <cell r="K14">
            <v>50.7</v>
          </cell>
        </row>
        <row r="15">
          <cell r="B15">
            <v>42.67</v>
          </cell>
          <cell r="C15">
            <v>48</v>
          </cell>
          <cell r="D15">
            <v>38.96</v>
          </cell>
          <cell r="E15">
            <v>18.78</v>
          </cell>
          <cell r="F15">
            <v>41.73</v>
          </cell>
          <cell r="G15">
            <v>30.72</v>
          </cell>
          <cell r="H15">
            <v>34.31</v>
          </cell>
          <cell r="I15">
            <v>40.68</v>
          </cell>
          <cell r="J15">
            <v>49.21</v>
          </cell>
          <cell r="K15">
            <v>54.16</v>
          </cell>
        </row>
        <row r="16">
          <cell r="B16">
            <v>48.69</v>
          </cell>
          <cell r="C16">
            <v>46.71</v>
          </cell>
          <cell r="D16">
            <v>38.299999999999997</v>
          </cell>
          <cell r="E16">
            <v>16.809999999999999</v>
          </cell>
          <cell r="F16">
            <v>42.21</v>
          </cell>
          <cell r="G16">
            <v>34.520000000000003</v>
          </cell>
          <cell r="H16">
            <v>34.47</v>
          </cell>
          <cell r="I16">
            <v>40.950000000000003</v>
          </cell>
          <cell r="J16">
            <v>46.46</v>
          </cell>
          <cell r="K16">
            <v>52.81</v>
          </cell>
        </row>
        <row r="17">
          <cell r="B17">
            <v>51.67</v>
          </cell>
          <cell r="C17">
            <v>44.56</v>
          </cell>
          <cell r="D17">
            <v>36.9</v>
          </cell>
          <cell r="E17">
            <v>16.02</v>
          </cell>
          <cell r="F17">
            <v>43.62</v>
          </cell>
          <cell r="G17">
            <v>34.64</v>
          </cell>
          <cell r="H17">
            <v>31.08</v>
          </cell>
          <cell r="I17">
            <v>38.65</v>
          </cell>
          <cell r="J17">
            <v>43.85</v>
          </cell>
          <cell r="K17">
            <v>57.77</v>
          </cell>
        </row>
        <row r="18">
          <cell r="B18">
            <v>50.43</v>
          </cell>
          <cell r="C18">
            <v>40.06</v>
          </cell>
          <cell r="D18">
            <v>38.6</v>
          </cell>
          <cell r="E18">
            <v>17.89</v>
          </cell>
          <cell r="F18">
            <v>45.88</v>
          </cell>
          <cell r="G18">
            <v>35.9</v>
          </cell>
          <cell r="H18">
            <v>32.090000000000003</v>
          </cell>
          <cell r="I18">
            <v>40.270000000000003</v>
          </cell>
          <cell r="J18">
            <v>46.07</v>
          </cell>
          <cell r="K18">
            <v>57.88</v>
          </cell>
        </row>
        <row r="19">
          <cell r="B19">
            <v>43.37</v>
          </cell>
          <cell r="C19">
            <v>35.340000000000003</v>
          </cell>
          <cell r="D19">
            <v>39.03</v>
          </cell>
          <cell r="E19">
            <v>14.38</v>
          </cell>
          <cell r="F19">
            <v>35.44</v>
          </cell>
          <cell r="G19">
            <v>30.68</v>
          </cell>
          <cell r="H19">
            <v>30.41</v>
          </cell>
          <cell r="I19">
            <v>38.86</v>
          </cell>
          <cell r="J19">
            <v>41.12</v>
          </cell>
          <cell r="K19">
            <v>56.76</v>
          </cell>
        </row>
        <row r="20">
          <cell r="B20">
            <v>37.770000000000003</v>
          </cell>
          <cell r="C20">
            <v>29.71</v>
          </cell>
          <cell r="D20">
            <v>35.67</v>
          </cell>
          <cell r="E20">
            <v>13.32</v>
          </cell>
          <cell r="F20">
            <v>37.369999999999997</v>
          </cell>
          <cell r="G20">
            <v>29.84</v>
          </cell>
          <cell r="H20">
            <v>24.96</v>
          </cell>
          <cell r="I20">
            <v>36.69</v>
          </cell>
          <cell r="J20">
            <v>40.28</v>
          </cell>
          <cell r="K20">
            <v>58.07</v>
          </cell>
        </row>
        <row r="21">
          <cell r="B21">
            <v>39.28</v>
          </cell>
          <cell r="C21">
            <v>31.69</v>
          </cell>
          <cell r="D21">
            <v>33.950000000000003</v>
          </cell>
          <cell r="E21">
            <v>12.64</v>
          </cell>
          <cell r="F21">
            <v>40.57</v>
          </cell>
          <cell r="G21">
            <v>30.52</v>
          </cell>
          <cell r="H21">
            <v>23.15</v>
          </cell>
          <cell r="I21">
            <v>35.58</v>
          </cell>
          <cell r="J21">
            <v>41.03</v>
          </cell>
          <cell r="K21">
            <v>57.94</v>
          </cell>
        </row>
        <row r="22">
          <cell r="B22">
            <v>31.93</v>
          </cell>
          <cell r="C22">
            <v>25.15</v>
          </cell>
          <cell r="D22">
            <v>30.11</v>
          </cell>
          <cell r="E22">
            <v>11.05</v>
          </cell>
          <cell r="F22">
            <v>31.91</v>
          </cell>
          <cell r="G22">
            <v>26.39</v>
          </cell>
          <cell r="H22">
            <v>17.809999999999999</v>
          </cell>
          <cell r="I22">
            <v>31.84</v>
          </cell>
          <cell r="J22">
            <v>37.4</v>
          </cell>
          <cell r="K22">
            <v>50.99</v>
          </cell>
        </row>
        <row r="23">
          <cell r="B23">
            <v>27.29</v>
          </cell>
          <cell r="C23">
            <v>27.83</v>
          </cell>
          <cell r="D23">
            <v>31.49</v>
          </cell>
          <cell r="E23">
            <v>14.96</v>
          </cell>
          <cell r="F23">
            <v>33.51</v>
          </cell>
          <cell r="G23">
            <v>30.86</v>
          </cell>
          <cell r="H23">
            <v>20.350000000000001</v>
          </cell>
          <cell r="I23">
            <v>36.409999999999997</v>
          </cell>
          <cell r="J23">
            <v>44.38</v>
          </cell>
          <cell r="K23">
            <v>58.86</v>
          </cell>
        </row>
        <row r="24">
          <cell r="B24">
            <v>33.06</v>
          </cell>
          <cell r="C24">
            <v>25.44</v>
          </cell>
          <cell r="D24">
            <v>35.64</v>
          </cell>
          <cell r="E24">
            <v>18.45</v>
          </cell>
          <cell r="F24">
            <v>31.02</v>
          </cell>
          <cell r="G24">
            <v>33.03</v>
          </cell>
          <cell r="H24">
            <v>23.72</v>
          </cell>
          <cell r="I24">
            <v>39.71</v>
          </cell>
          <cell r="J24">
            <v>48.61</v>
          </cell>
          <cell r="K24">
            <v>60.5</v>
          </cell>
        </row>
        <row r="25">
          <cell r="B25">
            <v>30.7</v>
          </cell>
          <cell r="C25">
            <v>23.2</v>
          </cell>
          <cell r="D25">
            <v>31.75</v>
          </cell>
          <cell r="E25">
            <v>16.510000000000002</v>
          </cell>
          <cell r="F25">
            <v>33.86</v>
          </cell>
          <cell r="G25">
            <v>30.06</v>
          </cell>
          <cell r="H25">
            <v>21.15</v>
          </cell>
          <cell r="I25">
            <v>37.74</v>
          </cell>
          <cell r="J25">
            <v>46.61</v>
          </cell>
          <cell r="K25">
            <v>57.45</v>
          </cell>
        </row>
        <row r="26">
          <cell r="B26">
            <v>30.26</v>
          </cell>
          <cell r="C26">
            <v>20.190000000000001</v>
          </cell>
          <cell r="D26">
            <v>32.42</v>
          </cell>
          <cell r="E26">
            <v>16.559999999999999</v>
          </cell>
          <cell r="F26">
            <v>31.64</v>
          </cell>
          <cell r="G26">
            <v>30.21</v>
          </cell>
          <cell r="H26">
            <v>18.36</v>
          </cell>
          <cell r="I26">
            <v>33.71</v>
          </cell>
          <cell r="J26">
            <v>45.6</v>
          </cell>
          <cell r="K26">
            <v>58.03</v>
          </cell>
        </row>
        <row r="27">
          <cell r="B27">
            <v>28.52</v>
          </cell>
          <cell r="C27">
            <v>22.65</v>
          </cell>
          <cell r="D27">
            <v>32.03</v>
          </cell>
          <cell r="E27">
            <v>15.08</v>
          </cell>
          <cell r="F27">
            <v>32.29</v>
          </cell>
          <cell r="G27">
            <v>28.56</v>
          </cell>
          <cell r="H27">
            <v>19.18</v>
          </cell>
          <cell r="I27">
            <v>32.950000000000003</v>
          </cell>
          <cell r="J27">
            <v>43.43</v>
          </cell>
          <cell r="K27">
            <v>58.72</v>
          </cell>
        </row>
        <row r="28">
          <cell r="B28">
            <v>28.39</v>
          </cell>
          <cell r="C28">
            <v>23.59</v>
          </cell>
          <cell r="D28">
            <v>30.91</v>
          </cell>
          <cell r="E28">
            <v>14.87</v>
          </cell>
          <cell r="F28">
            <v>25.48</v>
          </cell>
          <cell r="G28">
            <v>28.26</v>
          </cell>
          <cell r="H28">
            <v>18.14</v>
          </cell>
          <cell r="I28">
            <v>34.92</v>
          </cell>
          <cell r="J28">
            <v>45.42</v>
          </cell>
          <cell r="K28">
            <v>60.91</v>
          </cell>
        </row>
        <row r="29">
          <cell r="B29">
            <v>30.45</v>
          </cell>
          <cell r="C29">
            <v>27.24</v>
          </cell>
          <cell r="D29">
            <v>32.69</v>
          </cell>
          <cell r="E29">
            <v>15.58</v>
          </cell>
          <cell r="F29">
            <v>26.16</v>
          </cell>
          <cell r="G29">
            <v>32.270000000000003</v>
          </cell>
          <cell r="H29">
            <v>21.6</v>
          </cell>
          <cell r="I29">
            <v>38.22</v>
          </cell>
          <cell r="J29">
            <v>48.23</v>
          </cell>
          <cell r="K29">
            <v>59.04</v>
          </cell>
        </row>
        <row r="30">
          <cell r="B30">
            <v>30.26</v>
          </cell>
          <cell r="C30">
            <v>31.47</v>
          </cell>
          <cell r="D30">
            <v>33.76</v>
          </cell>
          <cell r="E30">
            <v>18.64</v>
          </cell>
          <cell r="F30">
            <v>35.119999999999997</v>
          </cell>
          <cell r="G30">
            <v>35.51</v>
          </cell>
          <cell r="H30">
            <v>23.18</v>
          </cell>
          <cell r="I30">
            <v>38.18</v>
          </cell>
          <cell r="J30">
            <v>46.08</v>
          </cell>
          <cell r="K30">
            <v>59.55</v>
          </cell>
        </row>
        <row r="31">
          <cell r="B31">
            <v>30.83</v>
          </cell>
          <cell r="C31">
            <v>32.14</v>
          </cell>
          <cell r="D31">
            <v>32.9</v>
          </cell>
          <cell r="E31">
            <v>20.440000000000001</v>
          </cell>
          <cell r="F31">
            <v>39.22</v>
          </cell>
          <cell r="G31">
            <v>35.64</v>
          </cell>
          <cell r="H31">
            <v>24.02</v>
          </cell>
          <cell r="I31">
            <v>37.72</v>
          </cell>
          <cell r="J31">
            <v>50.52</v>
          </cell>
          <cell r="K31">
            <v>60.74</v>
          </cell>
        </row>
        <row r="32">
          <cell r="B32">
            <v>32.049999999999997</v>
          </cell>
          <cell r="C32">
            <v>30.27</v>
          </cell>
          <cell r="D32">
            <v>36.020000000000003</v>
          </cell>
          <cell r="E32">
            <v>20.32</v>
          </cell>
          <cell r="F32">
            <v>34.53</v>
          </cell>
          <cell r="G32">
            <v>37.74</v>
          </cell>
          <cell r="H32">
            <v>26.16</v>
          </cell>
          <cell r="I32">
            <v>39.81</v>
          </cell>
          <cell r="J32">
            <v>46.12</v>
          </cell>
          <cell r="K32">
            <v>66.02</v>
          </cell>
        </row>
        <row r="33">
          <cell r="B33">
            <v>35.67</v>
          </cell>
          <cell r="C33">
            <v>31.2</v>
          </cell>
          <cell r="D33">
            <v>37.56</v>
          </cell>
          <cell r="E33">
            <v>19.13</v>
          </cell>
          <cell r="F33">
            <v>35.57</v>
          </cell>
          <cell r="G33">
            <v>38.49</v>
          </cell>
          <cell r="H33">
            <v>27.06</v>
          </cell>
          <cell r="I33">
            <v>40.86</v>
          </cell>
          <cell r="J33">
            <v>44.36</v>
          </cell>
          <cell r="K33">
            <v>67.400000000000006</v>
          </cell>
        </row>
        <row r="34">
          <cell r="B34">
            <v>35.520000000000003</v>
          </cell>
          <cell r="C34">
            <v>30.97</v>
          </cell>
          <cell r="D34">
            <v>36.15</v>
          </cell>
          <cell r="E34">
            <v>18.649999999999999</v>
          </cell>
          <cell r="F34">
            <v>38.43</v>
          </cell>
          <cell r="G34">
            <v>38.5</v>
          </cell>
          <cell r="H34">
            <v>24.78</v>
          </cell>
          <cell r="I34">
            <v>36.54</v>
          </cell>
          <cell r="J34">
            <v>44.95</v>
          </cell>
          <cell r="K34">
            <v>65.349999999999994</v>
          </cell>
        </row>
        <row r="35">
          <cell r="B35">
            <v>37.03</v>
          </cell>
          <cell r="C35">
            <v>36.049999999999997</v>
          </cell>
          <cell r="D35">
            <v>36.450000000000003</v>
          </cell>
          <cell r="E35">
            <v>21.5</v>
          </cell>
          <cell r="F35">
            <v>40.799999999999997</v>
          </cell>
          <cell r="G35">
            <v>40.19</v>
          </cell>
          <cell r="H35">
            <v>29.91</v>
          </cell>
          <cell r="I35">
            <v>36.9</v>
          </cell>
          <cell r="J35">
            <v>39.29</v>
          </cell>
          <cell r="K35">
            <v>74.62</v>
          </cell>
        </row>
        <row r="36">
          <cell r="B36">
            <v>37.57</v>
          </cell>
          <cell r="C36">
            <v>35.75</v>
          </cell>
          <cell r="D36">
            <v>34.71</v>
          </cell>
          <cell r="E36">
            <v>20.95</v>
          </cell>
          <cell r="F36">
            <v>45.62</v>
          </cell>
          <cell r="G36">
            <v>39.14</v>
          </cell>
          <cell r="H36">
            <v>31.23</v>
          </cell>
          <cell r="I36">
            <v>38.19</v>
          </cell>
          <cell r="J36">
            <v>36.049999999999997</v>
          </cell>
          <cell r="K36">
            <v>75.099999999999994</v>
          </cell>
        </row>
        <row r="37">
          <cell r="B37">
            <v>46.89</v>
          </cell>
          <cell r="C37">
            <v>34.58</v>
          </cell>
          <cell r="D37">
            <v>40.21</v>
          </cell>
          <cell r="E37">
            <v>22.21</v>
          </cell>
          <cell r="F37">
            <v>48.36</v>
          </cell>
          <cell r="G37">
            <v>41.39</v>
          </cell>
          <cell r="H37">
            <v>36.17</v>
          </cell>
          <cell r="I37">
            <v>42.27</v>
          </cell>
          <cell r="J37">
            <v>41.39</v>
          </cell>
          <cell r="K37">
            <v>80.790000000000006</v>
          </cell>
        </row>
        <row r="38">
          <cell r="B38">
            <v>43.63</v>
          </cell>
          <cell r="C38">
            <v>34.56</v>
          </cell>
          <cell r="D38">
            <v>39.43</v>
          </cell>
          <cell r="E38">
            <v>23</v>
          </cell>
          <cell r="F38">
            <v>49.4</v>
          </cell>
          <cell r="G38">
            <v>44.49</v>
          </cell>
          <cell r="H38">
            <v>32.53</v>
          </cell>
          <cell r="I38">
            <v>40.44</v>
          </cell>
          <cell r="J38">
            <v>42.64</v>
          </cell>
          <cell r="K38">
            <v>75.150000000000006</v>
          </cell>
        </row>
        <row r="39">
          <cell r="B39">
            <v>42.69</v>
          </cell>
          <cell r="C39">
            <v>35.380000000000003</v>
          </cell>
          <cell r="D39">
            <v>41.52</v>
          </cell>
          <cell r="E39">
            <v>21.96</v>
          </cell>
          <cell r="F39">
            <v>51.14</v>
          </cell>
          <cell r="G39">
            <v>45.84</v>
          </cell>
          <cell r="H39">
            <v>35.82</v>
          </cell>
          <cell r="I39">
            <v>41.86</v>
          </cell>
          <cell r="J39">
            <v>43.07</v>
          </cell>
          <cell r="K39">
            <v>74.47</v>
          </cell>
        </row>
        <row r="40">
          <cell r="B40">
            <v>41.92</v>
          </cell>
          <cell r="C40">
            <v>36.47</v>
          </cell>
          <cell r="D40">
            <v>39.64</v>
          </cell>
          <cell r="E40">
            <v>22.16</v>
          </cell>
          <cell r="F40">
            <v>48.95</v>
          </cell>
          <cell r="G40">
            <v>44.58</v>
          </cell>
          <cell r="H40">
            <v>33.159999999999997</v>
          </cell>
          <cell r="I40">
            <v>39.200000000000003</v>
          </cell>
          <cell r="J40">
            <v>39.9</v>
          </cell>
          <cell r="K40">
            <v>78.14</v>
          </cell>
        </row>
        <row r="41">
          <cell r="B41">
            <v>42.07</v>
          </cell>
          <cell r="C41">
            <v>34.35</v>
          </cell>
          <cell r="D41">
            <v>37.82</v>
          </cell>
          <cell r="E41">
            <v>19.12</v>
          </cell>
          <cell r="F41">
            <v>49.79</v>
          </cell>
          <cell r="G41">
            <v>42.09</v>
          </cell>
          <cell r="H41">
            <v>29.4</v>
          </cell>
          <cell r="I41">
            <v>39.880000000000003</v>
          </cell>
          <cell r="J41">
            <v>42.43</v>
          </cell>
          <cell r="K41">
            <v>82.54</v>
          </cell>
        </row>
        <row r="42">
          <cell r="B42">
            <v>40.72</v>
          </cell>
          <cell r="C42">
            <v>35.06</v>
          </cell>
          <cell r="D42">
            <v>39.58</v>
          </cell>
          <cell r="E42">
            <v>20.61</v>
          </cell>
          <cell r="F42">
            <v>43.13</v>
          </cell>
          <cell r="G42">
            <v>43.59</v>
          </cell>
          <cell r="H42">
            <v>30.07</v>
          </cell>
          <cell r="I42">
            <v>40.450000000000003</v>
          </cell>
          <cell r="J42">
            <v>42.7</v>
          </cell>
          <cell r="K42">
            <v>81.06</v>
          </cell>
        </row>
        <row r="43">
          <cell r="B43">
            <v>41.8</v>
          </cell>
          <cell r="C43">
            <v>34.44</v>
          </cell>
          <cell r="D43">
            <v>42.19</v>
          </cell>
          <cell r="E43">
            <v>20.55</v>
          </cell>
          <cell r="F43">
            <v>45.64</v>
          </cell>
          <cell r="G43">
            <v>44.26</v>
          </cell>
          <cell r="H43">
            <v>31.73</v>
          </cell>
          <cell r="I43">
            <v>41.59</v>
          </cell>
          <cell r="J43">
            <v>43.21</v>
          </cell>
          <cell r="K43">
            <v>86.28</v>
          </cell>
        </row>
        <row r="44">
          <cell r="B44">
            <v>38.700000000000003</v>
          </cell>
          <cell r="C44">
            <v>32.99</v>
          </cell>
          <cell r="D44">
            <v>40.81</v>
          </cell>
          <cell r="E44">
            <v>19.63</v>
          </cell>
          <cell r="F44">
            <v>43.4</v>
          </cell>
          <cell r="G44">
            <v>43.29</v>
          </cell>
          <cell r="H44">
            <v>30.77</v>
          </cell>
          <cell r="I44">
            <v>40.14</v>
          </cell>
          <cell r="J44">
            <v>41.26</v>
          </cell>
          <cell r="K44">
            <v>78.95</v>
          </cell>
        </row>
        <row r="45">
          <cell r="B45">
            <v>37.51</v>
          </cell>
          <cell r="C45">
            <v>35.85</v>
          </cell>
          <cell r="D45">
            <v>38</v>
          </cell>
          <cell r="E45">
            <v>17.43</v>
          </cell>
          <cell r="F45">
            <v>44.63</v>
          </cell>
          <cell r="G45">
            <v>43.09</v>
          </cell>
          <cell r="H45">
            <v>31.25</v>
          </cell>
          <cell r="I45">
            <v>39.9</v>
          </cell>
          <cell r="J45">
            <v>40.909999999999997</v>
          </cell>
          <cell r="K45">
            <v>79.31</v>
          </cell>
        </row>
        <row r="46">
          <cell r="B46">
            <v>38.57</v>
          </cell>
          <cell r="C46">
            <v>38.44</v>
          </cell>
          <cell r="D46">
            <v>38.369999999999997</v>
          </cell>
          <cell r="E46">
            <v>18.34</v>
          </cell>
          <cell r="F46">
            <v>43.53</v>
          </cell>
          <cell r="G46">
            <v>44.33</v>
          </cell>
          <cell r="H46">
            <v>32.42</v>
          </cell>
          <cell r="I46">
            <v>40.409999999999997</v>
          </cell>
          <cell r="J46">
            <v>30.28</v>
          </cell>
          <cell r="K46">
            <v>77.010000000000005</v>
          </cell>
        </row>
        <row r="47">
          <cell r="B47">
            <v>35</v>
          </cell>
          <cell r="C47">
            <v>40.29</v>
          </cell>
          <cell r="D47">
            <v>36.57</v>
          </cell>
          <cell r="E47">
            <v>18.25</v>
          </cell>
          <cell r="F47">
            <v>44.84</v>
          </cell>
          <cell r="G47">
            <v>45.82</v>
          </cell>
          <cell r="H47">
            <v>31.37</v>
          </cell>
          <cell r="I47">
            <v>40.479999999999997</v>
          </cell>
          <cell r="J47">
            <v>28.73</v>
          </cell>
          <cell r="K47">
            <v>74.7</v>
          </cell>
        </row>
        <row r="48">
          <cell r="B48">
            <v>35.5</v>
          </cell>
          <cell r="C48">
            <v>41.03</v>
          </cell>
          <cell r="D48">
            <v>39.67</v>
          </cell>
          <cell r="E48">
            <v>19.57</v>
          </cell>
          <cell r="F48">
            <v>53.2</v>
          </cell>
          <cell r="G48">
            <v>48.1</v>
          </cell>
          <cell r="H48">
            <v>32.950000000000003</v>
          </cell>
          <cell r="I48">
            <v>43.13</v>
          </cell>
          <cell r="J48">
            <v>25.71</v>
          </cell>
          <cell r="K48">
            <v>76.98</v>
          </cell>
        </row>
        <row r="49">
          <cell r="B49">
            <v>36.85</v>
          </cell>
          <cell r="C49">
            <v>42</v>
          </cell>
          <cell r="D49">
            <v>40.130000000000003</v>
          </cell>
          <cell r="E49">
            <v>20.59</v>
          </cell>
          <cell r="F49">
            <v>57.22</v>
          </cell>
          <cell r="G49">
            <v>48.67</v>
          </cell>
          <cell r="H49">
            <v>30.46</v>
          </cell>
          <cell r="I49">
            <v>46.68</v>
          </cell>
          <cell r="J49">
            <v>29.89</v>
          </cell>
          <cell r="K49">
            <v>79.38</v>
          </cell>
        </row>
        <row r="50">
          <cell r="B50">
            <v>33.86</v>
          </cell>
          <cell r="C50">
            <v>40.54</v>
          </cell>
          <cell r="D50">
            <v>37.409999999999997</v>
          </cell>
          <cell r="E50">
            <v>19.239999999999998</v>
          </cell>
          <cell r="F50">
            <v>59.78</v>
          </cell>
          <cell r="G50">
            <v>46.16</v>
          </cell>
          <cell r="H50">
            <v>28.62</v>
          </cell>
          <cell r="I50">
            <v>45.26</v>
          </cell>
          <cell r="J50">
            <v>26.09</v>
          </cell>
          <cell r="K50">
            <v>81.599999999999994</v>
          </cell>
        </row>
        <row r="51">
          <cell r="B51">
            <v>33.229999999999997</v>
          </cell>
          <cell r="C51">
            <v>39.33</v>
          </cell>
          <cell r="D51">
            <v>35.93</v>
          </cell>
          <cell r="E51">
            <v>20.43</v>
          </cell>
          <cell r="F51">
            <v>61.48</v>
          </cell>
          <cell r="G51">
            <v>46.86</v>
          </cell>
          <cell r="H51">
            <v>31.31</v>
          </cell>
          <cell r="I51">
            <v>51.08</v>
          </cell>
          <cell r="J51">
            <v>29.49</v>
          </cell>
          <cell r="K51">
            <v>81.599999999999994</v>
          </cell>
        </row>
        <row r="52">
          <cell r="B52">
            <v>27.4</v>
          </cell>
          <cell r="C52">
            <v>37.67</v>
          </cell>
          <cell r="D52">
            <v>35.39</v>
          </cell>
          <cell r="E52">
            <v>21.63</v>
          </cell>
          <cell r="F52">
            <v>61.93</v>
          </cell>
          <cell r="G52">
            <v>44.56</v>
          </cell>
          <cell r="H52">
            <v>29.62</v>
          </cell>
          <cell r="I52">
            <v>49.1</v>
          </cell>
          <cell r="J52">
            <v>30.47</v>
          </cell>
          <cell r="K52">
            <v>83.3</v>
          </cell>
        </row>
        <row r="53">
          <cell r="B53">
            <v>24.87</v>
          </cell>
          <cell r="C53">
            <v>34.840000000000003</v>
          </cell>
          <cell r="D53">
            <v>32.99</v>
          </cell>
          <cell r="E53">
            <v>20.18</v>
          </cell>
          <cell r="F53">
            <v>61.55</v>
          </cell>
          <cell r="G53">
            <v>45.71</v>
          </cell>
          <cell r="H53">
            <v>28.29</v>
          </cell>
          <cell r="I53">
            <v>45.14</v>
          </cell>
          <cell r="J53">
            <v>31.91</v>
          </cell>
          <cell r="K53">
            <v>74.34</v>
          </cell>
        </row>
        <row r="54">
          <cell r="B54">
            <v>29.88</v>
          </cell>
          <cell r="C54">
            <v>38.76</v>
          </cell>
          <cell r="D54">
            <v>31.23</v>
          </cell>
          <cell r="E54">
            <v>22.2</v>
          </cell>
          <cell r="F54">
            <v>63.59</v>
          </cell>
          <cell r="G54">
            <v>46.71</v>
          </cell>
          <cell r="H54">
            <v>26.55</v>
          </cell>
          <cell r="I54">
            <v>44.92</v>
          </cell>
          <cell r="J54">
            <v>30.53</v>
          </cell>
          <cell r="K54">
            <v>74.92</v>
          </cell>
        </row>
        <row r="55">
          <cell r="B55">
            <v>32.22</v>
          </cell>
          <cell r="C55">
            <v>38.42</v>
          </cell>
          <cell r="D55">
            <v>29.29</v>
          </cell>
          <cell r="E55">
            <v>23.26</v>
          </cell>
          <cell r="F55">
            <v>61.89</v>
          </cell>
          <cell r="G55">
            <v>46.27</v>
          </cell>
          <cell r="H55">
            <v>25.6</v>
          </cell>
          <cell r="I55">
            <v>41.54</v>
          </cell>
          <cell r="J55">
            <v>29.33</v>
          </cell>
          <cell r="K55">
            <v>70.67</v>
          </cell>
        </row>
        <row r="56">
          <cell r="B56">
            <v>34.89</v>
          </cell>
          <cell r="C56">
            <v>42.97</v>
          </cell>
          <cell r="D56">
            <v>30.63</v>
          </cell>
          <cell r="E56">
            <v>24.36</v>
          </cell>
          <cell r="F56">
            <v>64.09</v>
          </cell>
          <cell r="G56">
            <v>47.81</v>
          </cell>
          <cell r="H56">
            <v>27.48</v>
          </cell>
          <cell r="I56">
            <v>41.22</v>
          </cell>
          <cell r="J56">
            <v>29.58</v>
          </cell>
          <cell r="K56">
            <v>73.31</v>
          </cell>
        </row>
        <row r="57">
          <cell r="B57">
            <v>32.86</v>
          </cell>
          <cell r="C57">
            <v>39.92</v>
          </cell>
          <cell r="D57">
            <v>30.15</v>
          </cell>
          <cell r="E57">
            <v>27.47</v>
          </cell>
          <cell r="F57">
            <v>67.67</v>
          </cell>
          <cell r="G57">
            <v>48.02</v>
          </cell>
          <cell r="H57">
            <v>26.38</v>
          </cell>
          <cell r="I57">
            <v>38.549999999999997</v>
          </cell>
          <cell r="J57">
            <v>27.25</v>
          </cell>
          <cell r="K57">
            <v>69.959999999999994</v>
          </cell>
        </row>
        <row r="58">
          <cell r="B58">
            <v>29.42</v>
          </cell>
          <cell r="C58">
            <v>37.76</v>
          </cell>
          <cell r="D58">
            <v>29.12</v>
          </cell>
          <cell r="E58">
            <v>28.97</v>
          </cell>
          <cell r="F58">
            <v>71.34</v>
          </cell>
          <cell r="G58">
            <v>49.93</v>
          </cell>
          <cell r="H58">
            <v>24.05</v>
          </cell>
          <cell r="I58">
            <v>38.159999999999997</v>
          </cell>
          <cell r="J58">
            <v>26.27</v>
          </cell>
          <cell r="K58">
            <v>72.13</v>
          </cell>
        </row>
        <row r="59">
          <cell r="B59">
            <v>26.33</v>
          </cell>
          <cell r="C59">
            <v>40.630000000000003</v>
          </cell>
          <cell r="D59">
            <v>28.52</v>
          </cell>
          <cell r="E59">
            <v>27.82</v>
          </cell>
          <cell r="F59">
            <v>72.64</v>
          </cell>
          <cell r="G59">
            <v>49.54</v>
          </cell>
          <cell r="H59">
            <v>23.92</v>
          </cell>
          <cell r="I59">
            <v>40.619999999999997</v>
          </cell>
          <cell r="J59">
            <v>27.24</v>
          </cell>
          <cell r="K59">
            <v>74.7</v>
          </cell>
        </row>
        <row r="60">
          <cell r="B60">
            <v>21.44</v>
          </cell>
          <cell r="C60">
            <v>41.46</v>
          </cell>
          <cell r="D60">
            <v>31.07</v>
          </cell>
          <cell r="E60">
            <v>29.44</v>
          </cell>
          <cell r="F60">
            <v>70.45</v>
          </cell>
          <cell r="G60">
            <v>51.19</v>
          </cell>
          <cell r="H60">
            <v>27.16</v>
          </cell>
          <cell r="I60">
            <v>42.02</v>
          </cell>
          <cell r="J60">
            <v>28.75</v>
          </cell>
          <cell r="K60">
            <v>77.569999999999993</v>
          </cell>
        </row>
        <row r="61">
          <cell r="B61">
            <v>19.010000000000002</v>
          </cell>
          <cell r="C61">
            <v>40.17</v>
          </cell>
          <cell r="D61">
            <v>33.119999999999997</v>
          </cell>
          <cell r="E61">
            <v>28.48</v>
          </cell>
          <cell r="F61">
            <v>73.08</v>
          </cell>
          <cell r="G61">
            <v>51.23</v>
          </cell>
          <cell r="H61">
            <v>29.3</v>
          </cell>
          <cell r="I61">
            <v>41.77</v>
          </cell>
          <cell r="J61">
            <v>31.1</v>
          </cell>
          <cell r="K61">
            <v>76.599999999999994</v>
          </cell>
        </row>
        <row r="62">
          <cell r="B62">
            <v>23.56</v>
          </cell>
          <cell r="C62">
            <v>40.24</v>
          </cell>
          <cell r="D62">
            <v>32.15</v>
          </cell>
          <cell r="E62">
            <v>31.02</v>
          </cell>
          <cell r="F62">
            <v>70.75</v>
          </cell>
          <cell r="G62">
            <v>52.33</v>
          </cell>
          <cell r="H62">
            <v>31.21</v>
          </cell>
          <cell r="I62">
            <v>38.479999999999997</v>
          </cell>
          <cell r="J62">
            <v>33.729999999999997</v>
          </cell>
          <cell r="K62">
            <v>71.91</v>
          </cell>
        </row>
        <row r="63">
          <cell r="B63">
            <v>20.11</v>
          </cell>
          <cell r="C63">
            <v>41.83</v>
          </cell>
          <cell r="D63">
            <v>32.53</v>
          </cell>
          <cell r="E63">
            <v>32.64</v>
          </cell>
          <cell r="F63">
            <v>70.319999999999993</v>
          </cell>
          <cell r="G63">
            <v>53.76</v>
          </cell>
          <cell r="H63">
            <v>29.19</v>
          </cell>
          <cell r="I63">
            <v>39.909999999999997</v>
          </cell>
          <cell r="J63">
            <v>34.090000000000003</v>
          </cell>
          <cell r="K63">
            <v>73.2</v>
          </cell>
        </row>
        <row r="64">
          <cell r="B64">
            <v>21.06</v>
          </cell>
          <cell r="C64">
            <v>42.13</v>
          </cell>
          <cell r="D64">
            <v>34.32</v>
          </cell>
          <cell r="E64">
            <v>32.81</v>
          </cell>
          <cell r="F64">
            <v>70.06</v>
          </cell>
          <cell r="G64">
            <v>52.43</v>
          </cell>
          <cell r="H64">
            <v>30.43</v>
          </cell>
          <cell r="I64">
            <v>41.87</v>
          </cell>
          <cell r="J64">
            <v>34.83</v>
          </cell>
          <cell r="K64">
            <v>75.290000000000006</v>
          </cell>
        </row>
        <row r="65">
          <cell r="B65">
            <v>22.66</v>
          </cell>
          <cell r="C65">
            <v>39.770000000000003</v>
          </cell>
          <cell r="D65">
            <v>36.090000000000003</v>
          </cell>
          <cell r="E65">
            <v>32.380000000000003</v>
          </cell>
          <cell r="F65">
            <v>72.34</v>
          </cell>
          <cell r="G65">
            <v>53.81</v>
          </cell>
          <cell r="H65">
            <v>33.630000000000003</v>
          </cell>
          <cell r="I65">
            <v>43.74</v>
          </cell>
          <cell r="J65">
            <v>34.03</v>
          </cell>
          <cell r="K65">
            <v>84.98</v>
          </cell>
        </row>
        <row r="66">
          <cell r="B66">
            <v>26.93</v>
          </cell>
          <cell r="C66">
            <v>37.97</v>
          </cell>
          <cell r="D66">
            <v>33.979999999999997</v>
          </cell>
          <cell r="E66">
            <v>32.29</v>
          </cell>
          <cell r="F66">
            <v>71.540000000000006</v>
          </cell>
          <cell r="G66">
            <v>54.36</v>
          </cell>
          <cell r="H66">
            <v>31.72</v>
          </cell>
          <cell r="I66">
            <v>42.53</v>
          </cell>
          <cell r="J66">
            <v>33.29</v>
          </cell>
          <cell r="K66">
            <v>83.66</v>
          </cell>
        </row>
        <row r="67">
          <cell r="B67">
            <v>29.79</v>
          </cell>
          <cell r="C67">
            <v>35.79</v>
          </cell>
          <cell r="D67">
            <v>32.299999999999997</v>
          </cell>
          <cell r="E67">
            <v>31.68</v>
          </cell>
          <cell r="F67">
            <v>73.430000000000007</v>
          </cell>
          <cell r="G67">
            <v>53.22</v>
          </cell>
          <cell r="H67">
            <v>32.36</v>
          </cell>
          <cell r="I67">
            <v>41.6</v>
          </cell>
          <cell r="J67">
            <v>36.43</v>
          </cell>
          <cell r="K67">
            <v>80.77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3month T-bills"/>
    </sheetNames>
    <sheetDataSet>
      <sheetData sheetId="0">
        <row r="822">
          <cell r="B822">
            <v>3.49</v>
          </cell>
        </row>
        <row r="823">
          <cell r="B823">
            <v>3.51</v>
          </cell>
        </row>
        <row r="824">
          <cell r="B824">
            <v>3.36</v>
          </cell>
        </row>
        <row r="825">
          <cell r="B825">
            <v>2.64</v>
          </cell>
        </row>
        <row r="826">
          <cell r="B826">
            <v>2.16</v>
          </cell>
        </row>
        <row r="827">
          <cell r="B827">
            <v>1.87</v>
          </cell>
        </row>
        <row r="828">
          <cell r="B828">
            <v>1.69</v>
          </cell>
        </row>
        <row r="829">
          <cell r="B829">
            <v>1.65</v>
          </cell>
        </row>
        <row r="830">
          <cell r="B830">
            <v>1.73</v>
          </cell>
        </row>
        <row r="831">
          <cell r="B831">
            <v>1.79</v>
          </cell>
        </row>
        <row r="832">
          <cell r="B832">
            <v>1.72</v>
          </cell>
        </row>
        <row r="833">
          <cell r="B833">
            <v>1.73</v>
          </cell>
        </row>
        <row r="834">
          <cell r="B834">
            <v>1.7</v>
          </cell>
        </row>
        <row r="835">
          <cell r="B835">
            <v>1.68</v>
          </cell>
        </row>
        <row r="836">
          <cell r="B836">
            <v>1.62</v>
          </cell>
        </row>
        <row r="837">
          <cell r="B837">
            <v>1.63</v>
          </cell>
        </row>
        <row r="838">
          <cell r="B838">
            <v>1.58</v>
          </cell>
        </row>
        <row r="839">
          <cell r="B839">
            <v>1.23</v>
          </cell>
        </row>
        <row r="840">
          <cell r="B840">
            <v>1.19</v>
          </cell>
        </row>
        <row r="841">
          <cell r="B841">
            <v>1.17</v>
          </cell>
        </row>
        <row r="842">
          <cell r="B842">
            <v>1.17</v>
          </cell>
        </row>
        <row r="843">
          <cell r="B843">
            <v>1.1299999999999999</v>
          </cell>
        </row>
        <row r="844">
          <cell r="B844">
            <v>1.1299999999999999</v>
          </cell>
        </row>
        <row r="845">
          <cell r="B845">
            <v>1.07</v>
          </cell>
        </row>
        <row r="846">
          <cell r="B846">
            <v>0.92</v>
          </cell>
        </row>
        <row r="847">
          <cell r="B847">
            <v>0.9</v>
          </cell>
        </row>
        <row r="848">
          <cell r="B848">
            <v>0.95</v>
          </cell>
        </row>
        <row r="849">
          <cell r="B849">
            <v>0.94</v>
          </cell>
        </row>
        <row r="850">
          <cell r="B850">
            <v>0.92</v>
          </cell>
        </row>
        <row r="851">
          <cell r="B851">
            <v>0.93</v>
          </cell>
        </row>
        <row r="852">
          <cell r="B852">
            <v>0.9</v>
          </cell>
        </row>
        <row r="853">
          <cell r="B853">
            <v>0.88</v>
          </cell>
        </row>
        <row r="854">
          <cell r="B854">
            <v>0.93</v>
          </cell>
        </row>
        <row r="855">
          <cell r="B855">
            <v>0.94</v>
          </cell>
        </row>
        <row r="856">
          <cell r="B856">
            <v>0.94</v>
          </cell>
        </row>
        <row r="857">
          <cell r="B857">
            <v>1.02</v>
          </cell>
        </row>
        <row r="858">
          <cell r="B858">
            <v>1.27</v>
          </cell>
        </row>
        <row r="859">
          <cell r="B859">
            <v>1.33</v>
          </cell>
        </row>
        <row r="860">
          <cell r="B860">
            <v>1.48</v>
          </cell>
        </row>
        <row r="861">
          <cell r="B861">
            <v>1.65</v>
          </cell>
        </row>
        <row r="862">
          <cell r="B862">
            <v>1.76</v>
          </cell>
        </row>
        <row r="863">
          <cell r="B863">
            <v>2.0699999999999998</v>
          </cell>
        </row>
        <row r="864">
          <cell r="B864">
            <v>2.19</v>
          </cell>
        </row>
        <row r="865">
          <cell r="B865">
            <v>2.33</v>
          </cell>
        </row>
        <row r="866">
          <cell r="B866">
            <v>2.54</v>
          </cell>
        </row>
        <row r="867">
          <cell r="B867">
            <v>2.74</v>
          </cell>
        </row>
        <row r="868">
          <cell r="B868">
            <v>2.78</v>
          </cell>
        </row>
        <row r="869">
          <cell r="B869">
            <v>2.84</v>
          </cell>
        </row>
        <row r="870">
          <cell r="B870">
            <v>2.97</v>
          </cell>
        </row>
        <row r="871">
          <cell r="B871">
            <v>3.22</v>
          </cell>
        </row>
        <row r="872">
          <cell r="B872">
            <v>3.44</v>
          </cell>
        </row>
        <row r="873">
          <cell r="B873">
            <v>3.42</v>
          </cell>
        </row>
        <row r="874">
          <cell r="B874">
            <v>3.71</v>
          </cell>
        </row>
        <row r="875">
          <cell r="B875">
            <v>3.88</v>
          </cell>
        </row>
        <row r="876">
          <cell r="B876">
            <v>3.89</v>
          </cell>
        </row>
        <row r="877">
          <cell r="B877">
            <v>4.24</v>
          </cell>
        </row>
        <row r="878">
          <cell r="B878">
            <v>4.43</v>
          </cell>
        </row>
        <row r="879">
          <cell r="B879">
            <v>4.51</v>
          </cell>
        </row>
        <row r="880">
          <cell r="B880">
            <v>4.5999999999999996</v>
          </cell>
        </row>
        <row r="881">
          <cell r="B881">
            <v>4.72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M70"/>
  <sheetViews>
    <sheetView tabSelected="1" workbookViewId="0">
      <selection activeCell="F10" sqref="F10"/>
    </sheetView>
  </sheetViews>
  <sheetFormatPr defaultRowHeight="13.8" x14ac:dyDescent="0.25"/>
  <cols>
    <col min="1" max="1" width="21.44140625" style="2" customWidth="1"/>
    <col min="2" max="3" width="8.88671875" style="2"/>
    <col min="4" max="4" width="11.5546875" style="2" customWidth="1"/>
    <col min="5" max="12" width="8.88671875" style="2"/>
    <col min="13" max="13" width="22.88671875" style="2" bestFit="1" customWidth="1"/>
  </cols>
  <sheetData>
    <row r="1" spans="1:13" ht="17.399999999999999" x14ac:dyDescent="0.3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"/>
    </row>
    <row r="2" spans="1:13" ht="55.2" x14ac:dyDescent="0.25">
      <c r="A2" s="3"/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3" t="s">
        <v>10</v>
      </c>
      <c r="L2" s="4" t="s">
        <v>11</v>
      </c>
      <c r="M2" s="3"/>
    </row>
    <row r="3" spans="1:13" x14ac:dyDescent="0.25">
      <c r="A3" s="2" t="s">
        <v>12</v>
      </c>
      <c r="B3" s="2">
        <v>16.850000000000001</v>
      </c>
      <c r="C3" s="2">
        <v>73.98</v>
      </c>
      <c r="D3" s="2">
        <v>15.92</v>
      </c>
      <c r="E3" s="2">
        <v>88.37</v>
      </c>
      <c r="F3" s="2">
        <v>153.33000000000001</v>
      </c>
      <c r="G3" s="2">
        <v>65.66</v>
      </c>
      <c r="H3" s="2">
        <v>28.16</v>
      </c>
      <c r="I3" s="2">
        <v>38.32</v>
      </c>
      <c r="J3" s="2">
        <v>79.510000000000005</v>
      </c>
      <c r="K3" s="2">
        <v>60.9</v>
      </c>
    </row>
    <row r="4" spans="1:13" x14ac:dyDescent="0.25">
      <c r="A4" s="2" t="s">
        <v>13</v>
      </c>
      <c r="B4" s="5">
        <f t="shared" ref="B4:K4" si="0">B3/SUM($B$3:$K$3)</f>
        <v>2.7133655394524961E-2</v>
      </c>
      <c r="C4" s="5">
        <f t="shared" si="0"/>
        <v>0.11913043478260871</v>
      </c>
      <c r="D4" s="5">
        <f t="shared" si="0"/>
        <v>2.5636070853462159E-2</v>
      </c>
      <c r="E4" s="5">
        <f t="shared" si="0"/>
        <v>0.14230273752012884</v>
      </c>
      <c r="F4" s="5">
        <f t="shared" si="0"/>
        <v>0.2469082125603865</v>
      </c>
      <c r="G4" s="5">
        <f t="shared" si="0"/>
        <v>0.10573268921095008</v>
      </c>
      <c r="H4" s="5">
        <f t="shared" si="0"/>
        <v>4.5346215780998393E-2</v>
      </c>
      <c r="I4" s="5">
        <f t="shared" si="0"/>
        <v>6.1706924315619971E-2</v>
      </c>
      <c r="J4" s="5">
        <f t="shared" si="0"/>
        <v>0.1280354267310789</v>
      </c>
      <c r="K4" s="5">
        <f t="shared" si="0"/>
        <v>9.8067632850241546E-2</v>
      </c>
    </row>
    <row r="6" spans="1:13" x14ac:dyDescent="0.25">
      <c r="A6" s="2" t="s">
        <v>14</v>
      </c>
      <c r="B6" s="6">
        <f t="shared" ref="B6:K6" si="1">AVERAGE(B11:B70)</f>
        <v>-8.7338516296339343E-3</v>
      </c>
      <c r="C6" s="6">
        <f t="shared" si="1"/>
        <v>-3.912585257124279E-3</v>
      </c>
      <c r="D6" s="6">
        <f t="shared" si="1"/>
        <v>5.6680525235541432E-4</v>
      </c>
      <c r="E6" s="6">
        <f t="shared" si="1"/>
        <v>2.9945591784535926E-3</v>
      </c>
      <c r="F6" s="6">
        <f t="shared" si="1"/>
        <v>1.0657665224744494E-2</v>
      </c>
      <c r="G6" s="6">
        <f t="shared" si="1"/>
        <v>8.2352946572464818E-3</v>
      </c>
      <c r="H6" s="6">
        <f t="shared" si="1"/>
        <v>-1.8043520930813397E-3</v>
      </c>
      <c r="I6" s="6">
        <f t="shared" si="1"/>
        <v>2.9098702286280479E-4</v>
      </c>
      <c r="J6" s="6">
        <f t="shared" si="1"/>
        <v>-5.5220323858443934E-3</v>
      </c>
      <c r="K6" s="6">
        <f t="shared" si="1"/>
        <v>7.4809905230536237E-3</v>
      </c>
      <c r="L6" s="6">
        <f>AVERAGE(L11:L70)</f>
        <v>1.7613888888888892E-3</v>
      </c>
      <c r="M6" s="6" t="str">
        <f ca="1">[1]!getformula(L6)</f>
        <v>&lt;--  =AVERAGE(L11:L70)</v>
      </c>
    </row>
    <row r="7" spans="1:13" x14ac:dyDescent="0.25">
      <c r="A7" s="2" t="s">
        <v>15</v>
      </c>
      <c r="B7" s="7">
        <f t="shared" ref="B7:K7" si="2">STDEVP(B11:B70)</f>
        <v>0.1078459820081009</v>
      </c>
      <c r="C7" s="7">
        <f t="shared" si="2"/>
        <v>8.409336866723402E-2</v>
      </c>
      <c r="D7" s="7">
        <f t="shared" si="2"/>
        <v>6.2332673442510929E-2</v>
      </c>
      <c r="E7" s="7">
        <f t="shared" si="2"/>
        <v>0.10804776551035467</v>
      </c>
      <c r="F7" s="7">
        <f t="shared" si="2"/>
        <v>8.708088772267801E-2</v>
      </c>
      <c r="G7" s="7">
        <f t="shared" si="2"/>
        <v>6.4300566754148969E-2</v>
      </c>
      <c r="H7" s="7">
        <f t="shared" si="2"/>
        <v>9.5436731071418715E-2</v>
      </c>
      <c r="I7" s="7">
        <f t="shared" si="2"/>
        <v>6.1245872475255668E-2</v>
      </c>
      <c r="J7" s="7">
        <f t="shared" si="2"/>
        <v>8.0624541353884208E-2</v>
      </c>
      <c r="K7" s="7">
        <f t="shared" si="2"/>
        <v>5.5357268068069863E-2</v>
      </c>
      <c r="L7" s="7">
        <f>STDEVP(L11:L70)</f>
        <v>9.4750032574345358E-4</v>
      </c>
      <c r="M7" s="6" t="str">
        <f ca="1">[1]!getformula(L7)</f>
        <v>&lt;--  =STDEVP(L11:L70)</v>
      </c>
    </row>
    <row r="10" spans="1:13" ht="41.4" x14ac:dyDescent="0.25">
      <c r="A10" s="8" t="s">
        <v>16</v>
      </c>
      <c r="B10" s="8" t="s">
        <v>17</v>
      </c>
      <c r="C10" s="8" t="s">
        <v>18</v>
      </c>
      <c r="D10" s="8" t="s">
        <v>19</v>
      </c>
      <c r="E10" s="8" t="s">
        <v>20</v>
      </c>
      <c r="F10" s="8" t="s">
        <v>21</v>
      </c>
      <c r="G10" s="8" t="s">
        <v>22</v>
      </c>
      <c r="H10" s="8" t="s">
        <v>23</v>
      </c>
      <c r="I10" s="8" t="s">
        <v>24</v>
      </c>
      <c r="J10" s="8" t="s">
        <v>25</v>
      </c>
      <c r="K10" s="8" t="s">
        <v>10</v>
      </c>
      <c r="L10" s="9" t="s">
        <v>11</v>
      </c>
    </row>
    <row r="11" spans="1:13" x14ac:dyDescent="0.25">
      <c r="A11" s="10">
        <f>'[2]Page 351'!A8</f>
        <v>37074</v>
      </c>
      <c r="B11" s="7">
        <f>LN([3]Sheet1!B8/[3]Sheet1!B7)</f>
        <v>-1.1796597860716827E-2</v>
      </c>
      <c r="C11" s="7">
        <f>LN([3]Sheet1!C8/[3]Sheet1!C7)</f>
        <v>6.4179419991494263E-2</v>
      </c>
      <c r="D11" s="7">
        <f>LN([3]Sheet1!D8/[3]Sheet1!D7)</f>
        <v>0.13240968751532264</v>
      </c>
      <c r="E11" s="7">
        <f>LN([3]Sheet1!E8/[3]Sheet1!E7)</f>
        <v>-0.14793655569730582</v>
      </c>
      <c r="F11" s="7">
        <f>LN([3]Sheet1!F8/[3]Sheet1!F7)</f>
        <v>-8.4246160689163574E-2</v>
      </c>
      <c r="G11" s="7">
        <f>LN([3]Sheet1!G8/[3]Sheet1!G7)</f>
        <v>4.0735757355679775E-2</v>
      </c>
      <c r="H11" s="7">
        <f>LN([3]Sheet1!H8/[3]Sheet1!H7)</f>
        <v>-1.9320214557782059E-2</v>
      </c>
      <c r="I11" s="7">
        <f>LN([3]Sheet1!I8/[3]Sheet1!I7)</f>
        <v>-0.11909872467047006</v>
      </c>
      <c r="J11" s="7">
        <f>LN([3]Sheet1!J8/[3]Sheet1!J7)</f>
        <v>6.1899053418722663E-2</v>
      </c>
      <c r="K11" s="7">
        <f>LN([3]Sheet1!K8/[3]Sheet1!K7)</f>
        <v>-1.9783232604506363E-2</v>
      </c>
      <c r="L11" s="7">
        <f>'[4]3month T-bills'!$B822/1200</f>
        <v>2.9083333333333335E-3</v>
      </c>
      <c r="M11" s="11" t="str">
        <f ca="1">_xlfn.FORMULATEXT(L11)</f>
        <v>='3month T-bills.xlsx'!$B822/1200</v>
      </c>
    </row>
    <row r="12" spans="1:13" x14ac:dyDescent="0.25">
      <c r="A12" s="10">
        <f>'[2]Page 351'!A9</f>
        <v>37104</v>
      </c>
      <c r="B12" s="7">
        <f>LN([3]Sheet1!B9/[3]Sheet1!B8)</f>
        <v>-0.14195662568150003</v>
      </c>
      <c r="C12" s="7">
        <f>LN([3]Sheet1!C9/[3]Sheet1!C8)</f>
        <v>-9.1050718822688559E-2</v>
      </c>
      <c r="D12" s="7">
        <f>LN([3]Sheet1!D9/[3]Sheet1!D8)</f>
        <v>-9.0192268668492556E-3</v>
      </c>
      <c r="E12" s="7">
        <f>LN([3]Sheet1!E9/[3]Sheet1!E8)</f>
        <v>-6.0953190901040094E-2</v>
      </c>
      <c r="F12" s="7">
        <f>LN([3]Sheet1!F9/[3]Sheet1!F8)</f>
        <v>4.0990472323703141E-2</v>
      </c>
      <c r="G12" s="7">
        <f>LN([3]Sheet1!G9/[3]Sheet1!G8)</f>
        <v>-0.10201504367994793</v>
      </c>
      <c r="H12" s="7">
        <f>LN([3]Sheet1!H9/[3]Sheet1!H8)</f>
        <v>-2.4904679180075117E-2</v>
      </c>
      <c r="I12" s="7">
        <f>LN([3]Sheet1!I9/[3]Sheet1!I8)</f>
        <v>-3.5908486258404655E-2</v>
      </c>
      <c r="J12" s="7">
        <f>LN([3]Sheet1!J9/[3]Sheet1!J8)</f>
        <v>-3.8139415787459788E-2</v>
      </c>
      <c r="K12" s="7">
        <f>LN([3]Sheet1!K9/[3]Sheet1!K8)</f>
        <v>-6.645264996859318E-2</v>
      </c>
      <c r="L12" s="7">
        <f>'[4]3month T-bills'!$B823/1200</f>
        <v>2.9249999999999996E-3</v>
      </c>
    </row>
    <row r="13" spans="1:13" x14ac:dyDescent="0.25">
      <c r="A13" s="10">
        <f>'[2]Page 351'!A10</f>
        <v>37138</v>
      </c>
      <c r="B13" s="7">
        <f>LN([3]Sheet1!B10/[3]Sheet1!B9)</f>
        <v>-0.24369402424121561</v>
      </c>
      <c r="C13" s="7">
        <f>LN([3]Sheet1!C10/[3]Sheet1!C9)</f>
        <v>-0.18032627225751421</v>
      </c>
      <c r="D13" s="7">
        <f>LN([3]Sheet1!D10/[3]Sheet1!D9)</f>
        <v>-0.14149050229209117</v>
      </c>
      <c r="E13" s="7">
        <f>LN([3]Sheet1!E10/[3]Sheet1!E9)</f>
        <v>-0.36441967486504917</v>
      </c>
      <c r="F13" s="7">
        <f>LN([3]Sheet1!F10/[3]Sheet1!F9)</f>
        <v>1.8427547748008123E-2</v>
      </c>
      <c r="G13" s="7">
        <f>LN([3]Sheet1!G10/[3]Sheet1!G9)</f>
        <v>-0.2256844321533715</v>
      </c>
      <c r="H13" s="7">
        <f>LN([3]Sheet1!H10/[3]Sheet1!H9)</f>
        <v>-0.2066142493629993</v>
      </c>
      <c r="I13" s="7">
        <f>LN([3]Sheet1!I10/[3]Sheet1!I9)</f>
        <v>-8.7712721261510654E-2</v>
      </c>
      <c r="J13" s="7">
        <f>LN([3]Sheet1!J10/[3]Sheet1!J9)</f>
        <v>2.2832042042645689E-2</v>
      </c>
      <c r="K13" s="7">
        <f>LN([3]Sheet1!K10/[3]Sheet1!K9)</f>
        <v>-5.6313105251997946E-2</v>
      </c>
      <c r="L13" s="7">
        <f>'[4]3month T-bills'!$B824/1200</f>
        <v>2.8E-3</v>
      </c>
    </row>
    <row r="14" spans="1:13" x14ac:dyDescent="0.25">
      <c r="A14" s="10">
        <f>'[2]Page 351'!A11</f>
        <v>37165</v>
      </c>
      <c r="B14" s="7">
        <f>LN([3]Sheet1!B11/[3]Sheet1!B10)</f>
        <v>-3.7672075585455093E-2</v>
      </c>
      <c r="C14" s="7">
        <f>LN([3]Sheet1!C11/[3]Sheet1!C10)</f>
        <v>-3.5398267051240623E-3</v>
      </c>
      <c r="D14" s="7">
        <f>LN([3]Sheet1!D11/[3]Sheet1!D10)</f>
        <v>2.70286723879192E-2</v>
      </c>
      <c r="E14" s="7">
        <f>LN([3]Sheet1!E11/[3]Sheet1!E10)</f>
        <v>4.7768322210547512E-2</v>
      </c>
      <c r="F14" s="7">
        <f>LN([3]Sheet1!F11/[3]Sheet1!F10)</f>
        <v>-3.1176940570674497E-2</v>
      </c>
      <c r="G14" s="7">
        <f>LN([3]Sheet1!G11/[3]Sheet1!G10)</f>
        <v>1.5472621377584426E-2</v>
      </c>
      <c r="H14" s="7">
        <f>LN([3]Sheet1!H11/[3]Sheet1!H10)</f>
        <v>4.4606698040520781E-2</v>
      </c>
      <c r="I14" s="7">
        <f>LN([3]Sheet1!I11/[3]Sheet1!I10)</f>
        <v>6.3719663982381269E-2</v>
      </c>
      <c r="J14" s="7">
        <f>LN([3]Sheet1!J11/[3]Sheet1!J10)</f>
        <v>-4.2854092948531319E-2</v>
      </c>
      <c r="K14" s="7">
        <f>LN([3]Sheet1!K11/[3]Sheet1!K10)</f>
        <v>5.9057749643601151E-2</v>
      </c>
      <c r="L14" s="7">
        <f>'[4]3month T-bills'!$B825/1200</f>
        <v>2.2000000000000001E-3</v>
      </c>
    </row>
    <row r="15" spans="1:13" x14ac:dyDescent="0.25">
      <c r="A15" s="10">
        <f>'[2]Page 351'!A12</f>
        <v>37196</v>
      </c>
      <c r="B15" s="7">
        <f>LN([3]Sheet1!B12/[3]Sheet1!B11)</f>
        <v>0.19650186606800416</v>
      </c>
      <c r="C15" s="7">
        <f>LN([3]Sheet1!C12/[3]Sheet1!C11)</f>
        <v>0.20007536875904985</v>
      </c>
      <c r="D15" s="7">
        <f>LN([3]Sheet1!D12/[3]Sheet1!D11)</f>
        <v>0.1158764573858018</v>
      </c>
      <c r="E15" s="7">
        <f>LN([3]Sheet1!E12/[3]Sheet1!E11)</f>
        <v>0.2675119655026485</v>
      </c>
      <c r="F15" s="7">
        <f>LN([3]Sheet1!F12/[3]Sheet1!F11)</f>
        <v>7.8858328439283774E-3</v>
      </c>
      <c r="G15" s="7">
        <f>LN([3]Sheet1!G12/[3]Sheet1!G11)</f>
        <v>0.1118846417347696</v>
      </c>
      <c r="H15" s="7">
        <f>LN([3]Sheet1!H12/[3]Sheet1!H11)</f>
        <v>0.17896441688028816</v>
      </c>
      <c r="I15" s="7">
        <f>LN([3]Sheet1!I12/[3]Sheet1!I11)</f>
        <v>0.11145658377136383</v>
      </c>
      <c r="J15" s="7">
        <f>LN([3]Sheet1!J12/[3]Sheet1!J11)</f>
        <v>5.9827362497400234E-2</v>
      </c>
      <c r="K15" s="7">
        <f>LN([3]Sheet1!K12/[3]Sheet1!K11)</f>
        <v>9.8314880494626E-2</v>
      </c>
      <c r="L15" s="7">
        <f>'[4]3month T-bills'!$B826/1200</f>
        <v>1.8000000000000002E-3</v>
      </c>
    </row>
    <row r="16" spans="1:13" x14ac:dyDescent="0.25">
      <c r="A16" s="10">
        <f>'[2]Page 351'!A13</f>
        <v>37228</v>
      </c>
      <c r="B16" s="7">
        <f>LN([3]Sheet1!B13/[3]Sheet1!B12)</f>
        <v>-2.2455651402987761E-2</v>
      </c>
      <c r="C16" s="7">
        <f>LN([3]Sheet1!C13/[3]Sheet1!C12)</f>
        <v>8.9446254543617196E-2</v>
      </c>
      <c r="D16" s="7">
        <f>LN([3]Sheet1!D13/[3]Sheet1!D12)</f>
        <v>1.0126668817929268E-2</v>
      </c>
      <c r="E16" s="7">
        <f>LN([3]Sheet1!E13/[3]Sheet1!E12)</f>
        <v>-6.4636325431257524E-2</v>
      </c>
      <c r="F16" s="7">
        <f>LN([3]Sheet1!F13/[3]Sheet1!F12)</f>
        <v>-1.5834346666626219E-2</v>
      </c>
      <c r="G16" s="7">
        <f>LN([3]Sheet1!G13/[3]Sheet1!G12)</f>
        <v>8.115369545584715E-2</v>
      </c>
      <c r="H16" s="7">
        <f>LN([3]Sheet1!H13/[3]Sheet1!H12)</f>
        <v>-8.2229955942229177E-2</v>
      </c>
      <c r="I16" s="7">
        <f>LN([3]Sheet1!I13/[3]Sheet1!I12)</f>
        <v>-4.2229684668085556E-2</v>
      </c>
      <c r="J16" s="7">
        <f>LN([3]Sheet1!J13/[3]Sheet1!J12)</f>
        <v>-0.13630942941438459</v>
      </c>
      <c r="K16" s="7">
        <f>LN([3]Sheet1!K13/[3]Sheet1!K12)</f>
        <v>3.1229023846079226E-2</v>
      </c>
      <c r="L16" s="7">
        <f>'[4]3month T-bills'!$B827/1200</f>
        <v>1.5583333333333334E-3</v>
      </c>
    </row>
    <row r="17" spans="1:12" x14ac:dyDescent="0.25">
      <c r="A17" s="10">
        <f>'[2]Page 351'!A14</f>
        <v>37258</v>
      </c>
      <c r="B17" s="7">
        <f>LN([3]Sheet1!B14/[3]Sheet1!B13)</f>
        <v>5.0815761031806052E-2</v>
      </c>
      <c r="C17" s="7">
        <f>LN([3]Sheet1!C14/[3]Sheet1!C13)</f>
        <v>-1.8133610424654605E-2</v>
      </c>
      <c r="D17" s="7">
        <f>LN([3]Sheet1!D14/[3]Sheet1!D13)</f>
        <v>3.4656933809044402E-2</v>
      </c>
      <c r="E17" s="7">
        <f>LN([3]Sheet1!E14/[3]Sheet1!E13)</f>
        <v>7.3884383555808855E-2</v>
      </c>
      <c r="F17" s="7">
        <f>LN([3]Sheet1!F14/[3]Sheet1!F13)</f>
        <v>8.8683982175134984E-2</v>
      </c>
      <c r="G17" s="7">
        <f>LN([3]Sheet1!G14/[3]Sheet1!G13)</f>
        <v>6.6401306392775573E-3</v>
      </c>
      <c r="H17" s="7">
        <f>LN([3]Sheet1!H14/[3]Sheet1!H13)</f>
        <v>8.3192591965755795E-3</v>
      </c>
      <c r="I17" s="7">
        <f>LN([3]Sheet1!I14/[3]Sheet1!I13)</f>
        <v>3.8296285077280327E-2</v>
      </c>
      <c r="J17" s="7">
        <f>LN([3]Sheet1!J14/[3]Sheet1!J13)</f>
        <v>6.3384957619382039E-3</v>
      </c>
      <c r="K17" s="7">
        <f>LN([3]Sheet1!K14/[3]Sheet1!K13)</f>
        <v>-6.2872933633058056E-2</v>
      </c>
      <c r="L17" s="7">
        <f>'[4]3month T-bills'!$B828/1200</f>
        <v>1.4083333333333333E-3</v>
      </c>
    </row>
    <row r="18" spans="1:12" x14ac:dyDescent="0.25">
      <c r="A18" s="10">
        <f>'[2]Page 351'!A15</f>
        <v>37288</v>
      </c>
      <c r="B18" s="7">
        <f>LN([3]Sheet1!B15/[3]Sheet1!B14)</f>
        <v>4.5549580368746484E-2</v>
      </c>
      <c r="C18" s="7">
        <f>LN([3]Sheet1!C15/[3]Sheet1!C14)</f>
        <v>-1.8732443816804475E-3</v>
      </c>
      <c r="D18" s="7">
        <f>LN([3]Sheet1!D15/[3]Sheet1!D14)</f>
        <v>5.1887872929971726E-2</v>
      </c>
      <c r="E18" s="7">
        <f>LN([3]Sheet1!E15/[3]Sheet1!E14)</f>
        <v>-9.4438466833245069E-2</v>
      </c>
      <c r="F18" s="7">
        <f>LN([3]Sheet1!F15/[3]Sheet1!F14)</f>
        <v>4.9617249460301077E-2</v>
      </c>
      <c r="G18" s="7">
        <f>LN([3]Sheet1!G15/[3]Sheet1!G14)</f>
        <v>1.6409951434877855E-2</v>
      </c>
      <c r="H18" s="7">
        <f>LN([3]Sheet1!H15/[3]Sheet1!H14)</f>
        <v>5.1431364020888035E-2</v>
      </c>
      <c r="I18" s="7">
        <f>LN([3]Sheet1!I15/[3]Sheet1!I14)</f>
        <v>6.6572709312355663E-2</v>
      </c>
      <c r="J18" s="7">
        <f>LN([3]Sheet1!J15/[3]Sheet1!J14)</f>
        <v>3.5788285136419642E-2</v>
      </c>
      <c r="K18" s="7">
        <f>LN([3]Sheet1!K15/[3]Sheet1!K14)</f>
        <v>6.6016718006881941E-2</v>
      </c>
      <c r="L18" s="7">
        <f>'[4]3month T-bills'!$B829/1200</f>
        <v>1.3749999999999999E-3</v>
      </c>
    </row>
    <row r="19" spans="1:12" x14ac:dyDescent="0.25">
      <c r="A19" s="10">
        <f>'[2]Page 351'!A16</f>
        <v>37316</v>
      </c>
      <c r="B19" s="7">
        <f>LN([3]Sheet1!B16/[3]Sheet1!B15)</f>
        <v>0.13197757299470086</v>
      </c>
      <c r="C19" s="7">
        <f>LN([3]Sheet1!C16/[3]Sheet1!C15)</f>
        <v>-2.7242736393874256E-2</v>
      </c>
      <c r="D19" s="7">
        <f>LN([3]Sheet1!D16/[3]Sheet1!D15)</f>
        <v>-1.7085582587734117E-2</v>
      </c>
      <c r="E19" s="7">
        <f>LN([3]Sheet1!E16/[3]Sheet1!E15)</f>
        <v>-0.11081852635959275</v>
      </c>
      <c r="F19" s="7">
        <f>LN([3]Sheet1!F16/[3]Sheet1!F15)</f>
        <v>1.1436865190946199E-2</v>
      </c>
      <c r="G19" s="7">
        <f>LN([3]Sheet1!G16/[3]Sheet1!G15)</f>
        <v>0.11662495793575585</v>
      </c>
      <c r="H19" s="7">
        <f>LN([3]Sheet1!H16/[3]Sheet1!H15)</f>
        <v>4.6525236584155066E-3</v>
      </c>
      <c r="I19" s="7">
        <f>LN([3]Sheet1!I16/[3]Sheet1!I15)</f>
        <v>6.6152391187194043E-3</v>
      </c>
      <c r="J19" s="7">
        <f>LN([3]Sheet1!J16/[3]Sheet1!J15)</f>
        <v>-5.7505127535623791E-2</v>
      </c>
      <c r="K19" s="7">
        <f>LN([3]Sheet1!K16/[3]Sheet1!K15)</f>
        <v>-2.5242061885177698E-2</v>
      </c>
      <c r="L19" s="7">
        <f>'[4]3month T-bills'!$B830/1200</f>
        <v>1.4416666666666666E-3</v>
      </c>
    </row>
    <row r="20" spans="1:12" x14ac:dyDescent="0.25">
      <c r="A20" s="10">
        <f>'[2]Page 351'!A17</f>
        <v>37347</v>
      </c>
      <c r="B20" s="7">
        <f>LN([3]Sheet1!B17/[3]Sheet1!B16)</f>
        <v>5.9403672104483787E-2</v>
      </c>
      <c r="C20" s="7">
        <f>LN([3]Sheet1!C17/[3]Sheet1!C16)</f>
        <v>-4.7121678894988021E-2</v>
      </c>
      <c r="D20" s="7">
        <f>LN([3]Sheet1!D17/[3]Sheet1!D16)</f>
        <v>-3.7238345140118763E-2</v>
      </c>
      <c r="E20" s="7">
        <f>LN([3]Sheet1!E17/[3]Sheet1!E16)</f>
        <v>-4.8136005780311027E-2</v>
      </c>
      <c r="F20" s="7">
        <f>LN([3]Sheet1!F17/[3]Sheet1!F16)</f>
        <v>3.2858600979075607E-2</v>
      </c>
      <c r="G20" s="7">
        <f>LN([3]Sheet1!G17/[3]Sheet1!G16)</f>
        <v>3.4702174790071237E-3</v>
      </c>
      <c r="H20" s="7">
        <f>LN([3]Sheet1!H17/[3]Sheet1!H16)</f>
        <v>-0.10352485502932729</v>
      </c>
      <c r="I20" s="7">
        <f>LN([3]Sheet1!I17/[3]Sheet1!I16)</f>
        <v>-5.7805035265647606E-2</v>
      </c>
      <c r="J20" s="7">
        <f>LN([3]Sheet1!J17/[3]Sheet1!J16)</f>
        <v>-5.7817008524070991E-2</v>
      </c>
      <c r="K20" s="7">
        <f>LN([3]Sheet1!K17/[3]Sheet1!K16)</f>
        <v>8.9769043074332422E-2</v>
      </c>
      <c r="L20" s="7">
        <f>'[4]3month T-bills'!$B831/1200</f>
        <v>1.4916666666666667E-3</v>
      </c>
    </row>
    <row r="21" spans="1:12" x14ac:dyDescent="0.25">
      <c r="A21" s="10">
        <f>'[2]Page 351'!A18</f>
        <v>37377</v>
      </c>
      <c r="B21" s="7">
        <f>LN([3]Sheet1!B18/[3]Sheet1!B17)</f>
        <v>-2.4291106210459393E-2</v>
      </c>
      <c r="C21" s="7">
        <f>LN([3]Sheet1!C18/[3]Sheet1!C17)</f>
        <v>-0.10645826538135635</v>
      </c>
      <c r="D21" s="7">
        <f>LN([3]Sheet1!D18/[3]Sheet1!D17)</f>
        <v>4.5040725424303811E-2</v>
      </c>
      <c r="E21" s="7">
        <f>LN([3]Sheet1!E18/[3]Sheet1!E17)</f>
        <v>0.11040395588041478</v>
      </c>
      <c r="F21" s="7">
        <f>LN([3]Sheet1!F18/[3]Sheet1!F17)</f>
        <v>5.0513531487687044E-2</v>
      </c>
      <c r="G21" s="7">
        <f>LN([3]Sheet1!G18/[3]Sheet1!G17)</f>
        <v>3.5728211799998744E-2</v>
      </c>
      <c r="H21" s="7">
        <f>LN([3]Sheet1!H18/[3]Sheet1!H17)</f>
        <v>3.1979929622318874E-2</v>
      </c>
      <c r="I21" s="7">
        <f>LN([3]Sheet1!I18/[3]Sheet1!I17)</f>
        <v>4.1059999829931984E-2</v>
      </c>
      <c r="J21" s="7">
        <f>LN([3]Sheet1!J18/[3]Sheet1!J17)</f>
        <v>4.9387260129633438E-2</v>
      </c>
      <c r="K21" s="7">
        <f>LN([3]Sheet1!K18/[3]Sheet1!K17)</f>
        <v>1.9022919701089634E-3</v>
      </c>
      <c r="L21" s="7">
        <f>'[4]3month T-bills'!$B832/1200</f>
        <v>1.4333333333333333E-3</v>
      </c>
    </row>
    <row r="22" spans="1:12" x14ac:dyDescent="0.25">
      <c r="A22" s="10">
        <f>'[2]Page 351'!A19</f>
        <v>37410</v>
      </c>
      <c r="B22" s="7">
        <f>LN([3]Sheet1!B19/[3]Sheet1!B18)</f>
        <v>-0.15081827824135915</v>
      </c>
      <c r="C22" s="7">
        <f>LN([3]Sheet1!C19/[3]Sheet1!C18)</f>
        <v>-0.12536286334612179</v>
      </c>
      <c r="D22" s="7">
        <f>LN([3]Sheet1!D19/[3]Sheet1!D18)</f>
        <v>1.1078304721738328E-2</v>
      </c>
      <c r="E22" s="7">
        <f>LN([3]Sheet1!E19/[3]Sheet1!E18)</f>
        <v>-0.21840354522772715</v>
      </c>
      <c r="F22" s="7">
        <f>LN([3]Sheet1!F19/[3]Sheet1!F18)</f>
        <v>-0.25818816652428989</v>
      </c>
      <c r="G22" s="7">
        <f>LN([3]Sheet1!G19/[3]Sheet1!G18)</f>
        <v>-0.15712631899517768</v>
      </c>
      <c r="H22" s="7">
        <f>LN([3]Sheet1!H19/[3]Sheet1!H18)</f>
        <v>-5.3772953432492283E-2</v>
      </c>
      <c r="I22" s="7">
        <f>LN([3]Sheet1!I19/[3]Sheet1!I18)</f>
        <v>-3.5641330914068861E-2</v>
      </c>
      <c r="J22" s="7">
        <f>LN([3]Sheet1!J19/[3]Sheet1!J18)</f>
        <v>-0.11366735780091598</v>
      </c>
      <c r="K22" s="7">
        <f>LN([3]Sheet1!K19/[3]Sheet1!K18)</f>
        <v>-1.9540049471441244E-2</v>
      </c>
      <c r="L22" s="7">
        <f>'[4]3month T-bills'!$B833/1200</f>
        <v>1.4416666666666666E-3</v>
      </c>
    </row>
    <row r="23" spans="1:12" x14ac:dyDescent="0.25">
      <c r="A23" s="10">
        <f>'[2]Page 351'!A20</f>
        <v>37438</v>
      </c>
      <c r="B23" s="7">
        <f>LN([3]Sheet1!B20/[3]Sheet1!B19)</f>
        <v>-0.13825282112290918</v>
      </c>
      <c r="C23" s="7">
        <f>LN([3]Sheet1!C20/[3]Sheet1!C19)</f>
        <v>-0.17353177741703407</v>
      </c>
      <c r="D23" s="7">
        <f>LN([3]Sheet1!D20/[3]Sheet1!D19)</f>
        <v>-9.0020581821723469E-2</v>
      </c>
      <c r="E23" s="7">
        <f>LN([3]Sheet1!E20/[3]Sheet1!E19)</f>
        <v>-7.6571687180657641E-2</v>
      </c>
      <c r="F23" s="7">
        <f>LN([3]Sheet1!F20/[3]Sheet1!F19)</f>
        <v>5.3027117760512429E-2</v>
      </c>
      <c r="G23" s="7">
        <f>LN([3]Sheet1!G20/[3]Sheet1!G19)</f>
        <v>-2.7761201163495279E-2</v>
      </c>
      <c r="H23" s="7">
        <f>LN([3]Sheet1!H20/[3]Sheet1!H19)</f>
        <v>-0.19749695818804633</v>
      </c>
      <c r="I23" s="7">
        <f>LN([3]Sheet1!I20/[3]Sheet1!I19)</f>
        <v>-5.7461205582103388E-2</v>
      </c>
      <c r="J23" s="7">
        <f>LN([3]Sheet1!J20/[3]Sheet1!J19)</f>
        <v>-2.0639553296548048E-2</v>
      </c>
      <c r="K23" s="7">
        <f>LN([3]Sheet1!K20/[3]Sheet1!K19)</f>
        <v>2.2817327092116615E-2</v>
      </c>
      <c r="L23" s="7">
        <f>'[4]3month T-bills'!$B834/1200</f>
        <v>1.4166666666666666E-3</v>
      </c>
    </row>
    <row r="24" spans="1:12" x14ac:dyDescent="0.25">
      <c r="A24" s="10">
        <f>'[2]Page 351'!A21</f>
        <v>37469</v>
      </c>
      <c r="B24" s="7">
        <f>LN([3]Sheet1!B21/[3]Sheet1!B20)</f>
        <v>3.9200346761899596E-2</v>
      </c>
      <c r="C24" s="7">
        <f>LN([3]Sheet1!C21/[3]Sheet1!C20)</f>
        <v>6.4517484228313049E-2</v>
      </c>
      <c r="D24" s="7">
        <f>LN([3]Sheet1!D21/[3]Sheet1!D20)</f>
        <v>-4.9421145366095001E-2</v>
      </c>
      <c r="E24" s="7">
        <f>LN([3]Sheet1!E21/[3]Sheet1!E20)</f>
        <v>-5.2400276393531675E-2</v>
      </c>
      <c r="F24" s="7">
        <f>LN([3]Sheet1!F21/[3]Sheet1!F20)</f>
        <v>8.2160633720963452E-2</v>
      </c>
      <c r="G24" s="7">
        <f>LN([3]Sheet1!G21/[3]Sheet1!G20)</f>
        <v>2.253243108069606E-2</v>
      </c>
      <c r="H24" s="7">
        <f>LN([3]Sheet1!H21/[3]Sheet1!H20)</f>
        <v>-7.5279762968983976E-2</v>
      </c>
      <c r="I24" s="7">
        <f>LN([3]Sheet1!I21/[3]Sheet1!I20)</f>
        <v>-3.0720556129501569E-2</v>
      </c>
      <c r="J24" s="7">
        <f>LN([3]Sheet1!J21/[3]Sheet1!J20)</f>
        <v>1.8448438603733165E-2</v>
      </c>
      <c r="K24" s="7">
        <f>LN([3]Sheet1!K21/[3]Sheet1!K20)</f>
        <v>-2.2411870427542419E-3</v>
      </c>
      <c r="L24" s="7">
        <f>'[4]3month T-bills'!$B835/1200</f>
        <v>1.4E-3</v>
      </c>
    </row>
    <row r="25" spans="1:12" x14ac:dyDescent="0.25">
      <c r="A25" s="10">
        <f>'[2]Page 351'!A22</f>
        <v>37502</v>
      </c>
      <c r="B25" s="7">
        <f>LN([3]Sheet1!B22/[3]Sheet1!B21)</f>
        <v>-0.20716947675957453</v>
      </c>
      <c r="C25" s="7">
        <f>LN([3]Sheet1!C22/[3]Sheet1!C21)</f>
        <v>-0.23114327715708133</v>
      </c>
      <c r="D25" s="7">
        <f>LN([3]Sheet1!D22/[3]Sheet1!D21)</f>
        <v>-0.12003151151106271</v>
      </c>
      <c r="E25" s="7">
        <f>LN([3]Sheet1!E22/[3]Sheet1!E21)</f>
        <v>-0.13443596075494954</v>
      </c>
      <c r="F25" s="7">
        <f>LN([3]Sheet1!F22/[3]Sheet1!F21)</f>
        <v>-0.24010943692820372</v>
      </c>
      <c r="G25" s="7">
        <f>LN([3]Sheet1!G22/[3]Sheet1!G21)</f>
        <v>-0.14539705590102359</v>
      </c>
      <c r="H25" s="7">
        <f>LN([3]Sheet1!H22/[3]Sheet1!H21)</f>
        <v>-0.26223468323067284</v>
      </c>
      <c r="I25" s="7">
        <f>LN([3]Sheet1!I22/[3]Sheet1!I21)</f>
        <v>-0.11106032126150675</v>
      </c>
      <c r="J25" s="7">
        <f>LN([3]Sheet1!J22/[3]Sheet1!J21)</f>
        <v>-9.2632802033608533E-2</v>
      </c>
      <c r="K25" s="7">
        <f>LN([3]Sheet1!K22/[3]Sheet1!K21)</f>
        <v>-0.12777845727413992</v>
      </c>
      <c r="L25" s="7">
        <f>'[4]3month T-bills'!$B836/1200</f>
        <v>1.3500000000000001E-3</v>
      </c>
    </row>
    <row r="26" spans="1:12" x14ac:dyDescent="0.25">
      <c r="A26" s="10">
        <f>'[2]Page 351'!A23</f>
        <v>37530</v>
      </c>
      <c r="B26" s="7">
        <f>LN([3]Sheet1!B23/[3]Sheet1!B22)</f>
        <v>-0.15702567200644355</v>
      </c>
      <c r="C26" s="7">
        <f>LN([3]Sheet1!C23/[3]Sheet1!C22)</f>
        <v>0.10125667899205118</v>
      </c>
      <c r="D26" s="7">
        <f>LN([3]Sheet1!D23/[3]Sheet1!D22)</f>
        <v>4.4812692619290689E-2</v>
      </c>
      <c r="E26" s="7">
        <f>LN([3]Sheet1!E23/[3]Sheet1!E22)</f>
        <v>0.3029495445825694</v>
      </c>
      <c r="F26" s="7">
        <f>LN([3]Sheet1!F23/[3]Sheet1!F22)</f>
        <v>4.8924461459066891E-2</v>
      </c>
      <c r="G26" s="7">
        <f>LN([3]Sheet1!G23/[3]Sheet1!G22)</f>
        <v>0.15647569641978207</v>
      </c>
      <c r="H26" s="7">
        <f>LN([3]Sheet1!H23/[3]Sheet1!H22)</f>
        <v>0.13332081458703388</v>
      </c>
      <c r="I26" s="7">
        <f>LN([3]Sheet1!I23/[3]Sheet1!I22)</f>
        <v>0.13412010121115972</v>
      </c>
      <c r="J26" s="7">
        <f>LN([3]Sheet1!J23/[3]Sheet1!J22)</f>
        <v>0.17111821308396172</v>
      </c>
      <c r="K26" s="7">
        <f>LN([3]Sheet1!K23/[3]Sheet1!K22)</f>
        <v>0.14353220773826222</v>
      </c>
      <c r="L26" s="7">
        <f>'[4]3month T-bills'!$B837/1200</f>
        <v>1.3583333333333331E-3</v>
      </c>
    </row>
    <row r="27" spans="1:12" x14ac:dyDescent="0.25">
      <c r="A27" s="10">
        <f>'[2]Page 351'!A24</f>
        <v>37561</v>
      </c>
      <c r="B27" s="7">
        <f>LN([3]Sheet1!B24/[3]Sheet1!B23)</f>
        <v>0.19180375767263116</v>
      </c>
      <c r="C27" s="7">
        <f>LN([3]Sheet1!C24/[3]Sheet1!C23)</f>
        <v>-8.97918370658779E-2</v>
      </c>
      <c r="D27" s="7">
        <f>LN([3]Sheet1!D24/[3]Sheet1!D23)</f>
        <v>0.12379856748967527</v>
      </c>
      <c r="E27" s="7">
        <f>LN([3]Sheet1!E24/[3]Sheet1!E23)</f>
        <v>0.20968439794020491</v>
      </c>
      <c r="F27" s="7">
        <f>LN([3]Sheet1!F24/[3]Sheet1!F23)</f>
        <v>-7.7211744000826268E-2</v>
      </c>
      <c r="G27" s="7">
        <f>LN([3]Sheet1!G24/[3]Sheet1!G23)</f>
        <v>6.7955392467683576E-2</v>
      </c>
      <c r="H27" s="7">
        <f>LN([3]Sheet1!H24/[3]Sheet1!H23)</f>
        <v>0.15323766224092053</v>
      </c>
      <c r="I27" s="7">
        <f>LN([3]Sheet1!I24/[3]Sheet1!I23)</f>
        <v>8.6759582955818135E-2</v>
      </c>
      <c r="J27" s="7">
        <f>LN([3]Sheet1!J24/[3]Sheet1!J23)</f>
        <v>9.1040353552916189E-2</v>
      </c>
      <c r="K27" s="7">
        <f>LN([3]Sheet1!K24/[3]Sheet1!K23)</f>
        <v>2.748162223146906E-2</v>
      </c>
      <c r="L27" s="7">
        <f>'[4]3month T-bills'!$B838/1200</f>
        <v>1.3166666666666667E-3</v>
      </c>
    </row>
    <row r="28" spans="1:12" x14ac:dyDescent="0.25">
      <c r="A28" s="10">
        <f>'[2]Page 351'!A25</f>
        <v>37592</v>
      </c>
      <c r="B28" s="7">
        <f>LN([3]Sheet1!B25/[3]Sheet1!B24)</f>
        <v>-7.4061437799726737E-2</v>
      </c>
      <c r="C28" s="7">
        <f>LN([3]Sheet1!C25/[3]Sheet1!C24)</f>
        <v>-9.2170459799657226E-2</v>
      </c>
      <c r="D28" s="7">
        <f>LN([3]Sheet1!D25/[3]Sheet1!D24)</f>
        <v>-0.11557587726390794</v>
      </c>
      <c r="E28" s="7">
        <f>LN([3]Sheet1!E25/[3]Sheet1!E24)</f>
        <v>-0.11109811255449942</v>
      </c>
      <c r="F28" s="7">
        <f>LN([3]Sheet1!F25/[3]Sheet1!F24)</f>
        <v>8.7602218956596464E-2</v>
      </c>
      <c r="G28" s="7">
        <f>LN([3]Sheet1!G25/[3]Sheet1!G24)</f>
        <v>-9.4220855077869967E-2</v>
      </c>
      <c r="H28" s="7">
        <f>LN([3]Sheet1!H25/[3]Sheet1!H24)</f>
        <v>-0.11467866863723777</v>
      </c>
      <c r="I28" s="7">
        <f>LN([3]Sheet1!I25/[3]Sheet1!I24)</f>
        <v>-5.0882505202755855E-2</v>
      </c>
      <c r="J28" s="7">
        <f>LN([3]Sheet1!J25/[3]Sheet1!J24)</f>
        <v>-4.2014160672714566E-2</v>
      </c>
      <c r="K28" s="7">
        <f>LN([3]Sheet1!K25/[3]Sheet1!K24)</f>
        <v>-5.1728360742031007E-2</v>
      </c>
      <c r="L28" s="7">
        <f>'[4]3month T-bills'!$B839/1200</f>
        <v>1.0250000000000001E-3</v>
      </c>
    </row>
    <row r="29" spans="1:12" x14ac:dyDescent="0.25">
      <c r="A29" s="10">
        <f>'[2]Page 351'!A26</f>
        <v>37623</v>
      </c>
      <c r="B29" s="7">
        <f>LN([3]Sheet1!B26/[3]Sheet1!B25)</f>
        <v>-1.443594623294148E-2</v>
      </c>
      <c r="C29" s="7">
        <f>LN([3]Sheet1!C26/[3]Sheet1!C25)</f>
        <v>-0.1389648463475181</v>
      </c>
      <c r="D29" s="7">
        <f>LN([3]Sheet1!D26/[3]Sheet1!D25)</f>
        <v>2.0882790968829369E-2</v>
      </c>
      <c r="E29" s="7">
        <f>LN([3]Sheet1!E26/[3]Sheet1!E25)</f>
        <v>3.0238910250769192E-3</v>
      </c>
      <c r="F29" s="7">
        <f>LN([3]Sheet1!F26/[3]Sheet1!F25)</f>
        <v>-6.7812233805536068E-2</v>
      </c>
      <c r="G29" s="7">
        <f>LN([3]Sheet1!G26/[3]Sheet1!G25)</f>
        <v>4.9776110737522064E-3</v>
      </c>
      <c r="H29" s="7">
        <f>LN([3]Sheet1!H26/[3]Sheet1!H25)</f>
        <v>-0.14146552029994253</v>
      </c>
      <c r="I29" s="7">
        <f>LN([3]Sheet1!I26/[3]Sheet1!I25)</f>
        <v>-0.11292601069443486</v>
      </c>
      <c r="J29" s="7">
        <f>LN([3]Sheet1!J26/[3]Sheet1!J25)</f>
        <v>-2.1907393864309101E-2</v>
      </c>
      <c r="K29" s="7">
        <f>LN([3]Sheet1!K26/[3]Sheet1!K25)</f>
        <v>1.0045113907752113E-2</v>
      </c>
      <c r="L29" s="7">
        <f>'[4]3month T-bills'!$B840/1200</f>
        <v>9.9166666666666652E-4</v>
      </c>
    </row>
    <row r="30" spans="1:12" x14ac:dyDescent="0.25">
      <c r="A30" s="10">
        <f>'[2]Page 351'!A27</f>
        <v>37655</v>
      </c>
      <c r="B30" s="7">
        <f>LN([3]Sheet1!B27/[3]Sheet1!B26)</f>
        <v>-5.9221112814114754E-2</v>
      </c>
      <c r="C30" s="7">
        <f>LN([3]Sheet1!C27/[3]Sheet1!C26)</f>
        <v>0.11497241960429672</v>
      </c>
      <c r="D30" s="7">
        <f>LN([3]Sheet1!D27/[3]Sheet1!D26)</f>
        <v>-1.2102552686463255E-2</v>
      </c>
      <c r="E30" s="7">
        <f>LN([3]Sheet1!E27/[3]Sheet1!E26)</f>
        <v>-9.3620786377303575E-2</v>
      </c>
      <c r="F30" s="7">
        <f>LN([3]Sheet1!F27/[3]Sheet1!F26)</f>
        <v>2.0335441870730667E-2</v>
      </c>
      <c r="G30" s="7">
        <f>LN([3]Sheet1!G27/[3]Sheet1!G26)</f>
        <v>-5.6165857927197062E-2</v>
      </c>
      <c r="H30" s="7">
        <f>LN([3]Sheet1!H27/[3]Sheet1!H26)</f>
        <v>4.3693684262947743E-2</v>
      </c>
      <c r="I30" s="7">
        <f>LN([3]Sheet1!I27/[3]Sheet1!I26)</f>
        <v>-2.2803268297453029E-2</v>
      </c>
      <c r="J30" s="7">
        <f>LN([3]Sheet1!J27/[3]Sheet1!J26)</f>
        <v>-4.8757269973609955E-2</v>
      </c>
      <c r="K30" s="7">
        <f>LN([3]Sheet1!K27/[3]Sheet1!K26)</f>
        <v>1.1820266103743152E-2</v>
      </c>
      <c r="L30" s="7">
        <f>'[4]3month T-bills'!$B841/1200</f>
        <v>9.7499999999999996E-4</v>
      </c>
    </row>
    <row r="31" spans="1:12" x14ac:dyDescent="0.25">
      <c r="A31" s="10">
        <f>'[2]Page 351'!A28</f>
        <v>37683</v>
      </c>
      <c r="B31" s="7">
        <f>LN([3]Sheet1!B28/[3]Sheet1!B27)</f>
        <v>-4.5686250612152913E-3</v>
      </c>
      <c r="C31" s="7">
        <f>LN([3]Sheet1!C28/[3]Sheet1!C27)</f>
        <v>4.0663041490540751E-2</v>
      </c>
      <c r="D31" s="7">
        <f>LN([3]Sheet1!D28/[3]Sheet1!D27)</f>
        <v>-3.5593207477041901E-2</v>
      </c>
      <c r="E31" s="7">
        <f>LN([3]Sheet1!E28/[3]Sheet1!E27)</f>
        <v>-1.4023602107746367E-2</v>
      </c>
      <c r="F31" s="7">
        <f>LN([3]Sheet1!F28/[3]Sheet1!F27)</f>
        <v>-0.23686375406622115</v>
      </c>
      <c r="G31" s="7">
        <f>LN([3]Sheet1!G28/[3]Sheet1!G27)</f>
        <v>-1.0559760215002106E-2</v>
      </c>
      <c r="H31" s="7">
        <f>LN([3]Sheet1!H28/[3]Sheet1!H27)</f>
        <v>-5.5748624768301544E-2</v>
      </c>
      <c r="I31" s="7">
        <f>LN([3]Sheet1!I28/[3]Sheet1!I27)</f>
        <v>5.8068470022885253E-2</v>
      </c>
      <c r="J31" s="7">
        <f>LN([3]Sheet1!J28/[3]Sheet1!J27)</f>
        <v>4.4802090130681892E-2</v>
      </c>
      <c r="K31" s="7">
        <f>LN([3]Sheet1!K28/[3]Sheet1!K27)</f>
        <v>3.6616980542133158E-2</v>
      </c>
      <c r="L31" s="7">
        <f>'[4]3month T-bills'!$B842/1200</f>
        <v>9.7499999999999996E-4</v>
      </c>
    </row>
    <row r="32" spans="1:12" x14ac:dyDescent="0.25">
      <c r="A32" s="10">
        <f>'[2]Page 351'!A29</f>
        <v>37712</v>
      </c>
      <c r="B32" s="7">
        <f>LN([3]Sheet1!B29/[3]Sheet1!B28)</f>
        <v>7.0049023671026195E-2</v>
      </c>
      <c r="C32" s="7">
        <f>LN([3]Sheet1!C29/[3]Sheet1!C28)</f>
        <v>0.14386358786172787</v>
      </c>
      <c r="D32" s="7">
        <f>LN([3]Sheet1!D29/[3]Sheet1!D28)</f>
        <v>5.5989464592094307E-2</v>
      </c>
      <c r="E32" s="7">
        <f>LN([3]Sheet1!E29/[3]Sheet1!E28)</f>
        <v>4.6642279970538637E-2</v>
      </c>
      <c r="F32" s="7">
        <f>LN([3]Sheet1!F29/[3]Sheet1!F28)</f>
        <v>2.6337695885035418E-2</v>
      </c>
      <c r="G32" s="7">
        <f>LN([3]Sheet1!G29/[3]Sheet1!G28)</f>
        <v>0.13269062880748922</v>
      </c>
      <c r="H32" s="7">
        <f>LN([3]Sheet1!H29/[3]Sheet1!H28)</f>
        <v>0.17457387000312879</v>
      </c>
      <c r="I32" s="7">
        <f>LN([3]Sheet1!I29/[3]Sheet1!I28)</f>
        <v>9.0299207840725426E-2</v>
      </c>
      <c r="J32" s="7">
        <f>LN([3]Sheet1!J29/[3]Sheet1!J28)</f>
        <v>6.0028697403467925E-2</v>
      </c>
      <c r="K32" s="7">
        <f>LN([3]Sheet1!K29/[3]Sheet1!K28)</f>
        <v>-3.1182184556176201E-2</v>
      </c>
      <c r="L32" s="7">
        <f>'[4]3month T-bills'!$B843/1200</f>
        <v>9.4166666666666661E-4</v>
      </c>
    </row>
    <row r="33" spans="1:12" x14ac:dyDescent="0.25">
      <c r="A33" s="10">
        <f>'[2]Page 351'!A30</f>
        <v>37742</v>
      </c>
      <c r="B33" s="7">
        <f>LN([3]Sheet1!B30/[3]Sheet1!B29)</f>
        <v>-6.2592857956961399E-3</v>
      </c>
      <c r="C33" s="7">
        <f>LN([3]Sheet1!C30/[3]Sheet1!C29)</f>
        <v>0.14434822979500392</v>
      </c>
      <c r="D33" s="7">
        <f>LN([3]Sheet1!D30/[3]Sheet1!D29)</f>
        <v>3.2207448991637175E-2</v>
      </c>
      <c r="E33" s="7">
        <f>LN([3]Sheet1!E30/[3]Sheet1!E29)</f>
        <v>0.17932176881484305</v>
      </c>
      <c r="F33" s="7">
        <f>LN([3]Sheet1!F30/[3]Sheet1!F29)</f>
        <v>0.29453924217791788</v>
      </c>
      <c r="G33" s="7">
        <f>LN([3]Sheet1!G30/[3]Sheet1!G29)</f>
        <v>9.5676340891126005E-2</v>
      </c>
      <c r="H33" s="7">
        <f>LN([3]Sheet1!H30/[3]Sheet1!H29)</f>
        <v>7.0596523221486157E-2</v>
      </c>
      <c r="I33" s="7">
        <f>LN([3]Sheet1!I30/[3]Sheet1!I29)</f>
        <v>-1.047120514525356E-3</v>
      </c>
      <c r="J33" s="7">
        <f>LN([3]Sheet1!J30/[3]Sheet1!J29)</f>
        <v>-4.5602217693244643E-2</v>
      </c>
      <c r="K33" s="7">
        <f>LN([3]Sheet1!K30/[3]Sheet1!K29)</f>
        <v>8.6011155090919712E-3</v>
      </c>
      <c r="L33" s="7">
        <f>'[4]3month T-bills'!$B844/1200</f>
        <v>9.4166666666666661E-4</v>
      </c>
    </row>
    <row r="34" spans="1:12" x14ac:dyDescent="0.25">
      <c r="A34" s="10">
        <f>'[2]Page 351'!A31</f>
        <v>37774</v>
      </c>
      <c r="B34" s="7">
        <f>LN([3]Sheet1!B31/[3]Sheet1!B30)</f>
        <v>1.8661533537849079E-2</v>
      </c>
      <c r="C34" s="7">
        <f>LN([3]Sheet1!C31/[3]Sheet1!C30)</f>
        <v>2.1066649233051005E-2</v>
      </c>
      <c r="D34" s="7">
        <f>LN([3]Sheet1!D31/[3]Sheet1!D30)</f>
        <v>-2.5804011956430128E-2</v>
      </c>
      <c r="E34" s="7">
        <f>LN([3]Sheet1!E31/[3]Sheet1!E30)</f>
        <v>9.2183956078058613E-2</v>
      </c>
      <c r="F34" s="7">
        <f>LN([3]Sheet1!F31/[3]Sheet1!F30)</f>
        <v>0.11041605200128428</v>
      </c>
      <c r="G34" s="7">
        <f>LN([3]Sheet1!G31/[3]Sheet1!G30)</f>
        <v>3.654255647612212E-3</v>
      </c>
      <c r="H34" s="7">
        <f>LN([3]Sheet1!H31/[3]Sheet1!H30)</f>
        <v>3.5596978740231759E-2</v>
      </c>
      <c r="I34" s="7">
        <f>LN([3]Sheet1!I31/[3]Sheet1!I30)</f>
        <v>-1.212136053234485E-2</v>
      </c>
      <c r="J34" s="7">
        <f>LN([3]Sheet1!J31/[3]Sheet1!J30)</f>
        <v>9.1990281094654625E-2</v>
      </c>
      <c r="K34" s="7">
        <f>LN([3]Sheet1!K31/[3]Sheet1!K30)</f>
        <v>1.9786163816293573E-2</v>
      </c>
      <c r="L34" s="7">
        <f>'[4]3month T-bills'!$B845/1200</f>
        <v>8.9166666666666669E-4</v>
      </c>
    </row>
    <row r="35" spans="1:12" x14ac:dyDescent="0.25">
      <c r="A35" s="10">
        <f>'[2]Page 351'!A32</f>
        <v>37803</v>
      </c>
      <c r="B35" s="7">
        <f>LN([3]Sheet1!B32/[3]Sheet1!B31)</f>
        <v>3.8808941468620115E-2</v>
      </c>
      <c r="C35" s="7">
        <f>LN([3]Sheet1!C32/[3]Sheet1!C31)</f>
        <v>-5.9944237275739262E-2</v>
      </c>
      <c r="D35" s="7">
        <f>LN([3]Sheet1!D32/[3]Sheet1!D31)</f>
        <v>9.0601681976483966E-2</v>
      </c>
      <c r="E35" s="7">
        <f>LN([3]Sheet1!E32/[3]Sheet1!E31)</f>
        <v>-5.8881426252225975E-3</v>
      </c>
      <c r="F35" s="7">
        <f>LN([3]Sheet1!F32/[3]Sheet1!F31)</f>
        <v>-0.12735830936629924</v>
      </c>
      <c r="G35" s="7">
        <f>LN([3]Sheet1!G32/[3]Sheet1!G31)</f>
        <v>5.7251937337795711E-2</v>
      </c>
      <c r="H35" s="7">
        <f>LN([3]Sheet1!H32/[3]Sheet1!H31)</f>
        <v>8.5344709937160576E-2</v>
      </c>
      <c r="I35" s="7">
        <f>LN([3]Sheet1!I32/[3]Sheet1!I31)</f>
        <v>5.392767924696916E-2</v>
      </c>
      <c r="J35" s="7">
        <f>LN([3]Sheet1!J32/[3]Sheet1!J31)</f>
        <v>-9.1122602081432233E-2</v>
      </c>
      <c r="K35" s="7">
        <f>LN([3]Sheet1!K32/[3]Sheet1!K31)</f>
        <v>8.3355266807444053E-2</v>
      </c>
      <c r="L35" s="7">
        <f>'[4]3month T-bills'!$B846/1200</f>
        <v>7.6666666666666669E-4</v>
      </c>
    </row>
    <row r="36" spans="1:12" x14ac:dyDescent="0.25">
      <c r="A36" s="10">
        <f>'[2]Page 351'!A33</f>
        <v>37834</v>
      </c>
      <c r="B36" s="7">
        <f>LN([3]Sheet1!B33/[3]Sheet1!B32)</f>
        <v>0.10701281600412117</v>
      </c>
      <c r="C36" s="7">
        <f>LN([3]Sheet1!C33/[3]Sheet1!C32)</f>
        <v>3.0260971781809479E-2</v>
      </c>
      <c r="D36" s="7">
        <f>LN([3]Sheet1!D33/[3]Sheet1!D32)</f>
        <v>4.1865314592252102E-2</v>
      </c>
      <c r="E36" s="7">
        <f>LN([3]Sheet1!E33/[3]Sheet1!E32)</f>
        <v>-6.0347839258119644E-2</v>
      </c>
      <c r="F36" s="7">
        <f>LN([3]Sheet1!F33/[3]Sheet1!F32)</f>
        <v>2.9674074558462916E-2</v>
      </c>
      <c r="G36" s="7">
        <f>LN([3]Sheet1!G33/[3]Sheet1!G32)</f>
        <v>1.9677927355250688E-2</v>
      </c>
      <c r="H36" s="7">
        <f>LN([3]Sheet1!H33/[3]Sheet1!H32)</f>
        <v>3.3825096153643881E-2</v>
      </c>
      <c r="I36" s="7">
        <f>LN([3]Sheet1!I33/[3]Sheet1!I32)</f>
        <v>2.6033452377250046E-2</v>
      </c>
      <c r="J36" s="7">
        <f>LN([3]Sheet1!J33/[3]Sheet1!J32)</f>
        <v>-3.8908532918691993E-2</v>
      </c>
      <c r="K36" s="7">
        <f>LN([3]Sheet1!K33/[3]Sheet1!K32)</f>
        <v>2.0687291493214577E-2</v>
      </c>
      <c r="L36" s="7">
        <f>'[4]3month T-bills'!$B847/1200</f>
        <v>7.5000000000000002E-4</v>
      </c>
    </row>
    <row r="37" spans="1:12" x14ac:dyDescent="0.25">
      <c r="A37" s="10">
        <f>'[2]Page 351'!A34</f>
        <v>37866</v>
      </c>
      <c r="B37" s="7">
        <f>LN([3]Sheet1!B34/[3]Sheet1!B33)</f>
        <v>-4.2140812468307665E-3</v>
      </c>
      <c r="C37" s="7">
        <f>LN([3]Sheet1!C34/[3]Sheet1!C33)</f>
        <v>-7.3991008303252196E-3</v>
      </c>
      <c r="D37" s="7">
        <f>LN([3]Sheet1!D34/[3]Sheet1!D33)</f>
        <v>-3.8262705735288539E-2</v>
      </c>
      <c r="E37" s="7">
        <f>LN([3]Sheet1!E34/[3]Sheet1!E33)</f>
        <v>-2.5411637362336956E-2</v>
      </c>
      <c r="F37" s="7">
        <f>LN([3]Sheet1!F34/[3]Sheet1!F33)</f>
        <v>7.7335818616388816E-2</v>
      </c>
      <c r="G37" s="7">
        <f>LN([3]Sheet1!G34/[3]Sheet1!G33)</f>
        <v>2.5977399808370356E-4</v>
      </c>
      <c r="H37" s="7">
        <f>LN([3]Sheet1!H34/[3]Sheet1!H33)</f>
        <v>-8.8019746541645447E-2</v>
      </c>
      <c r="I37" s="7">
        <f>LN([3]Sheet1!I34/[3]Sheet1!I33)</f>
        <v>-0.11174403843961539</v>
      </c>
      <c r="J37" s="7">
        <f>LN([3]Sheet1!J34/[3]Sheet1!J33)</f>
        <v>1.321259843546308E-2</v>
      </c>
      <c r="K37" s="7">
        <f>LN([3]Sheet1!K34/[3]Sheet1!K33)</f>
        <v>-3.0887577848030593E-2</v>
      </c>
      <c r="L37" s="7">
        <f>'[4]3month T-bills'!$B848/1200</f>
        <v>7.9166666666666665E-4</v>
      </c>
    </row>
    <row r="38" spans="1:12" x14ac:dyDescent="0.25">
      <c r="A38" s="10">
        <f>'[2]Page 351'!A35</f>
        <v>37895</v>
      </c>
      <c r="B38" s="7">
        <f>LN([3]Sheet1!B35/[3]Sheet1!B34)</f>
        <v>4.1632476801552E-2</v>
      </c>
      <c r="C38" s="7">
        <f>LN([3]Sheet1!C35/[3]Sheet1!C34)</f>
        <v>0.15188786974584667</v>
      </c>
      <c r="D38" s="7">
        <f>LN([3]Sheet1!D35/[3]Sheet1!D34)</f>
        <v>8.2645098498936517E-3</v>
      </c>
      <c r="E38" s="7">
        <f>LN([3]Sheet1!E35/[3]Sheet1!E34)</f>
        <v>0.14220678904379266</v>
      </c>
      <c r="F38" s="7">
        <f>LN([3]Sheet1!F35/[3]Sheet1!F34)</f>
        <v>5.98436768333633E-2</v>
      </c>
      <c r="G38" s="7">
        <f>LN([3]Sheet1!G35/[3]Sheet1!G34)</f>
        <v>4.2959967167371181E-2</v>
      </c>
      <c r="H38" s="7">
        <f>LN([3]Sheet1!H35/[3]Sheet1!H34)</f>
        <v>0.18815599644086031</v>
      </c>
      <c r="I38" s="7">
        <f>LN([3]Sheet1!I35/[3]Sheet1!I34)</f>
        <v>9.8040000966208348E-3</v>
      </c>
      <c r="J38" s="7">
        <f>LN([3]Sheet1!J35/[3]Sheet1!J34)</f>
        <v>-0.13458072734726104</v>
      </c>
      <c r="K38" s="7">
        <f>LN([3]Sheet1!K35/[3]Sheet1!K34)</f>
        <v>0.1326511277227809</v>
      </c>
      <c r="L38" s="7">
        <f>'[4]3month T-bills'!$B849/1200</f>
        <v>7.8333333333333326E-4</v>
      </c>
    </row>
    <row r="39" spans="1:12" x14ac:dyDescent="0.25">
      <c r="A39" s="10">
        <f>'[2]Page 351'!A36</f>
        <v>37928</v>
      </c>
      <c r="B39" s="7">
        <f>LN([3]Sheet1!B36/[3]Sheet1!B35)</f>
        <v>1.4477464660356284E-2</v>
      </c>
      <c r="C39" s="7">
        <f>LN([3]Sheet1!C36/[3]Sheet1!C35)</f>
        <v>-8.3565945909413047E-3</v>
      </c>
      <c r="D39" s="7">
        <f>LN([3]Sheet1!D36/[3]Sheet1!D35)</f>
        <v>-4.8913628580972354E-2</v>
      </c>
      <c r="E39" s="7">
        <f>LN([3]Sheet1!E36/[3]Sheet1!E35)</f>
        <v>-2.5914288765470354E-2</v>
      </c>
      <c r="F39" s="7">
        <f>LN([3]Sheet1!F36/[3]Sheet1!F35)</f>
        <v>0.11166413544612598</v>
      </c>
      <c r="G39" s="7">
        <f>LN([3]Sheet1!G36/[3]Sheet1!G35)</f>
        <v>-2.6473246493179468E-2</v>
      </c>
      <c r="H39" s="7">
        <f>LN([3]Sheet1!H36/[3]Sheet1!H35)</f>
        <v>4.3186298653130631E-2</v>
      </c>
      <c r="I39" s="7">
        <f>LN([3]Sheet1!I36/[3]Sheet1!I35)</f>
        <v>3.4362150190943297E-2</v>
      </c>
      <c r="J39" s="7">
        <f>LN([3]Sheet1!J36/[3]Sheet1!J35)</f>
        <v>-8.6063169839410369E-2</v>
      </c>
      <c r="K39" s="7">
        <f>LN([3]Sheet1!K36/[3]Sheet1!K35)</f>
        <v>6.4119909770771703E-3</v>
      </c>
      <c r="L39" s="7">
        <f>'[4]3month T-bills'!$B850/1200</f>
        <v>7.6666666666666669E-4</v>
      </c>
    </row>
    <row r="40" spans="1:12" x14ac:dyDescent="0.25">
      <c r="A40" s="10">
        <f>'[2]Page 351'!A37</f>
        <v>37956</v>
      </c>
      <c r="B40" s="7">
        <f>LN([3]Sheet1!B37/[3]Sheet1!B36)</f>
        <v>0.22159857351561749</v>
      </c>
      <c r="C40" s="7">
        <f>LN([3]Sheet1!C37/[3]Sheet1!C36)</f>
        <v>-3.3274788884872321E-2</v>
      </c>
      <c r="D40" s="7">
        <f>LN([3]Sheet1!D37/[3]Sheet1!D36)</f>
        <v>0.14708789103548778</v>
      </c>
      <c r="E40" s="7">
        <f>LN([3]Sheet1!E37/[3]Sheet1!E36)</f>
        <v>5.8403991538189343E-2</v>
      </c>
      <c r="F40" s="7">
        <f>LN([3]Sheet1!F37/[3]Sheet1!F36)</f>
        <v>5.8326808890349982E-2</v>
      </c>
      <c r="G40" s="7">
        <f>LN([3]Sheet1!G37/[3]Sheet1!G36)</f>
        <v>5.5894343792710806E-2</v>
      </c>
      <c r="H40" s="7">
        <f>LN([3]Sheet1!H37/[3]Sheet1!H36)</f>
        <v>0.1468508746690195</v>
      </c>
      <c r="I40" s="7">
        <f>LN([3]Sheet1!I37/[3]Sheet1!I36)</f>
        <v>0.10150391334127384</v>
      </c>
      <c r="J40" s="7">
        <f>LN([3]Sheet1!J37/[3]Sheet1!J36)</f>
        <v>0.13813244202968306</v>
      </c>
      <c r="K40" s="7">
        <f>LN([3]Sheet1!K37/[3]Sheet1!K36)</f>
        <v>7.3032636721528266E-2</v>
      </c>
      <c r="L40" s="7">
        <f>'[4]3month T-bills'!$B851/1200</f>
        <v>7.7500000000000008E-4</v>
      </c>
    </row>
    <row r="41" spans="1:12" x14ac:dyDescent="0.25">
      <c r="A41" s="10">
        <f>'[2]Page 351'!A38</f>
        <v>37988</v>
      </c>
      <c r="B41" s="7">
        <f>LN([3]Sheet1!B38/[3]Sheet1!B37)</f>
        <v>-7.2059445965976701E-2</v>
      </c>
      <c r="C41" s="7">
        <f>LN([3]Sheet1!C38/[3]Sheet1!C37)</f>
        <v>-5.7853631928948075E-4</v>
      </c>
      <c r="D41" s="7">
        <f>LN([3]Sheet1!D38/[3]Sheet1!D37)</f>
        <v>-1.9588773019646882E-2</v>
      </c>
      <c r="E41" s="7">
        <f>LN([3]Sheet1!E38/[3]Sheet1!E37)</f>
        <v>3.4951578022813505E-2</v>
      </c>
      <c r="F41" s="7">
        <f>LN([3]Sheet1!F38/[3]Sheet1!F37)</f>
        <v>2.1277398447284879E-2</v>
      </c>
      <c r="G41" s="7">
        <f>LN([3]Sheet1!G38/[3]Sheet1!G37)</f>
        <v>7.2225139057309498E-2</v>
      </c>
      <c r="H41" s="7">
        <f>LN([3]Sheet1!H38/[3]Sheet1!H37)</f>
        <v>-0.10606730547874653</v>
      </c>
      <c r="I41" s="7">
        <f>LN([3]Sheet1!I38/[3]Sheet1!I37)</f>
        <v>-4.4258220426428019E-2</v>
      </c>
      <c r="J41" s="7">
        <f>LN([3]Sheet1!J38/[3]Sheet1!J37)</f>
        <v>2.9753474096948125E-2</v>
      </c>
      <c r="K41" s="7">
        <f>LN([3]Sheet1!K38/[3]Sheet1!K37)</f>
        <v>-7.2367079292633765E-2</v>
      </c>
      <c r="L41" s="7">
        <f>'[4]3month T-bills'!$B852/1200</f>
        <v>7.5000000000000002E-4</v>
      </c>
    </row>
    <row r="42" spans="1:12" x14ac:dyDescent="0.25">
      <c r="A42" s="10">
        <f>'[2]Page 351'!A39</f>
        <v>38019</v>
      </c>
      <c r="B42" s="7">
        <f>LN([3]Sheet1!B39/[3]Sheet1!B38)</f>
        <v>-2.1780286365647616E-2</v>
      </c>
      <c r="C42" s="7">
        <f>LN([3]Sheet1!C39/[3]Sheet1!C38)</f>
        <v>2.3449744795784353E-2</v>
      </c>
      <c r="D42" s="7">
        <f>LN([3]Sheet1!D39/[3]Sheet1!D38)</f>
        <v>5.1648290968097574E-2</v>
      </c>
      <c r="E42" s="7">
        <f>LN([3]Sheet1!E39/[3]Sheet1!E38)</f>
        <v>-4.6271599287819744E-2</v>
      </c>
      <c r="F42" s="7">
        <f>LN([3]Sheet1!F39/[3]Sheet1!F38)</f>
        <v>3.4616545669163876E-2</v>
      </c>
      <c r="G42" s="7">
        <f>LN([3]Sheet1!G39/[3]Sheet1!G38)</f>
        <v>2.9892627588533782E-2</v>
      </c>
      <c r="H42" s="7">
        <f>LN([3]Sheet1!H39/[3]Sheet1!H38)</f>
        <v>9.634365614730557E-2</v>
      </c>
      <c r="I42" s="7">
        <f>LN([3]Sheet1!I39/[3]Sheet1!I38)</f>
        <v>3.4511322865583019E-2</v>
      </c>
      <c r="J42" s="7">
        <f>LN([3]Sheet1!J39/[3]Sheet1!J38)</f>
        <v>1.0033919208430145E-2</v>
      </c>
      <c r="K42" s="7">
        <f>LN([3]Sheet1!K39/[3]Sheet1!K38)</f>
        <v>-9.0897564764294558E-3</v>
      </c>
      <c r="L42" s="7">
        <f>'[4]3month T-bills'!$B853/1200</f>
        <v>7.3333333333333334E-4</v>
      </c>
    </row>
    <row r="43" spans="1:12" x14ac:dyDescent="0.25">
      <c r="A43" s="10">
        <f>'[2]Page 351'!A40</f>
        <v>38047</v>
      </c>
      <c r="B43" s="7">
        <f>LN([3]Sheet1!B40/[3]Sheet1!B39)</f>
        <v>-1.8201660757083821E-2</v>
      </c>
      <c r="C43" s="7">
        <f>LN([3]Sheet1!C40/[3]Sheet1!C39)</f>
        <v>3.03433160889496E-2</v>
      </c>
      <c r="D43" s="7">
        <f>LN([3]Sheet1!D40/[3]Sheet1!D39)</f>
        <v>-4.6336529395846038E-2</v>
      </c>
      <c r="E43" s="7">
        <f>LN([3]Sheet1!E40/[3]Sheet1!E39)</f>
        <v>9.0662452377530418E-3</v>
      </c>
      <c r="F43" s="7">
        <f>LN([3]Sheet1!F40/[3]Sheet1!F39)</f>
        <v>-4.3767600886521159E-2</v>
      </c>
      <c r="G43" s="7">
        <f>LN([3]Sheet1!G40/[3]Sheet1!G39)</f>
        <v>-2.7871744448761455E-2</v>
      </c>
      <c r="H43" s="7">
        <f>LN([3]Sheet1!H40/[3]Sheet1!H39)</f>
        <v>-7.7162066365471571E-2</v>
      </c>
      <c r="I43" s="7">
        <f>LN([3]Sheet1!I40/[3]Sheet1!I39)</f>
        <v>-6.5653970221436778E-2</v>
      </c>
      <c r="J43" s="7">
        <f>LN([3]Sheet1!J40/[3]Sheet1!J39)</f>
        <v>-7.6450375170201493E-2</v>
      </c>
      <c r="K43" s="7">
        <f>LN([3]Sheet1!K40/[3]Sheet1!K39)</f>
        <v>4.8105729904370467E-2</v>
      </c>
      <c r="L43" s="7">
        <f>'[4]3month T-bills'!$B854/1200</f>
        <v>7.7500000000000008E-4</v>
      </c>
    </row>
    <row r="44" spans="1:12" x14ac:dyDescent="0.25">
      <c r="A44" s="10">
        <f>'[2]Page 351'!A41</f>
        <v>38078</v>
      </c>
      <c r="B44" s="7">
        <f>LN([3]Sheet1!B41/[3]Sheet1!B40)</f>
        <v>3.5718575896427612E-3</v>
      </c>
      <c r="C44" s="7">
        <f>LN([3]Sheet1!C41/[3]Sheet1!C40)</f>
        <v>-5.9887986152230469E-2</v>
      </c>
      <c r="D44" s="7">
        <f>LN([3]Sheet1!D41/[3]Sheet1!D40)</f>
        <v>-4.7000646231475811E-2</v>
      </c>
      <c r="E44" s="7">
        <f>LN([3]Sheet1!E41/[3]Sheet1!E40)</f>
        <v>-0.14755395425582776</v>
      </c>
      <c r="F44" s="7">
        <f>LN([3]Sheet1!F41/[3]Sheet1!F40)</f>
        <v>1.7014791677571944E-2</v>
      </c>
      <c r="G44" s="7">
        <f>LN([3]Sheet1!G41/[3]Sheet1!G40)</f>
        <v>-5.7475145175243408E-2</v>
      </c>
      <c r="H44" s="7">
        <f>LN([3]Sheet1!H41/[3]Sheet1!H40)</f>
        <v>-0.12034965592245828</v>
      </c>
      <c r="I44" s="7">
        <f>LN([3]Sheet1!I41/[3]Sheet1!I40)</f>
        <v>1.7198198297220822E-2</v>
      </c>
      <c r="J44" s="7">
        <f>LN([3]Sheet1!J41/[3]Sheet1!J40)</f>
        <v>6.1479335318415811E-2</v>
      </c>
      <c r="K44" s="7">
        <f>LN([3]Sheet1!K41/[3]Sheet1!K40)</f>
        <v>5.4780934697511344E-2</v>
      </c>
      <c r="L44" s="7">
        <f>'[4]3month T-bills'!$B855/1200</f>
        <v>7.8333333333333326E-4</v>
      </c>
    </row>
    <row r="45" spans="1:12" x14ac:dyDescent="0.25">
      <c r="A45" s="10">
        <f>'[2]Page 351'!A42</f>
        <v>38110</v>
      </c>
      <c r="B45" s="7">
        <f>LN([3]Sheet1!B42/[3]Sheet1!B41)</f>
        <v>-3.2615525360162281E-2</v>
      </c>
      <c r="C45" s="7">
        <f>LN([3]Sheet1!C42/[3]Sheet1!C41)</f>
        <v>2.0458860824730089E-2</v>
      </c>
      <c r="D45" s="7">
        <f>LN([3]Sheet1!D42/[3]Sheet1!D41)</f>
        <v>4.5485876944108189E-2</v>
      </c>
      <c r="E45" s="7">
        <f>LN([3]Sheet1!E42/[3]Sheet1!E41)</f>
        <v>7.5041487279112279E-2</v>
      </c>
      <c r="F45" s="7">
        <f>LN([3]Sheet1!F42/[3]Sheet1!F41)</f>
        <v>-0.14359534999433954</v>
      </c>
      <c r="G45" s="7">
        <f>LN([3]Sheet1!G42/[3]Sheet1!G41)</f>
        <v>3.5017583467822043E-2</v>
      </c>
      <c r="H45" s="7">
        <f>LN([3]Sheet1!H42/[3]Sheet1!H41)</f>
        <v>2.2533322655801786E-2</v>
      </c>
      <c r="I45" s="7">
        <f>LN([3]Sheet1!I42/[3]Sheet1!I41)</f>
        <v>1.4191698410863171E-2</v>
      </c>
      <c r="J45" s="7">
        <f>LN([3]Sheet1!J42/[3]Sheet1!J41)</f>
        <v>6.3432610203455345E-3</v>
      </c>
      <c r="K45" s="7">
        <f>LN([3]Sheet1!K42/[3]Sheet1!K41)</f>
        <v>-1.809340312427337E-2</v>
      </c>
      <c r="L45" s="7">
        <f>'[4]3month T-bills'!$B856/1200</f>
        <v>7.8333333333333326E-4</v>
      </c>
    </row>
    <row r="46" spans="1:12" x14ac:dyDescent="0.25">
      <c r="A46" s="10">
        <f>'[2]Page 351'!A43</f>
        <v>38139</v>
      </c>
      <c r="B46" s="7">
        <f>LN([3]Sheet1!B43/[3]Sheet1!B42)</f>
        <v>2.6176967288443334E-2</v>
      </c>
      <c r="C46" s="7">
        <f>LN([3]Sheet1!C43/[3]Sheet1!C42)</f>
        <v>-1.7842199933558494E-2</v>
      </c>
      <c r="D46" s="7">
        <f>LN([3]Sheet1!D43/[3]Sheet1!D42)</f>
        <v>6.3859285961827647E-2</v>
      </c>
      <c r="E46" s="7">
        <f>LN([3]Sheet1!E43/[3]Sheet1!E42)</f>
        <v>-2.9154539601240195E-3</v>
      </c>
      <c r="F46" s="7">
        <f>LN([3]Sheet1!F43/[3]Sheet1!F42)</f>
        <v>5.656571433412301E-2</v>
      </c>
      <c r="G46" s="7">
        <f>LN([3]Sheet1!G43/[3]Sheet1!G42)</f>
        <v>1.5253568372602168E-2</v>
      </c>
      <c r="H46" s="7">
        <f>LN([3]Sheet1!H43/[3]Sheet1!H42)</f>
        <v>5.3734608594666534E-2</v>
      </c>
      <c r="I46" s="7">
        <f>LN([3]Sheet1!I43/[3]Sheet1!I42)</f>
        <v>2.7793110250319549E-2</v>
      </c>
      <c r="J46" s="7">
        <f>LN([3]Sheet1!J43/[3]Sheet1!J42)</f>
        <v>1.1873029709262878E-2</v>
      </c>
      <c r="K46" s="7">
        <f>LN([3]Sheet1!K43/[3]Sheet1!K42)</f>
        <v>6.2408200320793056E-2</v>
      </c>
      <c r="L46" s="7">
        <f>'[4]3month T-bills'!$B857/1200</f>
        <v>8.5000000000000006E-4</v>
      </c>
    </row>
    <row r="47" spans="1:12" x14ac:dyDescent="0.25">
      <c r="A47" s="10">
        <f>'[2]Page 351'!A44</f>
        <v>38169</v>
      </c>
      <c r="B47" s="7">
        <f>LN([3]Sheet1!B44/[3]Sheet1!B43)</f>
        <v>-7.705673949497438E-2</v>
      </c>
      <c r="C47" s="7">
        <f>LN([3]Sheet1!C44/[3]Sheet1!C43)</f>
        <v>-4.3014194319039925E-2</v>
      </c>
      <c r="D47" s="7">
        <f>LN([3]Sheet1!D44/[3]Sheet1!D43)</f>
        <v>-3.3256076718532868E-2</v>
      </c>
      <c r="E47" s="7">
        <f>LN([3]Sheet1!E44/[3]Sheet1!E43)</f>
        <v>-4.5801932653874042E-2</v>
      </c>
      <c r="F47" s="7">
        <f>LN([3]Sheet1!F44/[3]Sheet1!F43)</f>
        <v>-5.0325083887515769E-2</v>
      </c>
      <c r="G47" s="7">
        <f>LN([3]Sheet1!G44/[3]Sheet1!G43)</f>
        <v>-2.215967316901438E-2</v>
      </c>
      <c r="H47" s="7">
        <f>LN([3]Sheet1!H44/[3]Sheet1!H43)</f>
        <v>-3.0722416261153792E-2</v>
      </c>
      <c r="I47" s="7">
        <f>LN([3]Sheet1!I44/[3]Sheet1!I43)</f>
        <v>-3.548641038662833E-2</v>
      </c>
      <c r="J47" s="7">
        <f>LN([3]Sheet1!J44/[3]Sheet1!J43)</f>
        <v>-4.6178442300736068E-2</v>
      </c>
      <c r="K47" s="7">
        <f>LN([3]Sheet1!K44/[3]Sheet1!K43)</f>
        <v>-8.8783080819304527E-2</v>
      </c>
      <c r="L47" s="7">
        <f>'[4]3month T-bills'!$B858/1200</f>
        <v>1.0583333333333334E-3</v>
      </c>
    </row>
    <row r="48" spans="1:12" x14ac:dyDescent="0.25">
      <c r="A48" s="10">
        <f>'[2]Page 351'!A45</f>
        <v>38201</v>
      </c>
      <c r="B48" s="7">
        <f>LN([3]Sheet1!B45/[3]Sheet1!B44)</f>
        <v>-3.1232035941940295E-2</v>
      </c>
      <c r="C48" s="7">
        <f>LN([3]Sheet1!C45/[3]Sheet1!C44)</f>
        <v>8.3139081805139362E-2</v>
      </c>
      <c r="D48" s="7">
        <f>LN([3]Sheet1!D45/[3]Sheet1!D44)</f>
        <v>-7.1340989691328641E-2</v>
      </c>
      <c r="E48" s="7">
        <f>LN([3]Sheet1!E45/[3]Sheet1!E44)</f>
        <v>-0.11886614875644017</v>
      </c>
      <c r="F48" s="7">
        <f>LN([3]Sheet1!F45/[3]Sheet1!F44)</f>
        <v>2.7946837534819531E-2</v>
      </c>
      <c r="G48" s="7">
        <f>LN([3]Sheet1!G45/[3]Sheet1!G44)</f>
        <v>-4.6307098261424984E-3</v>
      </c>
      <c r="H48" s="7">
        <f>LN([3]Sheet1!H45/[3]Sheet1!H44)</f>
        <v>1.5479186848460032E-2</v>
      </c>
      <c r="I48" s="7">
        <f>LN([3]Sheet1!I45/[3]Sheet1!I44)</f>
        <v>-5.9970194723744019E-3</v>
      </c>
      <c r="J48" s="7">
        <f>LN([3]Sheet1!J45/[3]Sheet1!J44)</f>
        <v>-8.5189757017985705E-3</v>
      </c>
      <c r="K48" s="7">
        <f>LN([3]Sheet1!K45/[3]Sheet1!K44)</f>
        <v>4.549483393577248E-3</v>
      </c>
      <c r="L48" s="7">
        <f>'[4]3month T-bills'!$B859/1200</f>
        <v>1.1083333333333333E-3</v>
      </c>
    </row>
    <row r="49" spans="1:12" x14ac:dyDescent="0.25">
      <c r="A49" s="10">
        <f>'[2]Page 351'!A46</f>
        <v>38231</v>
      </c>
      <c r="B49" s="7">
        <f>LN([3]Sheet1!B46/[3]Sheet1!B45)</f>
        <v>2.7867208126340609E-2</v>
      </c>
      <c r="C49" s="7">
        <f>LN([3]Sheet1!C46/[3]Sheet1!C45)</f>
        <v>6.9755017056462379E-2</v>
      </c>
      <c r="D49" s="7">
        <f>LN([3]Sheet1!D46/[3]Sheet1!D45)</f>
        <v>9.6897445324751318E-3</v>
      </c>
      <c r="E49" s="7">
        <f>LN([3]Sheet1!E46/[3]Sheet1!E45)</f>
        <v>5.0891607296389224E-2</v>
      </c>
      <c r="F49" s="7">
        <f>LN([3]Sheet1!F46/[3]Sheet1!F45)</f>
        <v>-2.4955923076972433E-2</v>
      </c>
      <c r="G49" s="7">
        <f>LN([3]Sheet1!G46/[3]Sheet1!G45)</f>
        <v>2.8370697129215351E-2</v>
      </c>
      <c r="H49" s="7">
        <f>LN([3]Sheet1!H46/[3]Sheet1!H45)</f>
        <v>3.6756140125119671E-2</v>
      </c>
      <c r="I49" s="7">
        <f>LN([3]Sheet1!I46/[3]Sheet1!I45)</f>
        <v>1.2700955194564387E-2</v>
      </c>
      <c r="J49" s="7">
        <f>LN([3]Sheet1!J46/[3]Sheet1!J45)</f>
        <v>-0.30088710337205904</v>
      </c>
      <c r="K49" s="7">
        <f>LN([3]Sheet1!K46/[3]Sheet1!K45)</f>
        <v>-2.9428940544069474E-2</v>
      </c>
      <c r="L49" s="7">
        <f>'[4]3month T-bills'!$B860/1200</f>
        <v>1.2333333333333332E-3</v>
      </c>
    </row>
    <row r="50" spans="1:12" x14ac:dyDescent="0.25">
      <c r="A50" s="10">
        <f>'[2]Page 351'!A47</f>
        <v>38261</v>
      </c>
      <c r="B50" s="7">
        <f>LN([3]Sheet1!B47/[3]Sheet1!B46)</f>
        <v>-9.7126710730722793E-2</v>
      </c>
      <c r="C50" s="7">
        <f>LN([3]Sheet1!C47/[3]Sheet1!C46)</f>
        <v>4.7004715101164184E-2</v>
      </c>
      <c r="D50" s="7">
        <f>LN([3]Sheet1!D47/[3]Sheet1!D46)</f>
        <v>-4.8047672097571097E-2</v>
      </c>
      <c r="E50" s="7">
        <f>LN([3]Sheet1!E47/[3]Sheet1!E46)</f>
        <v>-4.9193867998182173E-3</v>
      </c>
      <c r="F50" s="7">
        <f>LN([3]Sheet1!F47/[3]Sheet1!F46)</f>
        <v>2.9650242639753112E-2</v>
      </c>
      <c r="G50" s="7">
        <f>LN([3]Sheet1!G47/[3]Sheet1!G46)</f>
        <v>3.305902826838731E-2</v>
      </c>
      <c r="H50" s="7">
        <f>LN([3]Sheet1!H47/[3]Sheet1!H46)</f>
        <v>-3.2923494104943316E-2</v>
      </c>
      <c r="I50" s="7">
        <f>LN([3]Sheet1!I47/[3]Sheet1!I46)</f>
        <v>1.7307458888278151E-3</v>
      </c>
      <c r="J50" s="7">
        <f>LN([3]Sheet1!J47/[3]Sheet1!J46)</f>
        <v>-5.2545555578049831E-2</v>
      </c>
      <c r="K50" s="7">
        <f>LN([3]Sheet1!K47/[3]Sheet1!K46)</f>
        <v>-3.0455191412387114E-2</v>
      </c>
      <c r="L50" s="7">
        <f>'[4]3month T-bills'!$B861/1200</f>
        <v>1.3749999999999999E-3</v>
      </c>
    </row>
    <row r="51" spans="1:12" x14ac:dyDescent="0.25">
      <c r="A51" s="10">
        <f>'[2]Page 351'!A48</f>
        <v>38292</v>
      </c>
      <c r="B51" s="7">
        <f>LN([3]Sheet1!B48/[3]Sheet1!B47)</f>
        <v>1.4184634991956381E-2</v>
      </c>
      <c r="C51" s="7">
        <f>LN([3]Sheet1!C48/[3]Sheet1!C47)</f>
        <v>1.820020725083887E-2</v>
      </c>
      <c r="D51" s="7">
        <f>LN([3]Sheet1!D48/[3]Sheet1!D47)</f>
        <v>8.1367002364949009E-2</v>
      </c>
      <c r="E51" s="7">
        <f>LN([3]Sheet1!E48/[3]Sheet1!E47)</f>
        <v>6.9832701379484413E-2</v>
      </c>
      <c r="F51" s="7">
        <f>LN([3]Sheet1!F48/[3]Sheet1!F47)</f>
        <v>0.17095779814363948</v>
      </c>
      <c r="G51" s="7">
        <f>LN([3]Sheet1!G48/[3]Sheet1!G47)</f>
        <v>4.8561500086365991E-2</v>
      </c>
      <c r="H51" s="7">
        <f>LN([3]Sheet1!H48/[3]Sheet1!H47)</f>
        <v>4.9139238745929577E-2</v>
      </c>
      <c r="I51" s="7">
        <f>LN([3]Sheet1!I48/[3]Sheet1!I47)</f>
        <v>6.3410785680541745E-2</v>
      </c>
      <c r="J51" s="7">
        <f>LN([3]Sheet1!J48/[3]Sheet1!J47)</f>
        <v>-0.11106185171340001</v>
      </c>
      <c r="K51" s="7">
        <f>LN([3]Sheet1!K48/[3]Sheet1!K47)</f>
        <v>3.006555571682842E-2</v>
      </c>
      <c r="L51" s="7">
        <f>'[4]3month T-bills'!$B862/1200</f>
        <v>1.4666666666666667E-3</v>
      </c>
    </row>
    <row r="52" spans="1:12" x14ac:dyDescent="0.25">
      <c r="A52" s="10">
        <f>'[2]Page 351'!A49</f>
        <v>38322</v>
      </c>
      <c r="B52" s="7">
        <f>LN([3]Sheet1!B49/[3]Sheet1!B48)</f>
        <v>3.7322922153975452E-2</v>
      </c>
      <c r="C52" s="7">
        <f>LN([3]Sheet1!C49/[3]Sheet1!C48)</f>
        <v>2.3366111829273544E-2</v>
      </c>
      <c r="D52" s="7">
        <f>LN([3]Sheet1!D49/[3]Sheet1!D48)</f>
        <v>1.1528949752586601E-2</v>
      </c>
      <c r="E52" s="7">
        <f>LN([3]Sheet1!E49/[3]Sheet1!E48)</f>
        <v>5.0807739631713138E-2</v>
      </c>
      <c r="F52" s="7">
        <f>LN([3]Sheet1!F49/[3]Sheet1!F48)</f>
        <v>7.2845091274365475E-2</v>
      </c>
      <c r="G52" s="7">
        <f>LN([3]Sheet1!G49/[3]Sheet1!G48)</f>
        <v>1.1780646733647522E-2</v>
      </c>
      <c r="H52" s="7">
        <f>LN([3]Sheet1!H49/[3]Sheet1!H48)</f>
        <v>-7.8576913481500574E-2</v>
      </c>
      <c r="I52" s="7">
        <f>LN([3]Sheet1!I49/[3]Sheet1!I48)</f>
        <v>7.9096996758603308E-2</v>
      </c>
      <c r="J52" s="7">
        <f>LN([3]Sheet1!J49/[3]Sheet1!J48)</f>
        <v>0.15064395501804845</v>
      </c>
      <c r="K52" s="7">
        <f>LN([3]Sheet1!K49/[3]Sheet1!K48)</f>
        <v>3.0700799499319052E-2</v>
      </c>
      <c r="L52" s="7">
        <f>'[4]3month T-bills'!$B863/1200</f>
        <v>1.725E-3</v>
      </c>
    </row>
    <row r="53" spans="1:12" x14ac:dyDescent="0.25">
      <c r="A53" s="10">
        <f>'[2]Page 351'!A50</f>
        <v>38355</v>
      </c>
      <c r="B53" s="7">
        <f>LN([3]Sheet1!B50/[3]Sheet1!B49)</f>
        <v>-8.4621241930356389E-2</v>
      </c>
      <c r="C53" s="7">
        <f>LN([3]Sheet1!C50/[3]Sheet1!C49)</f>
        <v>-3.5380477259514341E-2</v>
      </c>
      <c r="D53" s="7">
        <f>LN([3]Sheet1!D50/[3]Sheet1!D49)</f>
        <v>-7.0186135918770765E-2</v>
      </c>
      <c r="E53" s="7">
        <f>LN([3]Sheet1!E50/[3]Sheet1!E49)</f>
        <v>-6.7814075802137774E-2</v>
      </c>
      <c r="F53" s="7">
        <f>LN([3]Sheet1!F50/[3]Sheet1!F49)</f>
        <v>4.3767669233827577E-2</v>
      </c>
      <c r="G53" s="7">
        <f>LN([3]Sheet1!G50/[3]Sheet1!G49)</f>
        <v>-5.2949201645518883E-2</v>
      </c>
      <c r="H53" s="7">
        <f>LN([3]Sheet1!H50/[3]Sheet1!H49)</f>
        <v>-6.230857333871094E-2</v>
      </c>
      <c r="I53" s="7">
        <f>LN([3]Sheet1!I50/[3]Sheet1!I49)</f>
        <v>-3.0892167212963981E-2</v>
      </c>
      <c r="J53" s="7">
        <f>LN([3]Sheet1!J50/[3]Sheet1!J49)</f>
        <v>-0.13597187714720946</v>
      </c>
      <c r="K53" s="7">
        <f>LN([3]Sheet1!K50/[3]Sheet1!K49)</f>
        <v>2.7582814615142014E-2</v>
      </c>
      <c r="L53" s="7">
        <f>'[4]3month T-bills'!$B864/1200</f>
        <v>1.825E-3</v>
      </c>
    </row>
    <row r="54" spans="1:12" x14ac:dyDescent="0.25">
      <c r="A54" s="10">
        <f>'[2]Page 351'!A51</f>
        <v>38384</v>
      </c>
      <c r="B54" s="7">
        <f>LN([3]Sheet1!B51/[3]Sheet1!B50)</f>
        <v>-1.8781294338486465E-2</v>
      </c>
      <c r="C54" s="7">
        <f>LN([3]Sheet1!C51/[3]Sheet1!C50)</f>
        <v>-3.0301554580135844E-2</v>
      </c>
      <c r="D54" s="7">
        <f>LN([3]Sheet1!D51/[3]Sheet1!D50)</f>
        <v>-4.0365447234627351E-2</v>
      </c>
      <c r="E54" s="7">
        <f>LN([3]Sheet1!E51/[3]Sheet1!E50)</f>
        <v>6.0012963591970378E-2</v>
      </c>
      <c r="F54" s="7">
        <f>LN([3]Sheet1!F51/[3]Sheet1!F50)</f>
        <v>2.8040761814603344E-2</v>
      </c>
      <c r="G54" s="7">
        <f>LN([3]Sheet1!G51/[3]Sheet1!G50)</f>
        <v>1.5050810879805461E-2</v>
      </c>
      <c r="H54" s="7">
        <f>LN([3]Sheet1!H51/[3]Sheet1!H50)</f>
        <v>8.9831761210009339E-2</v>
      </c>
      <c r="I54" s="7">
        <f>LN([3]Sheet1!I51/[3]Sheet1!I50)</f>
        <v>0.12096939095894733</v>
      </c>
      <c r="J54" s="7">
        <f>LN([3]Sheet1!J51/[3]Sheet1!J50)</f>
        <v>0.1224991236785478</v>
      </c>
      <c r="K54" s="7">
        <f>LN([3]Sheet1!K51/[3]Sheet1!K50)</f>
        <v>0</v>
      </c>
      <c r="L54" s="7">
        <f>'[4]3month T-bills'!$B865/1200</f>
        <v>1.9416666666666666E-3</v>
      </c>
    </row>
    <row r="55" spans="1:12" x14ac:dyDescent="0.25">
      <c r="A55" s="10">
        <f>'[2]Page 351'!A52</f>
        <v>38412</v>
      </c>
      <c r="B55" s="7">
        <f>LN([3]Sheet1!B52/[3]Sheet1!B51)</f>
        <v>-0.19291006897247834</v>
      </c>
      <c r="C55" s="7">
        <f>LN([3]Sheet1!C52/[3]Sheet1!C51)</f>
        <v>-4.3123564739768361E-2</v>
      </c>
      <c r="D55" s="7">
        <f>LN([3]Sheet1!D52/[3]Sheet1!D51)</f>
        <v>-1.5143306768055377E-2</v>
      </c>
      <c r="E55" s="7">
        <f>LN([3]Sheet1!E52/[3]Sheet1!E51)</f>
        <v>5.7076831135436719E-2</v>
      </c>
      <c r="F55" s="7">
        <f>LN([3]Sheet1!F52/[3]Sheet1!F51)</f>
        <v>7.2927962795744389E-3</v>
      </c>
      <c r="G55" s="7">
        <f>LN([3]Sheet1!G52/[3]Sheet1!G51)</f>
        <v>-5.0327837460620924E-2</v>
      </c>
      <c r="H55" s="7">
        <f>LN([3]Sheet1!H52/[3]Sheet1!H51)</f>
        <v>-5.5487726498661551E-2</v>
      </c>
      <c r="I55" s="7">
        <f>LN([3]Sheet1!I52/[3]Sheet1!I51)</f>
        <v>-3.9533996363863642E-2</v>
      </c>
      <c r="J55" s="7">
        <f>LN([3]Sheet1!J52/[3]Sheet1!J51)</f>
        <v>3.2691370170432756E-2</v>
      </c>
      <c r="K55" s="7">
        <f>LN([3]Sheet1!K52/[3]Sheet1!K51)</f>
        <v>2.061928720273561E-2</v>
      </c>
      <c r="L55" s="7">
        <f>'[4]3month T-bills'!$B866/1200</f>
        <v>2.1166666666666669E-3</v>
      </c>
    </row>
    <row r="56" spans="1:12" x14ac:dyDescent="0.25">
      <c r="A56" s="10">
        <f>'[2]Page 351'!A53</f>
        <v>38443</v>
      </c>
      <c r="B56" s="7">
        <f>LN([3]Sheet1!B53/[3]Sheet1!B52)</f>
        <v>-9.6880755578711189E-2</v>
      </c>
      <c r="C56" s="7">
        <f>LN([3]Sheet1!C53/[3]Sheet1!C52)</f>
        <v>-7.8097869719647564E-2</v>
      </c>
      <c r="D56" s="7">
        <f>LN([3]Sheet1!D53/[3]Sheet1!D52)</f>
        <v>-7.0224809116881906E-2</v>
      </c>
      <c r="E56" s="7">
        <f>LN([3]Sheet1!E53/[3]Sheet1!E52)</f>
        <v>-6.9389225039504426E-2</v>
      </c>
      <c r="F56" s="7">
        <f>LN([3]Sheet1!F53/[3]Sheet1!F52)</f>
        <v>-6.1548623195070394E-3</v>
      </c>
      <c r="G56" s="7">
        <f>LN([3]Sheet1!G53/[3]Sheet1!G52)</f>
        <v>2.5480496724624442E-2</v>
      </c>
      <c r="H56" s="7">
        <f>LN([3]Sheet1!H53/[3]Sheet1!H52)</f>
        <v>-4.594142352617691E-2</v>
      </c>
      <c r="I56" s="7">
        <f>LN([3]Sheet1!I53/[3]Sheet1!I52)</f>
        <v>-8.4090263411085331E-2</v>
      </c>
      <c r="J56" s="7">
        <f>LN([3]Sheet1!J53/[3]Sheet1!J52)</f>
        <v>4.6176847292534448E-2</v>
      </c>
      <c r="K56" s="7">
        <f>LN([3]Sheet1!K53/[3]Sheet1!K52)</f>
        <v>-0.11379938430369087</v>
      </c>
      <c r="L56" s="7">
        <f>'[4]3month T-bills'!$B867/1200</f>
        <v>2.2833333333333334E-3</v>
      </c>
    </row>
    <row r="57" spans="1:12" x14ac:dyDescent="0.25">
      <c r="A57" s="10">
        <f>'[2]Page 351'!A54</f>
        <v>38474</v>
      </c>
      <c r="B57" s="7">
        <f>LN([3]Sheet1!B54/[3]Sheet1!B53)</f>
        <v>0.18352710244930318</v>
      </c>
      <c r="C57" s="7">
        <f>LN([3]Sheet1!C54/[3]Sheet1!C53)</f>
        <v>0.10662263503826326</v>
      </c>
      <c r="D57" s="7">
        <f>LN([3]Sheet1!D54/[3]Sheet1!D53)</f>
        <v>-5.4825313945502885E-2</v>
      </c>
      <c r="E57" s="7">
        <f>LN([3]Sheet1!E54/[3]Sheet1!E53)</f>
        <v>9.5400273952770856E-2</v>
      </c>
      <c r="F57" s="7">
        <f>LN([3]Sheet1!F54/[3]Sheet1!F53)</f>
        <v>3.260637264885393E-2</v>
      </c>
      <c r="G57" s="7">
        <f>LN([3]Sheet1!G54/[3]Sheet1!G53)</f>
        <v>2.1641182170363763E-2</v>
      </c>
      <c r="H57" s="7">
        <f>LN([3]Sheet1!H54/[3]Sheet1!H53)</f>
        <v>-6.3478637625527953E-2</v>
      </c>
      <c r="I57" s="7">
        <f>LN([3]Sheet1!I54/[3]Sheet1!I53)</f>
        <v>-4.8856415191471511E-3</v>
      </c>
      <c r="J57" s="7">
        <f>LN([3]Sheet1!J54/[3]Sheet1!J53)</f>
        <v>-4.4209633543365608E-2</v>
      </c>
      <c r="K57" s="7">
        <f>LN([3]Sheet1!K54/[3]Sheet1!K53)</f>
        <v>7.7717127067817651E-3</v>
      </c>
      <c r="L57" s="7">
        <f>'[4]3month T-bills'!$B868/1200</f>
        <v>2.3166666666666665E-3</v>
      </c>
    </row>
    <row r="58" spans="1:12" x14ac:dyDescent="0.25">
      <c r="A58" s="10">
        <f>'[2]Page 351'!A55</f>
        <v>38504</v>
      </c>
      <c r="B58" s="7">
        <f>LN([3]Sheet1!B55/[3]Sheet1!B54)</f>
        <v>7.5398017484211849E-2</v>
      </c>
      <c r="C58" s="7">
        <f>LN([3]Sheet1!C55/[3]Sheet1!C54)</f>
        <v>-8.810629682154807E-3</v>
      </c>
      <c r="D58" s="7">
        <f>LN([3]Sheet1!D55/[3]Sheet1!D54)</f>
        <v>-6.4133010455345182E-2</v>
      </c>
      <c r="E58" s="7">
        <f>LN([3]Sheet1!E55/[3]Sheet1!E54)</f>
        <v>4.6642858212284775E-2</v>
      </c>
      <c r="F58" s="7">
        <f>LN([3]Sheet1!F55/[3]Sheet1!F54)</f>
        <v>-2.7097609528046317E-2</v>
      </c>
      <c r="G58" s="7">
        <f>LN([3]Sheet1!G55/[3]Sheet1!G54)</f>
        <v>-9.4644715951083796E-3</v>
      </c>
      <c r="H58" s="7">
        <f>LN([3]Sheet1!H55/[3]Sheet1!H54)</f>
        <v>-3.6437396202430979E-2</v>
      </c>
      <c r="I58" s="7">
        <f>LN([3]Sheet1!I55/[3]Sheet1!I54)</f>
        <v>-7.8226311422276262E-2</v>
      </c>
      <c r="J58" s="7">
        <f>LN([3]Sheet1!J55/[3]Sheet1!J54)</f>
        <v>-4.0098923757426963E-2</v>
      </c>
      <c r="K58" s="7">
        <f>LN([3]Sheet1!K55/[3]Sheet1!K54)</f>
        <v>-5.839972287312481E-2</v>
      </c>
      <c r="L58" s="7">
        <f>'[4]3month T-bills'!$B869/1200</f>
        <v>2.3666666666666667E-3</v>
      </c>
    </row>
    <row r="59" spans="1:12" x14ac:dyDescent="0.25">
      <c r="A59" s="10">
        <f>'[2]Page 351'!A56</f>
        <v>38534</v>
      </c>
      <c r="B59" s="7">
        <f>LN([3]Sheet1!B56/[3]Sheet1!B55)</f>
        <v>7.961287744985443E-2</v>
      </c>
      <c r="C59" s="7">
        <f>LN([3]Sheet1!C56/[3]Sheet1!C55)</f>
        <v>0.111924040446493</v>
      </c>
      <c r="D59" s="7">
        <f>LN([3]Sheet1!D56/[3]Sheet1!D55)</f>
        <v>4.4733760005041763E-2</v>
      </c>
      <c r="E59" s="7">
        <f>LN([3]Sheet1!E56/[3]Sheet1!E55)</f>
        <v>4.6207295751177817E-2</v>
      </c>
      <c r="F59" s="7">
        <f>LN([3]Sheet1!F56/[3]Sheet1!F55)</f>
        <v>3.492972976486533E-2</v>
      </c>
      <c r="G59" s="7">
        <f>LN([3]Sheet1!G56/[3]Sheet1!G55)</f>
        <v>3.2741019719103662E-2</v>
      </c>
      <c r="H59" s="7">
        <f>LN([3]Sheet1!H56/[3]Sheet1!H55)</f>
        <v>7.086611586863184E-2</v>
      </c>
      <c r="I59" s="7">
        <f>LN([3]Sheet1!I56/[3]Sheet1!I55)</f>
        <v>-7.7332429856533293E-3</v>
      </c>
      <c r="J59" s="7">
        <f>LN([3]Sheet1!J56/[3]Sheet1!J55)</f>
        <v>8.487574293294043E-3</v>
      </c>
      <c r="K59" s="7">
        <f>LN([3]Sheet1!K56/[3]Sheet1!K55)</f>
        <v>3.6675870532732226E-2</v>
      </c>
      <c r="L59" s="7">
        <f>'[4]3month T-bills'!$B870/1200</f>
        <v>2.4750000000000002E-3</v>
      </c>
    </row>
    <row r="60" spans="1:12" x14ac:dyDescent="0.25">
      <c r="A60" s="10">
        <f>'[2]Page 351'!A57</f>
        <v>38565</v>
      </c>
      <c r="B60" s="7">
        <f>LN([3]Sheet1!B57/[3]Sheet1!B56)</f>
        <v>-5.9944142589560705E-2</v>
      </c>
      <c r="C60" s="7">
        <f>LN([3]Sheet1!C57/[3]Sheet1!C56)</f>
        <v>-7.3624746343640385E-2</v>
      </c>
      <c r="D60" s="7">
        <f>LN([3]Sheet1!D57/[3]Sheet1!D56)</f>
        <v>-1.5794997671489491E-2</v>
      </c>
      <c r="E60" s="7">
        <f>LN([3]Sheet1!E57/[3]Sheet1!E56)</f>
        <v>0.12015205726548621</v>
      </c>
      <c r="F60" s="7">
        <f>LN([3]Sheet1!F57/[3]Sheet1!F56)</f>
        <v>5.4354604727998697E-2</v>
      </c>
      <c r="G60" s="7">
        <f>LN([3]Sheet1!G57/[3]Sheet1!G56)</f>
        <v>4.3827681550951342E-3</v>
      </c>
      <c r="H60" s="7">
        <f>LN([3]Sheet1!H57/[3]Sheet1!H56)</f>
        <v>-4.0852320064980054E-2</v>
      </c>
      <c r="I60" s="7">
        <f>LN([3]Sheet1!I57/[3]Sheet1!I56)</f>
        <v>-6.6967475452974504E-2</v>
      </c>
      <c r="J60" s="7">
        <f>LN([3]Sheet1!J57/[3]Sheet1!J56)</f>
        <v>-8.2044936173400654E-2</v>
      </c>
      <c r="K60" s="7">
        <f>LN([3]Sheet1!K57/[3]Sheet1!K56)</f>
        <v>-4.6773375085093986E-2</v>
      </c>
      <c r="L60" s="7">
        <f>'[4]3month T-bills'!$B871/1200</f>
        <v>2.6833333333333336E-3</v>
      </c>
    </row>
    <row r="61" spans="1:12" x14ac:dyDescent="0.25">
      <c r="A61" s="10">
        <f>'[2]Page 351'!A58</f>
        <v>38596</v>
      </c>
      <c r="B61" s="7">
        <f>LN([3]Sheet1!B58/[3]Sheet1!B57)</f>
        <v>-0.11058139743583054</v>
      </c>
      <c r="C61" s="7">
        <f>LN([3]Sheet1!C58/[3]Sheet1!C57)</f>
        <v>-5.5627110165963341E-2</v>
      </c>
      <c r="D61" s="7">
        <f>LN([3]Sheet1!D58/[3]Sheet1!D57)</f>
        <v>-3.4759699844709162E-2</v>
      </c>
      <c r="E61" s="7">
        <f>LN([3]Sheet1!E58/[3]Sheet1!E57)</f>
        <v>5.3166311674076518E-2</v>
      </c>
      <c r="F61" s="7">
        <f>LN([3]Sheet1!F58/[3]Sheet1!F57)</f>
        <v>5.2814229686611279E-2</v>
      </c>
      <c r="G61" s="7">
        <f>LN([3]Sheet1!G58/[3]Sheet1!G57)</f>
        <v>3.9004433719410765E-2</v>
      </c>
      <c r="H61" s="7">
        <f>LN([3]Sheet1!H58/[3]Sheet1!H57)</f>
        <v>-9.2471150737398339E-2</v>
      </c>
      <c r="I61" s="7">
        <f>LN([3]Sheet1!I58/[3]Sheet1!I57)</f>
        <v>-1.0168253429252682E-2</v>
      </c>
      <c r="J61" s="7">
        <f>LN([3]Sheet1!J58/[3]Sheet1!J57)</f>
        <v>-3.6625917411804654E-2</v>
      </c>
      <c r="K61" s="7">
        <f>LN([3]Sheet1!K58/[3]Sheet1!K57)</f>
        <v>3.0546396365180008E-2</v>
      </c>
      <c r="L61" s="7">
        <f>'[4]3month T-bills'!$B872/1200</f>
        <v>2.8666666666666667E-3</v>
      </c>
    </row>
    <row r="62" spans="1:12" x14ac:dyDescent="0.25">
      <c r="A62" s="10">
        <f>'[2]Page 351'!A59</f>
        <v>38628</v>
      </c>
      <c r="B62" s="7">
        <f>LN([3]Sheet1!B59/[3]Sheet1!B58)</f>
        <v>-0.1109657416650736</v>
      </c>
      <c r="C62" s="7">
        <f>LN([3]Sheet1!C59/[3]Sheet1!C58)</f>
        <v>7.3256368722335555E-2</v>
      </c>
      <c r="D62" s="7">
        <f>LN([3]Sheet1!D59/[3]Sheet1!D58)</f>
        <v>-2.081962778239007E-2</v>
      </c>
      <c r="E62" s="7">
        <f>LN([3]Sheet1!E59/[3]Sheet1!E58)</f>
        <v>-4.0505625285962132E-2</v>
      </c>
      <c r="F62" s="7">
        <f>LN([3]Sheet1!F59/[3]Sheet1!F58)</f>
        <v>1.8058554362292371E-2</v>
      </c>
      <c r="G62" s="7">
        <f>LN([3]Sheet1!G59/[3]Sheet1!G58)</f>
        <v>-7.8416004513044302E-3</v>
      </c>
      <c r="H62" s="7">
        <f>LN([3]Sheet1!H59/[3]Sheet1!H58)</f>
        <v>-5.4200674693391446E-3</v>
      </c>
      <c r="I62" s="7">
        <f>LN([3]Sheet1!I59/[3]Sheet1!I58)</f>
        <v>6.2472709572152785E-2</v>
      </c>
      <c r="J62" s="7">
        <f>LN([3]Sheet1!J59/[3]Sheet1!J58)</f>
        <v>3.6258877583862995E-2</v>
      </c>
      <c r="K62" s="7">
        <f>LN([3]Sheet1!K59/[3]Sheet1!K58)</f>
        <v>3.5010045623190378E-2</v>
      </c>
      <c r="L62" s="7">
        <f>'[4]3month T-bills'!$B873/1200</f>
        <v>2.8500000000000001E-3</v>
      </c>
    </row>
    <row r="63" spans="1:12" x14ac:dyDescent="0.25">
      <c r="A63" s="10">
        <f>'[2]Page 351'!A60</f>
        <v>38657</v>
      </c>
      <c r="B63" s="7">
        <f>LN([3]Sheet1!B60/[3]Sheet1!B59)</f>
        <v>-0.20545063730561666</v>
      </c>
      <c r="C63" s="7">
        <f>LN([3]Sheet1!C60/[3]Sheet1!C59)</f>
        <v>2.0222397007998206E-2</v>
      </c>
      <c r="D63" s="7">
        <f>LN([3]Sheet1!D60/[3]Sheet1!D59)</f>
        <v>8.5637127858860893E-2</v>
      </c>
      <c r="E63" s="7">
        <f>LN([3]Sheet1!E60/[3]Sheet1!E59)</f>
        <v>5.6599107365378584E-2</v>
      </c>
      <c r="F63" s="7">
        <f>LN([3]Sheet1!F60/[3]Sheet1!F59)</f>
        <v>-3.0612495948348563E-2</v>
      </c>
      <c r="G63" s="7">
        <f>LN([3]Sheet1!G60/[3]Sheet1!G59)</f>
        <v>3.2763776408278281E-2</v>
      </c>
      <c r="H63" s="7">
        <f>LN([3]Sheet1!H60/[3]Sheet1!H59)</f>
        <v>0.12703037360806441</v>
      </c>
      <c r="I63" s="7">
        <f>LN([3]Sheet1!I60/[3]Sheet1!I59)</f>
        <v>3.3885139264615775E-2</v>
      </c>
      <c r="J63" s="7">
        <f>LN([3]Sheet1!J60/[3]Sheet1!J59)</f>
        <v>5.3951285962047978E-2</v>
      </c>
      <c r="K63" s="7">
        <f>LN([3]Sheet1!K60/[3]Sheet1!K59)</f>
        <v>3.7700662364008368E-2</v>
      </c>
      <c r="L63" s="7">
        <f>'[4]3month T-bills'!$B874/1200</f>
        <v>3.0916666666666666E-3</v>
      </c>
    </row>
    <row r="64" spans="1:12" x14ac:dyDescent="0.25">
      <c r="A64" s="10">
        <f>'[2]Page 351'!A61</f>
        <v>38687</v>
      </c>
      <c r="B64" s="7">
        <f>LN([3]Sheet1!B61/[3]Sheet1!B60)</f>
        <v>-0.12029317970226346</v>
      </c>
      <c r="C64" s="7">
        <f>LN([3]Sheet1!C61/[3]Sheet1!C60)</f>
        <v>-3.1608658636442653E-2</v>
      </c>
      <c r="D64" s="7">
        <f>LN([3]Sheet1!D61/[3]Sheet1!D60)</f>
        <v>6.3894606112102861E-2</v>
      </c>
      <c r="E64" s="7">
        <f>LN([3]Sheet1!E61/[3]Sheet1!E60)</f>
        <v>-3.3152207316900509E-2</v>
      </c>
      <c r="F64" s="7">
        <f>LN([3]Sheet1!F61/[3]Sheet1!F60)</f>
        <v>3.6651493165116622E-2</v>
      </c>
      <c r="G64" s="7">
        <f>LN([3]Sheet1!G61/[3]Sheet1!G60)</f>
        <v>7.8109748161892467E-4</v>
      </c>
      <c r="H64" s="7">
        <f>LN([3]Sheet1!H61/[3]Sheet1!H60)</f>
        <v>7.5842213332526193E-2</v>
      </c>
      <c r="I64" s="7">
        <f>LN([3]Sheet1!I61/[3]Sheet1!I60)</f>
        <v>-5.9673169077704346E-3</v>
      </c>
      <c r="J64" s="7">
        <f>LN([3]Sheet1!J61/[3]Sheet1!J60)</f>
        <v>7.8570051941829144E-2</v>
      </c>
      <c r="K64" s="7">
        <f>LN([3]Sheet1!K61/[3]Sheet1!K60)</f>
        <v>-1.2583677756234533E-2</v>
      </c>
      <c r="L64" s="7">
        <f>'[4]3month T-bills'!$B875/1200</f>
        <v>3.2333333333333333E-3</v>
      </c>
    </row>
    <row r="65" spans="1:12" x14ac:dyDescent="0.25">
      <c r="A65" s="10">
        <f>'[2]Page 351'!A62</f>
        <v>38720</v>
      </c>
      <c r="B65" s="7">
        <f>LN([3]Sheet1!B62/[3]Sheet1!B61)</f>
        <v>0.21458520228304806</v>
      </c>
      <c r="C65" s="7">
        <f>LN([3]Sheet1!C62/[3]Sheet1!C61)</f>
        <v>1.7410774202929755E-3</v>
      </c>
      <c r="D65" s="7">
        <f>LN([3]Sheet1!D62/[3]Sheet1!D61)</f>
        <v>-2.9724878833430512E-2</v>
      </c>
      <c r="E65" s="7">
        <f>LN([3]Sheet1!E62/[3]Sheet1!E61)</f>
        <v>8.5430071204617777E-2</v>
      </c>
      <c r="F65" s="7">
        <f>LN([3]Sheet1!F62/[3]Sheet1!F61)</f>
        <v>-3.240219498645891E-2</v>
      </c>
      <c r="G65" s="7">
        <f>LN([3]Sheet1!G62/[3]Sheet1!G61)</f>
        <v>2.1244522433005595E-2</v>
      </c>
      <c r="H65" s="7">
        <f>LN([3]Sheet1!H62/[3]Sheet1!H61)</f>
        <v>6.3151040259666502E-2</v>
      </c>
      <c r="I65" s="7">
        <f>LN([3]Sheet1!I62/[3]Sheet1!I61)</f>
        <v>-8.2039752711578345E-2</v>
      </c>
      <c r="J65" s="7">
        <f>LN([3]Sheet1!J62/[3]Sheet1!J61)</f>
        <v>8.1179829888370206E-2</v>
      </c>
      <c r="K65" s="7">
        <f>LN([3]Sheet1!K62/[3]Sheet1!K61)</f>
        <v>-6.3181739632142964E-2</v>
      </c>
      <c r="L65" s="7">
        <f>'[4]3month T-bills'!$B876/1200</f>
        <v>3.2416666666666666E-3</v>
      </c>
    </row>
    <row r="66" spans="1:12" x14ac:dyDescent="0.25">
      <c r="A66" s="10">
        <f>'[2]Page 351'!A63</f>
        <v>38749</v>
      </c>
      <c r="B66" s="7">
        <f>LN([3]Sheet1!B63/[3]Sheet1!B62)</f>
        <v>-0.1583331549988253</v>
      </c>
      <c r="C66" s="7">
        <f>LN([3]Sheet1!C63/[3]Sheet1!C62)</f>
        <v>3.8752259662623204E-2</v>
      </c>
      <c r="D66" s="7">
        <f>LN([3]Sheet1!D63/[3]Sheet1!D62)</f>
        <v>1.1750289801631692E-2</v>
      </c>
      <c r="E66" s="7">
        <f>LN([3]Sheet1!E63/[3]Sheet1!E62)</f>
        <v>5.090637234751344E-2</v>
      </c>
      <c r="F66" s="7">
        <f>LN([3]Sheet1!F63/[3]Sheet1!F62)</f>
        <v>-6.0962831464255992E-3</v>
      </c>
      <c r="G66" s="7">
        <f>LN([3]Sheet1!G63/[3]Sheet1!G62)</f>
        <v>2.6959875830777722E-2</v>
      </c>
      <c r="H66" s="7">
        <f>LN([3]Sheet1!H63/[3]Sheet1!H62)</f>
        <v>-6.6912371416664659E-2</v>
      </c>
      <c r="I66" s="7">
        <f>LN([3]Sheet1!I63/[3]Sheet1!I62)</f>
        <v>3.6488293263136684E-2</v>
      </c>
      <c r="J66" s="7">
        <f>LN([3]Sheet1!J63/[3]Sheet1!J62)</f>
        <v>1.0616437076253071E-2</v>
      </c>
      <c r="K66" s="7">
        <f>LN([3]Sheet1!K63/[3]Sheet1!K62)</f>
        <v>1.7780083852863355E-2</v>
      </c>
      <c r="L66" s="7">
        <f>'[4]3month T-bills'!$B877/1200</f>
        <v>3.5333333333333336E-3</v>
      </c>
    </row>
    <row r="67" spans="1:12" x14ac:dyDescent="0.25">
      <c r="A67" s="10">
        <f>'[2]Page 351'!A64</f>
        <v>38777</v>
      </c>
      <c r="B67" s="7">
        <f>LN([3]Sheet1!B64/[3]Sheet1!B63)</f>
        <v>4.6158302921268657E-2</v>
      </c>
      <c r="C67" s="7">
        <f>LN([3]Sheet1!C64/[3]Sheet1!C63)</f>
        <v>7.1462905368182526E-3</v>
      </c>
      <c r="D67" s="7">
        <f>LN([3]Sheet1!D64/[3]Sheet1!D63)</f>
        <v>5.3565534134501359E-2</v>
      </c>
      <c r="E67" s="7">
        <f>LN([3]Sheet1!E64/[3]Sheet1!E63)</f>
        <v>5.1948168771041511E-3</v>
      </c>
      <c r="F67" s="7">
        <f>LN([3]Sheet1!F64/[3]Sheet1!F63)</f>
        <v>-3.7042356075807268E-3</v>
      </c>
      <c r="G67" s="7">
        <f>LN([3]Sheet1!G64/[3]Sheet1!G63)</f>
        <v>-2.5050749630452611E-2</v>
      </c>
      <c r="H67" s="7">
        <f>LN([3]Sheet1!H64/[3]Sheet1!H63)</f>
        <v>4.1602779042856315E-2</v>
      </c>
      <c r="I67" s="7">
        <f>LN([3]Sheet1!I64/[3]Sheet1!I63)</f>
        <v>4.7942660970409473E-2</v>
      </c>
      <c r="J67" s="7">
        <f>LN([3]Sheet1!J64/[3]Sheet1!J63)</f>
        <v>2.1474998228097959E-2</v>
      </c>
      <c r="K67" s="7">
        <f>LN([3]Sheet1!K64/[3]Sheet1!K63)</f>
        <v>2.815190289476506E-2</v>
      </c>
      <c r="L67" s="7">
        <f>'[4]3month T-bills'!$B878/1200</f>
        <v>3.6916666666666664E-3</v>
      </c>
    </row>
    <row r="68" spans="1:12" x14ac:dyDescent="0.25">
      <c r="A68" s="10">
        <f>'[2]Page 351'!A65</f>
        <v>38810</v>
      </c>
      <c r="B68" s="7">
        <f>LN([3]Sheet1!B65/[3]Sheet1!B64)</f>
        <v>7.3225748894030954E-2</v>
      </c>
      <c r="C68" s="7">
        <f>LN([3]Sheet1!C65/[3]Sheet1!C64)</f>
        <v>-5.7647216771325914E-2</v>
      </c>
      <c r="D68" s="7">
        <f>LN([3]Sheet1!D65/[3]Sheet1!D64)</f>
        <v>5.0287544034935766E-2</v>
      </c>
      <c r="E68" s="7">
        <f>LN([3]Sheet1!E65/[3]Sheet1!E64)</f>
        <v>-1.3192398723521168E-2</v>
      </c>
      <c r="F68" s="7">
        <f>LN([3]Sheet1!F65/[3]Sheet1!F64)</f>
        <v>3.2025208754611109E-2</v>
      </c>
      <c r="G68" s="7">
        <f>LN([3]Sheet1!G65/[3]Sheet1!G64)</f>
        <v>2.5980376916886951E-2</v>
      </c>
      <c r="H68" s="7">
        <f>LN([3]Sheet1!H65/[3]Sheet1!H64)</f>
        <v>9.9989561843298519E-2</v>
      </c>
      <c r="I68" s="7">
        <f>LN([3]Sheet1!I65/[3]Sheet1!I64)</f>
        <v>4.3693435217569923E-2</v>
      </c>
      <c r="J68" s="7">
        <f>LN([3]Sheet1!J65/[3]Sheet1!J64)</f>
        <v>-2.3236595865095331E-2</v>
      </c>
      <c r="K68" s="7">
        <f>LN([3]Sheet1!K65/[3]Sheet1!K64)</f>
        <v>0.12106861082463452</v>
      </c>
      <c r="L68" s="7">
        <f>'[4]3month T-bills'!$B879/1200</f>
        <v>3.7583333333333331E-3</v>
      </c>
    </row>
    <row r="69" spans="1:12" x14ac:dyDescent="0.25">
      <c r="A69" s="10">
        <f>'[2]Page 351'!A66</f>
        <v>38838</v>
      </c>
      <c r="B69" s="7">
        <f>LN([3]Sheet1!B66/[3]Sheet1!B65)</f>
        <v>0.17263965122364733</v>
      </c>
      <c r="C69" s="7">
        <f>LN([3]Sheet1!C66/[3]Sheet1!C65)</f>
        <v>-4.6316484975888444E-2</v>
      </c>
      <c r="D69" s="7">
        <f>LN([3]Sheet1!D66/[3]Sheet1!D65)</f>
        <v>-6.0243702410911405E-2</v>
      </c>
      <c r="E69" s="7">
        <f>LN([3]Sheet1!E66/[3]Sheet1!E65)</f>
        <v>-2.7833634793053221E-3</v>
      </c>
      <c r="F69" s="7">
        <f>LN([3]Sheet1!F66/[3]Sheet1!F65)</f>
        <v>-1.1120492693080124E-2</v>
      </c>
      <c r="G69" s="7">
        <f>LN([3]Sheet1!G66/[3]Sheet1!G65)</f>
        <v>1.016926578161461E-2</v>
      </c>
      <c r="H69" s="7">
        <f>LN([3]Sheet1!H66/[3]Sheet1!H65)</f>
        <v>-5.8471128985531085E-2</v>
      </c>
      <c r="I69" s="7">
        <f>LN([3]Sheet1!I66/[3]Sheet1!I65)</f>
        <v>-2.8053305983079591E-2</v>
      </c>
      <c r="J69" s="7">
        <f>LN([3]Sheet1!J66/[3]Sheet1!J65)</f>
        <v>-2.1985436925880866E-2</v>
      </c>
      <c r="K69" s="7">
        <f>LN([3]Sheet1!K66/[3]Sheet1!K65)</f>
        <v>-1.5654968672613196E-2</v>
      </c>
      <c r="L69" s="7">
        <f>'[4]3month T-bills'!$B880/1200</f>
        <v>3.8333333333333331E-3</v>
      </c>
    </row>
    <row r="70" spans="1:12" x14ac:dyDescent="0.25">
      <c r="A70" s="10">
        <f>'[2]Page 351'!A67</f>
        <v>38869</v>
      </c>
      <c r="B70" s="7">
        <f>LN([3]Sheet1!B67/[3]Sheet1!B66)</f>
        <v>0.10093185990168346</v>
      </c>
      <c r="C70" s="7">
        <f>LN([3]Sheet1!C67/[3]Sheet1!C66)</f>
        <v>-5.9127849465776476E-2</v>
      </c>
      <c r="D70" s="7">
        <f>LN([3]Sheet1!D67/[3]Sheet1!D66)</f>
        <v>-5.0704886015175053E-2</v>
      </c>
      <c r="E70" s="7">
        <f>LN([3]Sheet1!E67/[3]Sheet1!E66)</f>
        <v>-1.9072017823958738E-2</v>
      </c>
      <c r="F70" s="7">
        <f>LN([3]Sheet1!F67/[3]Sheet1!F66)</f>
        <v>2.6075837632647349E-2</v>
      </c>
      <c r="G70" s="7">
        <f>LN([3]Sheet1!G67/[3]Sheet1!G66)</f>
        <v>-2.1194323733399835E-2</v>
      </c>
      <c r="H70" s="7">
        <f>LN([3]Sheet1!H67/[3]Sheet1!H66)</f>
        <v>1.9975695423643827E-2</v>
      </c>
      <c r="I70" s="7">
        <f>LN([3]Sheet1!I67/[3]Sheet1!I66)</f>
        <v>-2.2109541998324524E-2</v>
      </c>
      <c r="J70" s="7">
        <f>LN([3]Sheet1!J67/[3]Sheet1!J66)</f>
        <v>9.0135559433538959E-2</v>
      </c>
      <c r="K70" s="7">
        <f>LN([3]Sheet1!K67/[3]Sheet1!K66)</f>
        <v>-3.5155356559847424E-2</v>
      </c>
      <c r="L70" s="7">
        <f>'[4]3month T-bills'!$B881/1200</f>
        <v>3.933333333333333E-3</v>
      </c>
    </row>
  </sheetData>
  <mergeCells count="1">
    <mergeCell ref="A1:K1"/>
  </mergeCells>
  <phoneticPr fontId="1" type="noConversion"/>
  <conditionalFormatting sqref="B6:L6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2024-11-08T03:25:57Z</dcterms:modified>
</cp:coreProperties>
</file>