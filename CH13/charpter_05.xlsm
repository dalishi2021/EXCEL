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97A6C297-F7FF-43BC-9DF4-ABC66DBFF73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1" i="1" l="1"/>
  <c r="C60" i="1"/>
  <c r="G58" i="1"/>
  <c r="K56" i="1"/>
  <c r="E55" i="1"/>
  <c r="I53" i="1"/>
  <c r="C52" i="1"/>
  <c r="B52" i="1" a="1"/>
  <c r="J61" i="1" s="1"/>
  <c r="A50" i="1"/>
  <c r="C35" i="1"/>
  <c r="B22" i="1"/>
  <c r="A9" i="1"/>
  <c r="A1" i="1"/>
  <c r="C25" i="1"/>
  <c r="E60" i="1" l="1"/>
  <c r="F52" i="1"/>
  <c r="B54" i="1"/>
  <c r="H55" i="1"/>
  <c r="D57" i="1"/>
  <c r="J58" i="1"/>
  <c r="F60" i="1"/>
  <c r="K61" i="1"/>
  <c r="G52" i="1"/>
  <c r="C54" i="1"/>
  <c r="I55" i="1"/>
  <c r="E57" i="1"/>
  <c r="K58" i="1"/>
  <c r="G60" i="1"/>
  <c r="C57" i="1"/>
  <c r="H52" i="1"/>
  <c r="D54" i="1"/>
  <c r="J55" i="1"/>
  <c r="F57" i="1"/>
  <c r="B59" i="1"/>
  <c r="H60" i="1"/>
  <c r="E52" i="1"/>
  <c r="I58" i="1"/>
  <c r="I52" i="1"/>
  <c r="E54" i="1"/>
  <c r="K55" i="1"/>
  <c r="G57" i="1"/>
  <c r="C59" i="1"/>
  <c r="I60" i="1"/>
  <c r="K53" i="1"/>
  <c r="J52" i="1"/>
  <c r="F54" i="1"/>
  <c r="B56" i="1"/>
  <c r="H57" i="1"/>
  <c r="D59" i="1"/>
  <c r="J60" i="1"/>
  <c r="G55" i="1"/>
  <c r="K52" i="1"/>
  <c r="G54" i="1"/>
  <c r="C56" i="1"/>
  <c r="I57" i="1"/>
  <c r="E59" i="1"/>
  <c r="K60" i="1"/>
  <c r="B53" i="1"/>
  <c r="H54" i="1"/>
  <c r="D56" i="1"/>
  <c r="J57" i="1"/>
  <c r="F59" i="1"/>
  <c r="B61" i="1"/>
  <c r="C53" i="1"/>
  <c r="I54" i="1"/>
  <c r="E56" i="1"/>
  <c r="K57" i="1"/>
  <c r="G59" i="1"/>
  <c r="C61" i="1"/>
  <c r="D53" i="1"/>
  <c r="J54" i="1"/>
  <c r="F56" i="1"/>
  <c r="B58" i="1"/>
  <c r="H59" i="1"/>
  <c r="D61" i="1"/>
  <c r="E53" i="1"/>
  <c r="K54" i="1"/>
  <c r="G56" i="1"/>
  <c r="C58" i="1"/>
  <c r="I59" i="1"/>
  <c r="E61" i="1"/>
  <c r="F53" i="1"/>
  <c r="B55" i="1"/>
  <c r="H56" i="1"/>
  <c r="D58" i="1"/>
  <c r="J59" i="1"/>
  <c r="F61" i="1"/>
  <c r="G53" i="1"/>
  <c r="C55" i="1"/>
  <c r="I56" i="1"/>
  <c r="E58" i="1"/>
  <c r="K59" i="1"/>
  <c r="G61" i="1"/>
  <c r="B52" i="1"/>
  <c r="B11" i="1" s="1" a="1"/>
  <c r="H53" i="1"/>
  <c r="D55" i="1"/>
  <c r="J56" i="1"/>
  <c r="F58" i="1"/>
  <c r="B60" i="1"/>
  <c r="H61" i="1"/>
  <c r="D52" i="1"/>
  <c r="J53" i="1"/>
  <c r="F55" i="1"/>
  <c r="B57" i="1"/>
  <c r="H58" i="1"/>
  <c r="D60" i="1"/>
  <c r="I19" i="1" l="1"/>
  <c r="C18" i="1"/>
  <c r="G16" i="1"/>
  <c r="K14" i="1"/>
  <c r="E13" i="1"/>
  <c r="I11" i="1"/>
  <c r="G19" i="1"/>
  <c r="K17" i="1"/>
  <c r="E16" i="1"/>
  <c r="I14" i="1"/>
  <c r="C13" i="1"/>
  <c r="G11" i="1"/>
  <c r="F19" i="1"/>
  <c r="J17" i="1"/>
  <c r="D16" i="1"/>
  <c r="H14" i="1"/>
  <c r="B13" i="1"/>
  <c r="F11" i="1"/>
  <c r="K20" i="1"/>
  <c r="E19" i="1"/>
  <c r="I17" i="1"/>
  <c r="C16" i="1"/>
  <c r="G14" i="1"/>
  <c r="K12" i="1"/>
  <c r="E11" i="1"/>
  <c r="H19" i="1"/>
  <c r="J20" i="1"/>
  <c r="D19" i="1"/>
  <c r="H17" i="1"/>
  <c r="B16" i="1"/>
  <c r="F14" i="1"/>
  <c r="J12" i="1"/>
  <c r="D11" i="1"/>
  <c r="I20" i="1"/>
  <c r="C19" i="1"/>
  <c r="G17" i="1"/>
  <c r="K15" i="1"/>
  <c r="E14" i="1"/>
  <c r="I12" i="1"/>
  <c r="C11" i="1"/>
  <c r="F16" i="1"/>
  <c r="H20" i="1"/>
  <c r="B19" i="1"/>
  <c r="F17" i="1"/>
  <c r="J15" i="1"/>
  <c r="D14" i="1"/>
  <c r="H12" i="1"/>
  <c r="B11" i="1"/>
  <c r="B25" i="1" s="1" a="1"/>
  <c r="G20" i="1"/>
  <c r="K18" i="1"/>
  <c r="E17" i="1"/>
  <c r="I15" i="1"/>
  <c r="C14" i="1"/>
  <c r="G12" i="1"/>
  <c r="B18" i="1"/>
  <c r="F20" i="1"/>
  <c r="J18" i="1"/>
  <c r="D17" i="1"/>
  <c r="H15" i="1"/>
  <c r="B14" i="1"/>
  <c r="F12" i="1"/>
  <c r="E20" i="1"/>
  <c r="I18" i="1"/>
  <c r="C17" i="1"/>
  <c r="G15" i="1"/>
  <c r="K13" i="1"/>
  <c r="E12" i="1"/>
  <c r="D20" i="1"/>
  <c r="H18" i="1"/>
  <c r="B17" i="1"/>
  <c r="F15" i="1"/>
  <c r="J13" i="1"/>
  <c r="D12" i="1"/>
  <c r="J19" i="1"/>
  <c r="H16" i="1"/>
  <c r="B15" i="1"/>
  <c r="F13" i="1"/>
  <c r="D13" i="1"/>
  <c r="C20" i="1"/>
  <c r="G18" i="1"/>
  <c r="K16" i="1"/>
  <c r="E15" i="1"/>
  <c r="I13" i="1"/>
  <c r="C12" i="1"/>
  <c r="B20" i="1"/>
  <c r="F18" i="1"/>
  <c r="J16" i="1"/>
  <c r="D15" i="1"/>
  <c r="H13" i="1"/>
  <c r="B12" i="1"/>
  <c r="D18" i="1"/>
  <c r="J11" i="1"/>
  <c r="J14" i="1"/>
  <c r="K19" i="1"/>
  <c r="E18" i="1"/>
  <c r="I16" i="1"/>
  <c r="C15" i="1"/>
  <c r="G13" i="1"/>
  <c r="K11" i="1"/>
  <c r="H11" i="1"/>
  <c r="B26" i="1" l="1"/>
  <c r="B25" i="1"/>
  <c r="B34" i="1"/>
  <c r="B33" i="1"/>
  <c r="B32" i="1"/>
  <c r="B31" i="1"/>
  <c r="B27" i="1"/>
  <c r="B30" i="1"/>
  <c r="B29" i="1"/>
  <c r="B28" i="1"/>
  <c r="B35" i="1" l="1"/>
</calcChain>
</file>

<file path=xl/sharedStrings.xml><?xml version="1.0" encoding="utf-8"?>
<sst xmlns="http://schemas.openxmlformats.org/spreadsheetml/2006/main" count="90" uniqueCount="28">
  <si>
    <t>General Motors
GM</t>
  </si>
  <si>
    <t>Home Depot
HD</t>
  </si>
  <si>
    <t>International paper
IP</t>
  </si>
  <si>
    <t>Hewlett-Packard
HPQ</t>
  </si>
  <si>
    <t>Altria
MO</t>
  </si>
  <si>
    <t>American Express
AXP</t>
  </si>
  <si>
    <t>Alcoa Aluminum
AA</t>
  </si>
  <si>
    <t>DuPont
DD</t>
  </si>
  <si>
    <t>Merck
MRK</t>
  </si>
  <si>
    <t>MMM</t>
  </si>
  <si>
    <t>Market cap (billion $)</t>
  </si>
  <si>
    <t>Benchmark proportion</t>
  </si>
  <si>
    <t>Variance-covariance matrix of excess returns</t>
  </si>
  <si>
    <t>&lt;-- Weight on sample var-cov matrix</t>
  </si>
  <si>
    <t>GM</t>
  </si>
  <si>
    <t>HD</t>
  </si>
  <si>
    <t>IP</t>
  </si>
  <si>
    <t>HPQ</t>
  </si>
  <si>
    <t>MO</t>
  </si>
  <si>
    <t>AXP</t>
  </si>
  <si>
    <t>AA</t>
  </si>
  <si>
    <t>DD</t>
  </si>
  <si>
    <t>MRK</t>
  </si>
  <si>
    <t>Mean
return</t>
  </si>
  <si>
    <t>Current T-bill rate</t>
  </si>
  <si>
    <t>"Optimal" portfolio</t>
  </si>
  <si>
    <t>Sum of proportions</t>
  </si>
  <si>
    <r>
      <t>Shrinkage factor,</t>
    </r>
    <r>
      <rPr>
        <sz val="10"/>
        <color rgb="FFFF0000"/>
        <rFont val="Symbol"/>
        <family val="1"/>
        <charset val="2"/>
      </rPr>
      <t xml:space="preserve"> l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</si>
</sst>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%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FF000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2" fillId="0" borderId="0" xfId="1" applyNumberFormat="1" applyAlignment="1"/>
    <xf numFmtId="0" fontId="5" fillId="0" borderId="0" xfId="0" applyFont="1" applyAlignment="1"/>
    <xf numFmtId="0" fontId="0" fillId="2" borderId="0" xfId="0" applyFill="1" applyAlignment="1"/>
    <xf numFmtId="0" fontId="4" fillId="0" borderId="0" xfId="0" applyFont="1" applyAlignment="1"/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76" fontId="0" fillId="0" borderId="0" xfId="0" applyNumberFormat="1" applyAlignment="1"/>
    <xf numFmtId="10" fontId="0" fillId="0" borderId="0" xfId="0" applyNumberFormat="1" applyAlignment="1"/>
    <xf numFmtId="177" fontId="2" fillId="2" borderId="0" xfId="1" applyNumberFormat="1" applyFill="1" applyAlignment="1"/>
    <xf numFmtId="0" fontId="5" fillId="0" borderId="0" xfId="0" applyFont="1" applyAlignment="1">
      <alignment vertical="center" wrapText="1"/>
    </xf>
    <xf numFmtId="0" fontId="6" fillId="3" borderId="0" xfId="0" applyFont="1" applyFill="1" applyAlignment="1"/>
  </cellXfs>
  <cellStyles count="2">
    <cellStyle name="百分比" xfId="1" builtinId="5"/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276225</xdr:colOff>
      <xdr:row>0</xdr:row>
      <xdr:rowOff>171450</xdr:rowOff>
    </xdr:from>
    <xdr:to>
      <xdr:col>29</xdr:col>
      <xdr:colOff>15240</xdr:colOff>
      <xdr:row>63</xdr:row>
      <xdr:rowOff>125730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84741F7-B875-9F12-0FAB-B8FB2B4C6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763125" y="171450"/>
          <a:ext cx="8886825" cy="1151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51"/>
      <sheetName val="Page 351中文"/>
      <sheetName val="Page 352"/>
      <sheetName val="Page 352中文"/>
      <sheetName val="Page 353"/>
      <sheetName val="Page 353中文"/>
      <sheetName val="Page 355"/>
      <sheetName val="Page 355中文"/>
      <sheetName val="Page 356"/>
      <sheetName val="Page 356中文"/>
      <sheetName val="Page 358"/>
      <sheetName val="Page 358中文"/>
      <sheetName val="Page 359"/>
      <sheetName val="Page 359中文"/>
      <sheetName val="Pages 361-63"/>
      <sheetName val="Pages 361-63中文"/>
      <sheetName val="Page 364"/>
      <sheetName val="Page 364中文"/>
      <sheetName val="Pages 365-367"/>
      <sheetName val="Pages 365-367中文"/>
      <sheetName val="3month T-bills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M61"/>
  <sheetViews>
    <sheetView tabSelected="1" workbookViewId="0">
      <selection activeCell="H31" sqref="H31"/>
    </sheetView>
  </sheetViews>
  <sheetFormatPr defaultRowHeight="13.8" x14ac:dyDescent="0.25"/>
  <cols>
    <col min="1" max="1" width="19.5546875" style="2" customWidth="1"/>
    <col min="2" max="2" width="9.33203125" style="2" bestFit="1" customWidth="1"/>
    <col min="3" max="3" width="8.88671875" style="2"/>
    <col min="4" max="4" width="11.6640625" style="2" customWidth="1"/>
    <col min="5" max="13" width="8.88671875" style="2"/>
  </cols>
  <sheetData>
    <row r="1" spans="1:13" ht="17.399999999999999" x14ac:dyDescent="0.25">
      <c r="A1" s="1" t="str">
        <f>"SUPER DUPER BENCHMARK PORTFOLIO--NAIVE OPTIMIZATION WITH"&amp;CHAR(10)&amp;"SHRUNK VARIANCE-COVARIANCE MATRIX"</f>
        <v>SUPER DUPER BENCHMARK PORTFOLIO--NAIVE OPTIMIZATION WITH
SHRUNK VARIANCE-COVARIANCE MATRIX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55.2" x14ac:dyDescent="0.25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4" t="s">
        <v>9</v>
      </c>
    </row>
    <row r="3" spans="1:13" x14ac:dyDescent="0.25">
      <c r="A3" s="2" t="s">
        <v>10</v>
      </c>
      <c r="B3" s="2">
        <v>16.850000000000001</v>
      </c>
      <c r="C3" s="2">
        <v>73.98</v>
      </c>
      <c r="D3" s="2">
        <v>15.92</v>
      </c>
      <c r="E3" s="2">
        <v>88.37</v>
      </c>
      <c r="F3" s="2">
        <v>153.33000000000001</v>
      </c>
      <c r="G3" s="2">
        <v>65.66</v>
      </c>
      <c r="H3" s="2">
        <v>28.16</v>
      </c>
      <c r="I3" s="2">
        <v>38.32</v>
      </c>
      <c r="J3" s="2">
        <v>79.510000000000005</v>
      </c>
      <c r="K3" s="2">
        <v>60.9</v>
      </c>
    </row>
    <row r="4" spans="1:13" x14ac:dyDescent="0.25">
      <c r="A4" s="2" t="s">
        <v>11</v>
      </c>
      <c r="B4" s="5">
        <v>2.7133655394524961E-2</v>
      </c>
      <c r="C4" s="5">
        <v>0.11913043478260871</v>
      </c>
      <c r="D4" s="5">
        <v>2.5636070853462159E-2</v>
      </c>
      <c r="E4" s="5">
        <v>0.14230273752012884</v>
      </c>
      <c r="F4" s="5">
        <v>0.2469082125603865</v>
      </c>
      <c r="G4" s="5">
        <v>0.10573268921095008</v>
      </c>
      <c r="H4" s="5">
        <v>4.5346215780998393E-2</v>
      </c>
      <c r="I4" s="5">
        <v>6.1706924315619971E-2</v>
      </c>
      <c r="J4" s="5">
        <v>0.1280354267310789</v>
      </c>
      <c r="K4" s="5">
        <v>9.8067632850241546E-2</v>
      </c>
    </row>
    <row r="5" spans="1:13" x14ac:dyDescent="0.25">
      <c r="B5" s="5"/>
      <c r="C5" s="5"/>
      <c r="D5" s="5"/>
      <c r="E5" s="5"/>
      <c r="F5" s="5"/>
      <c r="G5" s="5"/>
      <c r="H5" s="5"/>
      <c r="I5" s="5"/>
      <c r="J5" s="5"/>
      <c r="K5" s="5"/>
    </row>
    <row r="6" spans="1:13" x14ac:dyDescent="0.25">
      <c r="A6" s="6" t="s">
        <v>12</v>
      </c>
    </row>
    <row r="7" spans="1:13" x14ac:dyDescent="0.25">
      <c r="A7" s="16" t="s">
        <v>27</v>
      </c>
      <c r="B7" s="7">
        <v>0.3</v>
      </c>
      <c r="C7" s="2" t="s">
        <v>13</v>
      </c>
    </row>
    <row r="8" spans="1:13" x14ac:dyDescent="0.25">
      <c r="A8" s="8"/>
    </row>
    <row r="9" spans="1:13" x14ac:dyDescent="0.25">
      <c r="A9" s="9" t="e">
        <f ca="1">"The matrix below is a weighted combination of the sample variance-covariance matrix and a pure diagonal matrix of only variances. "&amp;ggetformula(B11)</f>
        <v>#NAME?</v>
      </c>
      <c r="B9" s="9"/>
      <c r="C9" s="9"/>
      <c r="D9" s="9"/>
      <c r="E9" s="9"/>
      <c r="F9" s="9"/>
      <c r="G9" s="9"/>
      <c r="H9" s="9"/>
      <c r="I9" s="9"/>
      <c r="J9" s="9"/>
      <c r="K9" s="9"/>
    </row>
    <row r="10" spans="1:13" ht="27.6" x14ac:dyDescent="0.25">
      <c r="B10" s="10" t="s">
        <v>14</v>
      </c>
      <c r="C10" s="10" t="s">
        <v>15</v>
      </c>
      <c r="D10" s="10" t="s">
        <v>16</v>
      </c>
      <c r="E10" s="10" t="s">
        <v>17</v>
      </c>
      <c r="F10" s="10" t="s">
        <v>18</v>
      </c>
      <c r="G10" s="10" t="s">
        <v>19</v>
      </c>
      <c r="H10" s="10" t="s">
        <v>20</v>
      </c>
      <c r="I10" s="10" t="s">
        <v>21</v>
      </c>
      <c r="J10" s="10" t="s">
        <v>22</v>
      </c>
      <c r="K10" s="10" t="s">
        <v>9</v>
      </c>
      <c r="M10" s="11" t="s">
        <v>23</v>
      </c>
    </row>
    <row r="11" spans="1:13" x14ac:dyDescent="0.25">
      <c r="A11" s="2" t="s">
        <v>14</v>
      </c>
      <c r="B11" s="12">
        <f t="array" ref="B11:K20">B7*B39:K48+(1-B7)*B52:K61</f>
        <v>1.163075583529162E-2</v>
      </c>
      <c r="C11" s="12">
        <v>9.0320050844488065E-4</v>
      </c>
      <c r="D11" s="12">
        <v>6.9763510424558975E-4</v>
      </c>
      <c r="E11" s="12">
        <v>1.2352620358147719E-3</v>
      </c>
      <c r="F11" s="12">
        <v>4.0233224562163965E-4</v>
      </c>
      <c r="G11" s="12">
        <v>9.7282743251419352E-4</v>
      </c>
      <c r="H11" s="12">
        <v>1.3678425392149923E-3</v>
      </c>
      <c r="I11" s="12">
        <v>5.4241408844293696E-4</v>
      </c>
      <c r="J11" s="12">
        <v>2.8929081784988394E-4</v>
      </c>
      <c r="K11" s="12">
        <v>4.0789867131664183E-4</v>
      </c>
      <c r="M11" s="5">
        <v>-8.7338516296339343E-3</v>
      </c>
    </row>
    <row r="12" spans="1:13" x14ac:dyDescent="0.25">
      <c r="A12" s="2" t="s">
        <v>15</v>
      </c>
      <c r="B12" s="12">
        <v>9.0320050844488065E-4</v>
      </c>
      <c r="C12" s="12">
        <v>7.0716946538033343E-3</v>
      </c>
      <c r="D12" s="12">
        <v>5.5225050593965845E-4</v>
      </c>
      <c r="E12" s="12">
        <v>1.2588042559278827E-3</v>
      </c>
      <c r="F12" s="12">
        <v>6.6177398425569219E-4</v>
      </c>
      <c r="G12" s="12">
        <v>9.8324070280513399E-4</v>
      </c>
      <c r="H12" s="12">
        <v>1.3525960430746668E-3</v>
      </c>
      <c r="I12" s="12">
        <v>6.0123755879390266E-4</v>
      </c>
      <c r="J12" s="12">
        <v>5.2958606685065023E-5</v>
      </c>
      <c r="K12" s="12">
        <v>5.3062500039962387E-4</v>
      </c>
      <c r="M12" s="5">
        <v>-3.912585257124279E-3</v>
      </c>
    </row>
    <row r="13" spans="1:13" x14ac:dyDescent="0.25">
      <c r="A13" s="2" t="s">
        <v>16</v>
      </c>
      <c r="B13" s="12">
        <v>6.9763510424558975E-4</v>
      </c>
      <c r="C13" s="12">
        <v>5.5225050593965845E-4</v>
      </c>
      <c r="D13" s="12">
        <v>3.8853621784907073E-3</v>
      </c>
      <c r="E13" s="12">
        <v>9.2546576206964804E-4</v>
      </c>
      <c r="F13" s="12">
        <v>2.5840976386758093E-5</v>
      </c>
      <c r="G13" s="12">
        <v>6.9401055609223086E-4</v>
      </c>
      <c r="H13" s="12">
        <v>1.2815233983653601E-3</v>
      </c>
      <c r="I13" s="12">
        <v>6.1843395675816558E-4</v>
      </c>
      <c r="J13" s="12">
        <v>3.5617713246492098E-4</v>
      </c>
      <c r="K13" s="12">
        <v>4.7358005374526917E-4</v>
      </c>
      <c r="M13" s="5">
        <v>5.6680525235541432E-4</v>
      </c>
    </row>
    <row r="14" spans="1:13" x14ac:dyDescent="0.25">
      <c r="A14" s="2" t="s">
        <v>17</v>
      </c>
      <c r="B14" s="12">
        <v>1.2352620358147719E-3</v>
      </c>
      <c r="C14" s="12">
        <v>1.2588042559278827E-3</v>
      </c>
      <c r="D14" s="12">
        <v>9.2546576206964804E-4</v>
      </c>
      <c r="E14" s="12">
        <v>1.1674319631780589E-2</v>
      </c>
      <c r="F14" s="12">
        <v>7.5710529924822906E-4</v>
      </c>
      <c r="G14" s="12">
        <v>1.4517579604660851E-3</v>
      </c>
      <c r="H14" s="12">
        <v>1.7850674868974087E-3</v>
      </c>
      <c r="I14" s="12">
        <v>9.7757273626417193E-4</v>
      </c>
      <c r="J14" s="12">
        <v>5.8324065121181825E-4</v>
      </c>
      <c r="K14" s="12">
        <v>6.5783805335636024E-4</v>
      </c>
      <c r="M14" s="5">
        <v>2.9945591784535926E-3</v>
      </c>
    </row>
    <row r="15" spans="1:13" x14ac:dyDescent="0.25">
      <c r="A15" s="2" t="s">
        <v>18</v>
      </c>
      <c r="B15" s="12">
        <v>4.0233224562163965E-4</v>
      </c>
      <c r="C15" s="12">
        <v>6.6177398425569219E-4</v>
      </c>
      <c r="D15" s="12">
        <v>2.5840976386758093E-5</v>
      </c>
      <c r="E15" s="12">
        <v>7.5710529924822906E-4</v>
      </c>
      <c r="F15" s="12">
        <v>7.583081006569653E-3</v>
      </c>
      <c r="G15" s="12">
        <v>4.7687015628497363E-4</v>
      </c>
      <c r="H15" s="12">
        <v>5.3478723604472619E-4</v>
      </c>
      <c r="I15" s="12">
        <v>2.6353643591776806E-4</v>
      </c>
      <c r="J15" s="12">
        <v>2.012162628130746E-4</v>
      </c>
      <c r="K15" s="12">
        <v>2.3789755141618961E-4</v>
      </c>
      <c r="M15" s="5">
        <v>1.0657665224744494E-2</v>
      </c>
    </row>
    <row r="16" spans="1:13" x14ac:dyDescent="0.25">
      <c r="A16" s="2" t="s">
        <v>19</v>
      </c>
      <c r="B16" s="12">
        <v>9.7282743251419352E-4</v>
      </c>
      <c r="C16" s="12">
        <v>9.8324070280513399E-4</v>
      </c>
      <c r="D16" s="12">
        <v>6.9401055609223086E-4</v>
      </c>
      <c r="E16" s="12">
        <v>1.4517579604660851E-3</v>
      </c>
      <c r="F16" s="12">
        <v>4.7687015628497363E-4</v>
      </c>
      <c r="G16" s="12">
        <v>4.1345628849047671E-3</v>
      </c>
      <c r="H16" s="12">
        <v>1.1108882786296152E-3</v>
      </c>
      <c r="I16" s="12">
        <v>5.7356013813881731E-4</v>
      </c>
      <c r="J16" s="12">
        <v>3.17010565231798E-4</v>
      </c>
      <c r="K16" s="12">
        <v>4.056080007585857E-4</v>
      </c>
      <c r="M16" s="5">
        <v>8.2352946572464818E-3</v>
      </c>
    </row>
    <row r="17" spans="1:13" x14ac:dyDescent="0.25">
      <c r="A17" s="2" t="s">
        <v>20</v>
      </c>
      <c r="B17" s="12">
        <v>1.3678425392149923E-3</v>
      </c>
      <c r="C17" s="12">
        <v>1.3525960430746668E-3</v>
      </c>
      <c r="D17" s="12">
        <v>1.2815233983653601E-3</v>
      </c>
      <c r="E17" s="12">
        <v>1.7850674868974087E-3</v>
      </c>
      <c r="F17" s="12">
        <v>5.3478723604472619E-4</v>
      </c>
      <c r="G17" s="12">
        <v>1.1108882786296152E-3</v>
      </c>
      <c r="H17" s="12">
        <v>9.1081696375982964E-3</v>
      </c>
      <c r="I17" s="12">
        <v>1.2033718074925944E-3</v>
      </c>
      <c r="J17" s="12">
        <v>5.2947224203586066E-4</v>
      </c>
      <c r="K17" s="12">
        <v>7.1723411984686667E-4</v>
      </c>
      <c r="M17" s="5">
        <v>-1.8043520930813397E-3</v>
      </c>
    </row>
    <row r="18" spans="1:13" x14ac:dyDescent="0.25">
      <c r="A18" s="2" t="s">
        <v>21</v>
      </c>
      <c r="B18" s="12">
        <v>5.4241408844293696E-4</v>
      </c>
      <c r="C18" s="12">
        <v>6.0123755879390266E-4</v>
      </c>
      <c r="D18" s="12">
        <v>6.1843395675816558E-4</v>
      </c>
      <c r="E18" s="12">
        <v>9.7757273626417193E-4</v>
      </c>
      <c r="F18" s="12">
        <v>2.6353643591776806E-4</v>
      </c>
      <c r="G18" s="12">
        <v>5.7356013813881731E-4</v>
      </c>
      <c r="H18" s="12">
        <v>1.2033718074925944E-3</v>
      </c>
      <c r="I18" s="12">
        <v>3.7510568952552796E-3</v>
      </c>
      <c r="J18" s="12">
        <v>4.8695162003876757E-4</v>
      </c>
      <c r="K18" s="12">
        <v>5.7016298160755352E-4</v>
      </c>
      <c r="M18" s="5">
        <v>2.9098702286280479E-4</v>
      </c>
    </row>
    <row r="19" spans="1:13" x14ac:dyDescent="0.25">
      <c r="A19" s="2" t="s">
        <v>22</v>
      </c>
      <c r="B19" s="12">
        <v>2.8929081784988394E-4</v>
      </c>
      <c r="C19" s="12">
        <v>5.2958606685065023E-5</v>
      </c>
      <c r="D19" s="12">
        <v>3.5617713246492098E-4</v>
      </c>
      <c r="E19" s="12">
        <v>5.8324065121181825E-4</v>
      </c>
      <c r="F19" s="12">
        <v>2.012162628130746E-4</v>
      </c>
      <c r="G19" s="12">
        <v>3.17010565231798E-4</v>
      </c>
      <c r="H19" s="12">
        <v>5.2947224203586066E-4</v>
      </c>
      <c r="I19" s="12">
        <v>4.8695162003876757E-4</v>
      </c>
      <c r="J19" s="12">
        <v>6.5003166685241873E-3</v>
      </c>
      <c r="K19" s="12">
        <v>1.4442825817183696E-4</v>
      </c>
      <c r="M19" s="5">
        <v>-5.5220323858443934E-3</v>
      </c>
    </row>
    <row r="20" spans="1:13" x14ac:dyDescent="0.25">
      <c r="A20" s="2" t="s">
        <v>9</v>
      </c>
      <c r="B20" s="12">
        <v>4.0789867131664183E-4</v>
      </c>
      <c r="C20" s="12">
        <v>5.3062500039962387E-4</v>
      </c>
      <c r="D20" s="12">
        <v>4.7358005374526917E-4</v>
      </c>
      <c r="E20" s="12">
        <v>6.5783805335636024E-4</v>
      </c>
      <c r="F20" s="12">
        <v>2.3789755141618961E-4</v>
      </c>
      <c r="G20" s="12">
        <v>4.056080007585857E-4</v>
      </c>
      <c r="H20" s="12">
        <v>7.1723411984686667E-4</v>
      </c>
      <c r="I20" s="12">
        <v>5.7016298160755352E-4</v>
      </c>
      <c r="J20" s="12">
        <v>1.4442825817183696E-4</v>
      </c>
      <c r="K20" s="12">
        <v>3.0644271279601475E-3</v>
      </c>
      <c r="M20" s="5">
        <v>7.4809905230536237E-3</v>
      </c>
    </row>
    <row r="22" spans="1:13" x14ac:dyDescent="0.25">
      <c r="A22" s="2" t="s">
        <v>24</v>
      </c>
      <c r="B22" s="13">
        <f>4.83%/12</f>
        <v>4.0249999999999999E-3</v>
      </c>
    </row>
    <row r="24" spans="1:13" x14ac:dyDescent="0.25">
      <c r="A24" s="2" t="s">
        <v>25</v>
      </c>
    </row>
    <row r="25" spans="1:13" x14ac:dyDescent="0.25">
      <c r="A25" s="2" t="s">
        <v>14</v>
      </c>
      <c r="B25" s="14">
        <f t="array" ref="B25:B34">MMULT(MINVERSE(B11:K20),M11:M20-B22)/SUM(MMULT(MINVERSE(B11:K20),M11:M20-B22))</f>
        <v>0.84296744309121752</v>
      </c>
      <c r="C25" s="2" t="str">
        <f ca="1">[2]!getformula(B25)</f>
        <v>&lt;--  {=MMULT(MINVERSE(B11:K20),M11:M20-B22)/SUM(MMULT(MINVERSE(B11:K20),M11:M20-B22))}</v>
      </c>
    </row>
    <row r="26" spans="1:13" x14ac:dyDescent="0.25">
      <c r="A26" s="2" t="s">
        <v>15</v>
      </c>
      <c r="B26" s="14">
        <v>0.96399838555647765</v>
      </c>
    </row>
    <row r="27" spans="1:13" x14ac:dyDescent="0.25">
      <c r="A27" s="2" t="s">
        <v>16</v>
      </c>
      <c r="B27" s="14">
        <v>0.5023648240540155</v>
      </c>
    </row>
    <row r="28" spans="1:13" x14ac:dyDescent="0.25">
      <c r="A28" s="2" t="s">
        <v>17</v>
      </c>
      <c r="B28" s="14">
        <v>-3.5583775075881008E-2</v>
      </c>
    </row>
    <row r="29" spans="1:13" x14ac:dyDescent="0.25">
      <c r="A29" s="2" t="s">
        <v>18</v>
      </c>
      <c r="B29" s="14">
        <v>-0.76136982416419763</v>
      </c>
    </row>
    <row r="30" spans="1:13" x14ac:dyDescent="0.25">
      <c r="A30" s="2" t="s">
        <v>19</v>
      </c>
      <c r="B30" s="14">
        <v>-1.3458935111579617</v>
      </c>
    </row>
    <row r="31" spans="1:13" x14ac:dyDescent="0.25">
      <c r="A31" s="2" t="s">
        <v>20</v>
      </c>
      <c r="B31" s="14">
        <v>0.3251729667112499</v>
      </c>
    </row>
    <row r="32" spans="1:13" x14ac:dyDescent="0.25">
      <c r="A32" s="2" t="s">
        <v>21</v>
      </c>
      <c r="B32" s="14">
        <v>0.62549157697551083</v>
      </c>
    </row>
    <row r="33" spans="1:11" x14ac:dyDescent="0.25">
      <c r="A33" s="2" t="s">
        <v>22</v>
      </c>
      <c r="B33" s="14">
        <v>1.1212519689377074</v>
      </c>
    </row>
    <row r="34" spans="1:11" x14ac:dyDescent="0.25">
      <c r="A34" s="2" t="s">
        <v>9</v>
      </c>
      <c r="B34" s="14">
        <v>-1.2384000549281382</v>
      </c>
    </row>
    <row r="35" spans="1:11" x14ac:dyDescent="0.25">
      <c r="A35" s="2" t="s">
        <v>26</v>
      </c>
      <c r="B35" s="2">
        <f>SUM(B25:B34)</f>
        <v>0.99999999999999978</v>
      </c>
      <c r="C35" s="2" t="e">
        <f ca="1">getformula(B35)</f>
        <v>#NAME?</v>
      </c>
    </row>
    <row r="37" spans="1:11" x14ac:dyDescent="0.25">
      <c r="A37" s="6" t="s">
        <v>12</v>
      </c>
    </row>
    <row r="38" spans="1:11" x14ac:dyDescent="0.25">
      <c r="B38" s="10" t="s">
        <v>14</v>
      </c>
      <c r="C38" s="10" t="s">
        <v>15</v>
      </c>
      <c r="D38" s="10" t="s">
        <v>16</v>
      </c>
      <c r="E38" s="10" t="s">
        <v>17</v>
      </c>
      <c r="F38" s="10" t="s">
        <v>18</v>
      </c>
      <c r="G38" s="10" t="s">
        <v>19</v>
      </c>
      <c r="H38" s="10" t="s">
        <v>20</v>
      </c>
      <c r="I38" s="10" t="s">
        <v>21</v>
      </c>
      <c r="J38" s="10" t="s">
        <v>22</v>
      </c>
      <c r="K38" s="10" t="s">
        <v>9</v>
      </c>
    </row>
    <row r="39" spans="1:11" x14ac:dyDescent="0.25">
      <c r="A39" s="2" t="s">
        <v>14</v>
      </c>
      <c r="B39" s="12">
        <v>1.1630755835291622E-2</v>
      </c>
      <c r="C39" s="12">
        <v>3.0106683614829358E-3</v>
      </c>
      <c r="D39" s="12">
        <v>2.3254503474852994E-3</v>
      </c>
      <c r="E39" s="12">
        <v>4.1175401193825735E-3</v>
      </c>
      <c r="F39" s="12">
        <v>1.3411074854054656E-3</v>
      </c>
      <c r="G39" s="12">
        <v>3.2427581083806453E-3</v>
      </c>
      <c r="H39" s="12">
        <v>4.559475130716641E-3</v>
      </c>
      <c r="I39" s="12">
        <v>1.8080469614764566E-3</v>
      </c>
      <c r="J39" s="12">
        <v>9.6430272616627988E-4</v>
      </c>
      <c r="K39" s="12">
        <v>1.3596622377221395E-3</v>
      </c>
    </row>
    <row r="40" spans="1:11" x14ac:dyDescent="0.25">
      <c r="A40" s="2" t="s">
        <v>15</v>
      </c>
      <c r="B40" s="12">
        <v>3.0106683614829358E-3</v>
      </c>
      <c r="C40" s="12">
        <v>7.0716946538033343E-3</v>
      </c>
      <c r="D40" s="12">
        <v>1.8408350197988616E-3</v>
      </c>
      <c r="E40" s="12">
        <v>4.196014186426276E-3</v>
      </c>
      <c r="F40" s="12">
        <v>2.2059132808523074E-3</v>
      </c>
      <c r="G40" s="12">
        <v>3.2774690093504469E-3</v>
      </c>
      <c r="H40" s="12">
        <v>4.5086534769155561E-3</v>
      </c>
      <c r="I40" s="12">
        <v>2.0041251959796755E-3</v>
      </c>
      <c r="J40" s="12">
        <v>1.7652868895021674E-4</v>
      </c>
      <c r="K40" s="12">
        <v>1.7687500013320796E-3</v>
      </c>
    </row>
    <row r="41" spans="1:11" x14ac:dyDescent="0.25">
      <c r="A41" s="2" t="s">
        <v>16</v>
      </c>
      <c r="B41" s="12">
        <v>2.3254503474852994E-3</v>
      </c>
      <c r="C41" s="12">
        <v>1.8408350197988616E-3</v>
      </c>
      <c r="D41" s="12">
        <v>3.8853621784907073E-3</v>
      </c>
      <c r="E41" s="12">
        <v>3.0848858735654937E-3</v>
      </c>
      <c r="F41" s="12">
        <v>8.6136587955860312E-5</v>
      </c>
      <c r="G41" s="12">
        <v>2.3133685203074361E-3</v>
      </c>
      <c r="H41" s="12">
        <v>4.271744661217867E-3</v>
      </c>
      <c r="I41" s="12">
        <v>2.0614465225272187E-3</v>
      </c>
      <c r="J41" s="12">
        <v>1.1872571082164032E-3</v>
      </c>
      <c r="K41" s="12">
        <v>1.5786001791508973E-3</v>
      </c>
    </row>
    <row r="42" spans="1:11" x14ac:dyDescent="0.25">
      <c r="A42" s="2" t="s">
        <v>17</v>
      </c>
      <c r="B42" s="12">
        <v>4.1175401193825735E-3</v>
      </c>
      <c r="C42" s="12">
        <v>4.196014186426276E-3</v>
      </c>
      <c r="D42" s="12">
        <v>3.0848858735654937E-3</v>
      </c>
      <c r="E42" s="12">
        <v>1.1674319631780589E-2</v>
      </c>
      <c r="F42" s="12">
        <v>2.5236843308274301E-3</v>
      </c>
      <c r="G42" s="12">
        <v>4.839193201553617E-3</v>
      </c>
      <c r="H42" s="12">
        <v>5.9502249563246961E-3</v>
      </c>
      <c r="I42" s="12">
        <v>3.2585757875472402E-3</v>
      </c>
      <c r="J42" s="12">
        <v>1.9441355040393943E-3</v>
      </c>
      <c r="K42" s="12">
        <v>2.1927935111878674E-3</v>
      </c>
    </row>
    <row r="43" spans="1:11" x14ac:dyDescent="0.25">
      <c r="A43" s="2" t="s">
        <v>18</v>
      </c>
      <c r="B43" s="12">
        <v>1.3411074854054656E-3</v>
      </c>
      <c r="C43" s="12">
        <v>2.2059132808523074E-3</v>
      </c>
      <c r="D43" s="12">
        <v>8.6136587955860312E-5</v>
      </c>
      <c r="E43" s="12">
        <v>2.5236843308274301E-3</v>
      </c>
      <c r="F43" s="12">
        <v>7.5830810065696539E-3</v>
      </c>
      <c r="G43" s="12">
        <v>1.5895671876165788E-3</v>
      </c>
      <c r="H43" s="12">
        <v>1.7826241201490873E-3</v>
      </c>
      <c r="I43" s="12">
        <v>8.784547863925602E-4</v>
      </c>
      <c r="J43" s="12">
        <v>6.7072087604358205E-4</v>
      </c>
      <c r="K43" s="12">
        <v>7.9299183805396536E-4</v>
      </c>
    </row>
    <row r="44" spans="1:11" x14ac:dyDescent="0.25">
      <c r="A44" s="2" t="s">
        <v>19</v>
      </c>
      <c r="B44" s="12">
        <v>3.2427581083806453E-3</v>
      </c>
      <c r="C44" s="12">
        <v>3.2774690093504469E-3</v>
      </c>
      <c r="D44" s="12">
        <v>2.3133685203074361E-3</v>
      </c>
      <c r="E44" s="12">
        <v>4.839193201553617E-3</v>
      </c>
      <c r="F44" s="12">
        <v>1.5895671876165788E-3</v>
      </c>
      <c r="G44" s="12">
        <v>4.1345628849047671E-3</v>
      </c>
      <c r="H44" s="12">
        <v>3.702960928765384E-3</v>
      </c>
      <c r="I44" s="12">
        <v>1.911867127129391E-3</v>
      </c>
      <c r="J44" s="12">
        <v>1.0567018841059934E-3</v>
      </c>
      <c r="K44" s="12">
        <v>1.3520266691952857E-3</v>
      </c>
    </row>
    <row r="45" spans="1:11" x14ac:dyDescent="0.25">
      <c r="A45" s="2" t="s">
        <v>20</v>
      </c>
      <c r="B45" s="12">
        <v>4.559475130716641E-3</v>
      </c>
      <c r="C45" s="12">
        <v>4.5086534769155561E-3</v>
      </c>
      <c r="D45" s="12">
        <v>4.271744661217867E-3</v>
      </c>
      <c r="E45" s="12">
        <v>5.9502249563246961E-3</v>
      </c>
      <c r="F45" s="12">
        <v>1.7826241201490873E-3</v>
      </c>
      <c r="G45" s="12">
        <v>3.702960928765384E-3</v>
      </c>
      <c r="H45" s="12">
        <v>9.1081696375982964E-3</v>
      </c>
      <c r="I45" s="12">
        <v>4.0112393583086482E-3</v>
      </c>
      <c r="J45" s="12">
        <v>1.7649074734528689E-3</v>
      </c>
      <c r="K45" s="12">
        <v>2.3907803994895555E-3</v>
      </c>
    </row>
    <row r="46" spans="1:11" x14ac:dyDescent="0.25">
      <c r="A46" s="2" t="s">
        <v>21</v>
      </c>
      <c r="B46" s="12">
        <v>1.8080469614764566E-3</v>
      </c>
      <c r="C46" s="12">
        <v>2.0041251959796755E-3</v>
      </c>
      <c r="D46" s="12">
        <v>2.0614465225272187E-3</v>
      </c>
      <c r="E46" s="12">
        <v>3.2585757875472402E-3</v>
      </c>
      <c r="F46" s="12">
        <v>8.784547863925602E-4</v>
      </c>
      <c r="G46" s="12">
        <v>1.911867127129391E-3</v>
      </c>
      <c r="H46" s="12">
        <v>4.0112393583086482E-3</v>
      </c>
      <c r="I46" s="12">
        <v>3.7510568952552801E-3</v>
      </c>
      <c r="J46" s="12">
        <v>1.6231720667958919E-3</v>
      </c>
      <c r="K46" s="12">
        <v>1.9005432720251786E-3</v>
      </c>
    </row>
    <row r="47" spans="1:11" x14ac:dyDescent="0.25">
      <c r="A47" s="2" t="s">
        <v>22</v>
      </c>
      <c r="B47" s="12">
        <v>9.6430272616627988E-4</v>
      </c>
      <c r="C47" s="12">
        <v>1.7652868895021674E-4</v>
      </c>
      <c r="D47" s="12">
        <v>1.1872571082164032E-3</v>
      </c>
      <c r="E47" s="12">
        <v>1.9441355040393943E-3</v>
      </c>
      <c r="F47" s="12">
        <v>6.7072087604358205E-4</v>
      </c>
      <c r="G47" s="12">
        <v>1.0567018841059934E-3</v>
      </c>
      <c r="H47" s="12">
        <v>1.7649074734528689E-3</v>
      </c>
      <c r="I47" s="12">
        <v>1.6231720667958919E-3</v>
      </c>
      <c r="J47" s="12">
        <v>6.5003166685241873E-3</v>
      </c>
      <c r="K47" s="12">
        <v>4.814275272394565E-4</v>
      </c>
    </row>
    <row r="48" spans="1:11" x14ac:dyDescent="0.25">
      <c r="A48" s="2" t="s">
        <v>9</v>
      </c>
      <c r="B48" s="12">
        <v>1.3596622377221395E-3</v>
      </c>
      <c r="C48" s="12">
        <v>1.7687500013320796E-3</v>
      </c>
      <c r="D48" s="12">
        <v>1.5786001791508973E-3</v>
      </c>
      <c r="E48" s="12">
        <v>2.1927935111878674E-3</v>
      </c>
      <c r="F48" s="12">
        <v>7.9299183805396536E-4</v>
      </c>
      <c r="G48" s="12">
        <v>1.3520266691952857E-3</v>
      </c>
      <c r="H48" s="12">
        <v>2.3907803994895555E-3</v>
      </c>
      <c r="I48" s="12">
        <v>1.9005432720251786E-3</v>
      </c>
      <c r="J48" s="12">
        <v>4.814275272394565E-4</v>
      </c>
      <c r="K48" s="12">
        <v>3.0644271279601479E-3</v>
      </c>
    </row>
    <row r="50" spans="1:11" x14ac:dyDescent="0.25">
      <c r="A50" s="15" t="e">
        <f ca="1">"Pure diagonal matrix.  The array formula in the cells below produces a matrix with only variances on the diagonal and zero elsewhere. "&amp;ggetformula(B52)</f>
        <v>#NAME?</v>
      </c>
      <c r="B50" s="15"/>
      <c r="C50" s="15"/>
      <c r="D50" s="15"/>
      <c r="E50" s="15"/>
      <c r="F50" s="15"/>
      <c r="G50" s="15"/>
      <c r="H50" s="15"/>
      <c r="I50" s="15"/>
      <c r="J50" s="15"/>
      <c r="K50" s="15"/>
    </row>
    <row r="51" spans="1:11" x14ac:dyDescent="0.25">
      <c r="B51" s="10" t="s">
        <v>14</v>
      </c>
      <c r="C51" s="10" t="s">
        <v>15</v>
      </c>
      <c r="D51" s="10" t="s">
        <v>16</v>
      </c>
      <c r="E51" s="10" t="s">
        <v>17</v>
      </c>
      <c r="F51" s="10" t="s">
        <v>18</v>
      </c>
      <c r="G51" s="10" t="s">
        <v>19</v>
      </c>
      <c r="H51" s="10" t="s">
        <v>20</v>
      </c>
      <c r="I51" s="10" t="s">
        <v>21</v>
      </c>
      <c r="J51" s="10" t="s">
        <v>22</v>
      </c>
      <c r="K51" s="10" t="s">
        <v>9</v>
      </c>
    </row>
    <row r="52" spans="1:11" x14ac:dyDescent="0.25">
      <c r="A52" s="2" t="s">
        <v>14</v>
      </c>
      <c r="B52" s="12">
        <f t="array" ref="B52:K61">IF(B51:K51=A52:A61,B39:K48,0)</f>
        <v>1.1630755835291622E-2</v>
      </c>
      <c r="C52" s="12">
        <v>0</v>
      </c>
      <c r="D52" s="12">
        <v>0</v>
      </c>
      <c r="E52" s="12">
        <v>0</v>
      </c>
      <c r="F52" s="12">
        <v>0</v>
      </c>
      <c r="G52" s="12">
        <v>0</v>
      </c>
      <c r="H52" s="12">
        <v>0</v>
      </c>
      <c r="I52" s="12">
        <v>0</v>
      </c>
      <c r="J52" s="12">
        <v>0</v>
      </c>
      <c r="K52" s="12">
        <v>0</v>
      </c>
    </row>
    <row r="53" spans="1:11" x14ac:dyDescent="0.25">
      <c r="A53" s="2" t="s">
        <v>15</v>
      </c>
      <c r="B53" s="12">
        <v>0</v>
      </c>
      <c r="C53" s="12">
        <v>7.0716946538033343E-3</v>
      </c>
      <c r="D53" s="12">
        <v>0</v>
      </c>
      <c r="E53" s="12">
        <v>0</v>
      </c>
      <c r="F53" s="12">
        <v>0</v>
      </c>
      <c r="G53" s="12">
        <v>0</v>
      </c>
      <c r="H53" s="12">
        <v>0</v>
      </c>
      <c r="I53" s="12">
        <v>0</v>
      </c>
      <c r="J53" s="12">
        <v>0</v>
      </c>
      <c r="K53" s="12">
        <v>0</v>
      </c>
    </row>
    <row r="54" spans="1:11" x14ac:dyDescent="0.25">
      <c r="A54" s="2" t="s">
        <v>16</v>
      </c>
      <c r="B54" s="12">
        <v>0</v>
      </c>
      <c r="C54" s="12">
        <v>0</v>
      </c>
      <c r="D54" s="12">
        <v>3.8853621784907073E-3</v>
      </c>
      <c r="E54" s="12">
        <v>0</v>
      </c>
      <c r="F54" s="12">
        <v>0</v>
      </c>
      <c r="G54" s="12">
        <v>0</v>
      </c>
      <c r="H54" s="12">
        <v>0</v>
      </c>
      <c r="I54" s="12">
        <v>0</v>
      </c>
      <c r="J54" s="12">
        <v>0</v>
      </c>
      <c r="K54" s="12">
        <v>0</v>
      </c>
    </row>
    <row r="55" spans="1:11" x14ac:dyDescent="0.25">
      <c r="A55" s="2" t="s">
        <v>17</v>
      </c>
      <c r="B55" s="12">
        <v>0</v>
      </c>
      <c r="C55" s="12">
        <v>0</v>
      </c>
      <c r="D55" s="12">
        <v>0</v>
      </c>
      <c r="E55" s="12">
        <v>1.1674319631780589E-2</v>
      </c>
      <c r="F55" s="12">
        <v>0</v>
      </c>
      <c r="G55" s="12">
        <v>0</v>
      </c>
      <c r="H55" s="12">
        <v>0</v>
      </c>
      <c r="I55" s="12">
        <v>0</v>
      </c>
      <c r="J55" s="12">
        <v>0</v>
      </c>
      <c r="K55" s="12">
        <v>0</v>
      </c>
    </row>
    <row r="56" spans="1:11" x14ac:dyDescent="0.25">
      <c r="A56" s="2" t="s">
        <v>18</v>
      </c>
      <c r="B56" s="12">
        <v>0</v>
      </c>
      <c r="C56" s="12">
        <v>0</v>
      </c>
      <c r="D56" s="12">
        <v>0</v>
      </c>
      <c r="E56" s="12">
        <v>0</v>
      </c>
      <c r="F56" s="12">
        <v>7.5830810065696539E-3</v>
      </c>
      <c r="G56" s="12">
        <v>0</v>
      </c>
      <c r="H56" s="12">
        <v>0</v>
      </c>
      <c r="I56" s="12">
        <v>0</v>
      </c>
      <c r="J56" s="12">
        <v>0</v>
      </c>
      <c r="K56" s="12">
        <v>0</v>
      </c>
    </row>
    <row r="57" spans="1:11" x14ac:dyDescent="0.25">
      <c r="A57" s="2" t="s">
        <v>19</v>
      </c>
      <c r="B57" s="12">
        <v>0</v>
      </c>
      <c r="C57" s="12">
        <v>0</v>
      </c>
      <c r="D57" s="12">
        <v>0</v>
      </c>
      <c r="E57" s="12">
        <v>0</v>
      </c>
      <c r="F57" s="12">
        <v>0</v>
      </c>
      <c r="G57" s="12">
        <v>4.1345628849047671E-3</v>
      </c>
      <c r="H57" s="12">
        <v>0</v>
      </c>
      <c r="I57" s="12">
        <v>0</v>
      </c>
      <c r="J57" s="12">
        <v>0</v>
      </c>
      <c r="K57" s="12">
        <v>0</v>
      </c>
    </row>
    <row r="58" spans="1:11" x14ac:dyDescent="0.25">
      <c r="A58" s="2" t="s">
        <v>20</v>
      </c>
      <c r="B58" s="12">
        <v>0</v>
      </c>
      <c r="C58" s="12">
        <v>0</v>
      </c>
      <c r="D58" s="12">
        <v>0</v>
      </c>
      <c r="E58" s="12">
        <v>0</v>
      </c>
      <c r="F58" s="12">
        <v>0</v>
      </c>
      <c r="G58" s="12">
        <v>0</v>
      </c>
      <c r="H58" s="12">
        <v>9.1081696375982964E-3</v>
      </c>
      <c r="I58" s="12">
        <v>0</v>
      </c>
      <c r="J58" s="12">
        <v>0</v>
      </c>
      <c r="K58" s="12">
        <v>0</v>
      </c>
    </row>
    <row r="59" spans="1:11" x14ac:dyDescent="0.25">
      <c r="A59" s="2" t="s">
        <v>21</v>
      </c>
      <c r="B59" s="12">
        <v>0</v>
      </c>
      <c r="C59" s="12">
        <v>0</v>
      </c>
      <c r="D59" s="12">
        <v>0</v>
      </c>
      <c r="E59" s="12">
        <v>0</v>
      </c>
      <c r="F59" s="12">
        <v>0</v>
      </c>
      <c r="G59" s="12">
        <v>0</v>
      </c>
      <c r="H59" s="12">
        <v>0</v>
      </c>
      <c r="I59" s="12">
        <v>3.7510568952552801E-3</v>
      </c>
      <c r="J59" s="12">
        <v>0</v>
      </c>
      <c r="K59" s="12">
        <v>0</v>
      </c>
    </row>
    <row r="60" spans="1:11" x14ac:dyDescent="0.25">
      <c r="A60" s="2" t="s">
        <v>22</v>
      </c>
      <c r="B60" s="12">
        <v>0</v>
      </c>
      <c r="C60" s="12">
        <v>0</v>
      </c>
      <c r="D60" s="12">
        <v>0</v>
      </c>
      <c r="E60" s="12">
        <v>0</v>
      </c>
      <c r="F60" s="12">
        <v>0</v>
      </c>
      <c r="G60" s="12">
        <v>0</v>
      </c>
      <c r="H60" s="12">
        <v>0</v>
      </c>
      <c r="I60" s="12">
        <v>0</v>
      </c>
      <c r="J60" s="12">
        <v>6.5003166685241873E-3</v>
      </c>
      <c r="K60" s="12">
        <v>0</v>
      </c>
    </row>
    <row r="61" spans="1:11" x14ac:dyDescent="0.25">
      <c r="A61" s="2" t="s">
        <v>9</v>
      </c>
      <c r="B61" s="12">
        <v>0</v>
      </c>
      <c r="C61" s="12">
        <v>0</v>
      </c>
      <c r="D61" s="12">
        <v>0</v>
      </c>
      <c r="E61" s="12">
        <v>0</v>
      </c>
      <c r="F61" s="12">
        <v>0</v>
      </c>
      <c r="G61" s="12">
        <v>0</v>
      </c>
      <c r="H61" s="12">
        <v>0</v>
      </c>
      <c r="I61" s="12">
        <v>0</v>
      </c>
      <c r="J61" s="12">
        <v>0</v>
      </c>
      <c r="K61" s="12">
        <v>3.0644271279601479E-3</v>
      </c>
    </row>
  </sheetData>
  <mergeCells count="3">
    <mergeCell ref="A1:M1"/>
    <mergeCell ref="A9:K9"/>
    <mergeCell ref="A50:K50"/>
  </mergeCells>
  <phoneticPr fontId="1" type="noConversion"/>
  <conditionalFormatting sqref="B25:B34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2024-11-08T03:28:17Z</dcterms:modified>
</cp:coreProperties>
</file>