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3054AF7E-9054-47EB-AB07-1370F813ADE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7" i="1" l="1"/>
  <c r="J47" i="1"/>
  <c r="I47" i="1"/>
  <c r="H47" i="1"/>
  <c r="G47" i="1"/>
  <c r="F47" i="1"/>
  <c r="E47" i="1"/>
  <c r="D47" i="1"/>
  <c r="C47" i="1"/>
  <c r="B47" i="1"/>
  <c r="K46" i="1"/>
  <c r="J46" i="1"/>
  <c r="I46" i="1"/>
  <c r="H46" i="1"/>
  <c r="G46" i="1"/>
  <c r="F46" i="1"/>
  <c r="E46" i="1"/>
  <c r="D46" i="1"/>
  <c r="C46" i="1"/>
  <c r="B46" i="1"/>
  <c r="K45" i="1"/>
  <c r="J45" i="1"/>
  <c r="I45" i="1"/>
  <c r="H45" i="1"/>
  <c r="G45" i="1"/>
  <c r="F45" i="1"/>
  <c r="E45" i="1"/>
  <c r="D45" i="1"/>
  <c r="C45" i="1"/>
  <c r="B45" i="1"/>
  <c r="K44" i="1"/>
  <c r="J44" i="1"/>
  <c r="I44" i="1"/>
  <c r="H44" i="1"/>
  <c r="G44" i="1"/>
  <c r="F44" i="1"/>
  <c r="E44" i="1"/>
  <c r="D44" i="1"/>
  <c r="C44" i="1"/>
  <c r="B44" i="1"/>
  <c r="K43" i="1"/>
  <c r="J43" i="1"/>
  <c r="I43" i="1"/>
  <c r="H43" i="1"/>
  <c r="G43" i="1"/>
  <c r="F43" i="1"/>
  <c r="E43" i="1"/>
  <c r="D43" i="1"/>
  <c r="C43" i="1"/>
  <c r="B43" i="1"/>
  <c r="K42" i="1"/>
  <c r="J42" i="1"/>
  <c r="I42" i="1"/>
  <c r="H42" i="1"/>
  <c r="G42" i="1"/>
  <c r="F42" i="1"/>
  <c r="E42" i="1"/>
  <c r="D42" i="1"/>
  <c r="C42" i="1"/>
  <c r="B42" i="1"/>
  <c r="K41" i="1"/>
  <c r="J41" i="1"/>
  <c r="I41" i="1"/>
  <c r="H41" i="1"/>
  <c r="G41" i="1"/>
  <c r="F41" i="1"/>
  <c r="E41" i="1"/>
  <c r="D41" i="1"/>
  <c r="C41" i="1"/>
  <c r="B41" i="1"/>
  <c r="K40" i="1"/>
  <c r="J40" i="1"/>
  <c r="I40" i="1"/>
  <c r="H40" i="1"/>
  <c r="G40" i="1"/>
  <c r="F40" i="1"/>
  <c r="E40" i="1"/>
  <c r="D40" i="1"/>
  <c r="C40" i="1"/>
  <c r="B40" i="1"/>
  <c r="K39" i="1"/>
  <c r="J39" i="1"/>
  <c r="I39" i="1"/>
  <c r="H39" i="1"/>
  <c r="G39" i="1"/>
  <c r="F39" i="1"/>
  <c r="E39" i="1"/>
  <c r="D39" i="1"/>
  <c r="C39" i="1"/>
  <c r="B39" i="1"/>
  <c r="K38" i="1"/>
  <c r="J38" i="1"/>
  <c r="I38" i="1"/>
  <c r="H38" i="1"/>
  <c r="G38" i="1"/>
  <c r="F38" i="1"/>
  <c r="E38" i="1"/>
  <c r="D38" i="1"/>
  <c r="C38" i="1"/>
  <c r="B38" i="1"/>
  <c r="L24" i="1" a="1"/>
  <c r="L31" i="1" s="1"/>
  <c r="B3" i="1"/>
  <c r="A24" i="1" s="1" a="1"/>
  <c r="B2" i="1"/>
  <c r="B48" i="1"/>
  <c r="F27" i="1"/>
  <c r="E24" i="1"/>
  <c r="C2" i="1"/>
  <c r="A24" i="1" l="1"/>
  <c r="A32" i="1"/>
  <c r="A31" i="1"/>
  <c r="A30" i="1"/>
  <c r="A29" i="1"/>
  <c r="A28" i="1"/>
  <c r="A27" i="1"/>
  <c r="A33" i="1"/>
  <c r="A26" i="1"/>
  <c r="A25" i="1"/>
  <c r="L33" i="1"/>
  <c r="L24" i="1"/>
  <c r="L25" i="1"/>
  <c r="L26" i="1"/>
  <c r="L27" i="1"/>
  <c r="L29" i="1"/>
  <c r="L28" i="1"/>
  <c r="L30" i="1"/>
  <c r="L32" i="1"/>
  <c r="D24" i="1" l="1" a="1"/>
  <c r="D26" i="1" s="1"/>
  <c r="D33" i="1" l="1"/>
  <c r="D28" i="1"/>
  <c r="D27" i="1"/>
  <c r="D25" i="1"/>
  <c r="D30" i="1"/>
  <c r="D31" i="1"/>
  <c r="D29" i="1"/>
  <c r="D32" i="1"/>
  <c r="D24" i="1"/>
  <c r="J24" i="1" s="1" a="1"/>
  <c r="J26" i="1" s="1"/>
  <c r="J24" i="1" l="1"/>
  <c r="J25" i="1"/>
  <c r="J29" i="1"/>
  <c r="J30" i="1"/>
  <c r="J31" i="1"/>
  <c r="J33" i="1"/>
  <c r="J32" i="1"/>
  <c r="J27" i="1"/>
  <c r="J28" i="1"/>
</calcChain>
</file>

<file path=xl/sharedStrings.xml><?xml version="1.0" encoding="utf-8"?>
<sst xmlns="http://schemas.openxmlformats.org/spreadsheetml/2006/main" count="82" uniqueCount="31">
  <si>
    <r>
      <t xml:space="preserve">ADJUSTING THE BENCHMARK FOR AN ANALYST'S OPINION
</t>
    </r>
    <r>
      <rPr>
        <b/>
        <sz val="12"/>
        <rFont val="Arial"/>
        <family val="2"/>
      </rPr>
      <t>In this example the only opinion is about GM</t>
    </r>
  </si>
  <si>
    <t>Anticipated benchmark return</t>
  </si>
  <si>
    <t>Current t-bill rate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</si>
  <si>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</si>
  <si>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</si>
  <si>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</si>
  <si>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</si>
  <si>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</si>
  <si>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</si>
  <si>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</si>
  <si>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</si>
  <si>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</si>
  <si>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</si>
  <si>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Market cap (billion $)</t>
  </si>
  <si>
    <t>Benchmark proportions</t>
  </si>
  <si>
    <t>Variance-covariance matrix</t>
  </si>
  <si>
    <t>GM</t>
  </si>
  <si>
    <t>HD</t>
  </si>
  <si>
    <t>IP</t>
  </si>
  <si>
    <t>HPQ</t>
  </si>
  <si>
    <t>MO</t>
  </si>
  <si>
    <t>AXP</t>
  </si>
  <si>
    <t>AA</t>
  </si>
  <si>
    <t>DD</t>
  </si>
  <si>
    <t>MRK</t>
  </si>
  <si>
    <t>Expected benchmark returns, no opinions</t>
  </si>
  <si>
    <t>Analyst
opinion,
delta</t>
  </si>
  <si>
    <t>Returns
adjusted for opinions</t>
  </si>
  <si>
    <t>Optimized 
benchmark proportions</t>
  </si>
  <si>
    <t>Portfolio
benchmark, no opinions</t>
  </si>
  <si>
    <r>
      <t>Tracking factors:  in each row i Cov(r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,r</t>
    </r>
    <r>
      <rPr>
        <b/>
        <vertAlign val="subscript"/>
        <sz val="10"/>
        <rFont val="Arial"/>
        <family val="2"/>
      </rPr>
      <t>j</t>
    </r>
    <r>
      <rPr>
        <b/>
        <sz val="10"/>
        <rFont val="Arial"/>
        <family val="2"/>
      </rPr>
      <t>) is divided by Var(r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</si>
</sst>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vertAlign val="subscript"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2" borderId="0" xfId="0" applyFill="1" applyAlignment="1"/>
    <xf numFmtId="10" fontId="2" fillId="2" borderId="0" xfId="1" applyNumberFormat="1" applyFill="1" applyAlignment="1"/>
    <xf numFmtId="0" fontId="0" fillId="0" borderId="0" xfId="0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0" fontId="2" fillId="0" borderId="0" xfId="1" applyNumberFormat="1" applyAlignment="1"/>
    <xf numFmtId="0" fontId="5" fillId="0" borderId="0" xfId="0" applyFont="1" applyAlignment="1"/>
    <xf numFmtId="176" fontId="0" fillId="0" borderId="0" xfId="0" applyNumberFormat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0" fontId="2" fillId="0" borderId="0" xfId="1" applyNumberFormat="1" applyAlignment="1">
      <alignment horizontal="center"/>
    </xf>
    <xf numFmtId="10" fontId="0" fillId="2" borderId="0" xfId="1" applyNumberFormat="1" applyFont="1" applyFill="1" applyAlignment="1"/>
    <xf numFmtId="10" fontId="0" fillId="0" borderId="0" xfId="1" applyNumberFormat="1" applyFont="1" applyAlignment="1"/>
    <xf numFmtId="0" fontId="0" fillId="4" borderId="0" xfId="0" applyFill="1" applyAlignment="1">
      <alignment horizontal="center" vertical="center" wrapText="1"/>
    </xf>
    <xf numFmtId="10" fontId="0" fillId="4" borderId="0" xfId="0" applyNumberFormat="1" applyFill="1" applyAlignment="1"/>
    <xf numFmtId="10" fontId="0" fillId="4" borderId="0" xfId="1" applyNumberFormat="1" applyFont="1" applyFill="1" applyAlignment="1"/>
    <xf numFmtId="0" fontId="3" fillId="0" borderId="0" xfId="0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25</xdr:row>
      <xdr:rowOff>99060</xdr:rowOff>
    </xdr:from>
    <xdr:to>
      <xdr:col>9</xdr:col>
      <xdr:colOff>19050</xdr:colOff>
      <xdr:row>33</xdr:row>
      <xdr:rowOff>19050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CC3D15D7-88F0-4F0B-BADA-35452D6E8E64}"/>
            </a:ext>
          </a:extLst>
        </xdr:cNvPr>
        <xdr:cNvSpPr txBox="1">
          <a:spLocks noChangeArrowheads="1"/>
        </xdr:cNvSpPr>
      </xdr:nvSpPr>
      <xdr:spPr bwMode="auto">
        <a:xfrm>
          <a:off x="5381625" y="5429250"/>
          <a:ext cx="154305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7620</xdr:colOff>
      <xdr:row>28</xdr:row>
      <xdr:rowOff>0</xdr:rowOff>
    </xdr:from>
    <xdr:to>
      <xdr:col>8</xdr:col>
      <xdr:colOff>480060</xdr:colOff>
      <xdr:row>29</xdr:row>
      <xdr:rowOff>68580</xdr:rowOff>
    </xdr:to>
    <xdr:sp macro="" textlink="">
      <xdr:nvSpPr>
        <xdr:cNvPr id="3" name="Line 8">
          <a:extLst>
            <a:ext uri="{FF2B5EF4-FFF2-40B4-BE49-F238E27FC236}">
              <a16:creationId xmlns:a16="http://schemas.microsoft.com/office/drawing/2014/main" id="{2BDB5A5B-2D5F-4742-971C-E9F98BD263D4}"/>
            </a:ext>
          </a:extLst>
        </xdr:cNvPr>
        <xdr:cNvSpPr>
          <a:spLocks noChangeShapeType="1"/>
        </xdr:cNvSpPr>
      </xdr:nvSpPr>
      <xdr:spPr bwMode="auto">
        <a:xfrm flipV="1">
          <a:off x="6305550" y="5848350"/>
          <a:ext cx="466725" cy="238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</xdr:col>
      <xdr:colOff>133350</xdr:colOff>
      <xdr:row>0</xdr:row>
      <xdr:rowOff>180975</xdr:rowOff>
    </xdr:from>
    <xdr:to>
      <xdr:col>28</xdr:col>
      <xdr:colOff>57150</xdr:colOff>
      <xdr:row>46</xdr:row>
      <xdr:rowOff>142875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1119014B-2127-A977-AD0E-67C3E3FA7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801225" y="180975"/>
          <a:ext cx="9067800" cy="8972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/>
      <sheetData sheetId="1"/>
      <sheetData sheetId="2"/>
      <sheetData sheetId="3"/>
      <sheetData sheetId="4">
        <row r="19">
          <cell r="B19">
            <v>4.0249999999999999E-3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L48"/>
  <sheetViews>
    <sheetView tabSelected="1" workbookViewId="0">
      <selection activeCell="D24" sqref="D24"/>
    </sheetView>
  </sheetViews>
  <sheetFormatPr defaultRowHeight="13.8" x14ac:dyDescent="0.25"/>
  <cols>
    <col min="1" max="1" width="25.5546875" style="3" customWidth="1"/>
    <col min="2" max="2" width="9.33203125" style="3" bestFit="1" customWidth="1"/>
    <col min="3" max="3" width="8.88671875" style="3"/>
    <col min="4" max="4" width="12.5546875" style="3" customWidth="1"/>
    <col min="5" max="9" width="8.88671875" style="3"/>
    <col min="10" max="10" width="11.109375" style="3" customWidth="1"/>
    <col min="11" max="11" width="8.88671875" style="3"/>
    <col min="12" max="12" width="11.33203125" style="3" customWidth="1"/>
  </cols>
  <sheetData>
    <row r="1" spans="1:12" ht="17.399999999999999" x14ac:dyDescent="0.25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x14ac:dyDescent="0.25">
      <c r="A2" s="1" t="s">
        <v>1</v>
      </c>
      <c r="B2" s="2">
        <f>12%/12</f>
        <v>0.01</v>
      </c>
      <c r="C2" s="3" t="str">
        <f ca="1">[1]!getformula(B2)</f>
        <v>&lt;--  =12%/12</v>
      </c>
    </row>
    <row r="3" spans="1:12" x14ac:dyDescent="0.25">
      <c r="A3" s="3" t="s">
        <v>2</v>
      </c>
      <c r="B3" s="4">
        <f>'[2]Page 353'!B19</f>
        <v>4.0249999999999999E-3</v>
      </c>
    </row>
    <row r="4" spans="1:12" x14ac:dyDescent="0.25">
      <c r="B4" s="4"/>
    </row>
    <row r="5" spans="1:12" ht="55.2" x14ac:dyDescent="0.25">
      <c r="A5" s="5"/>
      <c r="B5" s="6" t="s">
        <v>3</v>
      </c>
      <c r="C5" s="6" t="s">
        <v>4</v>
      </c>
      <c r="D5" s="6" t="s">
        <v>5</v>
      </c>
      <c r="E5" s="6" t="s">
        <v>6</v>
      </c>
      <c r="F5" s="6" t="s">
        <v>7</v>
      </c>
      <c r="G5" s="6" t="s">
        <v>8</v>
      </c>
      <c r="H5" s="6" t="s">
        <v>9</v>
      </c>
      <c r="I5" s="6" t="s">
        <v>10</v>
      </c>
      <c r="J5" s="6" t="s">
        <v>11</v>
      </c>
      <c r="K5" s="5" t="s">
        <v>12</v>
      </c>
      <c r="L5" s="5"/>
    </row>
    <row r="6" spans="1:12" x14ac:dyDescent="0.25">
      <c r="A6" s="3" t="s">
        <v>13</v>
      </c>
      <c r="B6" s="3">
        <v>16.850000000000001</v>
      </c>
      <c r="C6" s="3">
        <v>73.98</v>
      </c>
      <c r="D6" s="3">
        <v>15.92</v>
      </c>
      <c r="E6" s="3">
        <v>88.37</v>
      </c>
      <c r="F6" s="3">
        <v>153.33000000000001</v>
      </c>
      <c r="G6" s="3">
        <v>65.66</v>
      </c>
      <c r="H6" s="3">
        <v>28.16</v>
      </c>
      <c r="I6" s="3">
        <v>38.32</v>
      </c>
      <c r="J6" s="3">
        <v>79.510000000000005</v>
      </c>
      <c r="K6" s="3">
        <v>60.9</v>
      </c>
    </row>
    <row r="7" spans="1:12" x14ac:dyDescent="0.25">
      <c r="A7" s="3" t="s">
        <v>14</v>
      </c>
      <c r="B7" s="7">
        <v>2.7133655394524961E-2</v>
      </c>
      <c r="C7" s="7">
        <v>0.11913043478260871</v>
      </c>
      <c r="D7" s="7">
        <v>2.5636070853462159E-2</v>
      </c>
      <c r="E7" s="7">
        <v>0.14230273752012884</v>
      </c>
      <c r="F7" s="7">
        <v>0.2469082125603865</v>
      </c>
      <c r="G7" s="7">
        <v>0.10573268921095008</v>
      </c>
      <c r="H7" s="7">
        <v>4.5346215780998393E-2</v>
      </c>
      <c r="I7" s="7">
        <v>6.1706924315619971E-2</v>
      </c>
      <c r="J7" s="7">
        <v>0.1280354267310789</v>
      </c>
      <c r="K7" s="7">
        <v>9.8067632850241546E-2</v>
      </c>
    </row>
    <row r="9" spans="1:12" x14ac:dyDescent="0.25">
      <c r="A9" s="8" t="s">
        <v>15</v>
      </c>
    </row>
    <row r="10" spans="1:12" x14ac:dyDescent="0.25">
      <c r="B10" s="5" t="s">
        <v>16</v>
      </c>
      <c r="C10" s="5" t="s">
        <v>17</v>
      </c>
      <c r="D10" s="5" t="s">
        <v>18</v>
      </c>
      <c r="E10" s="5" t="s">
        <v>19</v>
      </c>
      <c r="F10" s="5" t="s">
        <v>20</v>
      </c>
      <c r="G10" s="5" t="s">
        <v>21</v>
      </c>
      <c r="H10" s="5" t="s">
        <v>22</v>
      </c>
      <c r="I10" s="5" t="s">
        <v>23</v>
      </c>
      <c r="J10" s="5" t="s">
        <v>24</v>
      </c>
      <c r="K10" s="5" t="s">
        <v>12</v>
      </c>
    </row>
    <row r="11" spans="1:12" x14ac:dyDescent="0.25">
      <c r="A11" s="3" t="s">
        <v>16</v>
      </c>
      <c r="B11" s="9">
        <v>1.1630755835291622E-2</v>
      </c>
      <c r="C11" s="9">
        <v>3.0106683614829358E-3</v>
      </c>
      <c r="D11" s="9">
        <v>2.3254503474852994E-3</v>
      </c>
      <c r="E11" s="9">
        <v>4.1175401193825735E-3</v>
      </c>
      <c r="F11" s="9">
        <v>1.3411074854054656E-3</v>
      </c>
      <c r="G11" s="9">
        <v>3.2427581083806453E-3</v>
      </c>
      <c r="H11" s="9">
        <v>4.559475130716641E-3</v>
      </c>
      <c r="I11" s="9">
        <v>1.8080469614764566E-3</v>
      </c>
      <c r="J11" s="9">
        <v>9.6430272616627988E-4</v>
      </c>
      <c r="K11" s="9">
        <v>1.3596622377221395E-3</v>
      </c>
    </row>
    <row r="12" spans="1:12" x14ac:dyDescent="0.25">
      <c r="A12" s="3" t="s">
        <v>17</v>
      </c>
      <c r="B12" s="9">
        <v>3.0106683614829358E-3</v>
      </c>
      <c r="C12" s="9">
        <v>7.0716946538033343E-3</v>
      </c>
      <c r="D12" s="9">
        <v>1.8408350197988616E-3</v>
      </c>
      <c r="E12" s="9">
        <v>4.196014186426276E-3</v>
      </c>
      <c r="F12" s="9">
        <v>2.2059132808523074E-3</v>
      </c>
      <c r="G12" s="9">
        <v>3.2774690093504469E-3</v>
      </c>
      <c r="H12" s="9">
        <v>4.5086534769155561E-3</v>
      </c>
      <c r="I12" s="9">
        <v>2.0041251959796755E-3</v>
      </c>
      <c r="J12" s="9">
        <v>1.7652868895021674E-4</v>
      </c>
      <c r="K12" s="9">
        <v>1.7687500013320796E-3</v>
      </c>
    </row>
    <row r="13" spans="1:12" x14ac:dyDescent="0.25">
      <c r="A13" s="3" t="s">
        <v>18</v>
      </c>
      <c r="B13" s="9">
        <v>2.3254503474852994E-3</v>
      </c>
      <c r="C13" s="9">
        <v>1.8408350197988616E-3</v>
      </c>
      <c r="D13" s="9">
        <v>3.8853621784907073E-3</v>
      </c>
      <c r="E13" s="9">
        <v>3.0848858735654937E-3</v>
      </c>
      <c r="F13" s="9">
        <v>8.6136587955860312E-5</v>
      </c>
      <c r="G13" s="9">
        <v>2.3133685203074361E-3</v>
      </c>
      <c r="H13" s="9">
        <v>4.271744661217867E-3</v>
      </c>
      <c r="I13" s="9">
        <v>2.0614465225272187E-3</v>
      </c>
      <c r="J13" s="9">
        <v>1.1872571082164032E-3</v>
      </c>
      <c r="K13" s="9">
        <v>1.5786001791508973E-3</v>
      </c>
    </row>
    <row r="14" spans="1:12" x14ac:dyDescent="0.25">
      <c r="A14" s="3" t="s">
        <v>19</v>
      </c>
      <c r="B14" s="9">
        <v>4.1175401193825735E-3</v>
      </c>
      <c r="C14" s="9">
        <v>4.196014186426276E-3</v>
      </c>
      <c r="D14" s="9">
        <v>3.0848858735654937E-3</v>
      </c>
      <c r="E14" s="9">
        <v>1.1674319631780589E-2</v>
      </c>
      <c r="F14" s="9">
        <v>2.5236843308274301E-3</v>
      </c>
      <c r="G14" s="9">
        <v>4.839193201553617E-3</v>
      </c>
      <c r="H14" s="9">
        <v>5.9502249563246961E-3</v>
      </c>
      <c r="I14" s="9">
        <v>3.2585757875472402E-3</v>
      </c>
      <c r="J14" s="9">
        <v>1.9441355040393943E-3</v>
      </c>
      <c r="K14" s="9">
        <v>2.1927935111878674E-3</v>
      </c>
    </row>
    <row r="15" spans="1:12" x14ac:dyDescent="0.25">
      <c r="A15" s="3" t="s">
        <v>20</v>
      </c>
      <c r="B15" s="9">
        <v>1.3411074854054656E-3</v>
      </c>
      <c r="C15" s="9">
        <v>2.2059132808523074E-3</v>
      </c>
      <c r="D15" s="9">
        <v>8.6136587955860312E-5</v>
      </c>
      <c r="E15" s="9">
        <v>2.5236843308274301E-3</v>
      </c>
      <c r="F15" s="9">
        <v>7.5830810065696539E-3</v>
      </c>
      <c r="G15" s="9">
        <v>1.5895671876165788E-3</v>
      </c>
      <c r="H15" s="9">
        <v>1.7826241201490873E-3</v>
      </c>
      <c r="I15" s="9">
        <v>8.784547863925602E-4</v>
      </c>
      <c r="J15" s="9">
        <v>6.7072087604358205E-4</v>
      </c>
      <c r="K15" s="9">
        <v>7.9299183805396536E-4</v>
      </c>
    </row>
    <row r="16" spans="1:12" x14ac:dyDescent="0.25">
      <c r="A16" s="3" t="s">
        <v>21</v>
      </c>
      <c r="B16" s="9">
        <v>3.2427581083806453E-3</v>
      </c>
      <c r="C16" s="9">
        <v>3.2774690093504469E-3</v>
      </c>
      <c r="D16" s="9">
        <v>2.3133685203074361E-3</v>
      </c>
      <c r="E16" s="9">
        <v>4.839193201553617E-3</v>
      </c>
      <c r="F16" s="9">
        <v>1.5895671876165788E-3</v>
      </c>
      <c r="G16" s="9">
        <v>4.1345628849047671E-3</v>
      </c>
      <c r="H16" s="9">
        <v>3.702960928765384E-3</v>
      </c>
      <c r="I16" s="9">
        <v>1.911867127129391E-3</v>
      </c>
      <c r="J16" s="9">
        <v>1.0567018841059934E-3</v>
      </c>
      <c r="K16" s="9">
        <v>1.3520266691952857E-3</v>
      </c>
    </row>
    <row r="17" spans="1:12" x14ac:dyDescent="0.25">
      <c r="A17" s="3" t="s">
        <v>22</v>
      </c>
      <c r="B17" s="9">
        <v>4.559475130716641E-3</v>
      </c>
      <c r="C17" s="9">
        <v>4.5086534769155561E-3</v>
      </c>
      <c r="D17" s="9">
        <v>4.271744661217867E-3</v>
      </c>
      <c r="E17" s="9">
        <v>5.9502249563246961E-3</v>
      </c>
      <c r="F17" s="9">
        <v>1.7826241201490873E-3</v>
      </c>
      <c r="G17" s="9">
        <v>3.702960928765384E-3</v>
      </c>
      <c r="H17" s="9">
        <v>9.1081696375982964E-3</v>
      </c>
      <c r="I17" s="9">
        <v>4.0112393583086482E-3</v>
      </c>
      <c r="J17" s="9">
        <v>1.7649074734528689E-3</v>
      </c>
      <c r="K17" s="9">
        <v>2.3907803994895555E-3</v>
      </c>
    </row>
    <row r="18" spans="1:12" x14ac:dyDescent="0.25">
      <c r="A18" s="3" t="s">
        <v>23</v>
      </c>
      <c r="B18" s="9">
        <v>1.8080469614764566E-3</v>
      </c>
      <c r="C18" s="9">
        <v>2.0041251959796755E-3</v>
      </c>
      <c r="D18" s="9">
        <v>2.0614465225272187E-3</v>
      </c>
      <c r="E18" s="9">
        <v>3.2585757875472402E-3</v>
      </c>
      <c r="F18" s="9">
        <v>8.784547863925602E-4</v>
      </c>
      <c r="G18" s="9">
        <v>1.911867127129391E-3</v>
      </c>
      <c r="H18" s="9">
        <v>4.0112393583086482E-3</v>
      </c>
      <c r="I18" s="9">
        <v>3.7510568952552801E-3</v>
      </c>
      <c r="J18" s="9">
        <v>1.6231720667958919E-3</v>
      </c>
      <c r="K18" s="9">
        <v>1.9005432720251786E-3</v>
      </c>
    </row>
    <row r="19" spans="1:12" x14ac:dyDescent="0.25">
      <c r="A19" s="3" t="s">
        <v>24</v>
      </c>
      <c r="B19" s="9">
        <v>9.6430272616627988E-4</v>
      </c>
      <c r="C19" s="9">
        <v>1.7652868895021674E-4</v>
      </c>
      <c r="D19" s="9">
        <v>1.1872571082164032E-3</v>
      </c>
      <c r="E19" s="9">
        <v>1.9441355040393943E-3</v>
      </c>
      <c r="F19" s="9">
        <v>6.7072087604358205E-4</v>
      </c>
      <c r="G19" s="9">
        <v>1.0567018841059934E-3</v>
      </c>
      <c r="H19" s="9">
        <v>1.7649074734528689E-3</v>
      </c>
      <c r="I19" s="9">
        <v>1.6231720667958919E-3</v>
      </c>
      <c r="J19" s="9">
        <v>6.5003166685241873E-3</v>
      </c>
      <c r="K19" s="9">
        <v>4.814275272394565E-4</v>
      </c>
    </row>
    <row r="20" spans="1:12" x14ac:dyDescent="0.25">
      <c r="A20" s="3" t="s">
        <v>12</v>
      </c>
      <c r="B20" s="9">
        <v>1.3596622377221395E-3</v>
      </c>
      <c r="C20" s="9">
        <v>1.7687500013320796E-3</v>
      </c>
      <c r="D20" s="9">
        <v>1.5786001791508973E-3</v>
      </c>
      <c r="E20" s="9">
        <v>2.1927935111878674E-3</v>
      </c>
      <c r="F20" s="9">
        <v>7.9299183805396536E-4</v>
      </c>
      <c r="G20" s="9">
        <v>1.3520266691952857E-3</v>
      </c>
      <c r="H20" s="9">
        <v>2.3907803994895555E-3</v>
      </c>
      <c r="I20" s="9">
        <v>1.9005432720251786E-3</v>
      </c>
      <c r="J20" s="9">
        <v>4.814275272394565E-4</v>
      </c>
      <c r="K20" s="9">
        <v>3.0644271279601479E-3</v>
      </c>
    </row>
    <row r="23" spans="1:12" ht="54" customHeight="1" x14ac:dyDescent="0.25">
      <c r="A23" s="10" t="s">
        <v>25</v>
      </c>
      <c r="B23" s="15" t="s">
        <v>26</v>
      </c>
      <c r="C23" s="11"/>
      <c r="D23" s="10" t="s">
        <v>27</v>
      </c>
      <c r="E23" s="11"/>
      <c r="F23" s="11"/>
      <c r="G23" s="11"/>
      <c r="H23" s="11"/>
      <c r="I23" s="11"/>
      <c r="J23" s="10" t="s">
        <v>28</v>
      </c>
      <c r="K23" s="10"/>
      <c r="L23" s="10" t="s">
        <v>29</v>
      </c>
    </row>
    <row r="24" spans="1:12" x14ac:dyDescent="0.25">
      <c r="A24" s="12">
        <f t="array" ref="A24:A33">(MMULT(B11:K20,TRANSPOSE(B7:K7))*(B2-B3)/MMULT(B7:K7,MMULT(B11:K20,TRANSPOSE(B7:K7))))+B3</f>
        <v>9.569555680628946E-3</v>
      </c>
      <c r="B24" s="16">
        <v>1.4E-3</v>
      </c>
      <c r="C24" s="5" t="s">
        <v>16</v>
      </c>
      <c r="D24" s="13">
        <f t="array" ref="D24:D33">A24:A33+MMULT(B38:K47,B24:B33)</f>
        <v>1.0969555680628946E-2</v>
      </c>
      <c r="E24" s="3" t="str">
        <f ca="1">[1]!getformula(D24)</f>
        <v>&lt;--  {=A24:A33+MMULT(B38:K47,B24:B33)}</v>
      </c>
      <c r="J24" s="13">
        <f t="array" ref="J24:J33">MMULT(MINVERSE(B11:K20),D24:D33-B3)/SUM(MMULT(MINVERSE(B11:K20),D24:D33-B3))</f>
        <v>5.1891419136130552E-2</v>
      </c>
      <c r="K24" s="5" t="s">
        <v>16</v>
      </c>
      <c r="L24" s="14">
        <f t="array" ref="L24:L33">TRANSPOSE(B7:K7)</f>
        <v>2.7133655394524961E-2</v>
      </c>
    </row>
    <row r="25" spans="1:12" x14ac:dyDescent="0.25">
      <c r="A25" s="12">
        <v>1.0465017543034114E-2</v>
      </c>
      <c r="B25" s="17">
        <v>0</v>
      </c>
      <c r="C25" s="5" t="s">
        <v>17</v>
      </c>
      <c r="D25" s="13">
        <v>1.1061046629755104E-2</v>
      </c>
      <c r="J25" s="13">
        <v>8.2268062052244587E-2</v>
      </c>
      <c r="K25" s="5" t="s">
        <v>17</v>
      </c>
      <c r="L25" s="14">
        <v>0.11913043478260871</v>
      </c>
    </row>
    <row r="26" spans="1:12" x14ac:dyDescent="0.25">
      <c r="A26" s="12">
        <v>7.7256329954965919E-3</v>
      </c>
      <c r="B26" s="17">
        <v>0</v>
      </c>
      <c r="C26" s="5" t="s">
        <v>18</v>
      </c>
      <c r="D26" s="13">
        <v>8.5635550055739359E-3</v>
      </c>
      <c r="J26" s="13">
        <v>7.5979308816585489E-2</v>
      </c>
      <c r="K26" s="5" t="s">
        <v>18</v>
      </c>
      <c r="L26" s="14">
        <v>2.5636070853462159E-2</v>
      </c>
    </row>
    <row r="27" spans="1:12" x14ac:dyDescent="0.25">
      <c r="A27" s="12">
        <v>1.3568233600962151E-2</v>
      </c>
      <c r="B27" s="17">
        <v>0</v>
      </c>
      <c r="C27" s="5" t="s">
        <v>19</v>
      </c>
      <c r="D27" s="13">
        <v>1.4062014510595886E-2</v>
      </c>
      <c r="F27" s="19" t="str">
        <f ca="1">"Cells "&amp;CHAR(COLUMN(J24)+64)&amp;ROW(J24)&amp;":"&amp;CHAR(COLUMN(J33)+64)&amp;ROW(J33)&amp;" contain the array formula "&amp;[1]!ggetformula(J24)</f>
        <v>Cells J24:J33 contain the array formula  {=MMULT(MINVERSE(B11:K20),D24:D33-B3)/SUM(MMULT(MINVERSE(B11:K20),D24:D33-B3))}</v>
      </c>
      <c r="G27" s="19"/>
      <c r="H27" s="19"/>
      <c r="J27" s="13">
        <v>6.5981493385165596E-2</v>
      </c>
      <c r="K27" s="5" t="s">
        <v>19</v>
      </c>
      <c r="L27" s="14">
        <v>0.14230273752012884</v>
      </c>
    </row>
    <row r="28" spans="1:12" x14ac:dyDescent="0.25">
      <c r="A28" s="12">
        <v>1.0499082035422068E-2</v>
      </c>
      <c r="B28" s="17">
        <v>0</v>
      </c>
      <c r="C28" s="5" t="s">
        <v>20</v>
      </c>
      <c r="D28" s="13">
        <v>1.0746679348168829E-2</v>
      </c>
      <c r="F28" s="19"/>
      <c r="G28" s="19"/>
      <c r="H28" s="19"/>
      <c r="J28" s="13">
        <v>0.20719059898311429</v>
      </c>
      <c r="K28" s="5" t="s">
        <v>20</v>
      </c>
      <c r="L28" s="14">
        <v>0.2469082125603865</v>
      </c>
    </row>
    <row r="29" spans="1:12" x14ac:dyDescent="0.25">
      <c r="A29" s="12">
        <v>9.65774130902676E-3</v>
      </c>
      <c r="B29" s="17">
        <v>0</v>
      </c>
      <c r="C29" s="5" t="s">
        <v>21</v>
      </c>
      <c r="D29" s="13">
        <v>1.0755768229431787E-2</v>
      </c>
      <c r="F29" s="19"/>
      <c r="G29" s="19"/>
      <c r="H29" s="19"/>
      <c r="J29" s="13">
        <v>0.22174700359370281</v>
      </c>
      <c r="K29" s="5" t="s">
        <v>21</v>
      </c>
      <c r="L29" s="14">
        <v>0.10573268921095008</v>
      </c>
    </row>
    <row r="30" spans="1:12" x14ac:dyDescent="0.25">
      <c r="A30" s="12">
        <v>1.1729586575864329E-2</v>
      </c>
      <c r="B30" s="17">
        <v>0</v>
      </c>
      <c r="C30" s="5" t="s">
        <v>22</v>
      </c>
      <c r="D30" s="13">
        <v>1.2430415110793382E-2</v>
      </c>
      <c r="F30" s="19"/>
      <c r="G30" s="19"/>
      <c r="H30" s="19"/>
      <c r="J30" s="13">
        <v>-1.9777868534913728E-2</v>
      </c>
      <c r="K30" s="5" t="s">
        <v>22</v>
      </c>
      <c r="L30" s="14">
        <v>4.5346215780998393E-2</v>
      </c>
    </row>
    <row r="31" spans="1:12" x14ac:dyDescent="0.25">
      <c r="A31" s="12">
        <v>8.4084879918391725E-3</v>
      </c>
      <c r="B31" s="17">
        <v>0</v>
      </c>
      <c r="C31" s="5" t="s">
        <v>23</v>
      </c>
      <c r="D31" s="13">
        <v>9.0833020020635556E-3</v>
      </c>
      <c r="F31" s="19"/>
      <c r="G31" s="19"/>
      <c r="H31" s="19"/>
      <c r="J31" s="13">
        <v>0.10672867752062905</v>
      </c>
      <c r="K31" s="5" t="s">
        <v>23</v>
      </c>
      <c r="L31" s="14">
        <v>6.1706924315619971E-2</v>
      </c>
    </row>
    <row r="32" spans="1:12" x14ac:dyDescent="0.25">
      <c r="A32" s="12">
        <v>7.6753599960958175E-3</v>
      </c>
      <c r="B32" s="17">
        <v>0</v>
      </c>
      <c r="C32" s="5" t="s">
        <v>24</v>
      </c>
      <c r="D32" s="13">
        <v>7.8830458497973575E-3</v>
      </c>
      <c r="F32" s="19"/>
      <c r="G32" s="19"/>
      <c r="H32" s="19"/>
      <c r="J32" s="13">
        <v>9.5414924739040133E-2</v>
      </c>
      <c r="K32" s="5" t="s">
        <v>24</v>
      </c>
      <c r="L32" s="14">
        <v>0.1280354267310789</v>
      </c>
    </row>
    <row r="33" spans="1:12" x14ac:dyDescent="0.25">
      <c r="A33" s="12">
        <v>7.3201358684277396E-3</v>
      </c>
      <c r="B33" s="17">
        <v>0</v>
      </c>
      <c r="C33" s="5" t="s">
        <v>12</v>
      </c>
      <c r="D33" s="13">
        <v>7.9413048678283193E-3</v>
      </c>
      <c r="F33" s="19"/>
      <c r="G33" s="19"/>
      <c r="H33" s="19"/>
      <c r="J33" s="13">
        <v>0.11257638030830136</v>
      </c>
      <c r="K33" s="5" t="s">
        <v>12</v>
      </c>
      <c r="L33" s="14">
        <v>9.8067632850241546E-2</v>
      </c>
    </row>
    <row r="36" spans="1:12" ht="15.6" x14ac:dyDescent="0.35">
      <c r="A36" s="8" t="s">
        <v>30</v>
      </c>
    </row>
    <row r="37" spans="1:12" x14ac:dyDescent="0.25">
      <c r="B37" s="5" t="s">
        <v>16</v>
      </c>
      <c r="C37" s="5" t="s">
        <v>17</v>
      </c>
      <c r="D37" s="5" t="s">
        <v>18</v>
      </c>
      <c r="E37" s="5" t="s">
        <v>19</v>
      </c>
      <c r="F37" s="5" t="s">
        <v>20</v>
      </c>
      <c r="G37" s="5" t="s">
        <v>21</v>
      </c>
      <c r="H37" s="5" t="s">
        <v>22</v>
      </c>
      <c r="I37" s="5" t="s">
        <v>23</v>
      </c>
      <c r="J37" s="5" t="s">
        <v>24</v>
      </c>
      <c r="K37" s="5" t="s">
        <v>12</v>
      </c>
    </row>
    <row r="38" spans="1:12" x14ac:dyDescent="0.25">
      <c r="A38" s="3" t="s">
        <v>16</v>
      </c>
      <c r="B38" s="9">
        <f>B11/$B$11</f>
        <v>1</v>
      </c>
      <c r="C38" s="9">
        <f t="shared" ref="C38:K38" si="0">C11/$B$11</f>
        <v>0.25885405936796957</v>
      </c>
      <c r="D38" s="9">
        <f t="shared" si="0"/>
        <v>0.19993974427948194</v>
      </c>
      <c r="E38" s="9">
        <f t="shared" si="0"/>
        <v>0.3540217142972405</v>
      </c>
      <c r="F38" s="9">
        <f t="shared" si="0"/>
        <v>0.11530699331990917</v>
      </c>
      <c r="G38" s="9">
        <f t="shared" si="0"/>
        <v>0.27880888863138431</v>
      </c>
      <c r="H38" s="9">
        <f t="shared" si="0"/>
        <v>0.39201881591234689</v>
      </c>
      <c r="I38" s="9">
        <f t="shared" si="0"/>
        <v>0.15545395218341998</v>
      </c>
      <c r="J38" s="9">
        <f t="shared" si="0"/>
        <v>8.2909721416407123E-2</v>
      </c>
      <c r="K38" s="9">
        <f t="shared" si="0"/>
        <v>0.11690231116334394</v>
      </c>
    </row>
    <row r="39" spans="1:12" x14ac:dyDescent="0.25">
      <c r="A39" s="3" t="s">
        <v>17</v>
      </c>
      <c r="B39" s="9">
        <f>B12/$C$12</f>
        <v>0.42573506194356442</v>
      </c>
      <c r="C39" s="9">
        <f>C12/$C$12</f>
        <v>1</v>
      </c>
      <c r="D39" s="9">
        <f t="shared" ref="D39:K39" si="1">D12/$C$12</f>
        <v>0.26031030890294654</v>
      </c>
      <c r="E39" s="9">
        <f t="shared" si="1"/>
        <v>0.5933534169450535</v>
      </c>
      <c r="F39" s="9">
        <f t="shared" si="1"/>
        <v>0.31193559519229414</v>
      </c>
      <c r="G39" s="9">
        <f t="shared" si="1"/>
        <v>0.46346302686976765</v>
      </c>
      <c r="H39" s="9">
        <f t="shared" si="1"/>
        <v>0.63756337025817278</v>
      </c>
      <c r="I39" s="9">
        <f t="shared" si="1"/>
        <v>0.2834009801175178</v>
      </c>
      <c r="J39" s="9">
        <f t="shared" si="1"/>
        <v>2.4962713690596806E-2</v>
      </c>
      <c r="K39" s="9">
        <f t="shared" si="1"/>
        <v>0.25011685146512957</v>
      </c>
    </row>
    <row r="40" spans="1:12" x14ac:dyDescent="0.25">
      <c r="A40" s="3" t="s">
        <v>18</v>
      </c>
      <c r="B40" s="9">
        <f>B13/$D$13</f>
        <v>0.59851572148381671</v>
      </c>
      <c r="C40" s="9">
        <f>C13/$D$13</f>
        <v>0.47378723918961535</v>
      </c>
      <c r="D40" s="9">
        <f>D13/$D$13</f>
        <v>1</v>
      </c>
      <c r="E40" s="9">
        <f t="shared" ref="E40:K40" si="2">E13/$D$13</f>
        <v>0.79397639958595478</v>
      </c>
      <c r="F40" s="9">
        <f t="shared" si="2"/>
        <v>2.2169513162173363E-2</v>
      </c>
      <c r="G40" s="9">
        <f t="shared" si="2"/>
        <v>0.59540614594804087</v>
      </c>
      <c r="H40" s="9">
        <f t="shared" si="2"/>
        <v>1.0994456797016674</v>
      </c>
      <c r="I40" s="9">
        <f t="shared" si="2"/>
        <v>0.53056740345580866</v>
      </c>
      <c r="J40" s="9">
        <f t="shared" si="2"/>
        <v>0.30557179837417381</v>
      </c>
      <c r="K40" s="9">
        <f t="shared" si="2"/>
        <v>0.40629421573360613</v>
      </c>
    </row>
    <row r="41" spans="1:12" x14ac:dyDescent="0.25">
      <c r="A41" s="3" t="s">
        <v>19</v>
      </c>
      <c r="B41" s="9">
        <f>B14/$E$14</f>
        <v>0.352700649738383</v>
      </c>
      <c r="C41" s="9">
        <f>C14/$E$14</f>
        <v>0.35942258896215368</v>
      </c>
      <c r="D41" s="9">
        <f>D14/$E$14</f>
        <v>0.26424545248595194</v>
      </c>
      <c r="E41" s="9">
        <f>E14/$E$14</f>
        <v>1</v>
      </c>
      <c r="F41" s="9">
        <f t="shared" ref="F41:K41" si="3">F14/$E$14</f>
        <v>0.21617399646633739</v>
      </c>
      <c r="G41" s="9">
        <f t="shared" si="3"/>
        <v>0.41451607923943184</v>
      </c>
      <c r="H41" s="9">
        <f t="shared" si="3"/>
        <v>0.50968494473344794</v>
      </c>
      <c r="I41" s="9">
        <f t="shared" si="3"/>
        <v>0.27912339993471946</v>
      </c>
      <c r="J41" s="9">
        <f t="shared" si="3"/>
        <v>0.16653094701527127</v>
      </c>
      <c r="K41" s="9">
        <f t="shared" si="3"/>
        <v>0.18783051863840552</v>
      </c>
    </row>
    <row r="42" spans="1:12" x14ac:dyDescent="0.25">
      <c r="A42" s="3" t="s">
        <v>20</v>
      </c>
      <c r="B42" s="9">
        <f t="shared" ref="B42:K42" si="4">B15/$F$15</f>
        <v>0.17685522339054377</v>
      </c>
      <c r="C42" s="9">
        <f t="shared" si="4"/>
        <v>0.29089934275279394</v>
      </c>
      <c r="D42" s="9">
        <f t="shared" si="4"/>
        <v>1.1359048898625148E-2</v>
      </c>
      <c r="E42" s="9">
        <f t="shared" si="4"/>
        <v>0.33280461182480037</v>
      </c>
      <c r="F42" s="9">
        <f t="shared" si="4"/>
        <v>1</v>
      </c>
      <c r="G42" s="9">
        <f t="shared" si="4"/>
        <v>0.20962023038385669</v>
      </c>
      <c r="H42" s="9">
        <f t="shared" si="4"/>
        <v>0.23507913453709631</v>
      </c>
      <c r="I42" s="9">
        <f t="shared" si="4"/>
        <v>0.11584404619065851</v>
      </c>
      <c r="J42" s="9">
        <f t="shared" si="4"/>
        <v>8.8449651990068212E-2</v>
      </c>
      <c r="K42" s="9">
        <f t="shared" si="4"/>
        <v>0.10457383184578294</v>
      </c>
    </row>
    <row r="43" spans="1:12" x14ac:dyDescent="0.25">
      <c r="A43" s="3" t="s">
        <v>21</v>
      </c>
      <c r="B43" s="9">
        <f t="shared" ref="B43:K43" si="5">B16/$G$16</f>
        <v>0.7843049431464475</v>
      </c>
      <c r="C43" s="9">
        <f t="shared" si="5"/>
        <v>0.79270024439982323</v>
      </c>
      <c r="D43" s="9">
        <f t="shared" si="5"/>
        <v>0.55951949086407982</v>
      </c>
      <c r="E43" s="9">
        <f t="shared" si="5"/>
        <v>1.1704243801010854</v>
      </c>
      <c r="F43" s="9">
        <f t="shared" si="5"/>
        <v>0.38445834103045501</v>
      </c>
      <c r="G43" s="9">
        <f t="shared" si="5"/>
        <v>1</v>
      </c>
      <c r="H43" s="9">
        <f t="shared" si="5"/>
        <v>0.89561122465565679</v>
      </c>
      <c r="I43" s="9">
        <f t="shared" si="5"/>
        <v>0.46241094411929057</v>
      </c>
      <c r="J43" s="9">
        <f t="shared" si="5"/>
        <v>0.25557765440308033</v>
      </c>
      <c r="K43" s="9">
        <f t="shared" si="5"/>
        <v>0.3270059512534001</v>
      </c>
    </row>
    <row r="44" spans="1:12" x14ac:dyDescent="0.25">
      <c r="A44" s="3" t="s">
        <v>22</v>
      </c>
      <c r="B44" s="9">
        <f t="shared" ref="B44:G44" si="6">B17/$H$17</f>
        <v>0.50059181066360925</v>
      </c>
      <c r="C44" s="9">
        <f t="shared" si="6"/>
        <v>0.49501202286614726</v>
      </c>
      <c r="D44" s="9">
        <f t="shared" si="6"/>
        <v>0.46900143839923797</v>
      </c>
      <c r="E44" s="9">
        <f t="shared" si="6"/>
        <v>0.65328438018570889</v>
      </c>
      <c r="F44" s="9">
        <f t="shared" si="6"/>
        <v>0.19571705304987508</v>
      </c>
      <c r="G44" s="9">
        <f t="shared" si="6"/>
        <v>0.40655379468116776</v>
      </c>
      <c r="H44" s="9">
        <f>H17/$H$17</f>
        <v>1</v>
      </c>
      <c r="I44" s="9">
        <f>I17/$H$17</f>
        <v>0.44040015918789571</v>
      </c>
      <c r="J44" s="9">
        <f>J17/$H$17</f>
        <v>0.19377191506923355</v>
      </c>
      <c r="K44" s="9">
        <f>K17/$H$17</f>
        <v>0.26248746944945711</v>
      </c>
    </row>
    <row r="45" spans="1:12" x14ac:dyDescent="0.25">
      <c r="A45" s="3" t="s">
        <v>23</v>
      </c>
      <c r="B45" s="9">
        <f t="shared" ref="B45:H45" si="7">B18/$I$18</f>
        <v>0.48201000730313076</v>
      </c>
      <c r="C45" s="9">
        <f t="shared" si="7"/>
        <v>0.53428280400510531</v>
      </c>
      <c r="D45" s="9">
        <f t="shared" si="7"/>
        <v>0.54956418419959097</v>
      </c>
      <c r="E45" s="9">
        <f t="shared" si="7"/>
        <v>0.86870870758292673</v>
      </c>
      <c r="F45" s="9">
        <f t="shared" si="7"/>
        <v>0.23418860628419674</v>
      </c>
      <c r="G45" s="9">
        <f t="shared" si="7"/>
        <v>0.5096875841973274</v>
      </c>
      <c r="H45" s="9">
        <f t="shared" si="7"/>
        <v>1.0693624411249196</v>
      </c>
      <c r="I45" s="9">
        <f>I18/$I$18</f>
        <v>1</v>
      </c>
      <c r="J45" s="9">
        <f>J18/$I$18</f>
        <v>0.43272392611507593</v>
      </c>
      <c r="K45" s="9">
        <f>K18/$I$18</f>
        <v>0.50666874033000675</v>
      </c>
    </row>
    <row r="46" spans="1:12" x14ac:dyDescent="0.25">
      <c r="A46" s="3" t="s">
        <v>24</v>
      </c>
      <c r="B46" s="9">
        <f t="shared" ref="B46:I46" si="8">B19/$J$19</f>
        <v>0.14834703835824237</v>
      </c>
      <c r="C46" s="9">
        <f t="shared" si="8"/>
        <v>2.7156936800479797E-2</v>
      </c>
      <c r="D46" s="9">
        <f t="shared" si="8"/>
        <v>0.18264604153292036</v>
      </c>
      <c r="E46" s="9">
        <f t="shared" si="8"/>
        <v>0.2990831990467912</v>
      </c>
      <c r="F46" s="9">
        <f t="shared" si="8"/>
        <v>0.10318280019977251</v>
      </c>
      <c r="G46" s="9">
        <f t="shared" si="8"/>
        <v>0.16256160091749866</v>
      </c>
      <c r="H46" s="9">
        <f t="shared" si="8"/>
        <v>0.27151099914853355</v>
      </c>
      <c r="I46" s="9">
        <f t="shared" si="8"/>
        <v>0.24970661424167387</v>
      </c>
      <c r="J46" s="9">
        <f>J19/$J$19</f>
        <v>1</v>
      </c>
      <c r="K46" s="9">
        <f>K19/$J$19</f>
        <v>7.4062165243521647E-2</v>
      </c>
    </row>
    <row r="47" spans="1:12" x14ac:dyDescent="0.25">
      <c r="A47" s="3" t="s">
        <v>12</v>
      </c>
      <c r="B47" s="9">
        <f t="shared" ref="B47:J47" si="9">B20/$K$20</f>
        <v>0.44369214242898503</v>
      </c>
      <c r="C47" s="9">
        <f t="shared" si="9"/>
        <v>0.57718781601749403</v>
      </c>
      <c r="D47" s="9">
        <f t="shared" si="9"/>
        <v>0.51513712456974003</v>
      </c>
      <c r="E47" s="9">
        <f t="shared" si="9"/>
        <v>0.7155639274892831</v>
      </c>
      <c r="F47" s="9">
        <f t="shared" si="9"/>
        <v>0.25877327309193499</v>
      </c>
      <c r="G47" s="9">
        <f t="shared" si="9"/>
        <v>0.44120046349259068</v>
      </c>
      <c r="H47" s="9">
        <f t="shared" si="9"/>
        <v>0.78017205162943171</v>
      </c>
      <c r="I47" s="9">
        <f t="shared" si="9"/>
        <v>0.62019529023367093</v>
      </c>
      <c r="J47" s="9">
        <f t="shared" si="9"/>
        <v>0.15710196625230938</v>
      </c>
      <c r="K47" s="9">
        <f>K20/$K$20</f>
        <v>1</v>
      </c>
    </row>
    <row r="48" spans="1:12" x14ac:dyDescent="0.25">
      <c r="B48" s="3" t="str">
        <f ca="1">_xlfn.FORMULATEXT(B47)</f>
        <v>=B20/$K$20</v>
      </c>
    </row>
  </sheetData>
  <mergeCells count="2">
    <mergeCell ref="A1:L1"/>
    <mergeCell ref="F27:H3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2024-11-08T10:09:27Z</dcterms:modified>
</cp:coreProperties>
</file>