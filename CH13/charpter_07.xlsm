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3\"/>
    </mc:Choice>
  </mc:AlternateContent>
  <xr:revisionPtr revIDLastSave="0" documentId="13_ncr:1_{3DA1182C-E48A-4AB4-B26C-F8F998D3F42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  <sheet name="Sheet2" sheetId="2" r:id="rId2"/>
  </sheets>
  <externalReferences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1" i="1" l="1" a="1"/>
  <c r="N12" i="1" s="1"/>
  <c r="I32" i="1" a="1"/>
  <c r="I32" i="1" s="1"/>
  <c r="I31" i="1" a="1"/>
  <c r="I31" i="1" s="1"/>
  <c r="J32" i="1"/>
  <c r="J31" i="1"/>
  <c r="N11" i="1" l="1"/>
  <c r="N19" i="1"/>
  <c r="N18" i="1"/>
  <c r="N17" i="1"/>
  <c r="N20" i="1"/>
  <c r="N16" i="1"/>
  <c r="N15" i="1"/>
  <c r="N14" i="1"/>
  <c r="N13" i="1"/>
  <c r="M11" i="1" l="1" a="1"/>
  <c r="M11" i="1" s="1"/>
  <c r="B3" i="1"/>
  <c r="B2" i="1"/>
  <c r="C37" i="1"/>
  <c r="C27" i="1"/>
  <c r="C22" i="1"/>
  <c r="H22" i="1"/>
  <c r="C2" i="1"/>
  <c r="M20" i="1" l="1"/>
  <c r="M18" i="1"/>
  <c r="M19" i="1"/>
  <c r="M17" i="1"/>
  <c r="M16" i="1"/>
  <c r="M13" i="1"/>
  <c r="M12" i="1"/>
  <c r="M15" i="1"/>
  <c r="M14" i="1"/>
  <c r="B22" i="1" l="1" a="1"/>
  <c r="B22" i="1" s="1"/>
  <c r="B27" i="1" a="1"/>
  <c r="B36" i="1" l="1"/>
  <c r="B35" i="1"/>
  <c r="B34" i="1"/>
  <c r="B33" i="1"/>
  <c r="B32" i="1"/>
  <c r="B29" i="1"/>
  <c r="B27" i="1"/>
  <c r="B31" i="1"/>
  <c r="B30" i="1"/>
  <c r="B28" i="1"/>
  <c r="B37" i="1" l="1"/>
</calcChain>
</file>

<file path=xl/sharedStrings.xml><?xml version="1.0" encoding="utf-8"?>
<sst xmlns="http://schemas.openxmlformats.org/spreadsheetml/2006/main" count="62" uniqueCount="29">
  <si>
    <r>
      <t xml:space="preserve">SUPER DUPER BENCHMARK PORTFOLIO--WHAT DOES THE MARKET THINK?
</t>
    </r>
    <r>
      <rPr>
        <b/>
        <sz val="12"/>
        <rFont val="Arial"/>
        <family val="2"/>
      </rPr>
      <t>We multiply row 7 by a normalizing factor
The expected returns make the benchmark optimal</t>
    </r>
  </si>
  <si>
    <t>Anticipated benchmark return</t>
  </si>
  <si>
    <t>Current t-bill rate</t>
  </si>
  <si>
    <t>General Motors
GM</t>
  </si>
  <si>
    <t>Home Depot
HD</t>
  </si>
  <si>
    <t>International Paper
IP</t>
  </si>
  <si>
    <t>Hewlett-Packard
HPQ</t>
  </si>
  <si>
    <t>Altria
MO</t>
  </si>
  <si>
    <t>American Express
AXP</t>
  </si>
  <si>
    <t>Alcoa Aluminum
AA</t>
  </si>
  <si>
    <t>DuPont
DD</t>
  </si>
  <si>
    <t>Merck
MRK</t>
  </si>
  <si>
    <t>MMM</t>
  </si>
  <si>
    <t>Market cap (billion $)</t>
  </si>
  <si>
    <t>Benchmark proportions</t>
  </si>
  <si>
    <t>Variance-covariance matrix</t>
  </si>
  <si>
    <t>GM</t>
  </si>
  <si>
    <t>HD</t>
  </si>
  <si>
    <t>IP</t>
  </si>
  <si>
    <t>HPQ</t>
  </si>
  <si>
    <t>MO</t>
  </si>
  <si>
    <t>AXP</t>
  </si>
  <si>
    <t>AA</t>
  </si>
  <si>
    <t>DD</t>
  </si>
  <si>
    <t>MRK</t>
  </si>
  <si>
    <t>With normalizing factor</t>
  </si>
  <si>
    <t>Check:  The expected return
of the benchmark?</t>
  </si>
  <si>
    <t>Additional check:
Optimal portfolio</t>
  </si>
  <si>
    <t>Sum of proportions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</si>
</sst>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%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2" borderId="0" xfId="0" applyFill="1" applyAlignment="1"/>
    <xf numFmtId="10" fontId="2" fillId="2" borderId="0" xfId="1" applyNumberFormat="1" applyFill="1" applyAlignment="1"/>
    <xf numFmtId="0" fontId="0" fillId="0" borderId="0" xfId="0" applyAlignment="1"/>
    <xf numFmtId="1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0" fontId="2" fillId="0" borderId="0" xfId="1" applyNumberFormat="1" applyAlignment="1"/>
    <xf numFmtId="0" fontId="5" fillId="0" borderId="0" xfId="0" applyFont="1" applyAlignment="1"/>
    <xf numFmtId="0" fontId="0" fillId="0" borderId="0" xfId="0" applyAlignment="1">
      <alignment horizontal="center" wrapText="1"/>
    </xf>
    <xf numFmtId="176" fontId="0" fillId="0" borderId="0" xfId="0" applyNumberFormat="1" applyAlignment="1"/>
    <xf numFmtId="0" fontId="0" fillId="2" borderId="0" xfId="0" applyFill="1" applyAlignment="1">
      <alignment wrapText="1"/>
    </xf>
    <xf numFmtId="176" fontId="0" fillId="3" borderId="0" xfId="0" applyNumberForma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3" borderId="0" xfId="0" applyFill="1" applyAlignment="1">
      <alignment horizontal="center" wrapText="1"/>
    </xf>
    <xf numFmtId="177" fontId="0" fillId="0" borderId="0" xfId="0" applyNumberFormat="1" applyAlignment="1"/>
    <xf numFmtId="10" fontId="0" fillId="0" borderId="0" xfId="1" applyNumberFormat="1" applyFont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15240</xdr:colOff>
      <xdr:row>14</xdr:row>
      <xdr:rowOff>106680</xdr:rowOff>
    </xdr:from>
    <xdr:to>
      <xdr:col>12</xdr:col>
      <xdr:colOff>205740</xdr:colOff>
      <xdr:row>21</xdr:row>
      <xdr:rowOff>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19211AA5-DF00-40DC-8AF0-0D64577025C9}"/>
            </a:ext>
          </a:extLst>
        </xdr:cNvPr>
        <xdr:cNvSpPr>
          <a:spLocks noChangeShapeType="1"/>
        </xdr:cNvSpPr>
      </xdr:nvSpPr>
      <xdr:spPr bwMode="auto">
        <a:xfrm flipV="1">
          <a:off x="8143875" y="3733800"/>
          <a:ext cx="800100" cy="1095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304800</xdr:colOff>
      <xdr:row>28</xdr:row>
      <xdr:rowOff>114300</xdr:rowOff>
    </xdr:from>
    <xdr:to>
      <xdr:col>6</xdr:col>
      <xdr:colOff>297180</xdr:colOff>
      <xdr:row>35</xdr:row>
      <xdr:rowOff>45720</xdr:rowOff>
    </xdr:to>
    <xdr:sp macro="" textlink="">
      <xdr:nvSpPr>
        <xdr:cNvPr id="3" name="Text Box 4">
          <a:extLst>
            <a:ext uri="{FF2B5EF4-FFF2-40B4-BE49-F238E27FC236}">
              <a16:creationId xmlns:a16="http://schemas.microsoft.com/office/drawing/2014/main" id="{FA1BD756-17E2-452A-9BD6-6245EEE1DC28}"/>
            </a:ext>
          </a:extLst>
        </xdr:cNvPr>
        <xdr:cNvSpPr txBox="1">
          <a:spLocks noChangeArrowheads="1"/>
        </xdr:cNvSpPr>
      </xdr:nvSpPr>
      <xdr:spPr bwMode="auto">
        <a:xfrm>
          <a:off x="3305175" y="6448425"/>
          <a:ext cx="2066925" cy="1133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Note that Chapter 9 optimization on the expected returns in cells M11:M20 and the variance-covariance matrix produces the market weights as the optimal portfolio.</a:t>
          </a:r>
        </a:p>
      </xdr:txBody>
    </xdr:sp>
    <xdr:clientData/>
  </xdr:twoCellAnchor>
  <xdr:twoCellAnchor editAs="oneCell">
    <xdr:from>
      <xdr:col>16</xdr:col>
      <xdr:colOff>197533</xdr:colOff>
      <xdr:row>0</xdr:row>
      <xdr:rowOff>19343</xdr:rowOff>
    </xdr:from>
    <xdr:to>
      <xdr:col>31</xdr:col>
      <xdr:colOff>521384</xdr:colOff>
      <xdr:row>41</xdr:row>
      <xdr:rowOff>135548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C8846C1A-3997-2E79-A9D0-739818BA7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473668" y="19343"/>
          <a:ext cx="9453490" cy="81462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3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3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51"/>
      <sheetName val="Page 351中文"/>
      <sheetName val="Page 352"/>
      <sheetName val="Page 352中文"/>
      <sheetName val="Page 353"/>
      <sheetName val="Page 353中文"/>
      <sheetName val="Page 355"/>
      <sheetName val="Page 355中文"/>
      <sheetName val="Page 356"/>
      <sheetName val="Page 356中文"/>
      <sheetName val="Page 358"/>
      <sheetName val="Page 358中文"/>
      <sheetName val="Page 359"/>
      <sheetName val="Page 359中文"/>
      <sheetName val="Pages 361-63"/>
      <sheetName val="Pages 361-63中文"/>
      <sheetName val="Page 364"/>
      <sheetName val="Page 364中文"/>
      <sheetName val="Pages 365-367"/>
      <sheetName val="Pages 365-367中文"/>
      <sheetName val="3month T-bills中文"/>
    </sheetNames>
    <sheetDataSet>
      <sheetData sheetId="0"/>
      <sheetData sheetId="1"/>
      <sheetData sheetId="2"/>
      <sheetData sheetId="3"/>
      <sheetData sheetId="4">
        <row r="19">
          <cell r="B19">
            <v>4.0249999999999999E-3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N41"/>
  <sheetViews>
    <sheetView tabSelected="1" zoomScale="130" zoomScaleNormal="130" workbookViewId="0">
      <selection activeCell="B27" sqref="B27"/>
    </sheetView>
  </sheetViews>
  <sheetFormatPr defaultRowHeight="13.8" x14ac:dyDescent="0.25"/>
  <cols>
    <col min="1" max="1" width="25.5546875" style="4" customWidth="1"/>
    <col min="2" max="2" width="9.33203125" style="4" bestFit="1" customWidth="1"/>
    <col min="3" max="3" width="8.88671875" style="4"/>
    <col min="4" max="4" width="12.5546875" style="4" customWidth="1"/>
    <col min="5" max="12" width="8.88671875" style="4"/>
    <col min="13" max="13" width="10.6640625" style="4" customWidth="1"/>
  </cols>
  <sheetData>
    <row r="1" spans="1:14" ht="17.399999999999999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4" x14ac:dyDescent="0.25">
      <c r="A2" s="2" t="s">
        <v>1</v>
      </c>
      <c r="B2" s="3">
        <f>12%/12</f>
        <v>0.01</v>
      </c>
      <c r="C2" s="4" t="str">
        <f ca="1">[2]!getformula(B2)</f>
        <v>&lt;--  =12%/12</v>
      </c>
    </row>
    <row r="3" spans="1:14" x14ac:dyDescent="0.25">
      <c r="A3" s="4" t="s">
        <v>2</v>
      </c>
      <c r="B3" s="5">
        <f>'[1]Page 353'!B19</f>
        <v>4.0249999999999999E-3</v>
      </c>
    </row>
    <row r="4" spans="1:14" x14ac:dyDescent="0.25">
      <c r="B4" s="5"/>
    </row>
    <row r="5" spans="1:14" ht="55.2" x14ac:dyDescent="0.25">
      <c r="A5" s="6"/>
      <c r="B5" s="7" t="s">
        <v>3</v>
      </c>
      <c r="C5" s="7" t="s">
        <v>4</v>
      </c>
      <c r="D5" s="7" t="s">
        <v>5</v>
      </c>
      <c r="E5" s="7" t="s">
        <v>6</v>
      </c>
      <c r="F5" s="7" t="s">
        <v>7</v>
      </c>
      <c r="G5" s="7" t="s">
        <v>8</v>
      </c>
      <c r="H5" s="7" t="s">
        <v>9</v>
      </c>
      <c r="I5" s="7" t="s">
        <v>10</v>
      </c>
      <c r="J5" s="7" t="s">
        <v>11</v>
      </c>
      <c r="K5" s="8" t="s">
        <v>12</v>
      </c>
      <c r="L5" s="6"/>
      <c r="M5" s="6"/>
    </row>
    <row r="6" spans="1:14" x14ac:dyDescent="0.25">
      <c r="A6" s="4" t="s">
        <v>13</v>
      </c>
      <c r="B6" s="4">
        <v>16.850000000000001</v>
      </c>
      <c r="C6" s="4">
        <v>73.98</v>
      </c>
      <c r="D6" s="4">
        <v>15.92</v>
      </c>
      <c r="E6" s="4">
        <v>88.37</v>
      </c>
      <c r="F6" s="4">
        <v>153.33000000000001</v>
      </c>
      <c r="G6" s="4">
        <v>65.66</v>
      </c>
      <c r="H6" s="4">
        <v>28.16</v>
      </c>
      <c r="I6" s="4">
        <v>38.32</v>
      </c>
      <c r="J6" s="4">
        <v>79.510000000000005</v>
      </c>
      <c r="K6" s="4">
        <v>60.9</v>
      </c>
    </row>
    <row r="7" spans="1:14" x14ac:dyDescent="0.25">
      <c r="A7" s="4" t="s">
        <v>14</v>
      </c>
      <c r="B7" s="9">
        <v>2.7133655394524961E-2</v>
      </c>
      <c r="C7" s="9">
        <v>0.11913043478260871</v>
      </c>
      <c r="D7" s="9">
        <v>2.5636070853462159E-2</v>
      </c>
      <c r="E7" s="9">
        <v>0.14230273752012884</v>
      </c>
      <c r="F7" s="9">
        <v>0.2469082125603865</v>
      </c>
      <c r="G7" s="9">
        <v>0.10573268921095008</v>
      </c>
      <c r="H7" s="9">
        <v>4.5346215780998393E-2</v>
      </c>
      <c r="I7" s="9">
        <v>6.1706924315619971E-2</v>
      </c>
      <c r="J7" s="9">
        <v>0.1280354267310789</v>
      </c>
      <c r="K7" s="9">
        <v>9.8067632850241546E-2</v>
      </c>
    </row>
    <row r="9" spans="1:14" x14ac:dyDescent="0.25">
      <c r="A9" s="10" t="s">
        <v>15</v>
      </c>
    </row>
    <row r="10" spans="1:14" ht="41.4" x14ac:dyDescent="0.25">
      <c r="B10" s="6" t="s">
        <v>16</v>
      </c>
      <c r="C10" s="6" t="s">
        <v>17</v>
      </c>
      <c r="D10" s="6" t="s">
        <v>18</v>
      </c>
      <c r="E10" s="6" t="s">
        <v>19</v>
      </c>
      <c r="F10" s="6" t="s">
        <v>20</v>
      </c>
      <c r="G10" s="6" t="s">
        <v>21</v>
      </c>
      <c r="H10" s="6" t="s">
        <v>22</v>
      </c>
      <c r="I10" s="6" t="s">
        <v>23</v>
      </c>
      <c r="J10" s="6" t="s">
        <v>24</v>
      </c>
      <c r="K10" s="6" t="s">
        <v>12</v>
      </c>
      <c r="M10" s="11" t="s">
        <v>25</v>
      </c>
    </row>
    <row r="11" spans="1:14" x14ac:dyDescent="0.25">
      <c r="A11" s="6" t="s">
        <v>16</v>
      </c>
      <c r="B11" s="12">
        <v>1.1630755835291622E-2</v>
      </c>
      <c r="C11" s="12">
        <v>3.0106683614829358E-3</v>
      </c>
      <c r="D11" s="12">
        <v>2.3254503474852994E-3</v>
      </c>
      <c r="E11" s="12">
        <v>4.1175401193825735E-3</v>
      </c>
      <c r="F11" s="12">
        <v>1.3411074854054656E-3</v>
      </c>
      <c r="G11" s="12">
        <v>3.2427581083806453E-3</v>
      </c>
      <c r="H11" s="12">
        <v>4.559475130716641E-3</v>
      </c>
      <c r="I11" s="12">
        <v>1.8080469614764566E-3</v>
      </c>
      <c r="J11" s="12">
        <v>9.6430272616627988E-4</v>
      </c>
      <c r="K11" s="12">
        <v>1.3596622377221395E-3</v>
      </c>
      <c r="M11" s="9">
        <f t="array" ref="M11:M20">(MMULT(B11:K20,TRANSPOSE(B7:K7))*(B2-B3)/MMULT(B7:K7,MMULT(B11:K20,TRANSPOSE(B7:K7))))+B3</f>
        <v>9.569555680628946E-3</v>
      </c>
      <c r="N11" s="18">
        <f t="array" ref="N11:N20">MMULT($B$11:$K$20,TRANSPOSE($B$7:$K$7))*($B$2-$B$3)/MMULT(MMULT($B$7:$K$7,$B$11:$K$20),TRANSPOSE($B$7:$K$7))+B3</f>
        <v>9.569555680628946E-3</v>
      </c>
    </row>
    <row r="12" spans="1:14" x14ac:dyDescent="0.25">
      <c r="A12" s="6" t="s">
        <v>17</v>
      </c>
      <c r="B12" s="12">
        <v>3.0106683614829358E-3</v>
      </c>
      <c r="C12" s="12">
        <v>7.0716946538033343E-3</v>
      </c>
      <c r="D12" s="12">
        <v>1.8408350197988616E-3</v>
      </c>
      <c r="E12" s="12">
        <v>4.196014186426276E-3</v>
      </c>
      <c r="F12" s="12">
        <v>2.2059132808523074E-3</v>
      </c>
      <c r="G12" s="12">
        <v>3.2774690093504469E-3</v>
      </c>
      <c r="H12" s="12">
        <v>4.5086534769155561E-3</v>
      </c>
      <c r="I12" s="12">
        <v>2.0041251959796755E-3</v>
      </c>
      <c r="J12" s="12">
        <v>1.7652868895021674E-4</v>
      </c>
      <c r="K12" s="12">
        <v>1.7687500013320796E-3</v>
      </c>
      <c r="M12" s="9">
        <v>1.0465017543034114E-2</v>
      </c>
      <c r="N12" s="18">
        <v>1.0465017543034114E-2</v>
      </c>
    </row>
    <row r="13" spans="1:14" x14ac:dyDescent="0.25">
      <c r="A13" s="6" t="s">
        <v>18</v>
      </c>
      <c r="B13" s="12">
        <v>2.3254503474852994E-3</v>
      </c>
      <c r="C13" s="12">
        <v>1.8408350197988616E-3</v>
      </c>
      <c r="D13" s="12">
        <v>3.8853621784907073E-3</v>
      </c>
      <c r="E13" s="12">
        <v>3.0848858735654937E-3</v>
      </c>
      <c r="F13" s="12">
        <v>8.6136587955860312E-5</v>
      </c>
      <c r="G13" s="12">
        <v>2.3133685203074361E-3</v>
      </c>
      <c r="H13" s="12">
        <v>4.271744661217867E-3</v>
      </c>
      <c r="I13" s="12">
        <v>2.0614465225272187E-3</v>
      </c>
      <c r="J13" s="12">
        <v>1.1872571082164032E-3</v>
      </c>
      <c r="K13" s="12">
        <v>1.5786001791508973E-3</v>
      </c>
      <c r="M13" s="9">
        <v>7.7256329954965919E-3</v>
      </c>
      <c r="N13" s="18">
        <v>7.7256329954965919E-3</v>
      </c>
    </row>
    <row r="14" spans="1:14" x14ac:dyDescent="0.25">
      <c r="A14" s="6" t="s">
        <v>19</v>
      </c>
      <c r="B14" s="12">
        <v>4.1175401193825735E-3</v>
      </c>
      <c r="C14" s="12">
        <v>4.196014186426276E-3</v>
      </c>
      <c r="D14" s="12">
        <v>3.0848858735654937E-3</v>
      </c>
      <c r="E14" s="12">
        <v>1.1674319631780589E-2</v>
      </c>
      <c r="F14" s="12">
        <v>2.5236843308274301E-3</v>
      </c>
      <c r="G14" s="12">
        <v>4.839193201553617E-3</v>
      </c>
      <c r="H14" s="12">
        <v>5.9502249563246961E-3</v>
      </c>
      <c r="I14" s="12">
        <v>3.2585757875472402E-3</v>
      </c>
      <c r="J14" s="12">
        <v>1.9441355040393943E-3</v>
      </c>
      <c r="K14" s="12">
        <v>2.1927935111878674E-3</v>
      </c>
      <c r="M14" s="9">
        <v>1.3568233600962151E-2</v>
      </c>
      <c r="N14" s="18">
        <v>1.3568233600962151E-2</v>
      </c>
    </row>
    <row r="15" spans="1:14" x14ac:dyDescent="0.25">
      <c r="A15" s="6" t="s">
        <v>20</v>
      </c>
      <c r="B15" s="12">
        <v>1.3411074854054656E-3</v>
      </c>
      <c r="C15" s="12">
        <v>2.2059132808523074E-3</v>
      </c>
      <c r="D15" s="12">
        <v>8.6136587955860312E-5</v>
      </c>
      <c r="E15" s="12">
        <v>2.5236843308274301E-3</v>
      </c>
      <c r="F15" s="12">
        <v>7.5830810065696539E-3</v>
      </c>
      <c r="G15" s="12">
        <v>1.5895671876165788E-3</v>
      </c>
      <c r="H15" s="12">
        <v>1.7826241201490873E-3</v>
      </c>
      <c r="I15" s="12">
        <v>8.784547863925602E-4</v>
      </c>
      <c r="J15" s="12">
        <v>6.7072087604358205E-4</v>
      </c>
      <c r="K15" s="12">
        <v>7.9299183805396536E-4</v>
      </c>
      <c r="M15" s="9">
        <v>1.0499082035422068E-2</v>
      </c>
      <c r="N15" s="18">
        <v>1.0499082035422068E-2</v>
      </c>
    </row>
    <row r="16" spans="1:14" x14ac:dyDescent="0.25">
      <c r="A16" s="6" t="s">
        <v>21</v>
      </c>
      <c r="B16" s="12">
        <v>3.2427581083806453E-3</v>
      </c>
      <c r="C16" s="12">
        <v>3.2774690093504469E-3</v>
      </c>
      <c r="D16" s="12">
        <v>2.3133685203074361E-3</v>
      </c>
      <c r="E16" s="12">
        <v>4.839193201553617E-3</v>
      </c>
      <c r="F16" s="12">
        <v>1.5895671876165788E-3</v>
      </c>
      <c r="G16" s="12">
        <v>4.1345628849047671E-3</v>
      </c>
      <c r="H16" s="12">
        <v>3.702960928765384E-3</v>
      </c>
      <c r="I16" s="12">
        <v>1.911867127129391E-3</v>
      </c>
      <c r="J16" s="12">
        <v>1.0567018841059934E-3</v>
      </c>
      <c r="K16" s="12">
        <v>1.3520266691952857E-3</v>
      </c>
      <c r="M16" s="9">
        <v>9.65774130902676E-3</v>
      </c>
      <c r="N16" s="18">
        <v>9.65774130902676E-3</v>
      </c>
    </row>
    <row r="17" spans="1:14" x14ac:dyDescent="0.25">
      <c r="A17" s="6" t="s">
        <v>22</v>
      </c>
      <c r="B17" s="12">
        <v>4.559475130716641E-3</v>
      </c>
      <c r="C17" s="12">
        <v>4.5086534769155561E-3</v>
      </c>
      <c r="D17" s="12">
        <v>4.271744661217867E-3</v>
      </c>
      <c r="E17" s="12">
        <v>5.9502249563246961E-3</v>
      </c>
      <c r="F17" s="12">
        <v>1.7826241201490873E-3</v>
      </c>
      <c r="G17" s="12">
        <v>3.702960928765384E-3</v>
      </c>
      <c r="H17" s="12">
        <v>9.1081696375982964E-3</v>
      </c>
      <c r="I17" s="12">
        <v>4.0112393583086482E-3</v>
      </c>
      <c r="J17" s="12">
        <v>1.7649074734528689E-3</v>
      </c>
      <c r="K17" s="12">
        <v>2.3907803994895555E-3</v>
      </c>
      <c r="M17" s="9">
        <v>1.1729586575864329E-2</v>
      </c>
      <c r="N17" s="18">
        <v>1.1729586575864329E-2</v>
      </c>
    </row>
    <row r="18" spans="1:14" x14ac:dyDescent="0.25">
      <c r="A18" s="6" t="s">
        <v>23</v>
      </c>
      <c r="B18" s="12">
        <v>1.8080469614764566E-3</v>
      </c>
      <c r="C18" s="12">
        <v>2.0041251959796755E-3</v>
      </c>
      <c r="D18" s="12">
        <v>2.0614465225272187E-3</v>
      </c>
      <c r="E18" s="12">
        <v>3.2585757875472402E-3</v>
      </c>
      <c r="F18" s="12">
        <v>8.784547863925602E-4</v>
      </c>
      <c r="G18" s="12">
        <v>1.911867127129391E-3</v>
      </c>
      <c r="H18" s="12">
        <v>4.0112393583086482E-3</v>
      </c>
      <c r="I18" s="12">
        <v>3.7510568952552801E-3</v>
      </c>
      <c r="J18" s="12">
        <v>1.6231720667958919E-3</v>
      </c>
      <c r="K18" s="12">
        <v>1.9005432720251786E-3</v>
      </c>
      <c r="M18" s="9">
        <v>8.4084879918391725E-3</v>
      </c>
      <c r="N18" s="18">
        <v>8.4084879918391725E-3</v>
      </c>
    </row>
    <row r="19" spans="1:14" x14ac:dyDescent="0.25">
      <c r="A19" s="6" t="s">
        <v>24</v>
      </c>
      <c r="B19" s="12">
        <v>9.6430272616627988E-4</v>
      </c>
      <c r="C19" s="12">
        <v>1.7652868895021674E-4</v>
      </c>
      <c r="D19" s="12">
        <v>1.1872571082164032E-3</v>
      </c>
      <c r="E19" s="12">
        <v>1.9441355040393943E-3</v>
      </c>
      <c r="F19" s="12">
        <v>6.7072087604358205E-4</v>
      </c>
      <c r="G19" s="12">
        <v>1.0567018841059934E-3</v>
      </c>
      <c r="H19" s="12">
        <v>1.7649074734528689E-3</v>
      </c>
      <c r="I19" s="12">
        <v>1.6231720667958919E-3</v>
      </c>
      <c r="J19" s="12">
        <v>6.5003166685241873E-3</v>
      </c>
      <c r="K19" s="12">
        <v>4.814275272394565E-4</v>
      </c>
      <c r="M19" s="9">
        <v>7.6753599960958175E-3</v>
      </c>
      <c r="N19" s="18">
        <v>7.6753599960958175E-3</v>
      </c>
    </row>
    <row r="20" spans="1:14" x14ac:dyDescent="0.25">
      <c r="A20" s="6" t="s">
        <v>12</v>
      </c>
      <c r="B20" s="12">
        <v>1.3596622377221395E-3</v>
      </c>
      <c r="C20" s="12">
        <v>1.7687500013320796E-3</v>
      </c>
      <c r="D20" s="12">
        <v>1.5786001791508973E-3</v>
      </c>
      <c r="E20" s="12">
        <v>2.1927935111878674E-3</v>
      </c>
      <c r="F20" s="12">
        <v>7.9299183805396536E-4</v>
      </c>
      <c r="G20" s="12">
        <v>1.3520266691952857E-3</v>
      </c>
      <c r="H20" s="12">
        <v>2.3907803994895555E-3</v>
      </c>
      <c r="I20" s="12">
        <v>1.9005432720251786E-3</v>
      </c>
      <c r="J20" s="12">
        <v>4.814275272394565E-4</v>
      </c>
      <c r="K20" s="12">
        <v>3.0644271279601479E-3</v>
      </c>
      <c r="M20" s="9">
        <v>7.3201358684277396E-3</v>
      </c>
      <c r="N20" s="18">
        <v>7.3201358684277396E-3</v>
      </c>
    </row>
    <row r="21" spans="1:14" x14ac:dyDescent="0.25">
      <c r="B21" s="12"/>
      <c r="C21" s="12"/>
      <c r="D21" s="12"/>
      <c r="E21" s="12"/>
      <c r="F21" s="12"/>
      <c r="G21" s="12"/>
      <c r="H21" s="12"/>
      <c r="I21" s="12"/>
      <c r="J21" s="12"/>
      <c r="K21" s="12"/>
      <c r="M21" s="9"/>
    </row>
    <row r="22" spans="1:14" ht="27.6" x14ac:dyDescent="0.25">
      <c r="A22" s="13" t="s">
        <v>26</v>
      </c>
      <c r="B22" s="3">
        <f t="array" ref="B22">MMULT(B7:K7,M11:M20)</f>
        <v>9.9999999999999985E-3</v>
      </c>
      <c r="C22" s="12" t="str">
        <f ca="1">[2]!getformula(B22)</f>
        <v>&lt;--  {=MMULT(B7:K7,M11:M20)}</v>
      </c>
      <c r="D22" s="12"/>
      <c r="E22" s="12"/>
      <c r="F22" s="12"/>
      <c r="G22" s="12"/>
      <c r="H22" s="14" t="str">
        <f ca="1">"Cells "&amp;CHAR(COLUMN(M11)+64)&amp;ROW(M11)&amp;":"&amp;CHAR(COLUMN(M20)+64)&amp;ROW(M20)&amp;" contain the array formula "&amp;[2]!ggetformula(M20)</f>
        <v>Cells M11:M20 contain the array formula  {=(MMULT(B11:K20,TRANSPOSE(B7:K7))*(B2-B3)/MMULT(B7:K7,MMULT(B11:K20,TRANSPOSE(B7:K7))))+B3}</v>
      </c>
      <c r="I22" s="15"/>
      <c r="J22" s="15"/>
      <c r="K22" s="15"/>
      <c r="L22" s="15"/>
      <c r="M22" s="9"/>
    </row>
    <row r="23" spans="1:14" x14ac:dyDescent="0.25">
      <c r="B23" s="12"/>
      <c r="C23" s="12"/>
      <c r="D23" s="12"/>
      <c r="E23" s="12"/>
      <c r="F23" s="12"/>
      <c r="G23" s="12"/>
      <c r="H23" s="15"/>
      <c r="I23" s="15"/>
      <c r="J23" s="15"/>
      <c r="K23" s="15"/>
      <c r="L23" s="15"/>
      <c r="M23" s="9"/>
    </row>
    <row r="24" spans="1:14" x14ac:dyDescent="0.25">
      <c r="H24" s="15"/>
      <c r="I24" s="15"/>
      <c r="J24" s="15"/>
      <c r="K24" s="15"/>
      <c r="L24" s="15"/>
    </row>
    <row r="26" spans="1:14" x14ac:dyDescent="0.25">
      <c r="A26" s="16" t="s">
        <v>27</v>
      </c>
      <c r="B26" s="16"/>
    </row>
    <row r="27" spans="1:14" x14ac:dyDescent="0.25">
      <c r="A27" s="4" t="s">
        <v>16</v>
      </c>
      <c r="B27" s="9">
        <f t="array" ref="B27:B36">MMULT(MINVERSE(B11:K20),M11:M20-B3)/SUM(MMULT(MINVERSE(B11:K20),M11:M20-B3))</f>
        <v>2.7133655394525252E-2</v>
      </c>
      <c r="C27" s="4" t="str">
        <f ca="1">[2]!getformula(B27)</f>
        <v>&lt;--  {=MMULT(MINVERSE(B11:K20),M11:M20-B3)/SUM(MMULT(MINVERSE(B11:K20),M11:M20-B3))}</v>
      </c>
    </row>
    <row r="28" spans="1:14" x14ac:dyDescent="0.25">
      <c r="A28" s="4" t="s">
        <v>17</v>
      </c>
      <c r="B28" s="9">
        <v>0.11913043478260879</v>
      </c>
    </row>
    <row r="29" spans="1:14" x14ac:dyDescent="0.25">
      <c r="A29" s="4" t="s">
        <v>18</v>
      </c>
      <c r="B29" s="9">
        <v>2.5636070853462378E-2</v>
      </c>
    </row>
    <row r="30" spans="1:14" x14ac:dyDescent="0.25">
      <c r="A30" s="4" t="s">
        <v>19</v>
      </c>
      <c r="B30" s="9">
        <v>0.14230273752012904</v>
      </c>
    </row>
    <row r="31" spans="1:14" x14ac:dyDescent="0.25">
      <c r="A31" s="4" t="s">
        <v>20</v>
      </c>
      <c r="B31" s="9">
        <v>0.24690821256038634</v>
      </c>
      <c r="I31" s="4">
        <f t="array" ref="I31">MMULT(B7:K7,MMULT(B11:K20,TRANSPOSE(B7:K7)))</f>
        <v>2.7683585204587324E-3</v>
      </c>
      <c r="J31" s="4" t="str">
        <f ca="1">_xlfn.FORMULATEXT(I31)</f>
        <v>{=MMULT(B7:K7,MMULT(B11:K20,TRANSPOSE(B7:K7)))}</v>
      </c>
    </row>
    <row r="32" spans="1:14" x14ac:dyDescent="0.25">
      <c r="A32" s="4" t="s">
        <v>21</v>
      </c>
      <c r="B32" s="9">
        <v>0.10573268921094958</v>
      </c>
      <c r="I32" s="4">
        <f t="array" ref="I32">MMULT(MMULT(B7:K7,B11:K20),TRANSPOSE(B7:K7))</f>
        <v>2.7683585204587324E-3</v>
      </c>
      <c r="J32" s="4" t="str">
        <f ca="1">_xlfn.FORMULATEXT(I32)</f>
        <v>{=MMULT(MMULT(B7:K7,B11:K20),TRANSPOSE(B7:K7))}</v>
      </c>
    </row>
    <row r="33" spans="1:12" x14ac:dyDescent="0.25">
      <c r="A33" s="4" t="s">
        <v>22</v>
      </c>
      <c r="B33" s="9">
        <v>4.5346215780997554E-2</v>
      </c>
    </row>
    <row r="34" spans="1:12" x14ac:dyDescent="0.25">
      <c r="A34" s="4" t="s">
        <v>23</v>
      </c>
      <c r="B34" s="9">
        <v>6.1706924315620602E-2</v>
      </c>
    </row>
    <row r="35" spans="1:12" x14ac:dyDescent="0.25">
      <c r="A35" s="4" t="s">
        <v>24</v>
      </c>
      <c r="B35" s="9">
        <v>0.12803542673107882</v>
      </c>
    </row>
    <row r="36" spans="1:12" x14ac:dyDescent="0.25">
      <c r="A36" s="4" t="s">
        <v>12</v>
      </c>
      <c r="B36" s="9">
        <v>9.8067632850241587E-2</v>
      </c>
    </row>
    <row r="37" spans="1:12" x14ac:dyDescent="0.25">
      <c r="A37" s="4" t="s">
        <v>28</v>
      </c>
      <c r="B37" s="17">
        <f>SUM(B27:B36)</f>
        <v>0.99999999999999989</v>
      </c>
      <c r="C37" s="4" t="str">
        <f ca="1">[2]!getformula(B37)</f>
        <v>&lt;--  =SUM(B27:B36)</v>
      </c>
    </row>
    <row r="41" spans="1:12" x14ac:dyDescent="0.25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</row>
  </sheetData>
  <mergeCells count="3">
    <mergeCell ref="A1:M1"/>
    <mergeCell ref="H22:L24"/>
    <mergeCell ref="A26:B26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3B11-FDDE-47AE-A7CC-1467CE984F89}">
  <sheetPr codeName="Sheet2"/>
  <dimension ref="C12:M14"/>
  <sheetViews>
    <sheetView workbookViewId="0">
      <selection activeCell="L18" sqref="L18"/>
    </sheetView>
  </sheetViews>
  <sheetFormatPr defaultRowHeight="13.8" x14ac:dyDescent="0.25"/>
  <sheetData>
    <row r="12" spans="3:13" ht="55.2" x14ac:dyDescent="0.25">
      <c r="C12" s="6"/>
      <c r="D12" s="7" t="s">
        <v>3</v>
      </c>
      <c r="E12" s="7" t="s">
        <v>4</v>
      </c>
      <c r="F12" s="7" t="s">
        <v>5</v>
      </c>
      <c r="G12" s="7" t="s">
        <v>6</v>
      </c>
      <c r="H12" s="7" t="s">
        <v>7</v>
      </c>
      <c r="I12" s="7" t="s">
        <v>8</v>
      </c>
      <c r="J12" s="7" t="s">
        <v>9</v>
      </c>
      <c r="K12" s="7" t="s">
        <v>10</v>
      </c>
      <c r="L12" s="7" t="s">
        <v>11</v>
      </c>
      <c r="M12" s="8" t="s">
        <v>12</v>
      </c>
    </row>
    <row r="13" spans="3:13" x14ac:dyDescent="0.25">
      <c r="C13" s="4" t="s">
        <v>13</v>
      </c>
      <c r="D13" s="4">
        <v>16.850000000000001</v>
      </c>
      <c r="E13" s="4">
        <v>73.98</v>
      </c>
      <c r="F13" s="4">
        <v>15.92</v>
      </c>
      <c r="G13" s="4">
        <v>88.37</v>
      </c>
      <c r="H13" s="4">
        <v>153.33000000000001</v>
      </c>
      <c r="I13" s="4">
        <v>65.66</v>
      </c>
      <c r="J13" s="4">
        <v>28.16</v>
      </c>
      <c r="K13" s="4">
        <v>38.32</v>
      </c>
      <c r="L13" s="4">
        <v>79.510000000000005</v>
      </c>
      <c r="M13" s="4">
        <v>60.9</v>
      </c>
    </row>
    <row r="14" spans="3:13" x14ac:dyDescent="0.25">
      <c r="C14" s="4" t="s">
        <v>14</v>
      </c>
      <c r="D14" s="9">
        <v>2.7133655394524961E-2</v>
      </c>
      <c r="E14" s="9">
        <v>0.11913043478260871</v>
      </c>
      <c r="F14" s="9">
        <v>2.5636070853462159E-2</v>
      </c>
      <c r="G14" s="9">
        <v>0.14230273752012884</v>
      </c>
      <c r="H14" s="9">
        <v>0.2469082125603865</v>
      </c>
      <c r="I14" s="9">
        <v>0.10573268921095008</v>
      </c>
      <c r="J14" s="9">
        <v>4.5346215780998393E-2</v>
      </c>
      <c r="K14" s="9">
        <v>6.1706924315619971E-2</v>
      </c>
      <c r="L14" s="9">
        <v>0.1280354267310789</v>
      </c>
      <c r="M14" s="9">
        <v>9.8067632850241546E-2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2024-11-08T09:33:00Z</dcterms:modified>
</cp:coreProperties>
</file>