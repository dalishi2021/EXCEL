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6909DA69-9ED7-4B46-8577-1B6542DB311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 a="1"/>
  <c r="B22" i="1" s="1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19" i="1"/>
  <c r="C32" i="1"/>
  <c r="C22" i="1"/>
  <c r="B8" i="1" a="1"/>
  <c r="B31" i="1" l="1"/>
  <c r="B30" i="1"/>
  <c r="B29" i="1"/>
  <c r="B28" i="1"/>
  <c r="B27" i="1"/>
  <c r="B26" i="1"/>
  <c r="B25" i="1"/>
  <c r="B24" i="1"/>
  <c r="B23" i="1"/>
  <c r="G9" i="1"/>
  <c r="C11" i="1"/>
  <c r="I12" i="1"/>
  <c r="E14" i="1"/>
  <c r="K15" i="1"/>
  <c r="G17" i="1"/>
  <c r="B8" i="1"/>
  <c r="H9" i="1"/>
  <c r="D11" i="1"/>
  <c r="J12" i="1"/>
  <c r="F14" i="1"/>
  <c r="B16" i="1"/>
  <c r="H17" i="1"/>
  <c r="C8" i="1"/>
  <c r="I9" i="1"/>
  <c r="E11" i="1"/>
  <c r="K12" i="1"/>
  <c r="G14" i="1"/>
  <c r="C16" i="1"/>
  <c r="I17" i="1"/>
  <c r="D8" i="1"/>
  <c r="J9" i="1"/>
  <c r="F11" i="1"/>
  <c r="B13" i="1"/>
  <c r="H14" i="1"/>
  <c r="D16" i="1"/>
  <c r="J17" i="1"/>
  <c r="E8" i="1"/>
  <c r="K9" i="1"/>
  <c r="G11" i="1"/>
  <c r="C13" i="1"/>
  <c r="I14" i="1"/>
  <c r="E16" i="1"/>
  <c r="K17" i="1"/>
  <c r="F8" i="1"/>
  <c r="B10" i="1"/>
  <c r="H11" i="1"/>
  <c r="D13" i="1"/>
  <c r="J14" i="1"/>
  <c r="F16" i="1"/>
  <c r="G8" i="1"/>
  <c r="C10" i="1"/>
  <c r="I11" i="1"/>
  <c r="E13" i="1"/>
  <c r="K14" i="1"/>
  <c r="G16" i="1"/>
  <c r="H8" i="1"/>
  <c r="D10" i="1"/>
  <c r="J11" i="1"/>
  <c r="F13" i="1"/>
  <c r="B15" i="1"/>
  <c r="H16" i="1"/>
  <c r="B11" i="1"/>
  <c r="I8" i="1"/>
  <c r="E10" i="1"/>
  <c r="K11" i="1"/>
  <c r="G13" i="1"/>
  <c r="C15" i="1"/>
  <c r="I16" i="1"/>
  <c r="H12" i="1"/>
  <c r="J8" i="1"/>
  <c r="F10" i="1"/>
  <c r="B12" i="1"/>
  <c r="H13" i="1"/>
  <c r="D15" i="1"/>
  <c r="J16" i="1"/>
  <c r="J15" i="1"/>
  <c r="K8" i="1"/>
  <c r="G10" i="1"/>
  <c r="C12" i="1"/>
  <c r="I13" i="1"/>
  <c r="E15" i="1"/>
  <c r="K16" i="1"/>
  <c r="D14" i="1"/>
  <c r="B9" i="1"/>
  <c r="H10" i="1"/>
  <c r="D12" i="1"/>
  <c r="J13" i="1"/>
  <c r="F15" i="1"/>
  <c r="B17" i="1"/>
  <c r="F17" i="1"/>
  <c r="C9" i="1"/>
  <c r="I10" i="1"/>
  <c r="E12" i="1"/>
  <c r="K13" i="1"/>
  <c r="G15" i="1"/>
  <c r="C17" i="1"/>
  <c r="D9" i="1"/>
  <c r="J10" i="1"/>
  <c r="F12" i="1"/>
  <c r="B14" i="1"/>
  <c r="H15" i="1"/>
  <c r="D17" i="1"/>
  <c r="E9" i="1"/>
  <c r="K10" i="1"/>
  <c r="G12" i="1"/>
  <c r="C14" i="1"/>
  <c r="I15" i="1"/>
  <c r="E17" i="1"/>
  <c r="F9" i="1"/>
  <c r="B32" i="1" l="1"/>
</calcChain>
</file>

<file path=xl/sharedStrings.xml><?xml version="1.0" encoding="utf-8"?>
<sst xmlns="http://schemas.openxmlformats.org/spreadsheetml/2006/main" count="48" uniqueCount="27">
  <si>
    <t>SUPER DUPER BENCHMARK PORTFOLIO--NAIVE OPTIMIZATION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</si>
  <si>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</si>
  <si>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</si>
  <si>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</si>
  <si>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</si>
  <si>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</si>
  <si>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</si>
  <si>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</si>
  <si>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</si>
  <si>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</si>
  <si>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</si>
  <si>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Market cap (billion $)</t>
  </si>
  <si>
    <t>Benchmark proportion</t>
  </si>
  <si>
    <t>Variance-covariance matrix of excess returns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</si>
  <si>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</si>
  <si>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</si>
  <si>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</si>
  <si>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</si>
  <si>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</si>
  <si>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</si>
  <si>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</si>
  <si>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</si>
  <si>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</si>
  <si>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Mean
return</t>
  </si>
  <si>
    <t>Current t-bill rate</t>
  </si>
  <si>
    <t>"Optimal" portfolio</t>
  </si>
  <si>
    <t>Sum of proportions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</si>
</sst>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1" applyNumberFormat="1" applyFont="1" applyAlignment="1"/>
    <xf numFmtId="0" fontId="4" fillId="0" borderId="0" xfId="0" applyFon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76" fontId="0" fillId="0" borderId="0" xfId="0" applyNumberFormat="1" applyAlignment="1"/>
    <xf numFmtId="10" fontId="0" fillId="0" borderId="0" xfId="0" applyNumberFormat="1" applyAlignment="1"/>
    <xf numFmtId="177" fontId="0" fillId="2" borderId="0" xfId="1" applyNumberFormat="1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352425</xdr:colOff>
      <xdr:row>1</xdr:row>
      <xdr:rowOff>180975</xdr:rowOff>
    </xdr:from>
    <xdr:to>
      <xdr:col>29</xdr:col>
      <xdr:colOff>514350</xdr:colOff>
      <xdr:row>36</xdr:row>
      <xdr:rowOff>131445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06AA329-BD08-AFA1-7C90-32689D9D1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58425" y="400050"/>
          <a:ext cx="8696325" cy="6677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3\charpter_01.xlsm" TargetMode="External"/><Relationship Id="rId1" Type="http://schemas.openxmlformats.org/officeDocument/2006/relationships/externalLinkPath" Target="charpter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3\charpter_02.xlsm" TargetMode="External"/><Relationship Id="rId1" Type="http://schemas.openxmlformats.org/officeDocument/2006/relationships/externalLinkPath" Target="charpter_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">
          <cell r="B3">
            <v>16.850000000000001</v>
          </cell>
          <cell r="C3">
            <v>73.98</v>
          </cell>
          <cell r="D3">
            <v>15.92</v>
          </cell>
          <cell r="E3">
            <v>88.37</v>
          </cell>
          <cell r="F3">
            <v>153.33000000000001</v>
          </cell>
          <cell r="G3">
            <v>65.66</v>
          </cell>
          <cell r="H3">
            <v>28.16</v>
          </cell>
          <cell r="I3">
            <v>38.32</v>
          </cell>
          <cell r="J3">
            <v>79.510000000000005</v>
          </cell>
          <cell r="K3">
            <v>60.9</v>
          </cell>
        </row>
        <row r="4">
          <cell r="B4">
            <v>2.7133655394524961E-2</v>
          </cell>
          <cell r="C4">
            <v>0.11913043478260871</v>
          </cell>
          <cell r="D4">
            <v>2.5636070853462159E-2</v>
          </cell>
          <cell r="E4">
            <v>0.14230273752012884</v>
          </cell>
          <cell r="F4">
            <v>0.2469082125603865</v>
          </cell>
          <cell r="G4">
            <v>0.10573268921095008</v>
          </cell>
          <cell r="H4">
            <v>4.5346215780998393E-2</v>
          </cell>
          <cell r="I4">
            <v>6.1706924315619971E-2</v>
          </cell>
          <cell r="J4">
            <v>0.1280354267310789</v>
          </cell>
          <cell r="K4">
            <v>9.8067632850241546E-2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VarCovar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1">
          <cell r="B11">
            <v>-1.1796597860716827E-2</v>
          </cell>
          <cell r="C11">
            <v>6.4179419991494263E-2</v>
          </cell>
          <cell r="D11">
            <v>0.13240968751532264</v>
          </cell>
          <cell r="E11">
            <v>-0.14793655569730582</v>
          </cell>
          <cell r="F11">
            <v>-8.4246160689163574E-2</v>
          </cell>
          <cell r="G11">
            <v>4.0735757355679775E-2</v>
          </cell>
          <cell r="H11">
            <v>-1.9320214557782059E-2</v>
          </cell>
          <cell r="I11">
            <v>-0.11909872467047006</v>
          </cell>
          <cell r="J11">
            <v>6.1899053418722663E-2</v>
          </cell>
          <cell r="K11">
            <v>-1.9783232604506363E-2</v>
          </cell>
        </row>
        <row r="12">
          <cell r="B12">
            <v>-0.14195662568150003</v>
          </cell>
          <cell r="C12">
            <v>-9.1050718822688559E-2</v>
          </cell>
          <cell r="D12">
            <v>-9.0192268668492556E-3</v>
          </cell>
          <cell r="E12">
            <v>-6.0953190901040094E-2</v>
          </cell>
          <cell r="F12">
            <v>4.0990472323703141E-2</v>
          </cell>
          <cell r="G12">
            <v>-0.10201504367994793</v>
          </cell>
          <cell r="H12">
            <v>-2.4904679180075117E-2</v>
          </cell>
          <cell r="I12">
            <v>-3.5908486258404655E-2</v>
          </cell>
          <cell r="J12">
            <v>-3.8139415787459788E-2</v>
          </cell>
          <cell r="K12">
            <v>-6.645264996859318E-2</v>
          </cell>
        </row>
        <row r="13">
          <cell r="B13">
            <v>-0.24369402424121561</v>
          </cell>
          <cell r="C13">
            <v>-0.18032627225751421</v>
          </cell>
          <cell r="D13">
            <v>-0.14149050229209117</v>
          </cell>
          <cell r="E13">
            <v>-0.36441967486504917</v>
          </cell>
          <cell r="F13">
            <v>1.8427547748008123E-2</v>
          </cell>
          <cell r="G13">
            <v>-0.2256844321533715</v>
          </cell>
          <cell r="H13">
            <v>-0.2066142493629993</v>
          </cell>
          <cell r="I13">
            <v>-8.7712721261510654E-2</v>
          </cell>
          <cell r="J13">
            <v>2.2832042042645689E-2</v>
          </cell>
          <cell r="K13">
            <v>-5.6313105251997946E-2</v>
          </cell>
        </row>
        <row r="14">
          <cell r="B14">
            <v>-3.7672075585455093E-2</v>
          </cell>
          <cell r="C14">
            <v>-3.5398267051240623E-3</v>
          </cell>
          <cell r="D14">
            <v>2.70286723879192E-2</v>
          </cell>
          <cell r="E14">
            <v>4.7768322210547512E-2</v>
          </cell>
          <cell r="F14">
            <v>-3.1176940570674497E-2</v>
          </cell>
          <cell r="G14">
            <v>1.5472621377584426E-2</v>
          </cell>
          <cell r="H14">
            <v>4.4606698040520781E-2</v>
          </cell>
          <cell r="I14">
            <v>6.3719663982381269E-2</v>
          </cell>
          <cell r="J14">
            <v>-4.2854092948531319E-2</v>
          </cell>
          <cell r="K14">
            <v>5.9057749643601151E-2</v>
          </cell>
        </row>
        <row r="15">
          <cell r="B15">
            <v>0.19650186606800416</v>
          </cell>
          <cell r="C15">
            <v>0.20007536875904985</v>
          </cell>
          <cell r="D15">
            <v>0.1158764573858018</v>
          </cell>
          <cell r="E15">
            <v>0.2675119655026485</v>
          </cell>
          <cell r="F15">
            <v>7.8858328439283774E-3</v>
          </cell>
          <cell r="G15">
            <v>0.1118846417347696</v>
          </cell>
          <cell r="H15">
            <v>0.17896441688028816</v>
          </cell>
          <cell r="I15">
            <v>0.11145658377136383</v>
          </cell>
          <cell r="J15">
            <v>5.9827362497400234E-2</v>
          </cell>
          <cell r="K15">
            <v>9.8314880494626E-2</v>
          </cell>
        </row>
        <row r="16">
          <cell r="B16">
            <v>-2.2455651402987761E-2</v>
          </cell>
          <cell r="C16">
            <v>8.9446254543617196E-2</v>
          </cell>
          <cell r="D16">
            <v>1.0126668817929268E-2</v>
          </cell>
          <cell r="E16">
            <v>-6.4636325431257524E-2</v>
          </cell>
          <cell r="F16">
            <v>-1.5834346666626219E-2</v>
          </cell>
          <cell r="G16">
            <v>8.115369545584715E-2</v>
          </cell>
          <cell r="H16">
            <v>-8.2229955942229177E-2</v>
          </cell>
          <cell r="I16">
            <v>-4.2229684668085556E-2</v>
          </cell>
          <cell r="J16">
            <v>-0.13630942941438459</v>
          </cell>
          <cell r="K16">
            <v>3.1229023846079226E-2</v>
          </cell>
        </row>
        <row r="17">
          <cell r="B17">
            <v>5.0815761031806052E-2</v>
          </cell>
          <cell r="C17">
            <v>-1.8133610424654605E-2</v>
          </cell>
          <cell r="D17">
            <v>3.4656933809044402E-2</v>
          </cell>
          <cell r="E17">
            <v>7.3884383555808855E-2</v>
          </cell>
          <cell r="F17">
            <v>8.8683982175134984E-2</v>
          </cell>
          <cell r="G17">
            <v>6.6401306392775573E-3</v>
          </cell>
          <cell r="H17">
            <v>8.3192591965755795E-3</v>
          </cell>
          <cell r="I17">
            <v>3.8296285077280327E-2</v>
          </cell>
          <cell r="J17">
            <v>6.3384957619382039E-3</v>
          </cell>
          <cell r="K17">
            <v>-6.2872933633058056E-2</v>
          </cell>
        </row>
        <row r="18">
          <cell r="B18">
            <v>4.5549580368746484E-2</v>
          </cell>
          <cell r="C18">
            <v>-1.8732443816804475E-3</v>
          </cell>
          <cell r="D18">
            <v>5.1887872929971726E-2</v>
          </cell>
          <cell r="E18">
            <v>-9.4438466833245069E-2</v>
          </cell>
          <cell r="F18">
            <v>4.9617249460301077E-2</v>
          </cell>
          <cell r="G18">
            <v>1.6409951434877855E-2</v>
          </cell>
          <cell r="H18">
            <v>5.1431364020888035E-2</v>
          </cell>
          <cell r="I18">
            <v>6.6572709312355663E-2</v>
          </cell>
          <cell r="J18">
            <v>3.5788285136419642E-2</v>
          </cell>
          <cell r="K18">
            <v>6.6016718006881941E-2</v>
          </cell>
        </row>
        <row r="19">
          <cell r="B19">
            <v>0.13197757299470086</v>
          </cell>
          <cell r="C19">
            <v>-2.7242736393874256E-2</v>
          </cell>
          <cell r="D19">
            <v>-1.7085582587734117E-2</v>
          </cell>
          <cell r="E19">
            <v>-0.11081852635959275</v>
          </cell>
          <cell r="F19">
            <v>1.1436865190946199E-2</v>
          </cell>
          <cell r="G19">
            <v>0.11662495793575585</v>
          </cell>
          <cell r="H19">
            <v>4.6525236584155066E-3</v>
          </cell>
          <cell r="I19">
            <v>6.6152391187194043E-3</v>
          </cell>
          <cell r="J19">
            <v>-5.7505127535623791E-2</v>
          </cell>
          <cell r="K19">
            <v>-2.5242061885177698E-2</v>
          </cell>
        </row>
        <row r="20">
          <cell r="B20">
            <v>5.9403672104483787E-2</v>
          </cell>
          <cell r="C20">
            <v>-4.7121678894988021E-2</v>
          </cell>
          <cell r="D20">
            <v>-3.7238345140118763E-2</v>
          </cell>
          <cell r="E20">
            <v>-4.8136005780311027E-2</v>
          </cell>
          <cell r="F20">
            <v>3.2858600979075607E-2</v>
          </cell>
          <cell r="G20">
            <v>3.4702174790071237E-3</v>
          </cell>
          <cell r="H20">
            <v>-0.10352485502932729</v>
          </cell>
          <cell r="I20">
            <v>-5.7805035265647606E-2</v>
          </cell>
          <cell r="J20">
            <v>-5.7817008524070991E-2</v>
          </cell>
          <cell r="K20">
            <v>8.9769043074332422E-2</v>
          </cell>
        </row>
        <row r="21">
          <cell r="B21">
            <v>-2.4291106210459393E-2</v>
          </cell>
          <cell r="C21">
            <v>-0.10645826538135635</v>
          </cell>
          <cell r="D21">
            <v>4.5040725424303811E-2</v>
          </cell>
          <cell r="E21">
            <v>0.11040395588041478</v>
          </cell>
          <cell r="F21">
            <v>5.0513531487687044E-2</v>
          </cell>
          <cell r="G21">
            <v>3.5728211799998744E-2</v>
          </cell>
          <cell r="H21">
            <v>3.1979929622318874E-2</v>
          </cell>
          <cell r="I21">
            <v>4.1059999829931984E-2</v>
          </cell>
          <cell r="J21">
            <v>4.9387260129633438E-2</v>
          </cell>
          <cell r="K21">
            <v>1.9022919701089634E-3</v>
          </cell>
        </row>
        <row r="22">
          <cell r="B22">
            <v>-0.15081827824135915</v>
          </cell>
          <cell r="C22">
            <v>-0.12536286334612179</v>
          </cell>
          <cell r="D22">
            <v>1.1078304721738328E-2</v>
          </cell>
          <cell r="E22">
            <v>-0.21840354522772715</v>
          </cell>
          <cell r="F22">
            <v>-0.25818816652428989</v>
          </cell>
          <cell r="G22">
            <v>-0.15712631899517768</v>
          </cell>
          <cell r="H22">
            <v>-5.3772953432492283E-2</v>
          </cell>
          <cell r="I22">
            <v>-3.5641330914068861E-2</v>
          </cell>
          <cell r="J22">
            <v>-0.11366735780091598</v>
          </cell>
          <cell r="K22">
            <v>-1.9540049471441244E-2</v>
          </cell>
        </row>
        <row r="23">
          <cell r="B23">
            <v>-0.13825282112290918</v>
          </cell>
          <cell r="C23">
            <v>-0.17353177741703407</v>
          </cell>
          <cell r="D23">
            <v>-9.0020581821723469E-2</v>
          </cell>
          <cell r="E23">
            <v>-7.6571687180657641E-2</v>
          </cell>
          <cell r="F23">
            <v>5.3027117760512429E-2</v>
          </cell>
          <cell r="G23">
            <v>-2.7761201163495279E-2</v>
          </cell>
          <cell r="H23">
            <v>-0.19749695818804633</v>
          </cell>
          <cell r="I23">
            <v>-5.7461205582103388E-2</v>
          </cell>
          <cell r="J23">
            <v>-2.0639553296548048E-2</v>
          </cell>
          <cell r="K23">
            <v>2.2817327092116615E-2</v>
          </cell>
        </row>
        <row r="24">
          <cell r="B24">
            <v>3.9200346761899596E-2</v>
          </cell>
          <cell r="C24">
            <v>6.4517484228313049E-2</v>
          </cell>
          <cell r="D24">
            <v>-4.9421145366095001E-2</v>
          </cell>
          <cell r="E24">
            <v>-5.2400276393531675E-2</v>
          </cell>
          <cell r="F24">
            <v>8.2160633720963452E-2</v>
          </cell>
          <cell r="G24">
            <v>2.253243108069606E-2</v>
          </cell>
          <cell r="H24">
            <v>-7.5279762968983976E-2</v>
          </cell>
          <cell r="I24">
            <v>-3.0720556129501569E-2</v>
          </cell>
          <cell r="J24">
            <v>1.8448438603733165E-2</v>
          </cell>
          <cell r="K24">
            <v>-2.2411870427542419E-3</v>
          </cell>
        </row>
        <row r="25">
          <cell r="B25">
            <v>-0.20716947675957453</v>
          </cell>
          <cell r="C25">
            <v>-0.23114327715708133</v>
          </cell>
          <cell r="D25">
            <v>-0.12003151151106271</v>
          </cell>
          <cell r="E25">
            <v>-0.13443596075494954</v>
          </cell>
          <cell r="F25">
            <v>-0.24010943692820372</v>
          </cell>
          <cell r="G25">
            <v>-0.14539705590102359</v>
          </cell>
          <cell r="H25">
            <v>-0.26223468323067284</v>
          </cell>
          <cell r="I25">
            <v>-0.11106032126150675</v>
          </cell>
          <cell r="J25">
            <v>-9.2632802033608533E-2</v>
          </cell>
          <cell r="K25">
            <v>-0.12777845727413992</v>
          </cell>
        </row>
        <row r="26">
          <cell r="B26">
            <v>-0.15702567200644355</v>
          </cell>
          <cell r="C26">
            <v>0.10125667899205118</v>
          </cell>
          <cell r="D26">
            <v>4.4812692619290689E-2</v>
          </cell>
          <cell r="E26">
            <v>0.3029495445825694</v>
          </cell>
          <cell r="F26">
            <v>4.8924461459066891E-2</v>
          </cell>
          <cell r="G26">
            <v>0.15647569641978207</v>
          </cell>
          <cell r="H26">
            <v>0.13332081458703388</v>
          </cell>
          <cell r="I26">
            <v>0.13412010121115972</v>
          </cell>
          <cell r="J26">
            <v>0.17111821308396172</v>
          </cell>
          <cell r="K26">
            <v>0.14353220773826222</v>
          </cell>
        </row>
        <row r="27">
          <cell r="B27">
            <v>0.19180375767263116</v>
          </cell>
          <cell r="C27">
            <v>-8.97918370658779E-2</v>
          </cell>
          <cell r="D27">
            <v>0.12379856748967527</v>
          </cell>
          <cell r="E27">
            <v>0.20968439794020491</v>
          </cell>
          <cell r="F27">
            <v>-7.7211744000826268E-2</v>
          </cell>
          <cell r="G27">
            <v>6.7955392467683576E-2</v>
          </cell>
          <cell r="H27">
            <v>0.15323766224092053</v>
          </cell>
          <cell r="I27">
            <v>8.6759582955818135E-2</v>
          </cell>
          <cell r="J27">
            <v>9.1040353552916189E-2</v>
          </cell>
          <cell r="K27">
            <v>2.748162223146906E-2</v>
          </cell>
        </row>
        <row r="28">
          <cell r="B28">
            <v>-7.4061437799726737E-2</v>
          </cell>
          <cell r="C28">
            <v>-9.2170459799657226E-2</v>
          </cell>
          <cell r="D28">
            <v>-0.11557587726390794</v>
          </cell>
          <cell r="E28">
            <v>-0.11109811255449942</v>
          </cell>
          <cell r="F28">
            <v>8.7602218956596464E-2</v>
          </cell>
          <cell r="G28">
            <v>-9.4220855077869967E-2</v>
          </cell>
          <cell r="H28">
            <v>-0.11467866863723777</v>
          </cell>
          <cell r="I28">
            <v>-5.0882505202755855E-2</v>
          </cell>
          <cell r="J28">
            <v>-4.2014160672714566E-2</v>
          </cell>
          <cell r="K28">
            <v>-5.1728360742031007E-2</v>
          </cell>
        </row>
        <row r="29">
          <cell r="B29">
            <v>-1.443594623294148E-2</v>
          </cell>
          <cell r="C29">
            <v>-0.1389648463475181</v>
          </cell>
          <cell r="D29">
            <v>2.0882790968829369E-2</v>
          </cell>
          <cell r="E29">
            <v>3.0238910250769192E-3</v>
          </cell>
          <cell r="F29">
            <v>-6.7812233805536068E-2</v>
          </cell>
          <cell r="G29">
            <v>4.9776110737522064E-3</v>
          </cell>
          <cell r="H29">
            <v>-0.14146552029994253</v>
          </cell>
          <cell r="I29">
            <v>-0.11292601069443486</v>
          </cell>
          <cell r="J29">
            <v>-2.1907393864309101E-2</v>
          </cell>
          <cell r="K29">
            <v>1.0045113907752113E-2</v>
          </cell>
        </row>
        <row r="30">
          <cell r="B30">
            <v>-5.9221112814114754E-2</v>
          </cell>
          <cell r="C30">
            <v>0.11497241960429672</v>
          </cell>
          <cell r="D30">
            <v>-1.2102552686463255E-2</v>
          </cell>
          <cell r="E30">
            <v>-9.3620786377303575E-2</v>
          </cell>
          <cell r="F30">
            <v>2.0335441870730667E-2</v>
          </cell>
          <cell r="G30">
            <v>-5.6165857927197062E-2</v>
          </cell>
          <cell r="H30">
            <v>4.3693684262947743E-2</v>
          </cell>
          <cell r="I30">
            <v>-2.2803268297453029E-2</v>
          </cell>
          <cell r="J30">
            <v>-4.8757269973609955E-2</v>
          </cell>
          <cell r="K30">
            <v>1.1820266103743152E-2</v>
          </cell>
        </row>
        <row r="31">
          <cell r="B31">
            <v>-4.5686250612152913E-3</v>
          </cell>
          <cell r="C31">
            <v>4.0663041490540751E-2</v>
          </cell>
          <cell r="D31">
            <v>-3.5593207477041901E-2</v>
          </cell>
          <cell r="E31">
            <v>-1.4023602107746367E-2</v>
          </cell>
          <cell r="F31">
            <v>-0.23686375406622115</v>
          </cell>
          <cell r="G31">
            <v>-1.0559760215002106E-2</v>
          </cell>
          <cell r="H31">
            <v>-5.5748624768301544E-2</v>
          </cell>
          <cell r="I31">
            <v>5.8068470022885253E-2</v>
          </cell>
          <cell r="J31">
            <v>4.4802090130681892E-2</v>
          </cell>
          <cell r="K31">
            <v>3.6616980542133158E-2</v>
          </cell>
        </row>
        <row r="32">
          <cell r="B32">
            <v>7.0049023671026195E-2</v>
          </cell>
          <cell r="C32">
            <v>0.14386358786172787</v>
          </cell>
          <cell r="D32">
            <v>5.5989464592094307E-2</v>
          </cell>
          <cell r="E32">
            <v>4.6642279970538637E-2</v>
          </cell>
          <cell r="F32">
            <v>2.6337695885035418E-2</v>
          </cell>
          <cell r="G32">
            <v>0.13269062880748922</v>
          </cell>
          <cell r="H32">
            <v>0.17457387000312879</v>
          </cell>
          <cell r="I32">
            <v>9.0299207840725426E-2</v>
          </cell>
          <cell r="J32">
            <v>6.0028697403467925E-2</v>
          </cell>
          <cell r="K32">
            <v>-3.1182184556176201E-2</v>
          </cell>
        </row>
        <row r="33">
          <cell r="B33">
            <v>-6.2592857956961399E-3</v>
          </cell>
          <cell r="C33">
            <v>0.14434822979500392</v>
          </cell>
          <cell r="D33">
            <v>3.2207448991637175E-2</v>
          </cell>
          <cell r="E33">
            <v>0.17932176881484305</v>
          </cell>
          <cell r="F33">
            <v>0.29453924217791788</v>
          </cell>
          <cell r="G33">
            <v>9.5676340891126005E-2</v>
          </cell>
          <cell r="H33">
            <v>7.0596523221486157E-2</v>
          </cell>
          <cell r="I33">
            <v>-1.047120514525356E-3</v>
          </cell>
          <cell r="J33">
            <v>-4.5602217693244643E-2</v>
          </cell>
          <cell r="K33">
            <v>8.6011155090919712E-3</v>
          </cell>
        </row>
        <row r="34">
          <cell r="B34">
            <v>1.8661533537849079E-2</v>
          </cell>
          <cell r="C34">
            <v>2.1066649233051005E-2</v>
          </cell>
          <cell r="D34">
            <v>-2.5804011956430128E-2</v>
          </cell>
          <cell r="E34">
            <v>9.2183956078058613E-2</v>
          </cell>
          <cell r="F34">
            <v>0.11041605200128428</v>
          </cell>
          <cell r="G34">
            <v>3.654255647612212E-3</v>
          </cell>
          <cell r="H34">
            <v>3.5596978740231759E-2</v>
          </cell>
          <cell r="I34">
            <v>-1.212136053234485E-2</v>
          </cell>
          <cell r="J34">
            <v>9.1990281094654625E-2</v>
          </cell>
          <cell r="K34">
            <v>1.9786163816293573E-2</v>
          </cell>
        </row>
        <row r="35">
          <cell r="B35">
            <v>3.8808941468620115E-2</v>
          </cell>
          <cell r="C35">
            <v>-5.9944237275739262E-2</v>
          </cell>
          <cell r="D35">
            <v>9.0601681976483966E-2</v>
          </cell>
          <cell r="E35">
            <v>-5.8881426252225975E-3</v>
          </cell>
          <cell r="F35">
            <v>-0.12735830936629924</v>
          </cell>
          <cell r="G35">
            <v>5.7251937337795711E-2</v>
          </cell>
          <cell r="H35">
            <v>8.5344709937160576E-2</v>
          </cell>
          <cell r="I35">
            <v>5.392767924696916E-2</v>
          </cell>
          <cell r="J35">
            <v>-9.1122602081432233E-2</v>
          </cell>
          <cell r="K35">
            <v>8.3355266807444053E-2</v>
          </cell>
        </row>
        <row r="36">
          <cell r="B36">
            <v>0.10701281600412117</v>
          </cell>
          <cell r="C36">
            <v>3.0260971781809479E-2</v>
          </cell>
          <cell r="D36">
            <v>4.1865314592252102E-2</v>
          </cell>
          <cell r="E36">
            <v>-6.0347839258119644E-2</v>
          </cell>
          <cell r="F36">
            <v>2.9674074558462916E-2</v>
          </cell>
          <cell r="G36">
            <v>1.9677927355250688E-2</v>
          </cell>
          <cell r="H36">
            <v>3.3825096153643881E-2</v>
          </cell>
          <cell r="I36">
            <v>2.6033452377250046E-2</v>
          </cell>
          <cell r="J36">
            <v>-3.8908532918691993E-2</v>
          </cell>
          <cell r="K36">
            <v>2.0687291493214577E-2</v>
          </cell>
        </row>
        <row r="37">
          <cell r="B37">
            <v>-4.2140812468307665E-3</v>
          </cell>
          <cell r="C37">
            <v>-7.3991008303252196E-3</v>
          </cell>
          <cell r="D37">
            <v>-3.8262705735288539E-2</v>
          </cell>
          <cell r="E37">
            <v>-2.5411637362336956E-2</v>
          </cell>
          <cell r="F37">
            <v>7.7335818616388816E-2</v>
          </cell>
          <cell r="G37">
            <v>2.5977399808370356E-4</v>
          </cell>
          <cell r="H37">
            <v>-8.8019746541645447E-2</v>
          </cell>
          <cell r="I37">
            <v>-0.11174403843961539</v>
          </cell>
          <cell r="J37">
            <v>1.321259843546308E-2</v>
          </cell>
          <cell r="K37">
            <v>-3.0887577848030593E-2</v>
          </cell>
        </row>
        <row r="38">
          <cell r="B38">
            <v>4.1632476801552E-2</v>
          </cell>
          <cell r="C38">
            <v>0.15188786974584667</v>
          </cell>
          <cell r="D38">
            <v>8.2645098498936517E-3</v>
          </cell>
          <cell r="E38">
            <v>0.14220678904379266</v>
          </cell>
          <cell r="F38">
            <v>5.98436768333633E-2</v>
          </cell>
          <cell r="G38">
            <v>4.2959967167371181E-2</v>
          </cell>
          <cell r="H38">
            <v>0.18815599644086031</v>
          </cell>
          <cell r="I38">
            <v>9.8040000966208348E-3</v>
          </cell>
          <cell r="J38">
            <v>-0.13458072734726104</v>
          </cell>
          <cell r="K38">
            <v>0.1326511277227809</v>
          </cell>
        </row>
        <row r="39">
          <cell r="B39">
            <v>1.4477464660356284E-2</v>
          </cell>
          <cell r="C39">
            <v>-8.3565945909413047E-3</v>
          </cell>
          <cell r="D39">
            <v>-4.8913628580972354E-2</v>
          </cell>
          <cell r="E39">
            <v>-2.5914288765470354E-2</v>
          </cell>
          <cell r="F39">
            <v>0.11166413544612598</v>
          </cell>
          <cell r="G39">
            <v>-2.6473246493179468E-2</v>
          </cell>
          <cell r="H39">
            <v>4.3186298653130631E-2</v>
          </cell>
          <cell r="I39">
            <v>3.4362150190943297E-2</v>
          </cell>
          <cell r="J39">
            <v>-8.6063169839410369E-2</v>
          </cell>
          <cell r="K39">
            <v>6.4119909770771703E-3</v>
          </cell>
        </row>
        <row r="40">
          <cell r="B40">
            <v>0.22159857351561749</v>
          </cell>
          <cell r="C40">
            <v>-3.3274788884872321E-2</v>
          </cell>
          <cell r="D40">
            <v>0.14708789103548778</v>
          </cell>
          <cell r="E40">
            <v>5.8403991538189343E-2</v>
          </cell>
          <cell r="F40">
            <v>5.8326808890349982E-2</v>
          </cell>
          <cell r="G40">
            <v>5.5894343792710806E-2</v>
          </cell>
          <cell r="H40">
            <v>0.1468508746690195</v>
          </cell>
          <cell r="I40">
            <v>0.10150391334127384</v>
          </cell>
          <cell r="J40">
            <v>0.13813244202968306</v>
          </cell>
          <cell r="K40">
            <v>7.3032636721528266E-2</v>
          </cell>
        </row>
        <row r="41">
          <cell r="B41">
            <v>-7.2059445965976701E-2</v>
          </cell>
          <cell r="C41">
            <v>-5.7853631928948075E-4</v>
          </cell>
          <cell r="D41">
            <v>-1.9588773019646882E-2</v>
          </cell>
          <cell r="E41">
            <v>3.4951578022813505E-2</v>
          </cell>
          <cell r="F41">
            <v>2.1277398447284879E-2</v>
          </cell>
          <cell r="G41">
            <v>7.2225139057309498E-2</v>
          </cell>
          <cell r="H41">
            <v>-0.10606730547874653</v>
          </cell>
          <cell r="I41">
            <v>-4.4258220426428019E-2</v>
          </cell>
          <cell r="J41">
            <v>2.9753474096948125E-2</v>
          </cell>
          <cell r="K41">
            <v>-7.2367079292633765E-2</v>
          </cell>
        </row>
        <row r="42">
          <cell r="B42">
            <v>-2.1780286365647616E-2</v>
          </cell>
          <cell r="C42">
            <v>2.3449744795784353E-2</v>
          </cell>
          <cell r="D42">
            <v>5.1648290968097574E-2</v>
          </cell>
          <cell r="E42">
            <v>-4.6271599287819744E-2</v>
          </cell>
          <cell r="F42">
            <v>3.4616545669163876E-2</v>
          </cell>
          <cell r="G42">
            <v>2.9892627588533782E-2</v>
          </cell>
          <cell r="H42">
            <v>9.634365614730557E-2</v>
          </cell>
          <cell r="I42">
            <v>3.4511322865583019E-2</v>
          </cell>
          <cell r="J42">
            <v>1.0033919208430145E-2</v>
          </cell>
          <cell r="K42">
            <v>-9.0897564764294558E-3</v>
          </cell>
        </row>
        <row r="43">
          <cell r="B43">
            <v>-1.8201660757083821E-2</v>
          </cell>
          <cell r="C43">
            <v>3.03433160889496E-2</v>
          </cell>
          <cell r="D43">
            <v>-4.6336529395846038E-2</v>
          </cell>
          <cell r="E43">
            <v>9.0662452377530418E-3</v>
          </cell>
          <cell r="F43">
            <v>-4.3767600886521159E-2</v>
          </cell>
          <cell r="G43">
            <v>-2.7871744448761455E-2</v>
          </cell>
          <cell r="H43">
            <v>-7.7162066365471571E-2</v>
          </cell>
          <cell r="I43">
            <v>-6.5653970221436778E-2</v>
          </cell>
          <cell r="J43">
            <v>-7.6450375170201493E-2</v>
          </cell>
          <cell r="K43">
            <v>4.8105729904370467E-2</v>
          </cell>
        </row>
        <row r="44">
          <cell r="B44">
            <v>3.5718575896427612E-3</v>
          </cell>
          <cell r="C44">
            <v>-5.9887986152230469E-2</v>
          </cell>
          <cell r="D44">
            <v>-4.7000646231475811E-2</v>
          </cell>
          <cell r="E44">
            <v>-0.14755395425582776</v>
          </cell>
          <cell r="F44">
            <v>1.7014791677571944E-2</v>
          </cell>
          <cell r="G44">
            <v>-5.7475145175243408E-2</v>
          </cell>
          <cell r="H44">
            <v>-0.12034965592245828</v>
          </cell>
          <cell r="I44">
            <v>1.7198198297220822E-2</v>
          </cell>
          <cell r="J44">
            <v>6.1479335318415811E-2</v>
          </cell>
          <cell r="K44">
            <v>5.4780934697511344E-2</v>
          </cell>
        </row>
        <row r="45">
          <cell r="B45">
            <v>-3.2615525360162281E-2</v>
          </cell>
          <cell r="C45">
            <v>2.0458860824730089E-2</v>
          </cell>
          <cell r="D45">
            <v>4.5485876944108189E-2</v>
          </cell>
          <cell r="E45">
            <v>7.5041487279112279E-2</v>
          </cell>
          <cell r="F45">
            <v>-0.14359534999433954</v>
          </cell>
          <cell r="G45">
            <v>3.5017583467822043E-2</v>
          </cell>
          <cell r="H45">
            <v>2.2533322655801786E-2</v>
          </cell>
          <cell r="I45">
            <v>1.4191698410863171E-2</v>
          </cell>
          <cell r="J45">
            <v>6.3432610203455345E-3</v>
          </cell>
          <cell r="K45">
            <v>-1.809340312427337E-2</v>
          </cell>
        </row>
        <row r="46">
          <cell r="B46">
            <v>2.6176967288443334E-2</v>
          </cell>
          <cell r="C46">
            <v>-1.7842199933558494E-2</v>
          </cell>
          <cell r="D46">
            <v>6.3859285961827647E-2</v>
          </cell>
          <cell r="E46">
            <v>-2.9154539601240195E-3</v>
          </cell>
          <cell r="F46">
            <v>5.656571433412301E-2</v>
          </cell>
          <cell r="G46">
            <v>1.5253568372602168E-2</v>
          </cell>
          <cell r="H46">
            <v>5.3734608594666534E-2</v>
          </cell>
          <cell r="I46">
            <v>2.7793110250319549E-2</v>
          </cell>
          <cell r="J46">
            <v>1.1873029709262878E-2</v>
          </cell>
          <cell r="K46">
            <v>6.2408200320793056E-2</v>
          </cell>
        </row>
        <row r="47">
          <cell r="B47">
            <v>-7.705673949497438E-2</v>
          </cell>
          <cell r="C47">
            <v>-4.3014194319039925E-2</v>
          </cell>
          <cell r="D47">
            <v>-3.3256076718532868E-2</v>
          </cell>
          <cell r="E47">
            <v>-4.5801932653874042E-2</v>
          </cell>
          <cell r="F47">
            <v>-5.0325083887515769E-2</v>
          </cell>
          <cell r="G47">
            <v>-2.215967316901438E-2</v>
          </cell>
          <cell r="H47">
            <v>-3.0722416261153792E-2</v>
          </cell>
          <cell r="I47">
            <v>-3.548641038662833E-2</v>
          </cell>
          <cell r="J47">
            <v>-4.6178442300736068E-2</v>
          </cell>
          <cell r="K47">
            <v>-8.8783080819304527E-2</v>
          </cell>
        </row>
        <row r="48">
          <cell r="B48">
            <v>-3.1232035941940295E-2</v>
          </cell>
          <cell r="C48">
            <v>8.3139081805139362E-2</v>
          </cell>
          <cell r="D48">
            <v>-7.1340989691328641E-2</v>
          </cell>
          <cell r="E48">
            <v>-0.11886614875644017</v>
          </cell>
          <cell r="F48">
            <v>2.7946837534819531E-2</v>
          </cell>
          <cell r="G48">
            <v>-4.6307098261424984E-3</v>
          </cell>
          <cell r="H48">
            <v>1.5479186848460032E-2</v>
          </cell>
          <cell r="I48">
            <v>-5.9970194723744019E-3</v>
          </cell>
          <cell r="J48">
            <v>-8.5189757017985705E-3</v>
          </cell>
          <cell r="K48">
            <v>4.549483393577248E-3</v>
          </cell>
        </row>
        <row r="49">
          <cell r="B49">
            <v>2.7867208126340609E-2</v>
          </cell>
          <cell r="C49">
            <v>6.9755017056462379E-2</v>
          </cell>
          <cell r="D49">
            <v>9.6897445324751318E-3</v>
          </cell>
          <cell r="E49">
            <v>5.0891607296389224E-2</v>
          </cell>
          <cell r="F49">
            <v>-2.4955923076972433E-2</v>
          </cell>
          <cell r="G49">
            <v>2.8370697129215351E-2</v>
          </cell>
          <cell r="H49">
            <v>3.6756140125119671E-2</v>
          </cell>
          <cell r="I49">
            <v>1.2700955194564387E-2</v>
          </cell>
          <cell r="J49">
            <v>-0.30088710337205904</v>
          </cell>
          <cell r="K49">
            <v>-2.9428940544069474E-2</v>
          </cell>
        </row>
        <row r="50">
          <cell r="B50">
            <v>-9.7126710730722793E-2</v>
          </cell>
          <cell r="C50">
            <v>4.7004715101164184E-2</v>
          </cell>
          <cell r="D50">
            <v>-4.8047672097571097E-2</v>
          </cell>
          <cell r="E50">
            <v>-4.9193867998182173E-3</v>
          </cell>
          <cell r="F50">
            <v>2.9650242639753112E-2</v>
          </cell>
          <cell r="G50">
            <v>3.305902826838731E-2</v>
          </cell>
          <cell r="H50">
            <v>-3.2923494104943316E-2</v>
          </cell>
          <cell r="I50">
            <v>1.7307458888278151E-3</v>
          </cell>
          <cell r="J50">
            <v>-5.2545555578049831E-2</v>
          </cell>
          <cell r="K50">
            <v>-3.0455191412387114E-2</v>
          </cell>
        </row>
        <row r="51">
          <cell r="B51">
            <v>1.4184634991956381E-2</v>
          </cell>
          <cell r="C51">
            <v>1.820020725083887E-2</v>
          </cell>
          <cell r="D51">
            <v>8.1367002364949009E-2</v>
          </cell>
          <cell r="E51">
            <v>6.9832701379484413E-2</v>
          </cell>
          <cell r="F51">
            <v>0.17095779814363948</v>
          </cell>
          <cell r="G51">
            <v>4.8561500086365991E-2</v>
          </cell>
          <cell r="H51">
            <v>4.9139238745929577E-2</v>
          </cell>
          <cell r="I51">
            <v>6.3410785680541745E-2</v>
          </cell>
          <cell r="J51">
            <v>-0.11106185171340001</v>
          </cell>
          <cell r="K51">
            <v>3.006555571682842E-2</v>
          </cell>
        </row>
        <row r="52">
          <cell r="B52">
            <v>3.7322922153975452E-2</v>
          </cell>
          <cell r="C52">
            <v>2.3366111829273544E-2</v>
          </cell>
          <cell r="D52">
            <v>1.1528949752586601E-2</v>
          </cell>
          <cell r="E52">
            <v>5.0807739631713138E-2</v>
          </cell>
          <cell r="F52">
            <v>7.2845091274365475E-2</v>
          </cell>
          <cell r="G52">
            <v>1.1780646733647522E-2</v>
          </cell>
          <cell r="H52">
            <v>-7.8576913481500574E-2</v>
          </cell>
          <cell r="I52">
            <v>7.9096996758603308E-2</v>
          </cell>
          <cell r="J52">
            <v>0.15064395501804845</v>
          </cell>
          <cell r="K52">
            <v>3.0700799499319052E-2</v>
          </cell>
        </row>
        <row r="53">
          <cell r="B53">
            <v>-8.4621241930356389E-2</v>
          </cell>
          <cell r="C53">
            <v>-3.5380477259514341E-2</v>
          </cell>
          <cell r="D53">
            <v>-7.0186135918770765E-2</v>
          </cell>
          <cell r="E53">
            <v>-6.7814075802137774E-2</v>
          </cell>
          <cell r="F53">
            <v>4.3767669233827577E-2</v>
          </cell>
          <cell r="G53">
            <v>-5.2949201645518883E-2</v>
          </cell>
          <cell r="H53">
            <v>-6.230857333871094E-2</v>
          </cell>
          <cell r="I53">
            <v>-3.0892167212963981E-2</v>
          </cell>
          <cell r="J53">
            <v>-0.13597187714720946</v>
          </cell>
          <cell r="K53">
            <v>2.7582814615142014E-2</v>
          </cell>
        </row>
        <row r="54">
          <cell r="B54">
            <v>-1.8781294338486465E-2</v>
          </cell>
          <cell r="C54">
            <v>-3.0301554580135844E-2</v>
          </cell>
          <cell r="D54">
            <v>-4.0365447234627351E-2</v>
          </cell>
          <cell r="E54">
            <v>6.0012963591970378E-2</v>
          </cell>
          <cell r="F54">
            <v>2.8040761814603344E-2</v>
          </cell>
          <cell r="G54">
            <v>1.5050810879805461E-2</v>
          </cell>
          <cell r="H54">
            <v>8.9831761210009339E-2</v>
          </cell>
          <cell r="I54">
            <v>0.12096939095894733</v>
          </cell>
          <cell r="J54">
            <v>0.1224991236785478</v>
          </cell>
          <cell r="K54">
            <v>0</v>
          </cell>
        </row>
        <row r="55">
          <cell r="B55">
            <v>-0.19291006897247834</v>
          </cell>
          <cell r="C55">
            <v>-4.3123564739768361E-2</v>
          </cell>
          <cell r="D55">
            <v>-1.5143306768055377E-2</v>
          </cell>
          <cell r="E55">
            <v>5.7076831135436719E-2</v>
          </cell>
          <cell r="F55">
            <v>7.2927962795744389E-3</v>
          </cell>
          <cell r="G55">
            <v>-5.0327837460620924E-2</v>
          </cell>
          <cell r="H55">
            <v>-5.5487726498661551E-2</v>
          </cell>
          <cell r="I55">
            <v>-3.9533996363863642E-2</v>
          </cell>
          <cell r="J55">
            <v>3.2691370170432756E-2</v>
          </cell>
          <cell r="K55">
            <v>2.061928720273561E-2</v>
          </cell>
        </row>
        <row r="56">
          <cell r="B56">
            <v>-9.6880755578711189E-2</v>
          </cell>
          <cell r="C56">
            <v>-7.8097869719647564E-2</v>
          </cell>
          <cell r="D56">
            <v>-7.0224809116881906E-2</v>
          </cell>
          <cell r="E56">
            <v>-6.9389225039504426E-2</v>
          </cell>
          <cell r="F56">
            <v>-6.1548623195070394E-3</v>
          </cell>
          <cell r="G56">
            <v>2.5480496724624442E-2</v>
          </cell>
          <cell r="H56">
            <v>-4.594142352617691E-2</v>
          </cell>
          <cell r="I56">
            <v>-8.4090263411085331E-2</v>
          </cell>
          <cell r="J56">
            <v>4.6176847292534448E-2</v>
          </cell>
          <cell r="K56">
            <v>-0.11379938430369087</v>
          </cell>
        </row>
        <row r="57">
          <cell r="B57">
            <v>0.18352710244930318</v>
          </cell>
          <cell r="C57">
            <v>0.10662263503826326</v>
          </cell>
          <cell r="D57">
            <v>-5.4825313945502885E-2</v>
          </cell>
          <cell r="E57">
            <v>9.5400273952770856E-2</v>
          </cell>
          <cell r="F57">
            <v>3.260637264885393E-2</v>
          </cell>
          <cell r="G57">
            <v>2.1641182170363763E-2</v>
          </cell>
          <cell r="H57">
            <v>-6.3478637625527953E-2</v>
          </cell>
          <cell r="I57">
            <v>-4.8856415191471511E-3</v>
          </cell>
          <cell r="J57">
            <v>-4.4209633543365608E-2</v>
          </cell>
          <cell r="K57">
            <v>7.7717127067817651E-3</v>
          </cell>
        </row>
        <row r="58">
          <cell r="B58">
            <v>7.5398017484211849E-2</v>
          </cell>
          <cell r="C58">
            <v>-8.810629682154807E-3</v>
          </cell>
          <cell r="D58">
            <v>-6.4133010455345182E-2</v>
          </cell>
          <cell r="E58">
            <v>4.6642858212284775E-2</v>
          </cell>
          <cell r="F58">
            <v>-2.7097609528046317E-2</v>
          </cell>
          <cell r="G58">
            <v>-9.4644715951083796E-3</v>
          </cell>
          <cell r="H58">
            <v>-3.6437396202430979E-2</v>
          </cell>
          <cell r="I58">
            <v>-7.8226311422276262E-2</v>
          </cell>
          <cell r="J58">
            <v>-4.0098923757426963E-2</v>
          </cell>
          <cell r="K58">
            <v>-5.839972287312481E-2</v>
          </cell>
        </row>
        <row r="59">
          <cell r="B59">
            <v>7.961287744985443E-2</v>
          </cell>
          <cell r="C59">
            <v>0.111924040446493</v>
          </cell>
          <cell r="D59">
            <v>4.4733760005041763E-2</v>
          </cell>
          <cell r="E59">
            <v>4.6207295751177817E-2</v>
          </cell>
          <cell r="F59">
            <v>3.492972976486533E-2</v>
          </cell>
          <cell r="G59">
            <v>3.2741019719103662E-2</v>
          </cell>
          <cell r="H59">
            <v>7.086611586863184E-2</v>
          </cell>
          <cell r="I59">
            <v>-7.7332429856533293E-3</v>
          </cell>
          <cell r="J59">
            <v>8.487574293294043E-3</v>
          </cell>
          <cell r="K59">
            <v>3.6675870532732226E-2</v>
          </cell>
        </row>
        <row r="60">
          <cell r="B60">
            <v>-5.9944142589560705E-2</v>
          </cell>
          <cell r="C60">
            <v>-7.3624746343640385E-2</v>
          </cell>
          <cell r="D60">
            <v>-1.5794997671489491E-2</v>
          </cell>
          <cell r="E60">
            <v>0.12015205726548621</v>
          </cell>
          <cell r="F60">
            <v>5.4354604727998697E-2</v>
          </cell>
          <cell r="G60">
            <v>4.3827681550951342E-3</v>
          </cell>
          <cell r="H60">
            <v>-4.0852320064980054E-2</v>
          </cell>
          <cell r="I60">
            <v>-6.6967475452974504E-2</v>
          </cell>
          <cell r="J60">
            <v>-8.2044936173400654E-2</v>
          </cell>
          <cell r="K60">
            <v>-4.6773375085093986E-2</v>
          </cell>
        </row>
        <row r="61">
          <cell r="B61">
            <v>-0.11058139743583054</v>
          </cell>
          <cell r="C61">
            <v>-5.5627110165963341E-2</v>
          </cell>
          <cell r="D61">
            <v>-3.4759699844709162E-2</v>
          </cell>
          <cell r="E61">
            <v>5.3166311674076518E-2</v>
          </cell>
          <cell r="F61">
            <v>5.2814229686611279E-2</v>
          </cell>
          <cell r="G61">
            <v>3.9004433719410765E-2</v>
          </cell>
          <cell r="H61">
            <v>-9.2471150737398339E-2</v>
          </cell>
          <cell r="I61">
            <v>-1.0168253429252682E-2</v>
          </cell>
          <cell r="J61">
            <v>-3.6625917411804654E-2</v>
          </cell>
          <cell r="K61">
            <v>3.0546396365180008E-2</v>
          </cell>
        </row>
        <row r="62">
          <cell r="B62">
            <v>-0.1109657416650736</v>
          </cell>
          <cell r="C62">
            <v>7.3256368722335555E-2</v>
          </cell>
          <cell r="D62">
            <v>-2.081962778239007E-2</v>
          </cell>
          <cell r="E62">
            <v>-4.0505625285962132E-2</v>
          </cell>
          <cell r="F62">
            <v>1.8058554362292371E-2</v>
          </cell>
          <cell r="G62">
            <v>-7.8416004513044302E-3</v>
          </cell>
          <cell r="H62">
            <v>-5.4200674693391446E-3</v>
          </cell>
          <cell r="I62">
            <v>6.2472709572152785E-2</v>
          </cell>
          <cell r="J62">
            <v>3.6258877583862995E-2</v>
          </cell>
          <cell r="K62">
            <v>3.5010045623190378E-2</v>
          </cell>
        </row>
        <row r="63">
          <cell r="B63">
            <v>-0.20545063730561666</v>
          </cell>
          <cell r="C63">
            <v>2.0222397007998206E-2</v>
          </cell>
          <cell r="D63">
            <v>8.5637127858860893E-2</v>
          </cell>
          <cell r="E63">
            <v>5.6599107365378584E-2</v>
          </cell>
          <cell r="F63">
            <v>-3.0612495948348563E-2</v>
          </cell>
          <cell r="G63">
            <v>3.2763776408278281E-2</v>
          </cell>
          <cell r="H63">
            <v>0.12703037360806441</v>
          </cell>
          <cell r="I63">
            <v>3.3885139264615775E-2</v>
          </cell>
          <cell r="J63">
            <v>5.3951285962047978E-2</v>
          </cell>
          <cell r="K63">
            <v>3.7700662364008368E-2</v>
          </cell>
        </row>
        <row r="64">
          <cell r="B64">
            <v>-0.12029317970226346</v>
          </cell>
          <cell r="C64">
            <v>-3.1608658636442653E-2</v>
          </cell>
          <cell r="D64">
            <v>6.3894606112102861E-2</v>
          </cell>
          <cell r="E64">
            <v>-3.3152207316900509E-2</v>
          </cell>
          <cell r="F64">
            <v>3.6651493165116622E-2</v>
          </cell>
          <cell r="G64">
            <v>7.8109748161892467E-4</v>
          </cell>
          <cell r="H64">
            <v>7.5842213332526193E-2</v>
          </cell>
          <cell r="I64">
            <v>-5.9673169077704346E-3</v>
          </cell>
          <cell r="J64">
            <v>7.8570051941829144E-2</v>
          </cell>
          <cell r="K64">
            <v>-1.2583677756234533E-2</v>
          </cell>
        </row>
        <row r="65">
          <cell r="B65">
            <v>0.21458520228304806</v>
          </cell>
          <cell r="C65">
            <v>1.7410774202929755E-3</v>
          </cell>
          <cell r="D65">
            <v>-2.9724878833430512E-2</v>
          </cell>
          <cell r="E65">
            <v>8.5430071204617777E-2</v>
          </cell>
          <cell r="F65">
            <v>-3.240219498645891E-2</v>
          </cell>
          <cell r="G65">
            <v>2.1244522433005595E-2</v>
          </cell>
          <cell r="H65">
            <v>6.3151040259666502E-2</v>
          </cell>
          <cell r="I65">
            <v>-8.2039752711578345E-2</v>
          </cell>
          <cell r="J65">
            <v>8.1179829888370206E-2</v>
          </cell>
          <cell r="K65">
            <v>-6.3181739632142964E-2</v>
          </cell>
        </row>
        <row r="66">
          <cell r="B66">
            <v>-0.1583331549988253</v>
          </cell>
          <cell r="C66">
            <v>3.8752259662623204E-2</v>
          </cell>
          <cell r="D66">
            <v>1.1750289801631692E-2</v>
          </cell>
          <cell r="E66">
            <v>5.090637234751344E-2</v>
          </cell>
          <cell r="F66">
            <v>-6.0962831464255992E-3</v>
          </cell>
          <cell r="G66">
            <v>2.6959875830777722E-2</v>
          </cell>
          <cell r="H66">
            <v>-6.6912371416664659E-2</v>
          </cell>
          <cell r="I66">
            <v>3.6488293263136684E-2</v>
          </cell>
          <cell r="J66">
            <v>1.0616437076253071E-2</v>
          </cell>
          <cell r="K66">
            <v>1.7780083852863355E-2</v>
          </cell>
        </row>
        <row r="67">
          <cell r="B67">
            <v>4.6158302921268657E-2</v>
          </cell>
          <cell r="C67">
            <v>7.1462905368182526E-3</v>
          </cell>
          <cell r="D67">
            <v>5.3565534134501359E-2</v>
          </cell>
          <cell r="E67">
            <v>5.1948168771041511E-3</v>
          </cell>
          <cell r="F67">
            <v>-3.7042356075807268E-3</v>
          </cell>
          <cell r="G67">
            <v>-2.5050749630452611E-2</v>
          </cell>
          <cell r="H67">
            <v>4.1602779042856315E-2</v>
          </cell>
          <cell r="I67">
            <v>4.7942660970409473E-2</v>
          </cell>
          <cell r="J67">
            <v>2.1474998228097959E-2</v>
          </cell>
          <cell r="K67">
            <v>2.815190289476506E-2</v>
          </cell>
        </row>
        <row r="68">
          <cell r="B68">
            <v>7.3225748894030954E-2</v>
          </cell>
          <cell r="C68">
            <v>-5.7647216771325914E-2</v>
          </cell>
          <cell r="D68">
            <v>5.0287544034935766E-2</v>
          </cell>
          <cell r="E68">
            <v>-1.3192398723521168E-2</v>
          </cell>
          <cell r="F68">
            <v>3.2025208754611109E-2</v>
          </cell>
          <cell r="G68">
            <v>2.5980376916886951E-2</v>
          </cell>
          <cell r="H68">
            <v>9.9989561843298519E-2</v>
          </cell>
          <cell r="I68">
            <v>4.3693435217569923E-2</v>
          </cell>
          <cell r="J68">
            <v>-2.3236595865095331E-2</v>
          </cell>
          <cell r="K68">
            <v>0.12106861082463452</v>
          </cell>
        </row>
        <row r="69">
          <cell r="B69">
            <v>0.17263965122364733</v>
          </cell>
          <cell r="C69">
            <v>-4.6316484975888444E-2</v>
          </cell>
          <cell r="D69">
            <v>-6.0243702410911405E-2</v>
          </cell>
          <cell r="E69">
            <v>-2.7833634793053221E-3</v>
          </cell>
          <cell r="F69">
            <v>-1.1120492693080124E-2</v>
          </cell>
          <cell r="G69">
            <v>1.016926578161461E-2</v>
          </cell>
          <cell r="H69">
            <v>-5.8471128985531085E-2</v>
          </cell>
          <cell r="I69">
            <v>-2.8053305983079591E-2</v>
          </cell>
          <cell r="J69">
            <v>-2.1985436925880866E-2</v>
          </cell>
          <cell r="K69">
            <v>-1.5654968672613196E-2</v>
          </cell>
        </row>
        <row r="70">
          <cell r="B70">
            <v>0.10093185990168346</v>
          </cell>
          <cell r="C70">
            <v>-5.9127849465776476E-2</v>
          </cell>
          <cell r="D70">
            <v>-5.0704886015175053E-2</v>
          </cell>
          <cell r="E70">
            <v>-1.9072017823958738E-2</v>
          </cell>
          <cell r="F70">
            <v>2.6075837632647349E-2</v>
          </cell>
          <cell r="G70">
            <v>-2.1194323733399835E-2</v>
          </cell>
          <cell r="H70">
            <v>1.9975695423643827E-2</v>
          </cell>
          <cell r="I70">
            <v>-2.2109541998324524E-2</v>
          </cell>
          <cell r="J70">
            <v>9.0135559433538959E-2</v>
          </cell>
          <cell r="K70">
            <v>-3.5155356559847424E-2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32"/>
  <sheetViews>
    <sheetView tabSelected="1" zoomScale="130" zoomScaleNormal="130" workbookViewId="0">
      <selection activeCell="C33" sqref="C33"/>
    </sheetView>
  </sheetViews>
  <sheetFormatPr defaultRowHeight="13.8" x14ac:dyDescent="0.25"/>
  <cols>
    <col min="1" max="1" width="19.5546875" style="2" customWidth="1"/>
    <col min="2" max="2" width="9.33203125" style="2" bestFit="1" customWidth="1"/>
    <col min="3" max="13" width="8.88671875" style="2"/>
  </cols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55.2" x14ac:dyDescent="0.2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4" t="s">
        <v>10</v>
      </c>
    </row>
    <row r="3" spans="1:13" x14ac:dyDescent="0.25">
      <c r="A3" s="2" t="s">
        <v>11</v>
      </c>
      <c r="B3" s="2">
        <f>[2]Sheet1!B3</f>
        <v>16.850000000000001</v>
      </c>
      <c r="C3" s="2">
        <f>[2]Sheet1!C3</f>
        <v>73.98</v>
      </c>
      <c r="D3" s="2">
        <f>[2]Sheet1!D3</f>
        <v>15.92</v>
      </c>
      <c r="E3" s="2">
        <f>[2]Sheet1!E3</f>
        <v>88.37</v>
      </c>
      <c r="F3" s="2">
        <f>[2]Sheet1!F3</f>
        <v>153.33000000000001</v>
      </c>
      <c r="G3" s="2">
        <f>[2]Sheet1!G3</f>
        <v>65.66</v>
      </c>
      <c r="H3" s="2">
        <f>[2]Sheet1!H3</f>
        <v>28.16</v>
      </c>
      <c r="I3" s="2">
        <f>[2]Sheet1!I3</f>
        <v>38.32</v>
      </c>
      <c r="J3" s="2">
        <f>[2]Sheet1!J3</f>
        <v>79.510000000000005</v>
      </c>
      <c r="K3" s="2">
        <f>[2]Sheet1!K3</f>
        <v>60.9</v>
      </c>
    </row>
    <row r="4" spans="1:13" x14ac:dyDescent="0.25">
      <c r="A4" s="2" t="s">
        <v>12</v>
      </c>
      <c r="B4" s="5">
        <f>[2]Sheet1!B4</f>
        <v>2.7133655394524961E-2</v>
      </c>
      <c r="C4" s="5">
        <f>[2]Sheet1!C4</f>
        <v>0.11913043478260871</v>
      </c>
      <c r="D4" s="5">
        <f>[2]Sheet1!D4</f>
        <v>2.5636070853462159E-2</v>
      </c>
      <c r="E4" s="5">
        <f>[2]Sheet1!E4</f>
        <v>0.14230273752012884</v>
      </c>
      <c r="F4" s="5">
        <f>[2]Sheet1!F4</f>
        <v>0.2469082125603865</v>
      </c>
      <c r="G4" s="5">
        <f>[2]Sheet1!G4</f>
        <v>0.10573268921095008</v>
      </c>
      <c r="H4" s="5">
        <f>[2]Sheet1!H4</f>
        <v>4.5346215780998393E-2</v>
      </c>
      <c r="I4" s="5">
        <f>[2]Sheet1!I4</f>
        <v>6.1706924315619971E-2</v>
      </c>
      <c r="J4" s="5">
        <f>[2]Sheet1!J4</f>
        <v>0.1280354267310789</v>
      </c>
      <c r="K4" s="5">
        <f>[2]Sheet1!K4</f>
        <v>9.8067632850241546E-2</v>
      </c>
    </row>
    <row r="5" spans="1:13" x14ac:dyDescent="0.25">
      <c r="B5" s="5"/>
      <c r="C5" s="5"/>
      <c r="D5" s="5"/>
      <c r="E5" s="5"/>
      <c r="F5" s="5"/>
      <c r="G5" s="5"/>
      <c r="H5" s="5"/>
      <c r="I5" s="5"/>
      <c r="J5" s="5"/>
      <c r="K5" s="5"/>
    </row>
    <row r="6" spans="1:13" x14ac:dyDescent="0.25">
      <c r="A6" s="6" t="s">
        <v>13</v>
      </c>
    </row>
    <row r="7" spans="1:13" ht="27.6" x14ac:dyDescent="0.25">
      <c r="B7" s="7" t="s">
        <v>14</v>
      </c>
      <c r="C7" s="7" t="s">
        <v>15</v>
      </c>
      <c r="D7" s="7" t="s">
        <v>16</v>
      </c>
      <c r="E7" s="7" t="s">
        <v>17</v>
      </c>
      <c r="F7" s="7" t="s">
        <v>18</v>
      </c>
      <c r="G7" s="7" t="s">
        <v>19</v>
      </c>
      <c r="H7" s="7" t="s">
        <v>20</v>
      </c>
      <c r="I7" s="7" t="s">
        <v>21</v>
      </c>
      <c r="J7" s="7" t="s">
        <v>22</v>
      </c>
      <c r="K7" s="7" t="s">
        <v>10</v>
      </c>
      <c r="M7" s="8" t="s">
        <v>23</v>
      </c>
    </row>
    <row r="8" spans="1:13" x14ac:dyDescent="0.25">
      <c r="A8" s="2" t="s">
        <v>14</v>
      </c>
      <c r="B8" s="9">
        <f t="array" ref="B8:K17">[3]!VarCovar([4]Sheet1!$B$11:$K$70)</f>
        <v>1.1827887290127074E-2</v>
      </c>
      <c r="C8" s="9">
        <v>3.0616966387962061E-3</v>
      </c>
      <c r="D8" s="9">
        <v>2.3648647601545417E-3</v>
      </c>
      <c r="E8" s="9">
        <v>4.1873289349653288E-3</v>
      </c>
      <c r="F8" s="9">
        <v>1.3638381207513211E-3</v>
      </c>
      <c r="G8" s="9">
        <v>3.2977201102176055E-3</v>
      </c>
      <c r="H8" s="9">
        <v>4.6367543702203126E-3</v>
      </c>
      <c r="I8" s="9">
        <v>1.8386918252302948E-3</v>
      </c>
      <c r="J8" s="9">
        <v>9.8064684016909809E-4</v>
      </c>
      <c r="K8" s="9">
        <v>1.382707360395396E-3</v>
      </c>
      <c r="M8" s="5">
        <v>-8.7338516296339343E-3</v>
      </c>
    </row>
    <row r="9" spans="1:13" x14ac:dyDescent="0.25">
      <c r="A9" s="2" t="s">
        <v>15</v>
      </c>
      <c r="B9" s="9">
        <v>3.0616966387962061E-3</v>
      </c>
      <c r="C9" s="9">
        <v>7.1915538852237301E-3</v>
      </c>
      <c r="D9" s="9">
        <v>1.8720356133547745E-3</v>
      </c>
      <c r="E9" s="9">
        <v>4.2671330709419756E-3</v>
      </c>
      <c r="F9" s="9">
        <v>2.2433016415447193E-3</v>
      </c>
      <c r="G9" s="9">
        <v>3.3330193315428275E-3</v>
      </c>
      <c r="H9" s="9">
        <v>4.5850713324564977E-3</v>
      </c>
      <c r="I9" s="9">
        <v>2.038093419640348E-3</v>
      </c>
      <c r="J9" s="9">
        <v>1.7952070062733907E-4</v>
      </c>
      <c r="K9" s="9">
        <v>1.7987288149139793E-3</v>
      </c>
      <c r="M9" s="5">
        <v>-3.912585257124279E-3</v>
      </c>
    </row>
    <row r="10" spans="1:13" x14ac:dyDescent="0.25">
      <c r="A10" s="2" t="s">
        <v>16</v>
      </c>
      <c r="B10" s="9">
        <v>2.3648647601545417E-3</v>
      </c>
      <c r="C10" s="9">
        <v>1.8720356133547745E-3</v>
      </c>
      <c r="D10" s="9">
        <v>3.9512157747363125E-3</v>
      </c>
      <c r="E10" s="9">
        <v>3.1371720748123665E-3</v>
      </c>
      <c r="F10" s="9">
        <v>8.7596530124603713E-5</v>
      </c>
      <c r="G10" s="9">
        <v>2.3525781562448501E-3</v>
      </c>
      <c r="H10" s="9">
        <v>4.3441471131029155E-3</v>
      </c>
      <c r="I10" s="9">
        <v>2.0963862940954767E-3</v>
      </c>
      <c r="J10" s="9">
        <v>1.2073801100505796E-3</v>
      </c>
      <c r="K10" s="9">
        <v>1.605356114390743E-3</v>
      </c>
      <c r="M10" s="5">
        <v>5.6680525235541432E-4</v>
      </c>
    </row>
    <row r="11" spans="1:13" x14ac:dyDescent="0.25">
      <c r="A11" s="2" t="s">
        <v>17</v>
      </c>
      <c r="B11" s="9">
        <v>4.1873289349653288E-3</v>
      </c>
      <c r="C11" s="9">
        <v>4.2671330709419756E-3</v>
      </c>
      <c r="D11" s="9">
        <v>3.1371720748123665E-3</v>
      </c>
      <c r="E11" s="9">
        <v>1.1872189456048057E-2</v>
      </c>
      <c r="F11" s="9">
        <v>2.5664586415194202E-3</v>
      </c>
      <c r="G11" s="9">
        <v>4.9212134253087628E-3</v>
      </c>
      <c r="H11" s="9">
        <v>6.0510762267708771E-3</v>
      </c>
      <c r="I11" s="9">
        <v>3.3138058856412612E-3</v>
      </c>
      <c r="J11" s="9">
        <v>1.977086953260401E-3</v>
      </c>
      <c r="K11" s="9">
        <v>2.229959502902916E-3</v>
      </c>
      <c r="M11" s="5">
        <v>2.9945591784535926E-3</v>
      </c>
    </row>
    <row r="12" spans="1:13" x14ac:dyDescent="0.25">
      <c r="A12" s="2" t="s">
        <v>18</v>
      </c>
      <c r="B12" s="9">
        <v>1.3638381207513211E-3</v>
      </c>
      <c r="C12" s="9">
        <v>2.2433016415447193E-3</v>
      </c>
      <c r="D12" s="9">
        <v>8.7596530124603713E-5</v>
      </c>
      <c r="E12" s="9">
        <v>2.5664586415194202E-3</v>
      </c>
      <c r="F12" s="9">
        <v>7.7116078032911737E-3</v>
      </c>
      <c r="G12" s="9">
        <v>1.6165090043558429E-3</v>
      </c>
      <c r="H12" s="9">
        <v>1.8128380882872074E-3</v>
      </c>
      <c r="I12" s="9">
        <v>8.9334385056870531E-4</v>
      </c>
      <c r="J12" s="9">
        <v>6.8208902648499875E-4</v>
      </c>
      <c r="K12" s="9">
        <v>8.0643237768199868E-4</v>
      </c>
      <c r="M12" s="5">
        <v>1.0657665224744494E-2</v>
      </c>
    </row>
    <row r="13" spans="1:13" x14ac:dyDescent="0.25">
      <c r="A13" s="2" t="s">
        <v>19</v>
      </c>
      <c r="B13" s="9">
        <v>3.2977201102176055E-3</v>
      </c>
      <c r="C13" s="9">
        <v>3.3330193315428275E-3</v>
      </c>
      <c r="D13" s="9">
        <v>2.3525781562448501E-3</v>
      </c>
      <c r="E13" s="9">
        <v>4.9212134253087628E-3</v>
      </c>
      <c r="F13" s="9">
        <v>1.6165090043558429E-3</v>
      </c>
      <c r="G13" s="9">
        <v>4.2046402219370511E-3</v>
      </c>
      <c r="H13" s="9">
        <v>3.7657229784054751E-3</v>
      </c>
      <c r="I13" s="9">
        <v>1.9442716547078552E-3</v>
      </c>
      <c r="J13" s="9">
        <v>1.0746120855315187E-3</v>
      </c>
      <c r="K13" s="9">
        <v>1.3749423754528328E-3</v>
      </c>
      <c r="M13" s="5">
        <v>8.2352946572464818E-3</v>
      </c>
    </row>
    <row r="14" spans="1:13" x14ac:dyDescent="0.25">
      <c r="A14" s="2" t="s">
        <v>20</v>
      </c>
      <c r="B14" s="9">
        <v>4.6367543702203126E-3</v>
      </c>
      <c r="C14" s="9">
        <v>4.5850713324564977E-3</v>
      </c>
      <c r="D14" s="9">
        <v>4.3441471131029155E-3</v>
      </c>
      <c r="E14" s="9">
        <v>6.0510762267708771E-3</v>
      </c>
      <c r="F14" s="9">
        <v>1.8128380882872074E-3</v>
      </c>
      <c r="G14" s="9">
        <v>3.7657229784054751E-3</v>
      </c>
      <c r="H14" s="9">
        <v>9.2625453941677597E-3</v>
      </c>
      <c r="I14" s="9">
        <v>4.0792264660765914E-3</v>
      </c>
      <c r="J14" s="9">
        <v>1.7948211594435955E-3</v>
      </c>
      <c r="K14" s="9">
        <v>2.4313021011758192E-3</v>
      </c>
      <c r="M14" s="5">
        <v>-1.8043520930813397E-3</v>
      </c>
    </row>
    <row r="15" spans="1:13" x14ac:dyDescent="0.25">
      <c r="A15" s="2" t="s">
        <v>21</v>
      </c>
      <c r="B15" s="9">
        <v>1.8386918252302948E-3</v>
      </c>
      <c r="C15" s="9">
        <v>2.038093419640348E-3</v>
      </c>
      <c r="D15" s="9">
        <v>2.0963862940954767E-3</v>
      </c>
      <c r="E15" s="9">
        <v>3.3138058856412612E-3</v>
      </c>
      <c r="F15" s="9">
        <v>8.9334385056870531E-4</v>
      </c>
      <c r="G15" s="9">
        <v>1.9442716547078552E-3</v>
      </c>
      <c r="H15" s="9">
        <v>4.0792264660765914E-3</v>
      </c>
      <c r="I15" s="9">
        <v>3.8146341307680816E-3</v>
      </c>
      <c r="J15" s="9">
        <v>1.6506834577585342E-3</v>
      </c>
      <c r="K15" s="9">
        <v>1.9327558698561138E-3</v>
      </c>
      <c r="M15" s="5">
        <v>2.9098702286280479E-4</v>
      </c>
    </row>
    <row r="16" spans="1:13" x14ac:dyDescent="0.25">
      <c r="A16" s="2" t="s">
        <v>22</v>
      </c>
      <c r="B16" s="9">
        <v>9.8064684016909809E-4</v>
      </c>
      <c r="C16" s="9">
        <v>1.7952070062733907E-4</v>
      </c>
      <c r="D16" s="9">
        <v>1.2073801100505796E-3</v>
      </c>
      <c r="E16" s="9">
        <v>1.977086953260401E-3</v>
      </c>
      <c r="F16" s="9">
        <v>6.8208902648499875E-4</v>
      </c>
      <c r="G16" s="9">
        <v>1.0746120855315187E-3</v>
      </c>
      <c r="H16" s="9">
        <v>1.7948211594435955E-3</v>
      </c>
      <c r="I16" s="9">
        <v>1.6506834577585342E-3</v>
      </c>
      <c r="J16" s="9">
        <v>6.610491527312733E-3</v>
      </c>
      <c r="K16" s="9">
        <v>4.8958731583673544E-4</v>
      </c>
      <c r="M16" s="5">
        <v>-5.5220323858443934E-3</v>
      </c>
    </row>
    <row r="17" spans="1:13" x14ac:dyDescent="0.25">
      <c r="A17" s="2" t="s">
        <v>10</v>
      </c>
      <c r="B17" s="9">
        <v>1.382707360395396E-3</v>
      </c>
      <c r="C17" s="9">
        <v>1.7987288149139793E-3</v>
      </c>
      <c r="D17" s="9">
        <v>1.605356114390743E-3</v>
      </c>
      <c r="E17" s="9">
        <v>2.229959502902916E-3</v>
      </c>
      <c r="F17" s="9">
        <v>8.0643237768199868E-4</v>
      </c>
      <c r="G17" s="9">
        <v>1.3749423754528328E-3</v>
      </c>
      <c r="H17" s="9">
        <v>2.4313021011758192E-3</v>
      </c>
      <c r="I17" s="9">
        <v>1.9327558698561138E-3</v>
      </c>
      <c r="J17" s="9">
        <v>4.8958731583673544E-4</v>
      </c>
      <c r="K17" s="9">
        <v>3.1163665708069301E-3</v>
      </c>
      <c r="M17" s="5">
        <v>7.4809905230536237E-3</v>
      </c>
    </row>
    <row r="19" spans="1:13" x14ac:dyDescent="0.25">
      <c r="A19" s="2" t="s">
        <v>24</v>
      </c>
      <c r="B19" s="10">
        <f>4.83%/12</f>
        <v>4.0249999999999999E-3</v>
      </c>
    </row>
    <row r="21" spans="1:13" x14ac:dyDescent="0.25">
      <c r="A21" s="2" t="s">
        <v>25</v>
      </c>
    </row>
    <row r="22" spans="1:13" x14ac:dyDescent="0.25">
      <c r="A22" s="2" t="s">
        <v>14</v>
      </c>
      <c r="B22" s="11">
        <f t="array" ref="B22:B31">MMULT(MINVERSE($B$8:$K$17),$M$8:$M$17-$B$19)/SUM(MMULT(MINVERSE($B$8:$K$17),$M$8:$M$17-$B$19))</f>
        <v>4.8016042062036464</v>
      </c>
      <c r="C22" s="2" t="str">
        <f ca="1">[3]!getformula(B22)</f>
        <v>&lt;--  {=MMULT(MINVERSE($B$8:$K$17),$M$8:$M$17-$B$19)/SUM(MMULT(MINVERSE($B$8:$K$17),$M$8:$M$17-$B$19))}</v>
      </c>
    </row>
    <row r="23" spans="1:13" x14ac:dyDescent="0.25">
      <c r="A23" s="2" t="s">
        <v>15</v>
      </c>
      <c r="B23" s="11">
        <v>9.8178714104188618</v>
      </c>
    </row>
    <row r="24" spans="1:13" x14ac:dyDescent="0.25">
      <c r="A24" s="2" t="s">
        <v>16</v>
      </c>
      <c r="B24" s="11">
        <v>6.8927349988250004</v>
      </c>
    </row>
    <row r="25" spans="1:13" x14ac:dyDescent="0.25">
      <c r="A25" s="2" t="s">
        <v>17</v>
      </c>
      <c r="B25" s="11">
        <v>2.2126804111412421</v>
      </c>
    </row>
    <row r="26" spans="1:13" x14ac:dyDescent="0.25">
      <c r="A26" s="2" t="s">
        <v>18</v>
      </c>
      <c r="B26" s="11">
        <v>-2.6367471916022249</v>
      </c>
    </row>
    <row r="27" spans="1:13" x14ac:dyDescent="0.25">
      <c r="A27" s="2" t="s">
        <v>19</v>
      </c>
      <c r="B27" s="11">
        <v>-17.637141331380395</v>
      </c>
    </row>
    <row r="28" spans="1:13" x14ac:dyDescent="0.25">
      <c r="A28" s="2" t="s">
        <v>20</v>
      </c>
      <c r="B28" s="11">
        <v>-3.2453235608456543</v>
      </c>
    </row>
    <row r="29" spans="1:13" x14ac:dyDescent="0.25">
      <c r="A29" s="2" t="s">
        <v>21</v>
      </c>
      <c r="B29" s="11">
        <v>5.2875727845499423</v>
      </c>
    </row>
    <row r="30" spans="1:13" x14ac:dyDescent="0.25">
      <c r="A30" s="2" t="s">
        <v>22</v>
      </c>
      <c r="B30" s="11">
        <v>4.6954468169439272</v>
      </c>
    </row>
    <row r="31" spans="1:13" x14ac:dyDescent="0.25">
      <c r="A31" s="2" t="s">
        <v>10</v>
      </c>
      <c r="B31" s="11">
        <v>-9.188698544254347</v>
      </c>
    </row>
    <row r="32" spans="1:13" x14ac:dyDescent="0.25">
      <c r="A32" s="2" t="s">
        <v>26</v>
      </c>
      <c r="B32" s="2">
        <f>SUM(B22:B31)</f>
        <v>0.99999999999999822</v>
      </c>
      <c r="C32" s="2" t="str">
        <f ca="1">[3]!getformula(B32)</f>
        <v>&lt;--  =SUM(B22:B31)</v>
      </c>
    </row>
  </sheetData>
  <mergeCells count="1">
    <mergeCell ref="A1:M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2024-11-08T03:26:01Z</dcterms:modified>
</cp:coreProperties>
</file>