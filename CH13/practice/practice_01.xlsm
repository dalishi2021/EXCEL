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practice\"/>
    </mc:Choice>
  </mc:AlternateContent>
  <xr:revisionPtr revIDLastSave="0" documentId="13_ncr:1_{AD2FEC0D-092D-4099-AC04-3FC26B7E2049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data" sheetId="1" r:id="rId1"/>
    <sheet name="returns" sheetId="2" r:id="rId2"/>
    <sheet name="varcov" sheetId="3" r:id="rId3"/>
  </sheets>
  <externalReferences>
    <externalReference r:id="rId4"/>
    <externalReference r:id="rId5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3" l="1" a="1"/>
  <c r="B31" i="3" s="1"/>
  <c r="B28" i="3"/>
  <c r="B27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B9" i="2"/>
  <c r="C9" i="2"/>
  <c r="D9" i="2"/>
  <c r="E9" i="2"/>
  <c r="F9" i="2"/>
  <c r="F68" i="2" s="1"/>
  <c r="G9" i="2"/>
  <c r="G68" i="2" s="1"/>
  <c r="H9" i="2"/>
  <c r="H68" i="2" s="1"/>
  <c r="I9" i="2"/>
  <c r="I68" i="2" s="1"/>
  <c r="J9" i="2"/>
  <c r="J68" i="2" s="1"/>
  <c r="K9" i="2"/>
  <c r="K68" i="2" s="1"/>
  <c r="L9" i="2"/>
  <c r="L68" i="2" s="1"/>
  <c r="M9" i="2"/>
  <c r="M68" i="2" s="1"/>
  <c r="N9" i="2"/>
  <c r="N68" i="2" s="1"/>
  <c r="O9" i="2"/>
  <c r="O68" i="2" s="1"/>
  <c r="B10" i="2"/>
  <c r="B68" i="2" s="1"/>
  <c r="C10" i="2"/>
  <c r="C68" i="2" s="1"/>
  <c r="D10" i="2"/>
  <c r="D68" i="2" s="1"/>
  <c r="E10" i="2"/>
  <c r="E68" i="2" s="1"/>
  <c r="F10" i="2"/>
  <c r="G10" i="2"/>
  <c r="H10" i="2"/>
  <c r="I10" i="2"/>
  <c r="J10" i="2"/>
  <c r="K10" i="2"/>
  <c r="L10" i="2"/>
  <c r="M10" i="2"/>
  <c r="N10" i="2"/>
  <c r="O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C7" i="2"/>
  <c r="D7" i="2"/>
  <c r="E7" i="2"/>
  <c r="F7" i="2"/>
  <c r="G7" i="2"/>
  <c r="H7" i="2"/>
  <c r="I7" i="2"/>
  <c r="J7" i="2"/>
  <c r="K7" i="2"/>
  <c r="L7" i="2"/>
  <c r="M7" i="2"/>
  <c r="N7" i="2"/>
  <c r="O7" i="2"/>
  <c r="B7" i="2"/>
  <c r="C31" i="3"/>
  <c r="C29" i="3"/>
  <c r="C28" i="3"/>
  <c r="C27" i="3"/>
  <c r="B9" i="3" a="1"/>
  <c r="A7" i="3"/>
  <c r="B44" i="3" l="1"/>
  <c r="B43" i="3"/>
  <c r="B42" i="3"/>
  <c r="B41" i="3"/>
  <c r="B40" i="3"/>
  <c r="B39" i="3"/>
  <c r="B38" i="3"/>
  <c r="B37" i="3"/>
  <c r="B36" i="3"/>
  <c r="B35" i="3"/>
  <c r="B34" i="3"/>
  <c r="B33" i="3"/>
  <c r="B32" i="3"/>
  <c r="E11" i="3"/>
  <c r="I13" i="3"/>
  <c r="M15" i="3"/>
  <c r="C18" i="3"/>
  <c r="G20" i="3"/>
  <c r="K22" i="3"/>
  <c r="G12" i="3"/>
  <c r="H12" i="3"/>
  <c r="E17" i="3"/>
  <c r="F17" i="3"/>
  <c r="N12" i="3"/>
  <c r="J17" i="3"/>
  <c r="N10" i="3"/>
  <c r="F13" i="3"/>
  <c r="J22" i="3"/>
  <c r="B9" i="3"/>
  <c r="F11" i="3"/>
  <c r="J13" i="3"/>
  <c r="N15" i="3"/>
  <c r="D18" i="3"/>
  <c r="H20" i="3"/>
  <c r="L22" i="3"/>
  <c r="K14" i="3"/>
  <c r="H19" i="3"/>
  <c r="B15" i="3"/>
  <c r="B22" i="3"/>
  <c r="F15" i="3"/>
  <c r="L17" i="3"/>
  <c r="D20" i="3"/>
  <c r="B18" i="3"/>
  <c r="C9" i="3"/>
  <c r="G11" i="3"/>
  <c r="K13" i="3"/>
  <c r="O15" i="3"/>
  <c r="E18" i="3"/>
  <c r="I20" i="3"/>
  <c r="M22" i="3"/>
  <c r="D9" i="3"/>
  <c r="H11" i="3"/>
  <c r="L13" i="3"/>
  <c r="B16" i="3"/>
  <c r="F18" i="3"/>
  <c r="J20" i="3"/>
  <c r="N22" i="3"/>
  <c r="E9" i="3"/>
  <c r="I11" i="3"/>
  <c r="M13" i="3"/>
  <c r="C16" i="3"/>
  <c r="G18" i="3"/>
  <c r="K20" i="3"/>
  <c r="O22" i="3"/>
  <c r="F9" i="3"/>
  <c r="J11" i="3"/>
  <c r="N13" i="3"/>
  <c r="D16" i="3"/>
  <c r="H18" i="3"/>
  <c r="L20" i="3"/>
  <c r="G9" i="3"/>
  <c r="K11" i="3"/>
  <c r="O13" i="3"/>
  <c r="E16" i="3"/>
  <c r="I18" i="3"/>
  <c r="M20" i="3"/>
  <c r="K16" i="3"/>
  <c r="H21" i="3"/>
  <c r="N14" i="3"/>
  <c r="G17" i="3"/>
  <c r="N19" i="3"/>
  <c r="D13" i="3"/>
  <c r="J15" i="3"/>
  <c r="H13" i="3"/>
  <c r="H9" i="3"/>
  <c r="L11" i="3"/>
  <c r="B14" i="3"/>
  <c r="F16" i="3"/>
  <c r="J18" i="3"/>
  <c r="N20" i="3"/>
  <c r="C12" i="3"/>
  <c r="J14" i="3"/>
  <c r="C10" i="3"/>
  <c r="D10" i="3"/>
  <c r="E10" i="3"/>
  <c r="F10" i="3"/>
  <c r="K12" i="3"/>
  <c r="H10" i="3"/>
  <c r="I10" i="3"/>
  <c r="J10" i="3"/>
  <c r="K10" i="3"/>
  <c r="L10" i="3"/>
  <c r="M10" i="3"/>
  <c r="H15" i="3"/>
  <c r="O10" i="3"/>
  <c r="B11" i="3"/>
  <c r="C11" i="3"/>
  <c r="D11" i="3"/>
  <c r="I9" i="3"/>
  <c r="M11" i="3"/>
  <c r="C14" i="3"/>
  <c r="G16" i="3"/>
  <c r="K18" i="3"/>
  <c r="O20" i="3"/>
  <c r="G14" i="3"/>
  <c r="F12" i="3"/>
  <c r="I21" i="3"/>
  <c r="M14" i="3"/>
  <c r="L21" i="3"/>
  <c r="C15" i="3"/>
  <c r="O12" i="3"/>
  <c r="C13" i="3"/>
  <c r="M17" i="3"/>
  <c r="I22" i="3"/>
  <c r="J9" i="3"/>
  <c r="N11" i="3"/>
  <c r="D14" i="3"/>
  <c r="H16" i="3"/>
  <c r="L18" i="3"/>
  <c r="B21" i="3"/>
  <c r="E21" i="3"/>
  <c r="N16" i="3"/>
  <c r="F19" i="3"/>
  <c r="D17" i="3"/>
  <c r="N21" i="3"/>
  <c r="L19" i="3"/>
  <c r="D22" i="3"/>
  <c r="F22" i="3"/>
  <c r="N17" i="3"/>
  <c r="F20" i="3"/>
  <c r="K9" i="3"/>
  <c r="O11" i="3"/>
  <c r="E14" i="3"/>
  <c r="I16" i="3"/>
  <c r="M18" i="3"/>
  <c r="C21" i="3"/>
  <c r="O18" i="3"/>
  <c r="D19" i="3"/>
  <c r="J21" i="3"/>
  <c r="K21" i="3"/>
  <c r="M21" i="3"/>
  <c r="O21" i="3"/>
  <c r="C22" i="3"/>
  <c r="O19" i="3"/>
  <c r="C20" i="3"/>
  <c r="O17" i="3"/>
  <c r="L9" i="3"/>
  <c r="B12" i="3"/>
  <c r="F14" i="3"/>
  <c r="J16" i="3"/>
  <c r="N18" i="3"/>
  <c r="D21" i="3"/>
  <c r="M9" i="3"/>
  <c r="B10" i="3"/>
  <c r="L14" i="3"/>
  <c r="I12" i="3"/>
  <c r="J12" i="3"/>
  <c r="G10" i="3"/>
  <c r="L12" i="3"/>
  <c r="M12" i="3"/>
  <c r="I17" i="3"/>
  <c r="E22" i="3"/>
  <c r="I15" i="3"/>
  <c r="E20" i="3"/>
  <c r="O16" i="3"/>
  <c r="G19" i="3"/>
  <c r="I19" i="3"/>
  <c r="K19" i="3"/>
  <c r="M19" i="3"/>
  <c r="K17" i="3"/>
  <c r="G22" i="3"/>
  <c r="K15" i="3"/>
  <c r="N9" i="3"/>
  <c r="D12" i="3"/>
  <c r="H14" i="3"/>
  <c r="L16" i="3"/>
  <c r="B19" i="3"/>
  <c r="F21" i="3"/>
  <c r="O9" i="3"/>
  <c r="E12" i="3"/>
  <c r="I14" i="3"/>
  <c r="M16" i="3"/>
  <c r="C19" i="3"/>
  <c r="G21" i="3"/>
  <c r="E19" i="3"/>
  <c r="B17" i="3"/>
  <c r="C17" i="3"/>
  <c r="O14" i="3"/>
  <c r="J19" i="3"/>
  <c r="D15" i="3"/>
  <c r="E15" i="3"/>
  <c r="G15" i="3"/>
  <c r="E13" i="3"/>
  <c r="G13" i="3"/>
  <c r="H17" i="3"/>
  <c r="B13" i="3"/>
  <c r="B20" i="3"/>
  <c r="H22" i="3"/>
  <c r="L15" i="3"/>
  <c r="B29" i="3" l="1" a="1"/>
  <c r="B29" i="3" s="1"/>
</calcChain>
</file>

<file path=xl/sharedStrings.xml><?xml version="1.0" encoding="utf-8"?>
<sst xmlns="http://schemas.openxmlformats.org/spreadsheetml/2006/main" count="101" uniqueCount="40">
  <si>
    <t>HIGH-BETA INDEX FROM DOW-JONES 30 COMPONENTS</t>
  </si>
  <si>
    <t>3M Company
MMM</t>
  </si>
  <si>
    <t>Alcoa
AA</t>
  </si>
  <si>
    <t>American Express
AXP</t>
  </si>
  <si>
    <t>American International Group
AIG</t>
  </si>
  <si>
    <t>Caterpillar
CAT</t>
  </si>
  <si>
    <t>Dupont
DD</t>
  </si>
  <si>
    <t>Exxon
XOM</t>
  </si>
  <si>
    <t>Hewlett Packard
HPQ</t>
  </si>
  <si>
    <t>Home Depot
HD</t>
  </si>
  <si>
    <t>Honeywell
HON</t>
  </si>
  <si>
    <t>Intel
INTC</t>
  </si>
  <si>
    <t>IBM</t>
  </si>
  <si>
    <t>McDonalds
MCD</t>
  </si>
  <si>
    <t>Merck
MRK</t>
  </si>
  <si>
    <t>Market cap ($B)</t>
  </si>
  <si>
    <t>Beta</t>
  </si>
  <si>
    <t>Stock prices</t>
  </si>
  <si>
    <t>Yahoo Screener results:</t>
  </si>
  <si>
    <t>MMM</t>
  </si>
  <si>
    <t>AA</t>
  </si>
  <si>
    <t>AXP</t>
  </si>
  <si>
    <t>AIG</t>
  </si>
  <si>
    <t>CAT</t>
  </si>
  <si>
    <t>DD</t>
  </si>
  <si>
    <t>XOM</t>
  </si>
  <si>
    <t>HPQ</t>
  </si>
  <si>
    <t>HD</t>
  </si>
  <si>
    <t>HON</t>
  </si>
  <si>
    <t>INTC</t>
  </si>
  <si>
    <t>MCD</t>
  </si>
  <si>
    <t>MRK</t>
  </si>
  <si>
    <t>Market cap</t>
  </si>
  <si>
    <t>Returns</t>
  </si>
  <si>
    <t>Average</t>
  </si>
  <si>
    <t>Weight</t>
  </si>
  <si>
    <t>Computing the expected returns using Black-Litterman</t>
  </si>
  <si>
    <t>Risk-free</t>
  </si>
  <si>
    <t>Expected index return</t>
  </si>
  <si>
    <t>Check:  
Index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</si>
</sst>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d\-mmm\-yy;@"/>
    <numFmt numFmtId="177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/>
    </xf>
    <xf numFmtId="176" fontId="0" fillId="0" borderId="0" xfId="0" applyNumberFormat="1" applyAlignment="1">
      <alignment horizontal="center"/>
    </xf>
    <xf numFmtId="2" fontId="0" fillId="0" borderId="0" xfId="0" applyNumberFormat="1" applyAlignment="1"/>
    <xf numFmtId="0" fontId="4" fillId="0" borderId="0" xfId="0" applyFont="1" applyAlignment="1"/>
    <xf numFmtId="14" fontId="0" fillId="0" borderId="0" xfId="0" applyNumberFormat="1" applyAlignment="1">
      <alignment horizontal="center"/>
    </xf>
    <xf numFmtId="10" fontId="0" fillId="0" borderId="0" xfId="1" applyNumberFormat="1" applyFont="1" applyAlignment="1"/>
    <xf numFmtId="10" fontId="0" fillId="0" borderId="0" xfId="0" applyNumberFormat="1" applyAlignment="1"/>
    <xf numFmtId="177" fontId="0" fillId="0" borderId="0" xfId="0" applyNumberFormat="1" applyAlignment="1"/>
    <xf numFmtId="176" fontId="0" fillId="2" borderId="0" xfId="0" applyNumberFormat="1" applyFill="1" applyAlignment="1">
      <alignment horizontal="center"/>
    </xf>
    <xf numFmtId="177" fontId="2" fillId="0" borderId="0" xfId="1" applyNumberFormat="1" applyAlignment="1"/>
    <xf numFmtId="10" fontId="2" fillId="0" borderId="0" xfId="1" applyNumberFormat="1" applyAlignment="1"/>
    <xf numFmtId="176" fontId="5" fillId="0" borderId="0" xfId="0" applyNumberFormat="1" applyFont="1" applyAlignment="1">
      <alignment horizontal="left"/>
    </xf>
    <xf numFmtId="176" fontId="0" fillId="0" borderId="0" xfId="0" applyNumberFormat="1" applyAlignment="1">
      <alignment horizontal="center" wrapText="1"/>
    </xf>
    <xf numFmtId="0" fontId="0" fillId="3" borderId="0" xfId="0" applyFill="1" applyAlignment="1">
      <alignment horizontal="center"/>
    </xf>
    <xf numFmtId="10" fontId="2" fillId="3" borderId="0" xfId="1" applyNumberFormat="1" applyFill="1" applyAlignment="1"/>
    <xf numFmtId="10" fontId="2" fillId="0" borderId="0" xfId="1" applyNumberFormat="1" applyAlignment="1">
      <alignment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</xdr:colOff>
      <xdr:row>7</xdr:row>
      <xdr:rowOff>114300</xdr:rowOff>
    </xdr:from>
    <xdr:to>
      <xdr:col>33</xdr:col>
      <xdr:colOff>320040</xdr:colOff>
      <xdr:row>40</xdr:row>
      <xdr:rowOff>49530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4F4772-F7AA-4506-BC28-75174F9DA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0350" y="1857375"/>
          <a:ext cx="10629900" cy="5591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CAEACE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276225</xdr:colOff>
      <xdr:row>1</xdr:row>
      <xdr:rowOff>152400</xdr:rowOff>
    </xdr:from>
    <xdr:to>
      <xdr:col>33</xdr:col>
      <xdr:colOff>381000</xdr:colOff>
      <xdr:row>68</xdr:row>
      <xdr:rowOff>129540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404FF06-59C1-3E0B-5EF7-3C222B9E5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344275" y="371475"/>
          <a:ext cx="9248775" cy="11458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205740</xdr:colOff>
          <xdr:row>28</xdr:row>
          <xdr:rowOff>220980</xdr:rowOff>
        </xdr:from>
        <xdr:to>
          <xdr:col>21</xdr:col>
          <xdr:colOff>350520</xdr:colOff>
          <xdr:row>44</xdr:row>
          <xdr:rowOff>60960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3D9EA8F-846D-4625-8C13-062B4ED67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438150</xdr:colOff>
      <xdr:row>2</xdr:row>
      <xdr:rowOff>28575</xdr:rowOff>
    </xdr:from>
    <xdr:to>
      <xdr:col>46</xdr:col>
      <xdr:colOff>607695</xdr:colOff>
      <xdr:row>50</xdr:row>
      <xdr:rowOff>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2A79CBB-6F07-4A15-84E1-5481BBB3D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630400" y="419100"/>
          <a:ext cx="14799945" cy="863727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Data (中文)"/>
      <sheetName val="Returns"/>
      <sheetName val="Returns (中文)"/>
      <sheetName val="Var-cov-expected"/>
      <sheetName val="Var-cov-expected (中文)"/>
      <sheetName val="MMM opinion"/>
      <sheetName val="MMM opinion (中文)"/>
      <sheetName val="HD opinion"/>
      <sheetName val="HD opinion (中文)"/>
      <sheetName val="Var-cov check"/>
      <sheetName val="Var-cov check (中文)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  <definedName name="VarCova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3.w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AH68"/>
  <sheetViews>
    <sheetView workbookViewId="0">
      <selection activeCell="B8" sqref="B8"/>
    </sheetView>
  </sheetViews>
  <sheetFormatPr defaultRowHeight="13.8" x14ac:dyDescent="0.25"/>
  <cols>
    <col min="1" max="1" width="14.5546875" style="3" customWidth="1"/>
    <col min="2" max="4" width="8.88671875" style="2"/>
    <col min="5" max="5" width="10.88671875" style="2" customWidth="1"/>
    <col min="6" max="13" width="8.88671875" style="2"/>
    <col min="14" max="14" width="10.109375" style="2" customWidth="1"/>
    <col min="15" max="34" width="8.88671875" style="2"/>
  </cols>
  <sheetData>
    <row r="1" spans="1:34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34" ht="55.2" x14ac:dyDescent="0.25"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  <c r="M2" s="5" t="s">
        <v>12</v>
      </c>
      <c r="N2" s="4" t="s">
        <v>13</v>
      </c>
      <c r="O2" s="4" t="s">
        <v>14</v>
      </c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</row>
    <row r="3" spans="1:34" x14ac:dyDescent="0.25">
      <c r="A3" s="3" t="s">
        <v>15</v>
      </c>
      <c r="B3" s="2">
        <v>65.66</v>
      </c>
      <c r="C3" s="2">
        <v>39.11</v>
      </c>
      <c r="D3" s="2">
        <v>77.91</v>
      </c>
      <c r="E3" s="2">
        <v>180.72</v>
      </c>
      <c r="F3" s="2">
        <v>55.7</v>
      </c>
      <c r="G3" s="2">
        <v>49.08</v>
      </c>
      <c r="H3" s="2">
        <v>519.89</v>
      </c>
      <c r="I3" s="2">
        <v>126.75</v>
      </c>
      <c r="J3" s="2">
        <v>78.37</v>
      </c>
      <c r="K3" s="2">
        <v>47.55</v>
      </c>
      <c r="L3" s="2">
        <v>146.76</v>
      </c>
      <c r="M3" s="2">
        <v>172.03</v>
      </c>
      <c r="N3" s="2">
        <v>62.88</v>
      </c>
      <c r="O3" s="2">
        <v>106.93</v>
      </c>
    </row>
    <row r="4" spans="1:34" x14ac:dyDescent="0.25">
      <c r="A4" s="3" t="s">
        <v>16</v>
      </c>
      <c r="B4" s="2">
        <v>1.07</v>
      </c>
      <c r="C4" s="2">
        <v>1.37</v>
      </c>
      <c r="D4" s="2">
        <v>1.06</v>
      </c>
      <c r="E4" s="2">
        <v>1.17</v>
      </c>
      <c r="F4" s="2">
        <v>1.98</v>
      </c>
      <c r="G4" s="2">
        <v>1.06</v>
      </c>
      <c r="H4" s="2">
        <v>1.1299999999999999</v>
      </c>
      <c r="I4" s="2">
        <v>1.6</v>
      </c>
      <c r="J4" s="2">
        <v>1.2</v>
      </c>
      <c r="K4" s="2">
        <v>1.3</v>
      </c>
      <c r="L4" s="2">
        <v>1.9</v>
      </c>
      <c r="M4" s="2">
        <v>1.81</v>
      </c>
      <c r="N4" s="2">
        <v>1.37</v>
      </c>
      <c r="O4" s="2">
        <v>1.1599999999999999</v>
      </c>
    </row>
    <row r="6" spans="1:34" x14ac:dyDescent="0.25">
      <c r="A6" s="6" t="s">
        <v>17</v>
      </c>
    </row>
    <row r="7" spans="1:34" x14ac:dyDescent="0.25">
      <c r="A7" s="10">
        <v>37439</v>
      </c>
      <c r="B7" s="8">
        <v>56.69</v>
      </c>
      <c r="C7" s="8">
        <v>24.41</v>
      </c>
      <c r="D7" s="8">
        <v>29.46</v>
      </c>
      <c r="E7" s="8">
        <v>61.98</v>
      </c>
      <c r="F7" s="8">
        <v>20.21</v>
      </c>
      <c r="G7" s="8">
        <v>35.54</v>
      </c>
      <c r="H7" s="8">
        <v>32.85</v>
      </c>
      <c r="I7" s="8">
        <v>13.22</v>
      </c>
      <c r="J7" s="8">
        <v>29.07</v>
      </c>
      <c r="K7" s="8">
        <v>28.77</v>
      </c>
      <c r="L7" s="8">
        <v>17.760000000000002</v>
      </c>
      <c r="M7" s="8">
        <v>67.040000000000006</v>
      </c>
      <c r="N7" s="8">
        <v>22.57</v>
      </c>
      <c r="O7" s="8">
        <v>38.950000000000003</v>
      </c>
      <c r="Q7" s="9" t="s">
        <v>18</v>
      </c>
    </row>
    <row r="8" spans="1:34" x14ac:dyDescent="0.25">
      <c r="A8" s="10">
        <v>37469</v>
      </c>
      <c r="B8" s="8">
        <v>56.56</v>
      </c>
      <c r="C8" s="8">
        <v>22.64</v>
      </c>
      <c r="D8" s="8">
        <v>30.12</v>
      </c>
      <c r="E8" s="8">
        <v>60.89</v>
      </c>
      <c r="F8" s="8">
        <v>19.73</v>
      </c>
      <c r="G8" s="8">
        <v>34.46</v>
      </c>
      <c r="H8" s="8">
        <v>31.88</v>
      </c>
      <c r="I8" s="8">
        <v>12.54</v>
      </c>
      <c r="J8" s="8">
        <v>31</v>
      </c>
      <c r="K8" s="8">
        <v>26.78</v>
      </c>
      <c r="L8" s="8">
        <v>15.78</v>
      </c>
      <c r="M8" s="8">
        <v>71.94</v>
      </c>
      <c r="N8" s="8">
        <v>21.67</v>
      </c>
      <c r="O8" s="8">
        <v>39.67</v>
      </c>
    </row>
    <row r="9" spans="1:34" x14ac:dyDescent="0.25">
      <c r="A9" s="10">
        <v>37502</v>
      </c>
      <c r="B9" s="8">
        <v>49.78</v>
      </c>
      <c r="C9" s="8">
        <v>17.41</v>
      </c>
      <c r="D9" s="8">
        <v>26.05</v>
      </c>
      <c r="E9" s="8">
        <v>53.08</v>
      </c>
      <c r="F9" s="8">
        <v>16.829999999999998</v>
      </c>
      <c r="G9" s="8">
        <v>30.84</v>
      </c>
      <c r="H9" s="8">
        <v>28.69</v>
      </c>
      <c r="I9" s="8">
        <v>10.96</v>
      </c>
      <c r="J9" s="8">
        <v>24.61</v>
      </c>
      <c r="K9" s="8">
        <v>19.37</v>
      </c>
      <c r="L9" s="8">
        <v>13.14</v>
      </c>
      <c r="M9" s="8">
        <v>55.65</v>
      </c>
      <c r="N9" s="8">
        <v>16.11</v>
      </c>
      <c r="O9" s="8">
        <v>36.159999999999997</v>
      </c>
    </row>
    <row r="10" spans="1:34" x14ac:dyDescent="0.25">
      <c r="A10" s="10">
        <v>37530</v>
      </c>
      <c r="B10" s="8">
        <v>57.47</v>
      </c>
      <c r="C10" s="8">
        <v>19.91</v>
      </c>
      <c r="D10" s="8">
        <v>30.46</v>
      </c>
      <c r="E10" s="8">
        <v>60.7</v>
      </c>
      <c r="F10" s="8">
        <v>18.64</v>
      </c>
      <c r="G10" s="8">
        <v>35.270000000000003</v>
      </c>
      <c r="H10" s="8">
        <v>30.27</v>
      </c>
      <c r="I10" s="8">
        <v>14.84</v>
      </c>
      <c r="J10" s="8">
        <v>27.23</v>
      </c>
      <c r="K10" s="8">
        <v>21.41</v>
      </c>
      <c r="L10" s="8">
        <v>16.37</v>
      </c>
      <c r="M10" s="8">
        <v>75.34</v>
      </c>
      <c r="N10" s="8">
        <v>16.52</v>
      </c>
      <c r="O10" s="8">
        <v>42.91</v>
      </c>
    </row>
    <row r="11" spans="1:34" x14ac:dyDescent="0.25">
      <c r="A11" s="10">
        <v>37561</v>
      </c>
      <c r="B11" s="8">
        <v>59.07</v>
      </c>
      <c r="C11" s="8">
        <v>23.2</v>
      </c>
      <c r="D11" s="8">
        <v>32.6</v>
      </c>
      <c r="E11" s="8">
        <v>63.22</v>
      </c>
      <c r="F11" s="8">
        <v>22.76</v>
      </c>
      <c r="G11" s="8">
        <v>38.47</v>
      </c>
      <c r="H11" s="8">
        <v>31.5</v>
      </c>
      <c r="I11" s="8">
        <v>18.3</v>
      </c>
      <c r="J11" s="8">
        <v>24.89</v>
      </c>
      <c r="K11" s="8">
        <v>23.45</v>
      </c>
      <c r="L11" s="8">
        <v>19.78</v>
      </c>
      <c r="M11" s="8">
        <v>83.11</v>
      </c>
      <c r="N11" s="8">
        <v>17.11</v>
      </c>
      <c r="O11" s="8">
        <v>47</v>
      </c>
    </row>
    <row r="12" spans="1:34" x14ac:dyDescent="0.25">
      <c r="A12" s="10">
        <v>37592</v>
      </c>
      <c r="B12" s="8">
        <v>56.09</v>
      </c>
      <c r="C12" s="8">
        <v>20.69</v>
      </c>
      <c r="D12" s="8">
        <v>29.67</v>
      </c>
      <c r="E12" s="8">
        <v>56.18</v>
      </c>
      <c r="F12" s="8">
        <v>20.86</v>
      </c>
      <c r="G12" s="8">
        <v>36.549999999999997</v>
      </c>
      <c r="H12" s="8">
        <v>31.63</v>
      </c>
      <c r="I12" s="8">
        <v>16.38</v>
      </c>
      <c r="J12" s="8">
        <v>22.7</v>
      </c>
      <c r="K12" s="8">
        <v>21.64</v>
      </c>
      <c r="L12" s="8">
        <v>14.75</v>
      </c>
      <c r="M12" s="8">
        <v>74.099999999999994</v>
      </c>
      <c r="N12" s="8">
        <v>14.87</v>
      </c>
      <c r="O12" s="8">
        <v>45.06</v>
      </c>
    </row>
    <row r="13" spans="1:34" x14ac:dyDescent="0.25">
      <c r="A13" s="10">
        <v>37623</v>
      </c>
      <c r="B13" s="8">
        <v>56.66</v>
      </c>
      <c r="C13" s="8">
        <v>17.95</v>
      </c>
      <c r="D13" s="8">
        <v>29.82</v>
      </c>
      <c r="E13" s="8">
        <v>52.56</v>
      </c>
      <c r="F13" s="8">
        <v>20.21</v>
      </c>
      <c r="G13" s="8">
        <v>32.65</v>
      </c>
      <c r="H13" s="8">
        <v>30.92</v>
      </c>
      <c r="I13" s="8">
        <v>16.43</v>
      </c>
      <c r="J13" s="8">
        <v>19.75</v>
      </c>
      <c r="K13" s="8">
        <v>22.03</v>
      </c>
      <c r="L13" s="8">
        <v>14.84</v>
      </c>
      <c r="M13" s="8">
        <v>74.77</v>
      </c>
      <c r="N13" s="8">
        <v>13.17</v>
      </c>
      <c r="O13" s="8">
        <v>44.09</v>
      </c>
    </row>
    <row r="14" spans="1:34" x14ac:dyDescent="0.25">
      <c r="A14" s="10">
        <v>37655</v>
      </c>
      <c r="B14" s="8">
        <v>57.33</v>
      </c>
      <c r="C14" s="8">
        <v>18.760000000000002</v>
      </c>
      <c r="D14" s="8">
        <v>28.18</v>
      </c>
      <c r="E14" s="8">
        <v>47.87</v>
      </c>
      <c r="F14" s="8">
        <v>21.6</v>
      </c>
      <c r="G14" s="8">
        <v>31.92</v>
      </c>
      <c r="H14" s="8">
        <v>31.01</v>
      </c>
      <c r="I14" s="8">
        <v>14.96</v>
      </c>
      <c r="J14" s="8">
        <v>22.16</v>
      </c>
      <c r="K14" s="8">
        <v>20.8</v>
      </c>
      <c r="L14" s="8">
        <v>16.36</v>
      </c>
      <c r="M14" s="8">
        <v>74.67</v>
      </c>
      <c r="N14" s="8">
        <v>12.59</v>
      </c>
      <c r="O14" s="8">
        <v>41.99</v>
      </c>
    </row>
    <row r="15" spans="1:34" x14ac:dyDescent="0.25">
      <c r="A15" s="10">
        <v>37683</v>
      </c>
      <c r="B15" s="8">
        <v>59.46</v>
      </c>
      <c r="C15" s="8">
        <v>17.739999999999998</v>
      </c>
      <c r="D15" s="8">
        <v>27.89</v>
      </c>
      <c r="E15" s="8">
        <v>48.07</v>
      </c>
      <c r="F15" s="8">
        <v>22.61</v>
      </c>
      <c r="G15" s="8">
        <v>33.83</v>
      </c>
      <c r="H15" s="8">
        <v>31.85</v>
      </c>
      <c r="I15" s="8">
        <v>14.75</v>
      </c>
      <c r="J15" s="8">
        <v>23.08</v>
      </c>
      <c r="K15" s="8">
        <v>19.41</v>
      </c>
      <c r="L15" s="8">
        <v>15.44</v>
      </c>
      <c r="M15" s="8">
        <v>75.13</v>
      </c>
      <c r="N15" s="8">
        <v>13.37</v>
      </c>
      <c r="O15" s="8">
        <v>43.91</v>
      </c>
    </row>
    <row r="16" spans="1:34" x14ac:dyDescent="0.25">
      <c r="A16" s="10">
        <v>37712</v>
      </c>
      <c r="B16" s="8">
        <v>57.64</v>
      </c>
      <c r="C16" s="8">
        <v>21.13</v>
      </c>
      <c r="D16" s="8">
        <v>31.85</v>
      </c>
      <c r="E16" s="8">
        <v>56.33</v>
      </c>
      <c r="F16" s="8">
        <v>24.34</v>
      </c>
      <c r="G16" s="8">
        <v>37.020000000000003</v>
      </c>
      <c r="H16" s="8">
        <v>32.08</v>
      </c>
      <c r="I16" s="8">
        <v>15.46</v>
      </c>
      <c r="J16" s="8">
        <v>26.66</v>
      </c>
      <c r="K16" s="8">
        <v>21.45</v>
      </c>
      <c r="L16" s="8">
        <v>17.45</v>
      </c>
      <c r="M16" s="8">
        <v>81.33</v>
      </c>
      <c r="N16" s="8">
        <v>15.81</v>
      </c>
      <c r="O16" s="8">
        <v>46.64</v>
      </c>
    </row>
    <row r="17" spans="1:15" x14ac:dyDescent="0.25">
      <c r="A17" s="10">
        <v>37742</v>
      </c>
      <c r="B17" s="8">
        <v>58.14</v>
      </c>
      <c r="C17" s="8">
        <v>22.67</v>
      </c>
      <c r="D17" s="8">
        <v>35.049999999999997</v>
      </c>
      <c r="E17" s="8">
        <v>56.26</v>
      </c>
      <c r="F17" s="8">
        <v>24.13</v>
      </c>
      <c r="G17" s="8">
        <v>36.979999999999997</v>
      </c>
      <c r="H17" s="8">
        <v>33.409999999999997</v>
      </c>
      <c r="I17" s="8">
        <v>18.489999999999998</v>
      </c>
      <c r="J17" s="8">
        <v>30.79</v>
      </c>
      <c r="K17" s="8">
        <v>23.99</v>
      </c>
      <c r="L17" s="8">
        <v>19.77</v>
      </c>
      <c r="M17" s="8">
        <v>84.5</v>
      </c>
      <c r="N17" s="8">
        <v>17.32</v>
      </c>
      <c r="O17" s="8">
        <v>44.56</v>
      </c>
    </row>
    <row r="18" spans="1:15" x14ac:dyDescent="0.25">
      <c r="A18" s="10">
        <v>37774</v>
      </c>
      <c r="B18" s="8">
        <v>59.29</v>
      </c>
      <c r="C18" s="8">
        <v>23.49</v>
      </c>
      <c r="D18" s="8">
        <v>35.18</v>
      </c>
      <c r="E18" s="8">
        <v>53.68</v>
      </c>
      <c r="F18" s="8">
        <v>25.75</v>
      </c>
      <c r="G18" s="8">
        <v>36.54</v>
      </c>
      <c r="H18" s="8">
        <v>32.96</v>
      </c>
      <c r="I18" s="8">
        <v>20.28</v>
      </c>
      <c r="J18" s="8">
        <v>31.44</v>
      </c>
      <c r="K18" s="8">
        <v>24.59</v>
      </c>
      <c r="L18" s="8">
        <v>19.760000000000002</v>
      </c>
      <c r="M18" s="8">
        <v>79.180000000000007</v>
      </c>
      <c r="N18" s="8">
        <v>20.399999999999999</v>
      </c>
      <c r="O18" s="8">
        <v>48.85</v>
      </c>
    </row>
    <row r="19" spans="1:15" x14ac:dyDescent="0.25">
      <c r="A19" s="10">
        <v>37803</v>
      </c>
      <c r="B19" s="8">
        <v>64.45</v>
      </c>
      <c r="C19" s="8">
        <v>25.59</v>
      </c>
      <c r="D19" s="8">
        <v>37.25</v>
      </c>
      <c r="E19" s="8">
        <v>62.46</v>
      </c>
      <c r="F19" s="8">
        <v>31.4</v>
      </c>
      <c r="G19" s="8">
        <v>38.56</v>
      </c>
      <c r="H19" s="8">
        <v>32.659999999999997</v>
      </c>
      <c r="I19" s="8">
        <v>20.149999999999999</v>
      </c>
      <c r="J19" s="8">
        <v>29.62</v>
      </c>
      <c r="K19" s="8">
        <v>25.9</v>
      </c>
      <c r="L19" s="8">
        <v>23.63</v>
      </c>
      <c r="M19" s="8">
        <v>77.98</v>
      </c>
      <c r="N19" s="8">
        <v>21.28</v>
      </c>
      <c r="O19" s="8">
        <v>44.6</v>
      </c>
    </row>
    <row r="20" spans="1:15" x14ac:dyDescent="0.25">
      <c r="A20" s="10">
        <v>37834</v>
      </c>
      <c r="B20" s="8">
        <v>65.8</v>
      </c>
      <c r="C20" s="8">
        <v>26.46</v>
      </c>
      <c r="D20" s="8">
        <v>37.99</v>
      </c>
      <c r="E20" s="8">
        <v>57.95</v>
      </c>
      <c r="F20" s="8">
        <v>33.43</v>
      </c>
      <c r="G20" s="8">
        <v>39.58</v>
      </c>
      <c r="H20" s="8">
        <v>34.840000000000003</v>
      </c>
      <c r="I20" s="8">
        <v>18.97</v>
      </c>
      <c r="J20" s="8">
        <v>30.53</v>
      </c>
      <c r="K20" s="8">
        <v>26.72</v>
      </c>
      <c r="L20" s="8">
        <v>27.17</v>
      </c>
      <c r="M20" s="8">
        <v>78.87</v>
      </c>
      <c r="N20" s="8">
        <v>20.73</v>
      </c>
      <c r="O20" s="8">
        <v>42.89</v>
      </c>
    </row>
    <row r="21" spans="1:15" x14ac:dyDescent="0.25">
      <c r="A21" s="10">
        <v>37866</v>
      </c>
      <c r="B21" s="8">
        <v>63.8</v>
      </c>
      <c r="C21" s="8">
        <v>24.24</v>
      </c>
      <c r="D21" s="8">
        <v>38</v>
      </c>
      <c r="E21" s="8">
        <v>56.2</v>
      </c>
      <c r="F21" s="8">
        <v>32.04</v>
      </c>
      <c r="G21" s="8">
        <v>35.39</v>
      </c>
      <c r="H21" s="8">
        <v>33.83</v>
      </c>
      <c r="I21" s="8">
        <v>18.5</v>
      </c>
      <c r="J21" s="8">
        <v>30.3</v>
      </c>
      <c r="K21" s="8">
        <v>24.29</v>
      </c>
      <c r="L21" s="8">
        <v>26.15</v>
      </c>
      <c r="M21" s="8">
        <v>84.94</v>
      </c>
      <c r="N21" s="8">
        <v>21.77</v>
      </c>
      <c r="O21" s="8">
        <v>43.47</v>
      </c>
    </row>
    <row r="22" spans="1:15" x14ac:dyDescent="0.25">
      <c r="A22" s="10">
        <v>37895</v>
      </c>
      <c r="B22" s="8">
        <v>72.849999999999994</v>
      </c>
      <c r="C22" s="8">
        <v>29.25</v>
      </c>
      <c r="D22" s="8">
        <v>39.67</v>
      </c>
      <c r="E22" s="8">
        <v>59.24</v>
      </c>
      <c r="F22" s="8">
        <v>34.270000000000003</v>
      </c>
      <c r="G22" s="8">
        <v>35.74</v>
      </c>
      <c r="H22" s="8">
        <v>33.81</v>
      </c>
      <c r="I22" s="8">
        <v>21.32</v>
      </c>
      <c r="J22" s="8">
        <v>35.270000000000003</v>
      </c>
      <c r="K22" s="8">
        <v>28.22</v>
      </c>
      <c r="L22" s="8">
        <v>31.31</v>
      </c>
      <c r="M22" s="8">
        <v>86.05</v>
      </c>
      <c r="N22" s="8">
        <v>23.12</v>
      </c>
      <c r="O22" s="8">
        <v>38</v>
      </c>
    </row>
    <row r="23" spans="1:15" x14ac:dyDescent="0.25">
      <c r="A23" s="10">
        <v>37928</v>
      </c>
      <c r="B23" s="8">
        <v>73.319999999999993</v>
      </c>
      <c r="C23" s="8">
        <v>30.54</v>
      </c>
      <c r="D23" s="8">
        <v>38.64</v>
      </c>
      <c r="E23" s="8">
        <v>56.44</v>
      </c>
      <c r="F23" s="8">
        <v>35.56</v>
      </c>
      <c r="G23" s="8">
        <v>36.99</v>
      </c>
      <c r="H23" s="8">
        <v>33.69</v>
      </c>
      <c r="I23" s="8">
        <v>20.78</v>
      </c>
      <c r="J23" s="8">
        <v>34.97</v>
      </c>
      <c r="K23" s="8">
        <v>27.54</v>
      </c>
      <c r="L23" s="8">
        <v>31.89</v>
      </c>
      <c r="M23" s="8">
        <v>87.23</v>
      </c>
      <c r="N23" s="8">
        <v>24.07</v>
      </c>
      <c r="O23" s="8">
        <v>34.86</v>
      </c>
    </row>
    <row r="24" spans="1:15" x14ac:dyDescent="0.25">
      <c r="A24" s="10">
        <v>37956</v>
      </c>
      <c r="B24" s="8">
        <v>78.88</v>
      </c>
      <c r="C24" s="8">
        <v>35.369999999999997</v>
      </c>
      <c r="D24" s="8">
        <v>40.85</v>
      </c>
      <c r="E24" s="8">
        <v>64.62</v>
      </c>
      <c r="F24" s="8">
        <v>38.82</v>
      </c>
      <c r="G24" s="8">
        <v>40.950000000000003</v>
      </c>
      <c r="H24" s="8">
        <v>38.159999999999997</v>
      </c>
      <c r="I24" s="8">
        <v>22.03</v>
      </c>
      <c r="J24" s="8">
        <v>33.83</v>
      </c>
      <c r="K24" s="8">
        <v>31.01</v>
      </c>
      <c r="L24" s="8">
        <v>30.48</v>
      </c>
      <c r="M24" s="8">
        <v>89.29</v>
      </c>
      <c r="N24" s="8">
        <v>23.32</v>
      </c>
      <c r="O24" s="8">
        <v>40.020000000000003</v>
      </c>
    </row>
    <row r="25" spans="1:15" x14ac:dyDescent="0.25">
      <c r="A25" s="10">
        <v>37988</v>
      </c>
      <c r="B25" s="8">
        <v>73.37</v>
      </c>
      <c r="C25" s="8">
        <v>31.82</v>
      </c>
      <c r="D25" s="8">
        <v>43.91</v>
      </c>
      <c r="E25" s="8">
        <v>67.72</v>
      </c>
      <c r="F25" s="8">
        <v>36.700000000000003</v>
      </c>
      <c r="G25" s="8">
        <v>39.17</v>
      </c>
      <c r="H25" s="8">
        <v>37.96</v>
      </c>
      <c r="I25" s="8">
        <v>22.82</v>
      </c>
      <c r="J25" s="8">
        <v>33.81</v>
      </c>
      <c r="K25" s="8">
        <v>33.51</v>
      </c>
      <c r="L25" s="8">
        <v>29.02</v>
      </c>
      <c r="M25" s="8">
        <v>95.6</v>
      </c>
      <c r="N25" s="8">
        <v>24.17</v>
      </c>
      <c r="O25" s="8">
        <v>41.23</v>
      </c>
    </row>
    <row r="26" spans="1:15" x14ac:dyDescent="0.25">
      <c r="A26" s="10">
        <v>38019</v>
      </c>
      <c r="B26" s="8">
        <v>72.7</v>
      </c>
      <c r="C26" s="8">
        <v>35.03</v>
      </c>
      <c r="D26" s="8">
        <v>45.25</v>
      </c>
      <c r="E26" s="8">
        <v>72.150000000000006</v>
      </c>
      <c r="F26" s="8">
        <v>35.58</v>
      </c>
      <c r="G26" s="8">
        <v>40.549999999999997</v>
      </c>
      <c r="H26" s="8">
        <v>39.49</v>
      </c>
      <c r="I26" s="8">
        <v>21.79</v>
      </c>
      <c r="J26" s="8">
        <v>34.61</v>
      </c>
      <c r="K26" s="8">
        <v>32.68</v>
      </c>
      <c r="L26" s="8">
        <v>27.8</v>
      </c>
      <c r="M26" s="8">
        <v>93.12</v>
      </c>
      <c r="N26" s="8">
        <v>26.58</v>
      </c>
      <c r="O26" s="8">
        <v>41.65</v>
      </c>
    </row>
    <row r="27" spans="1:15" x14ac:dyDescent="0.25">
      <c r="A27" s="10">
        <v>38047</v>
      </c>
      <c r="B27" s="8">
        <v>76.290000000000006</v>
      </c>
      <c r="C27" s="8">
        <v>32.44</v>
      </c>
      <c r="D27" s="8">
        <v>44</v>
      </c>
      <c r="E27" s="8">
        <v>69.63</v>
      </c>
      <c r="F27" s="8">
        <v>37.14</v>
      </c>
      <c r="G27" s="8">
        <v>37.97</v>
      </c>
      <c r="H27" s="8">
        <v>38.950000000000003</v>
      </c>
      <c r="I27" s="8">
        <v>21.99</v>
      </c>
      <c r="J27" s="8">
        <v>35.68</v>
      </c>
      <c r="K27" s="8">
        <v>31.56</v>
      </c>
      <c r="L27" s="8">
        <v>25.9</v>
      </c>
      <c r="M27" s="8">
        <v>88.62</v>
      </c>
      <c r="N27" s="8">
        <v>26.83</v>
      </c>
      <c r="O27" s="8">
        <v>38.58</v>
      </c>
    </row>
    <row r="28" spans="1:15" x14ac:dyDescent="0.25">
      <c r="A28" s="10">
        <v>38078</v>
      </c>
      <c r="B28" s="8">
        <v>80.58</v>
      </c>
      <c r="C28" s="8">
        <v>28.75</v>
      </c>
      <c r="D28" s="8">
        <v>41.54</v>
      </c>
      <c r="E28" s="8">
        <v>69.92</v>
      </c>
      <c r="F28" s="8">
        <v>36.68</v>
      </c>
      <c r="G28" s="8">
        <v>38.630000000000003</v>
      </c>
      <c r="H28" s="8">
        <v>39.85</v>
      </c>
      <c r="I28" s="8">
        <v>18.97</v>
      </c>
      <c r="J28" s="8">
        <v>33.61</v>
      </c>
      <c r="K28" s="8">
        <v>32.25</v>
      </c>
      <c r="L28" s="8">
        <v>24.5</v>
      </c>
      <c r="M28" s="8">
        <v>85.08</v>
      </c>
      <c r="N28" s="8">
        <v>25.57</v>
      </c>
      <c r="O28" s="8">
        <v>41.03</v>
      </c>
    </row>
    <row r="29" spans="1:15" x14ac:dyDescent="0.25">
      <c r="A29" s="10">
        <v>38110</v>
      </c>
      <c r="B29" s="8">
        <v>79.14</v>
      </c>
      <c r="C29" s="8">
        <v>29.41</v>
      </c>
      <c r="D29" s="8">
        <v>43.02</v>
      </c>
      <c r="E29" s="8">
        <v>71.53</v>
      </c>
      <c r="F29" s="8">
        <v>35.56</v>
      </c>
      <c r="G29" s="8">
        <v>39.18</v>
      </c>
      <c r="H29" s="8">
        <v>40.770000000000003</v>
      </c>
      <c r="I29" s="8">
        <v>20.45</v>
      </c>
      <c r="J29" s="8">
        <v>34.299999999999997</v>
      </c>
      <c r="K29" s="8">
        <v>31.61</v>
      </c>
      <c r="L29" s="8">
        <v>27.22</v>
      </c>
      <c r="M29" s="8">
        <v>85.66</v>
      </c>
      <c r="N29" s="8">
        <v>24.79</v>
      </c>
      <c r="O29" s="8">
        <v>41.29</v>
      </c>
    </row>
    <row r="30" spans="1:15" x14ac:dyDescent="0.25">
      <c r="A30" s="10">
        <v>38139</v>
      </c>
      <c r="B30" s="8">
        <v>84.24</v>
      </c>
      <c r="C30" s="8">
        <v>31.03</v>
      </c>
      <c r="D30" s="8">
        <v>43.69</v>
      </c>
      <c r="E30" s="8">
        <v>69.63</v>
      </c>
      <c r="F30" s="8">
        <v>37.49</v>
      </c>
      <c r="G30" s="8">
        <v>40.29</v>
      </c>
      <c r="H30" s="8">
        <v>41.86</v>
      </c>
      <c r="I30" s="8">
        <v>20.39</v>
      </c>
      <c r="J30" s="8">
        <v>33.700000000000003</v>
      </c>
      <c r="K30" s="8">
        <v>34.35</v>
      </c>
      <c r="L30" s="8">
        <v>26.32</v>
      </c>
      <c r="M30" s="8">
        <v>85.23</v>
      </c>
      <c r="N30" s="8">
        <v>24.42</v>
      </c>
      <c r="O30" s="8">
        <v>41.79</v>
      </c>
    </row>
    <row r="31" spans="1:15" x14ac:dyDescent="0.25">
      <c r="A31" s="10">
        <v>38169</v>
      </c>
      <c r="B31" s="8">
        <v>77.08</v>
      </c>
      <c r="C31" s="8">
        <v>30.09</v>
      </c>
      <c r="D31" s="8">
        <v>42.73</v>
      </c>
      <c r="E31" s="8">
        <v>69.02</v>
      </c>
      <c r="F31" s="8">
        <v>34.86</v>
      </c>
      <c r="G31" s="8">
        <v>38.880000000000003</v>
      </c>
      <c r="H31" s="8">
        <v>43.64</v>
      </c>
      <c r="I31" s="8">
        <v>19.47</v>
      </c>
      <c r="J31" s="8">
        <v>32.28</v>
      </c>
      <c r="K31" s="8">
        <v>35.270000000000003</v>
      </c>
      <c r="L31" s="8">
        <v>23.25</v>
      </c>
      <c r="M31" s="8">
        <v>84.19</v>
      </c>
      <c r="N31" s="8">
        <v>25.83</v>
      </c>
      <c r="O31" s="8">
        <v>39.89</v>
      </c>
    </row>
    <row r="32" spans="1:15" x14ac:dyDescent="0.25">
      <c r="A32" s="10">
        <v>38201</v>
      </c>
      <c r="B32" s="8">
        <v>77.430000000000007</v>
      </c>
      <c r="C32" s="8">
        <v>30.57</v>
      </c>
      <c r="D32" s="8">
        <v>42.53</v>
      </c>
      <c r="E32" s="8">
        <v>69.59</v>
      </c>
      <c r="F32" s="8">
        <v>34.479999999999997</v>
      </c>
      <c r="G32" s="8">
        <v>38.65</v>
      </c>
      <c r="H32" s="8">
        <v>43.71</v>
      </c>
      <c r="I32" s="8">
        <v>17.29</v>
      </c>
      <c r="J32" s="8">
        <v>35.08</v>
      </c>
      <c r="K32" s="8">
        <v>33.93</v>
      </c>
      <c r="L32" s="8">
        <v>20.329999999999998</v>
      </c>
      <c r="M32" s="8">
        <v>82.06</v>
      </c>
      <c r="N32" s="8">
        <v>25.37</v>
      </c>
      <c r="O32" s="8">
        <v>39.56</v>
      </c>
    </row>
    <row r="33" spans="1:15" x14ac:dyDescent="0.25">
      <c r="A33" s="10">
        <v>38231</v>
      </c>
      <c r="B33" s="8">
        <v>75.180000000000007</v>
      </c>
      <c r="C33" s="8">
        <v>31.71</v>
      </c>
      <c r="D33" s="8">
        <v>43.75</v>
      </c>
      <c r="E33" s="8">
        <v>66.489999999999995</v>
      </c>
      <c r="F33" s="8">
        <v>38.159999999999997</v>
      </c>
      <c r="G33" s="8">
        <v>39.14</v>
      </c>
      <c r="H33" s="8">
        <v>45.83</v>
      </c>
      <c r="I33" s="8">
        <v>18.2</v>
      </c>
      <c r="J33" s="8">
        <v>37.61</v>
      </c>
      <c r="K33" s="8">
        <v>33.81</v>
      </c>
      <c r="L33" s="8">
        <v>19.16</v>
      </c>
      <c r="M33" s="8">
        <v>83.08</v>
      </c>
      <c r="N33" s="8">
        <v>26.32</v>
      </c>
      <c r="O33" s="8">
        <v>29.28</v>
      </c>
    </row>
    <row r="34" spans="1:15" x14ac:dyDescent="0.25">
      <c r="A34" s="10">
        <v>38261</v>
      </c>
      <c r="B34" s="8">
        <v>72.930000000000007</v>
      </c>
      <c r="C34" s="8">
        <v>30.68</v>
      </c>
      <c r="D34" s="8">
        <v>45.23</v>
      </c>
      <c r="E34" s="8">
        <v>59.37</v>
      </c>
      <c r="F34" s="8">
        <v>38.4</v>
      </c>
      <c r="G34" s="8">
        <v>39.21</v>
      </c>
      <c r="H34" s="8">
        <v>46.67</v>
      </c>
      <c r="I34" s="8">
        <v>18.11</v>
      </c>
      <c r="J34" s="8">
        <v>39.42</v>
      </c>
      <c r="K34" s="8">
        <v>31.76</v>
      </c>
      <c r="L34" s="8">
        <v>21.26</v>
      </c>
      <c r="M34" s="8">
        <v>86.97</v>
      </c>
      <c r="N34" s="8">
        <v>27.38</v>
      </c>
      <c r="O34" s="8">
        <v>27.78</v>
      </c>
    </row>
    <row r="35" spans="1:15" x14ac:dyDescent="0.25">
      <c r="A35" s="10">
        <v>38292</v>
      </c>
      <c r="B35" s="8">
        <v>75.16</v>
      </c>
      <c r="C35" s="8">
        <v>32.229999999999997</v>
      </c>
      <c r="D35" s="8">
        <v>47.48</v>
      </c>
      <c r="E35" s="8">
        <v>61.95</v>
      </c>
      <c r="F35" s="8">
        <v>43.65</v>
      </c>
      <c r="G35" s="8">
        <v>41.78</v>
      </c>
      <c r="H35" s="8">
        <v>48.86</v>
      </c>
      <c r="I35" s="8">
        <v>19.41</v>
      </c>
      <c r="J35" s="8">
        <v>40.14</v>
      </c>
      <c r="K35" s="8">
        <v>33.49</v>
      </c>
      <c r="L35" s="8">
        <v>21.41</v>
      </c>
      <c r="M35" s="8">
        <v>91.49</v>
      </c>
      <c r="N35" s="8">
        <v>29.4</v>
      </c>
      <c r="O35" s="8">
        <v>24.86</v>
      </c>
    </row>
    <row r="36" spans="1:15" x14ac:dyDescent="0.25">
      <c r="A36" s="10">
        <v>38322</v>
      </c>
      <c r="B36" s="8">
        <v>77.5</v>
      </c>
      <c r="C36" s="8">
        <v>29.79</v>
      </c>
      <c r="D36" s="8">
        <v>48.04</v>
      </c>
      <c r="E36" s="8">
        <v>64.3</v>
      </c>
      <c r="F36" s="8">
        <v>46.49</v>
      </c>
      <c r="G36" s="8">
        <v>45.21</v>
      </c>
      <c r="H36" s="8">
        <v>48.87</v>
      </c>
      <c r="I36" s="8">
        <v>20.43</v>
      </c>
      <c r="J36" s="8">
        <v>41.09</v>
      </c>
      <c r="K36" s="8">
        <v>33.57</v>
      </c>
      <c r="L36" s="8">
        <v>22.38</v>
      </c>
      <c r="M36" s="8">
        <v>95.71</v>
      </c>
      <c r="N36" s="8">
        <v>30.67</v>
      </c>
      <c r="O36" s="8">
        <v>28.91</v>
      </c>
    </row>
    <row r="37" spans="1:15" x14ac:dyDescent="0.25">
      <c r="A37" s="10">
        <v>38355</v>
      </c>
      <c r="B37" s="8">
        <v>79.66</v>
      </c>
      <c r="C37" s="8">
        <v>27.99</v>
      </c>
      <c r="D37" s="8">
        <v>45.56</v>
      </c>
      <c r="E37" s="8">
        <v>64.900000000000006</v>
      </c>
      <c r="F37" s="8">
        <v>42.66</v>
      </c>
      <c r="G37" s="8">
        <v>43.84</v>
      </c>
      <c r="H37" s="8">
        <v>49.19</v>
      </c>
      <c r="I37" s="8">
        <v>19.09</v>
      </c>
      <c r="J37" s="8">
        <v>39.67</v>
      </c>
      <c r="K37" s="8">
        <v>34.11</v>
      </c>
      <c r="L37" s="8">
        <v>21.48</v>
      </c>
      <c r="M37" s="8">
        <v>90.7</v>
      </c>
      <c r="N37" s="8">
        <v>30.98</v>
      </c>
      <c r="O37" s="8">
        <v>25.23</v>
      </c>
    </row>
    <row r="38" spans="1:15" x14ac:dyDescent="0.25">
      <c r="A38" s="10">
        <v>38384</v>
      </c>
      <c r="B38" s="8">
        <v>79.66</v>
      </c>
      <c r="C38" s="8">
        <v>30.62</v>
      </c>
      <c r="D38" s="8">
        <v>46.25</v>
      </c>
      <c r="E38" s="8">
        <v>65.400000000000006</v>
      </c>
      <c r="F38" s="8">
        <v>45.51</v>
      </c>
      <c r="G38" s="8">
        <v>49.47</v>
      </c>
      <c r="H38" s="8">
        <v>60.65</v>
      </c>
      <c r="I38" s="8">
        <v>20.260000000000002</v>
      </c>
      <c r="J38" s="8">
        <v>38.479999999999997</v>
      </c>
      <c r="K38" s="8">
        <v>36.18</v>
      </c>
      <c r="L38" s="8">
        <v>23.04</v>
      </c>
      <c r="M38" s="8">
        <v>90.05</v>
      </c>
      <c r="N38" s="8">
        <v>31.64</v>
      </c>
      <c r="O38" s="8">
        <v>28.51</v>
      </c>
    </row>
    <row r="39" spans="1:15" x14ac:dyDescent="0.25">
      <c r="A39" s="10">
        <v>38412</v>
      </c>
      <c r="B39" s="8">
        <v>81.319999999999993</v>
      </c>
      <c r="C39" s="8">
        <v>28.97</v>
      </c>
      <c r="D39" s="8">
        <v>43.98</v>
      </c>
      <c r="E39" s="8">
        <v>54.35</v>
      </c>
      <c r="F39" s="8">
        <v>43.78</v>
      </c>
      <c r="G39" s="8">
        <v>47.56</v>
      </c>
      <c r="H39" s="8">
        <v>57.1</v>
      </c>
      <c r="I39" s="8">
        <v>21.46</v>
      </c>
      <c r="J39" s="8">
        <v>36.86</v>
      </c>
      <c r="K39" s="8">
        <v>35.46</v>
      </c>
      <c r="L39" s="8">
        <v>22.31</v>
      </c>
      <c r="M39" s="8">
        <v>88.89</v>
      </c>
      <c r="N39" s="8">
        <v>29.79</v>
      </c>
      <c r="O39" s="8">
        <v>29.46</v>
      </c>
    </row>
    <row r="40" spans="1:15" x14ac:dyDescent="0.25">
      <c r="A40" s="10">
        <v>38443</v>
      </c>
      <c r="B40" s="8">
        <v>72.569999999999993</v>
      </c>
      <c r="C40" s="8">
        <v>27.67</v>
      </c>
      <c r="D40" s="8">
        <v>45.12</v>
      </c>
      <c r="E40" s="8">
        <v>49.88</v>
      </c>
      <c r="F40" s="8">
        <v>42.36</v>
      </c>
      <c r="G40" s="8">
        <v>43.73</v>
      </c>
      <c r="H40" s="8">
        <v>54.64</v>
      </c>
      <c r="I40" s="8">
        <v>20.02</v>
      </c>
      <c r="J40" s="8">
        <v>34.090000000000003</v>
      </c>
      <c r="K40" s="8">
        <v>34.08</v>
      </c>
      <c r="L40" s="8">
        <v>22.58</v>
      </c>
      <c r="M40" s="8">
        <v>74.290000000000006</v>
      </c>
      <c r="N40" s="8">
        <v>28.04</v>
      </c>
      <c r="O40" s="8">
        <v>30.85</v>
      </c>
    </row>
    <row r="41" spans="1:15" x14ac:dyDescent="0.25">
      <c r="A41" s="10">
        <v>38474</v>
      </c>
      <c r="B41" s="8">
        <v>73.14</v>
      </c>
      <c r="C41" s="8">
        <v>25.97</v>
      </c>
      <c r="D41" s="8">
        <v>46.1</v>
      </c>
      <c r="E41" s="8">
        <v>54.49</v>
      </c>
      <c r="F41" s="8">
        <v>45.27</v>
      </c>
      <c r="G41" s="8">
        <v>43.51</v>
      </c>
      <c r="H41" s="8">
        <v>54.11</v>
      </c>
      <c r="I41" s="8">
        <v>22.02</v>
      </c>
      <c r="J41" s="8">
        <v>37.93</v>
      </c>
      <c r="K41" s="8">
        <v>34.72</v>
      </c>
      <c r="L41" s="8">
        <v>25.97</v>
      </c>
      <c r="M41" s="8">
        <v>73.680000000000007</v>
      </c>
      <c r="N41" s="8">
        <v>29.6</v>
      </c>
      <c r="O41" s="8">
        <v>29.53</v>
      </c>
    </row>
    <row r="42" spans="1:15" x14ac:dyDescent="0.25">
      <c r="A42" s="10">
        <v>38504</v>
      </c>
      <c r="B42" s="8">
        <v>68.989999999999995</v>
      </c>
      <c r="C42" s="8">
        <v>25.04</v>
      </c>
      <c r="D42" s="8">
        <v>45.67</v>
      </c>
      <c r="E42" s="8">
        <v>57.12</v>
      </c>
      <c r="F42" s="8">
        <v>45.85</v>
      </c>
      <c r="G42" s="8">
        <v>40.24</v>
      </c>
      <c r="H42" s="8">
        <v>55.34</v>
      </c>
      <c r="I42" s="8">
        <v>23.08</v>
      </c>
      <c r="J42" s="8">
        <v>37.590000000000003</v>
      </c>
      <c r="K42" s="8">
        <v>35.11</v>
      </c>
      <c r="L42" s="8">
        <v>25.07</v>
      </c>
      <c r="M42" s="8">
        <v>72.37</v>
      </c>
      <c r="N42" s="8">
        <v>26.54</v>
      </c>
      <c r="O42" s="8">
        <v>28.37</v>
      </c>
    </row>
    <row r="43" spans="1:15" x14ac:dyDescent="0.25">
      <c r="A43" s="10">
        <v>38534</v>
      </c>
      <c r="B43" s="8">
        <v>71.569999999999993</v>
      </c>
      <c r="C43" s="8">
        <v>26.88</v>
      </c>
      <c r="D43" s="8">
        <v>47.19</v>
      </c>
      <c r="E43" s="8">
        <v>59.18</v>
      </c>
      <c r="F43" s="8">
        <v>52.11</v>
      </c>
      <c r="G43" s="8">
        <v>39.93</v>
      </c>
      <c r="H43" s="8">
        <v>56.57</v>
      </c>
      <c r="I43" s="8">
        <v>24.17</v>
      </c>
      <c r="J43" s="8">
        <v>42.04</v>
      </c>
      <c r="K43" s="8">
        <v>37.65</v>
      </c>
      <c r="L43" s="8">
        <v>26.15</v>
      </c>
      <c r="M43" s="8">
        <v>81.400000000000006</v>
      </c>
      <c r="N43" s="8">
        <v>29.82</v>
      </c>
      <c r="O43" s="8">
        <v>28.6</v>
      </c>
    </row>
    <row r="44" spans="1:15" x14ac:dyDescent="0.25">
      <c r="A44" s="10">
        <v>38565</v>
      </c>
      <c r="B44" s="8">
        <v>68.3</v>
      </c>
      <c r="C44" s="8">
        <v>25.81</v>
      </c>
      <c r="D44" s="8">
        <v>47.4</v>
      </c>
      <c r="E44" s="8">
        <v>58.35</v>
      </c>
      <c r="F44" s="8">
        <v>53.64</v>
      </c>
      <c r="G44" s="8">
        <v>37.340000000000003</v>
      </c>
      <c r="H44" s="8">
        <v>57.96</v>
      </c>
      <c r="I44" s="8">
        <v>27.25</v>
      </c>
      <c r="J44" s="8">
        <v>39.06</v>
      </c>
      <c r="K44" s="8">
        <v>36.89</v>
      </c>
      <c r="L44" s="8">
        <v>24.85</v>
      </c>
      <c r="M44" s="8">
        <v>78.819999999999993</v>
      </c>
      <c r="N44" s="8">
        <v>31.04</v>
      </c>
      <c r="O44" s="8">
        <v>26.35</v>
      </c>
    </row>
    <row r="45" spans="1:15" x14ac:dyDescent="0.25">
      <c r="A45" s="10">
        <v>38596</v>
      </c>
      <c r="B45" s="8">
        <v>70.42</v>
      </c>
      <c r="C45" s="8">
        <v>23.52</v>
      </c>
      <c r="D45" s="8">
        <v>49.28</v>
      </c>
      <c r="E45" s="8">
        <v>61.07</v>
      </c>
      <c r="F45" s="8">
        <v>56.79</v>
      </c>
      <c r="G45" s="8">
        <v>36.97</v>
      </c>
      <c r="H45" s="8">
        <v>61.48</v>
      </c>
      <c r="I45" s="8">
        <v>28.74</v>
      </c>
      <c r="J45" s="8">
        <v>36.94</v>
      </c>
      <c r="K45" s="8">
        <v>36.14</v>
      </c>
      <c r="L45" s="8">
        <v>23.82</v>
      </c>
      <c r="M45" s="8">
        <v>78.430000000000007</v>
      </c>
      <c r="N45" s="8">
        <v>32.03</v>
      </c>
      <c r="O45" s="8">
        <v>25.4</v>
      </c>
    </row>
    <row r="46" spans="1:15" x14ac:dyDescent="0.25">
      <c r="A46" s="10">
        <v>38628</v>
      </c>
      <c r="B46" s="8">
        <v>72.930000000000007</v>
      </c>
      <c r="C46" s="8">
        <v>23.4</v>
      </c>
      <c r="D46" s="8">
        <v>48.9</v>
      </c>
      <c r="E46" s="8">
        <v>63.87</v>
      </c>
      <c r="F46" s="8">
        <v>51.07</v>
      </c>
      <c r="G46" s="8">
        <v>39.340000000000003</v>
      </c>
      <c r="H46" s="8">
        <v>54.32</v>
      </c>
      <c r="I46" s="8">
        <v>27.6</v>
      </c>
      <c r="J46" s="8">
        <v>39.75</v>
      </c>
      <c r="K46" s="8">
        <v>32.96</v>
      </c>
      <c r="L46" s="8">
        <v>22.71</v>
      </c>
      <c r="M46" s="8">
        <v>80.05</v>
      </c>
      <c r="N46" s="8">
        <v>30.23</v>
      </c>
      <c r="O46" s="8">
        <v>26.34</v>
      </c>
    </row>
    <row r="47" spans="1:15" x14ac:dyDescent="0.25">
      <c r="A47" s="10">
        <v>38657</v>
      </c>
      <c r="B47" s="8">
        <v>75.73</v>
      </c>
      <c r="C47" s="8">
        <v>26.56</v>
      </c>
      <c r="D47" s="8">
        <v>50.52</v>
      </c>
      <c r="E47" s="8">
        <v>66.180000000000007</v>
      </c>
      <c r="F47" s="8">
        <v>56.11</v>
      </c>
      <c r="G47" s="8">
        <v>40.700000000000003</v>
      </c>
      <c r="H47" s="8">
        <v>56.44</v>
      </c>
      <c r="I47" s="8">
        <v>29.21</v>
      </c>
      <c r="J47" s="8">
        <v>40.57</v>
      </c>
      <c r="K47" s="8">
        <v>35.409999999999997</v>
      </c>
      <c r="L47" s="8">
        <v>25.87</v>
      </c>
      <c r="M47" s="8">
        <v>87.12</v>
      </c>
      <c r="N47" s="8">
        <v>33.04</v>
      </c>
      <c r="O47" s="8">
        <v>27.8</v>
      </c>
    </row>
    <row r="48" spans="1:15" x14ac:dyDescent="0.25">
      <c r="A48" s="10">
        <v>38687</v>
      </c>
      <c r="B48" s="8">
        <v>74.790000000000006</v>
      </c>
      <c r="C48" s="8">
        <v>28.66</v>
      </c>
      <c r="D48" s="8">
        <v>50.56</v>
      </c>
      <c r="E48" s="8">
        <v>67.25</v>
      </c>
      <c r="F48" s="8">
        <v>56.1</v>
      </c>
      <c r="G48" s="8">
        <v>40.46</v>
      </c>
      <c r="H48" s="8">
        <v>54.63</v>
      </c>
      <c r="I48" s="8">
        <v>28.26</v>
      </c>
      <c r="J48" s="8">
        <v>39.31</v>
      </c>
      <c r="K48" s="8">
        <v>36.1</v>
      </c>
      <c r="L48" s="8">
        <v>24.2</v>
      </c>
      <c r="M48" s="8">
        <v>80.55</v>
      </c>
      <c r="N48" s="8">
        <v>32.92</v>
      </c>
      <c r="O48" s="8">
        <v>30.07</v>
      </c>
    </row>
    <row r="49" spans="1:15" x14ac:dyDescent="0.25">
      <c r="A49" s="10">
        <v>38720</v>
      </c>
      <c r="B49" s="8">
        <v>70.2</v>
      </c>
      <c r="C49" s="8">
        <v>30.53</v>
      </c>
      <c r="D49" s="8">
        <v>51.65</v>
      </c>
      <c r="E49" s="8">
        <v>64.52</v>
      </c>
      <c r="F49" s="8">
        <v>66.2</v>
      </c>
      <c r="G49" s="8">
        <v>37.270000000000003</v>
      </c>
      <c r="H49" s="8">
        <v>61.03</v>
      </c>
      <c r="I49" s="8">
        <v>30.77</v>
      </c>
      <c r="J49" s="8">
        <v>39.369999999999997</v>
      </c>
      <c r="K49" s="8">
        <v>37.229999999999997</v>
      </c>
      <c r="L49" s="8">
        <v>20.61</v>
      </c>
      <c r="M49" s="8">
        <v>79.67</v>
      </c>
      <c r="N49" s="8">
        <v>34.18</v>
      </c>
      <c r="O49" s="8">
        <v>32.619999999999997</v>
      </c>
    </row>
    <row r="50" spans="1:15" x14ac:dyDescent="0.25">
      <c r="A50" s="10">
        <v>38749</v>
      </c>
      <c r="B50" s="8">
        <v>71.459999999999994</v>
      </c>
      <c r="C50" s="8">
        <v>28.55</v>
      </c>
      <c r="D50" s="8">
        <v>53.06</v>
      </c>
      <c r="E50" s="8">
        <v>65.41</v>
      </c>
      <c r="F50" s="8">
        <v>71.25</v>
      </c>
      <c r="G50" s="8">
        <v>38.659999999999997</v>
      </c>
      <c r="H50" s="8">
        <v>58.05</v>
      </c>
      <c r="I50" s="8">
        <v>32.380000000000003</v>
      </c>
      <c r="J50" s="8">
        <v>40.93</v>
      </c>
      <c r="K50" s="8">
        <v>39.9</v>
      </c>
      <c r="L50" s="8">
        <v>20.07</v>
      </c>
      <c r="M50" s="8">
        <v>78.83</v>
      </c>
      <c r="N50" s="8">
        <v>34.08</v>
      </c>
      <c r="O50" s="8">
        <v>32.96</v>
      </c>
    </row>
    <row r="51" spans="1:15" x14ac:dyDescent="0.25">
      <c r="A51" s="10">
        <v>38777</v>
      </c>
      <c r="B51" s="8">
        <v>73.5</v>
      </c>
      <c r="C51" s="8">
        <v>29.76</v>
      </c>
      <c r="D51" s="8">
        <v>51.75</v>
      </c>
      <c r="E51" s="8">
        <v>65.290000000000006</v>
      </c>
      <c r="F51" s="8">
        <v>70.010000000000005</v>
      </c>
      <c r="G51" s="8">
        <v>40.56</v>
      </c>
      <c r="H51" s="8">
        <v>59.5</v>
      </c>
      <c r="I51" s="8">
        <v>32.549999999999997</v>
      </c>
      <c r="J51" s="8">
        <v>41.22</v>
      </c>
      <c r="K51" s="8">
        <v>41.67</v>
      </c>
      <c r="L51" s="8">
        <v>18.96</v>
      </c>
      <c r="M51" s="8">
        <v>81.02</v>
      </c>
      <c r="N51" s="8">
        <v>33.54</v>
      </c>
      <c r="O51" s="8">
        <v>33.67</v>
      </c>
    </row>
    <row r="52" spans="1:15" x14ac:dyDescent="0.25">
      <c r="A52" s="10">
        <v>38810</v>
      </c>
      <c r="B52" s="8">
        <v>82.96</v>
      </c>
      <c r="C52" s="8">
        <v>32.89</v>
      </c>
      <c r="D52" s="8">
        <v>53.11</v>
      </c>
      <c r="E52" s="8">
        <v>64.459999999999994</v>
      </c>
      <c r="F52" s="8">
        <v>74.08</v>
      </c>
      <c r="G52" s="8">
        <v>42.37</v>
      </c>
      <c r="H52" s="8">
        <v>61.67</v>
      </c>
      <c r="I52" s="8">
        <v>32.130000000000003</v>
      </c>
      <c r="J52" s="8">
        <v>38.909999999999997</v>
      </c>
      <c r="K52" s="8">
        <v>41.41</v>
      </c>
      <c r="L52" s="8">
        <v>19.46</v>
      </c>
      <c r="M52" s="8">
        <v>80.89</v>
      </c>
      <c r="N52" s="8">
        <v>33.75</v>
      </c>
      <c r="O52" s="8">
        <v>32.9</v>
      </c>
    </row>
    <row r="53" spans="1:15" x14ac:dyDescent="0.25">
      <c r="A53" s="10">
        <v>38838</v>
      </c>
      <c r="B53" s="8">
        <v>81.67</v>
      </c>
      <c r="C53" s="8">
        <v>31.02</v>
      </c>
      <c r="D53" s="8">
        <v>53.65</v>
      </c>
      <c r="E53" s="8">
        <v>60.21</v>
      </c>
      <c r="F53" s="8">
        <v>71.349999999999994</v>
      </c>
      <c r="G53" s="8">
        <v>41.2</v>
      </c>
      <c r="H53" s="8">
        <v>59.85</v>
      </c>
      <c r="I53" s="8">
        <v>32.04</v>
      </c>
      <c r="J53" s="8">
        <v>37.15</v>
      </c>
      <c r="K53" s="8">
        <v>40.340000000000003</v>
      </c>
      <c r="L53" s="8">
        <v>17.64</v>
      </c>
      <c r="M53" s="8">
        <v>78.78</v>
      </c>
      <c r="N53" s="8">
        <v>32.380000000000003</v>
      </c>
      <c r="O53" s="8">
        <v>32.19</v>
      </c>
    </row>
    <row r="54" spans="1:15" x14ac:dyDescent="0.25">
      <c r="A54" s="10">
        <v>38869</v>
      </c>
      <c r="B54" s="8">
        <v>78.849999999999994</v>
      </c>
      <c r="C54" s="8">
        <v>31.65</v>
      </c>
      <c r="D54" s="8">
        <v>52.53</v>
      </c>
      <c r="E54" s="8">
        <v>58.48</v>
      </c>
      <c r="F54" s="8">
        <v>72.84</v>
      </c>
      <c r="G54" s="8">
        <v>40.299999999999997</v>
      </c>
      <c r="H54" s="8">
        <v>60.28</v>
      </c>
      <c r="I54" s="8">
        <v>31.43</v>
      </c>
      <c r="J54" s="8">
        <v>35.020000000000003</v>
      </c>
      <c r="K54" s="8">
        <v>39.47</v>
      </c>
      <c r="L54" s="8">
        <v>18.600000000000001</v>
      </c>
      <c r="M54" s="8">
        <v>75.739999999999995</v>
      </c>
      <c r="N54" s="8">
        <v>32.799999999999997</v>
      </c>
      <c r="O54" s="8">
        <v>35.229999999999997</v>
      </c>
    </row>
    <row r="55" spans="1:15" x14ac:dyDescent="0.25">
      <c r="A55" s="10">
        <v>38901</v>
      </c>
      <c r="B55" s="8">
        <v>68.73</v>
      </c>
      <c r="C55" s="8">
        <v>29.29</v>
      </c>
      <c r="D55" s="8">
        <v>51.53</v>
      </c>
      <c r="E55" s="8">
        <v>60.08</v>
      </c>
      <c r="F55" s="8">
        <v>69.61</v>
      </c>
      <c r="G55" s="8">
        <v>38.42</v>
      </c>
      <c r="H55" s="8">
        <v>66.56</v>
      </c>
      <c r="I55" s="8">
        <v>31.66</v>
      </c>
      <c r="J55" s="8">
        <v>33.96</v>
      </c>
      <c r="K55" s="8">
        <v>37.909999999999997</v>
      </c>
      <c r="L55" s="8">
        <v>17.63</v>
      </c>
      <c r="M55" s="8">
        <v>76.33</v>
      </c>
      <c r="N55" s="8">
        <v>34.549999999999997</v>
      </c>
      <c r="O55" s="8">
        <v>38.94</v>
      </c>
    </row>
    <row r="56" spans="1:15" x14ac:dyDescent="0.25">
      <c r="A56" s="10">
        <v>38930</v>
      </c>
      <c r="B56" s="8">
        <v>70.45</v>
      </c>
      <c r="C56" s="8">
        <v>28.11</v>
      </c>
      <c r="D56" s="8">
        <v>52</v>
      </c>
      <c r="E56" s="8">
        <v>63.37</v>
      </c>
      <c r="F56" s="8">
        <v>65.17</v>
      </c>
      <c r="G56" s="8">
        <v>39.08</v>
      </c>
      <c r="H56" s="8">
        <v>66.8</v>
      </c>
      <c r="I56" s="8">
        <v>36.270000000000003</v>
      </c>
      <c r="J56" s="8">
        <v>33.549999999999997</v>
      </c>
      <c r="K56" s="8">
        <v>38.15</v>
      </c>
      <c r="L56" s="8">
        <v>19.27</v>
      </c>
      <c r="M56" s="8">
        <v>80.150000000000006</v>
      </c>
      <c r="N56" s="8">
        <v>35.04</v>
      </c>
      <c r="O56" s="8">
        <v>39.57</v>
      </c>
    </row>
    <row r="57" spans="1:15" x14ac:dyDescent="0.25">
      <c r="A57" s="10">
        <v>38961</v>
      </c>
      <c r="B57" s="8">
        <v>73.13</v>
      </c>
      <c r="C57" s="8">
        <v>27.57</v>
      </c>
      <c r="D57" s="8">
        <v>55.51</v>
      </c>
      <c r="E57" s="8">
        <v>65.790000000000006</v>
      </c>
      <c r="F57" s="8">
        <v>64.63</v>
      </c>
      <c r="G57" s="8">
        <v>41.89</v>
      </c>
      <c r="H57" s="8">
        <v>66.239999999999995</v>
      </c>
      <c r="I57" s="8">
        <v>36.479999999999997</v>
      </c>
      <c r="J57" s="8">
        <v>35.64</v>
      </c>
      <c r="K57" s="8">
        <v>40.299999999999997</v>
      </c>
      <c r="L57" s="8">
        <v>20.260000000000002</v>
      </c>
      <c r="M57" s="8">
        <v>81.11</v>
      </c>
      <c r="N57" s="8">
        <v>38.19</v>
      </c>
      <c r="O57" s="8">
        <v>40.89</v>
      </c>
    </row>
    <row r="58" spans="1:15" x14ac:dyDescent="0.25">
      <c r="A58" s="10">
        <v>38992</v>
      </c>
      <c r="B58" s="8">
        <v>77.47</v>
      </c>
      <c r="C58" s="8">
        <v>28.42</v>
      </c>
      <c r="D58" s="8">
        <v>57.37</v>
      </c>
      <c r="E58" s="8">
        <v>66.69</v>
      </c>
      <c r="F58" s="8">
        <v>59.89</v>
      </c>
      <c r="G58" s="8">
        <v>44.78</v>
      </c>
      <c r="H58" s="8">
        <v>70.510000000000005</v>
      </c>
      <c r="I58" s="8">
        <v>38.520000000000003</v>
      </c>
      <c r="J58" s="8">
        <v>36.68</v>
      </c>
      <c r="K58" s="8">
        <v>41.5</v>
      </c>
      <c r="L58" s="8">
        <v>21.01</v>
      </c>
      <c r="M58" s="8">
        <v>91.4</v>
      </c>
      <c r="N58" s="8">
        <v>40.92</v>
      </c>
      <c r="O58" s="8">
        <v>44.33</v>
      </c>
    </row>
    <row r="59" spans="1:15" x14ac:dyDescent="0.25">
      <c r="A59" s="10">
        <v>39022</v>
      </c>
      <c r="B59" s="8">
        <v>80.5</v>
      </c>
      <c r="C59" s="8">
        <v>30.8</v>
      </c>
      <c r="D59" s="8">
        <v>58.28</v>
      </c>
      <c r="E59" s="8">
        <v>69.989999999999995</v>
      </c>
      <c r="F59" s="8">
        <v>61.2</v>
      </c>
      <c r="G59" s="8">
        <v>46.25</v>
      </c>
      <c r="H59" s="8">
        <v>76.16</v>
      </c>
      <c r="I59" s="8">
        <v>39.229999999999997</v>
      </c>
      <c r="J59" s="8">
        <v>37.54</v>
      </c>
      <c r="K59" s="8">
        <v>42.57</v>
      </c>
      <c r="L59" s="8">
        <v>21.18</v>
      </c>
      <c r="M59" s="8">
        <v>91.29</v>
      </c>
      <c r="N59" s="8">
        <v>41.97</v>
      </c>
      <c r="O59" s="8">
        <v>43.44</v>
      </c>
    </row>
    <row r="60" spans="1:15" x14ac:dyDescent="0.25">
      <c r="A60" s="10">
        <v>39052</v>
      </c>
      <c r="B60" s="8">
        <v>77.010000000000005</v>
      </c>
      <c r="C60" s="8">
        <v>29.71</v>
      </c>
      <c r="D60" s="8">
        <v>60.21</v>
      </c>
      <c r="E60" s="8">
        <v>71.319999999999993</v>
      </c>
      <c r="F60" s="8">
        <v>60.51</v>
      </c>
      <c r="G60" s="8">
        <v>48</v>
      </c>
      <c r="H60" s="8">
        <v>75.98</v>
      </c>
      <c r="I60" s="8">
        <v>41.04</v>
      </c>
      <c r="J60" s="8">
        <v>39.700000000000003</v>
      </c>
      <c r="K60" s="8">
        <v>44.81</v>
      </c>
      <c r="L60" s="8">
        <v>20.04</v>
      </c>
      <c r="M60" s="8">
        <v>96.48</v>
      </c>
      <c r="N60" s="8">
        <v>44.33</v>
      </c>
      <c r="O60" s="8">
        <v>42.91</v>
      </c>
    </row>
    <row r="61" spans="1:15" x14ac:dyDescent="0.25">
      <c r="A61" s="10">
        <v>39085</v>
      </c>
      <c r="B61" s="8">
        <v>73.42</v>
      </c>
      <c r="C61" s="8">
        <v>32.14</v>
      </c>
      <c r="D61" s="8">
        <v>57.92</v>
      </c>
      <c r="E61" s="8">
        <v>68.12</v>
      </c>
      <c r="F61" s="8">
        <v>63.53</v>
      </c>
      <c r="G61" s="8">
        <v>48.84</v>
      </c>
      <c r="H61" s="8">
        <v>73.47</v>
      </c>
      <c r="I61" s="8">
        <v>43.12</v>
      </c>
      <c r="J61" s="8">
        <v>40.270000000000003</v>
      </c>
      <c r="K61" s="8">
        <v>45.26</v>
      </c>
      <c r="L61" s="8">
        <v>20.74</v>
      </c>
      <c r="M61" s="8">
        <v>98.47</v>
      </c>
      <c r="N61" s="8">
        <v>44.35</v>
      </c>
      <c r="O61" s="8">
        <v>44.04</v>
      </c>
    </row>
    <row r="62" spans="1:15" x14ac:dyDescent="0.25">
      <c r="A62" s="10">
        <v>39114</v>
      </c>
      <c r="B62" s="8">
        <v>73.67</v>
      </c>
      <c r="C62" s="8">
        <v>33.25</v>
      </c>
      <c r="D62" s="8">
        <v>56.58</v>
      </c>
      <c r="E62" s="8">
        <v>66.959999999999994</v>
      </c>
      <c r="F62" s="8">
        <v>63.88</v>
      </c>
      <c r="G62" s="8">
        <v>50.36</v>
      </c>
      <c r="H62" s="8">
        <v>71.37</v>
      </c>
      <c r="I62" s="8">
        <v>39.200000000000003</v>
      </c>
      <c r="J62" s="8">
        <v>39.14</v>
      </c>
      <c r="K62" s="8">
        <v>46.2</v>
      </c>
      <c r="L62" s="8">
        <v>19.760000000000002</v>
      </c>
      <c r="M62" s="8">
        <v>92.58</v>
      </c>
      <c r="N62" s="8">
        <v>43.69</v>
      </c>
      <c r="O62" s="8">
        <v>43.45</v>
      </c>
    </row>
    <row r="63" spans="1:15" x14ac:dyDescent="0.25">
      <c r="A63" s="10">
        <v>39142</v>
      </c>
      <c r="B63" s="8">
        <v>76</v>
      </c>
      <c r="C63" s="8">
        <v>33.729999999999997</v>
      </c>
      <c r="D63" s="8">
        <v>56.11</v>
      </c>
      <c r="E63" s="8">
        <v>67.069999999999993</v>
      </c>
      <c r="F63" s="8">
        <v>66.459999999999994</v>
      </c>
      <c r="G63" s="8">
        <v>49.07</v>
      </c>
      <c r="H63" s="8">
        <v>75.13</v>
      </c>
      <c r="I63" s="8">
        <v>40.07</v>
      </c>
      <c r="J63" s="8">
        <v>36.53</v>
      </c>
      <c r="K63" s="8">
        <v>45.86</v>
      </c>
      <c r="L63" s="8">
        <v>19.03</v>
      </c>
      <c r="M63" s="8">
        <v>93.89</v>
      </c>
      <c r="N63" s="8">
        <v>45.05</v>
      </c>
      <c r="O63" s="8">
        <v>43.84</v>
      </c>
    </row>
    <row r="64" spans="1:15" x14ac:dyDescent="0.25">
      <c r="A64" s="10">
        <v>39174</v>
      </c>
      <c r="B64" s="8">
        <v>82.31</v>
      </c>
      <c r="C64" s="8">
        <v>35.32</v>
      </c>
      <c r="D64" s="8">
        <v>60.52</v>
      </c>
      <c r="E64" s="8">
        <v>69.75</v>
      </c>
      <c r="F64" s="8">
        <v>72.319999999999993</v>
      </c>
      <c r="G64" s="8">
        <v>48.81</v>
      </c>
      <c r="H64" s="8">
        <v>79.040000000000006</v>
      </c>
      <c r="I64" s="8">
        <v>42.07</v>
      </c>
      <c r="J64" s="8">
        <v>37.659999999999997</v>
      </c>
      <c r="K64" s="8">
        <v>53.95</v>
      </c>
      <c r="L64" s="8">
        <v>21.39</v>
      </c>
      <c r="M64" s="8">
        <v>101.81</v>
      </c>
      <c r="N64" s="8">
        <v>48.28</v>
      </c>
      <c r="O64" s="8">
        <v>51.06</v>
      </c>
    </row>
    <row r="65" spans="1:15" x14ac:dyDescent="0.25">
      <c r="A65" s="10">
        <v>39203</v>
      </c>
      <c r="B65" s="8">
        <v>87.96</v>
      </c>
      <c r="C65" s="8">
        <v>41.28</v>
      </c>
      <c r="D65" s="8">
        <v>64.819999999999993</v>
      </c>
      <c r="E65" s="8">
        <v>72.34</v>
      </c>
      <c r="F65" s="8">
        <v>78.25</v>
      </c>
      <c r="G65" s="8">
        <v>52.32</v>
      </c>
      <c r="H65" s="8">
        <v>83.17</v>
      </c>
      <c r="I65" s="8">
        <v>45.63</v>
      </c>
      <c r="J65" s="8">
        <v>38.65</v>
      </c>
      <c r="K65" s="8">
        <v>57.91</v>
      </c>
      <c r="L65" s="8">
        <v>22.18</v>
      </c>
      <c r="M65" s="8">
        <v>106.6</v>
      </c>
      <c r="N65" s="8">
        <v>50.55</v>
      </c>
      <c r="O65" s="8">
        <v>52.06</v>
      </c>
    </row>
    <row r="66" spans="1:15" x14ac:dyDescent="0.25">
      <c r="A66" s="10">
        <v>39234</v>
      </c>
      <c r="B66" s="8">
        <v>86.79</v>
      </c>
      <c r="C66" s="8">
        <v>40.53</v>
      </c>
      <c r="D66" s="8">
        <v>61.03</v>
      </c>
      <c r="E66" s="8">
        <v>70.03</v>
      </c>
      <c r="F66" s="8">
        <v>77.97</v>
      </c>
      <c r="G66" s="8">
        <v>50.84</v>
      </c>
      <c r="H66" s="8">
        <v>83.88</v>
      </c>
      <c r="I66" s="8">
        <v>44.62</v>
      </c>
      <c r="J66" s="8">
        <v>39.35</v>
      </c>
      <c r="K66" s="8">
        <v>56.28</v>
      </c>
      <c r="L66" s="8">
        <v>23.74</v>
      </c>
      <c r="M66" s="8">
        <v>105.25</v>
      </c>
      <c r="N66" s="8">
        <v>50.76</v>
      </c>
      <c r="O66" s="8">
        <v>49.8</v>
      </c>
    </row>
    <row r="67" spans="1:15" x14ac:dyDescent="0.25">
      <c r="A67" s="10">
        <v>39265</v>
      </c>
      <c r="B67" s="8">
        <v>90.21</v>
      </c>
      <c r="C67" s="8">
        <v>43.08</v>
      </c>
      <c r="D67" s="8">
        <v>64.510000000000005</v>
      </c>
      <c r="E67" s="8">
        <v>69.040000000000006</v>
      </c>
      <c r="F67" s="8">
        <v>83.2</v>
      </c>
      <c r="G67" s="8">
        <v>52.62</v>
      </c>
      <c r="H67" s="8">
        <v>91.94</v>
      </c>
      <c r="I67" s="8">
        <v>48.54</v>
      </c>
      <c r="J67" s="8">
        <v>39.39</v>
      </c>
      <c r="K67" s="8">
        <v>60.96</v>
      </c>
      <c r="L67" s="8">
        <v>24.55</v>
      </c>
      <c r="M67" s="8">
        <v>114.81</v>
      </c>
      <c r="N67" s="8">
        <v>52.09</v>
      </c>
      <c r="O67" s="8">
        <v>49.02</v>
      </c>
    </row>
    <row r="68" spans="1:15" x14ac:dyDescent="0.25">
      <c r="A68" s="7"/>
    </row>
  </sheetData>
  <mergeCells count="1">
    <mergeCell ref="A1:O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38D48-7C21-4181-B42B-EF1F8A3EFE41}">
  <dimension ref="A1:O68"/>
  <sheetViews>
    <sheetView topLeftCell="A5" workbookViewId="0">
      <selection activeCell="B7" sqref="B7"/>
    </sheetView>
  </sheetViews>
  <sheetFormatPr defaultRowHeight="13.8" x14ac:dyDescent="0.25"/>
  <cols>
    <col min="1" max="1" width="10.33203125" style="3" bestFit="1" customWidth="1"/>
    <col min="2" max="15" width="8.88671875" style="2"/>
  </cols>
  <sheetData>
    <row r="1" spans="1:15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B2" s="3" t="s">
        <v>19</v>
      </c>
      <c r="C2" s="3" t="s">
        <v>20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  <c r="K2" s="3" t="s">
        <v>28</v>
      </c>
      <c r="L2" s="3" t="s">
        <v>29</v>
      </c>
      <c r="M2" s="3" t="s">
        <v>12</v>
      </c>
      <c r="N2" s="3" t="s">
        <v>30</v>
      </c>
      <c r="O2" s="3" t="s">
        <v>31</v>
      </c>
    </row>
    <row r="3" spans="1:15" x14ac:dyDescent="0.25">
      <c r="A3" s="3" t="s">
        <v>32</v>
      </c>
      <c r="B3" s="2">
        <v>65.66</v>
      </c>
      <c r="C3" s="2">
        <v>39.11</v>
      </c>
      <c r="D3" s="2">
        <v>77.91</v>
      </c>
      <c r="E3" s="2">
        <v>180.72</v>
      </c>
      <c r="F3" s="2">
        <v>55.7</v>
      </c>
      <c r="G3" s="2">
        <v>49.08</v>
      </c>
      <c r="H3" s="2">
        <v>519.89</v>
      </c>
      <c r="I3" s="2">
        <v>126.75</v>
      </c>
      <c r="J3" s="2">
        <v>78.37</v>
      </c>
      <c r="K3" s="2">
        <v>47.55</v>
      </c>
      <c r="L3" s="2">
        <v>146.76</v>
      </c>
      <c r="M3" s="2">
        <v>172.03</v>
      </c>
      <c r="N3" s="2">
        <v>62.88</v>
      </c>
      <c r="O3" s="2">
        <v>106.93</v>
      </c>
    </row>
    <row r="4" spans="1:15" x14ac:dyDescent="0.25">
      <c r="A4" s="3" t="s">
        <v>16</v>
      </c>
      <c r="B4" s="2">
        <v>1.07</v>
      </c>
      <c r="C4" s="2">
        <v>1.37</v>
      </c>
      <c r="D4" s="2">
        <v>1.06</v>
      </c>
      <c r="E4" s="2">
        <v>1.17</v>
      </c>
      <c r="F4" s="2">
        <v>1.98</v>
      </c>
      <c r="G4" s="2">
        <v>1.06</v>
      </c>
      <c r="H4" s="2">
        <v>1.1299999999999999</v>
      </c>
      <c r="I4" s="2">
        <v>1.6</v>
      </c>
      <c r="J4" s="2">
        <v>1.2</v>
      </c>
      <c r="K4" s="2">
        <v>1.3</v>
      </c>
      <c r="L4" s="2">
        <v>1.9</v>
      </c>
      <c r="M4" s="2">
        <v>1.81</v>
      </c>
      <c r="N4" s="2">
        <v>1.37</v>
      </c>
      <c r="O4" s="2">
        <v>1.1599999999999999</v>
      </c>
    </row>
    <row r="6" spans="1:15" x14ac:dyDescent="0.25">
      <c r="A6" s="6" t="s">
        <v>33</v>
      </c>
    </row>
    <row r="7" spans="1:15" x14ac:dyDescent="0.25">
      <c r="A7" s="10">
        <v>37469</v>
      </c>
      <c r="B7" s="11">
        <f>LN(data!B8/data!B7)</f>
        <v>-2.2958067478948845E-3</v>
      </c>
      <c r="C7" s="11">
        <f>LN(data!C8/data!C7)</f>
        <v>-7.5274631069886494E-2</v>
      </c>
      <c r="D7" s="11">
        <f>LN(data!D8/data!D7)</f>
        <v>2.2155991897208641E-2</v>
      </c>
      <c r="E7" s="11">
        <f>LN(data!E8/data!E7)</f>
        <v>-1.774279473911939E-2</v>
      </c>
      <c r="F7" s="11">
        <f>LN(data!F8/data!F7)</f>
        <v>-2.4037211381005681E-2</v>
      </c>
      <c r="G7" s="11">
        <f>LN(data!G8/data!G7)</f>
        <v>-3.0859591626721656E-2</v>
      </c>
      <c r="H7" s="11">
        <f>LN(data!H8/data!H7)</f>
        <v>-2.9972891008605305E-2</v>
      </c>
      <c r="I7" s="11">
        <f>LN(data!I8/data!I7)</f>
        <v>-5.2807299218765653E-2</v>
      </c>
      <c r="J7" s="11">
        <f>LN(data!J8/data!J7)</f>
        <v>6.4280489914361624E-2</v>
      </c>
      <c r="K7" s="11">
        <f>LN(data!K8/data!K7)</f>
        <v>-7.1677837300430008E-2</v>
      </c>
      <c r="L7" s="11">
        <f>LN(data!L8/data!L7)</f>
        <v>-0.11820542214629598</v>
      </c>
      <c r="M7" s="11">
        <f>LN(data!M8/data!M7)</f>
        <v>7.0542982093650078E-2</v>
      </c>
      <c r="N7" s="11">
        <f>LN(data!N8/data!N7)</f>
        <v>-4.0692775281176589E-2</v>
      </c>
      <c r="O7" s="11">
        <f>LN(data!O8/data!O7)</f>
        <v>1.8316462209481413E-2</v>
      </c>
    </row>
    <row r="8" spans="1:15" x14ac:dyDescent="0.25">
      <c r="A8" s="10">
        <v>37502</v>
      </c>
      <c r="B8" s="11">
        <f>LN(data!B9/data!B8)</f>
        <v>-0.12768872464887143</v>
      </c>
      <c r="C8" s="11">
        <f>LN(data!C9/data!C8)</f>
        <v>-0.2626734995548845</v>
      </c>
      <c r="D8" s="11">
        <f>LN(data!D9/data!D8)</f>
        <v>-0.1451716347323169</v>
      </c>
      <c r="E8" s="11">
        <f>LN(data!E9/data!E8)</f>
        <v>-0.13726874815647602</v>
      </c>
      <c r="F8" s="11">
        <f>LN(data!F9/data!F8)</f>
        <v>-0.15897731183180949</v>
      </c>
      <c r="G8" s="11">
        <f>LN(data!G9/data!G8)</f>
        <v>-0.11098668240465491</v>
      </c>
      <c r="H8" s="11">
        <f>LN(data!H9/data!H8)</f>
        <v>-0.10543022392874085</v>
      </c>
      <c r="I8" s="11">
        <f>LN(data!I9/data!I8)</f>
        <v>-0.13467125368490507</v>
      </c>
      <c r="J8" s="11">
        <f>LN(data!J9/data!J8)</f>
        <v>-0.23083434008218182</v>
      </c>
      <c r="K8" s="11">
        <f>LN(data!K9/data!K8)</f>
        <v>-0.3239298628441219</v>
      </c>
      <c r="L8" s="11">
        <f>LN(data!L9/data!L8)</f>
        <v>-0.18308230236126358</v>
      </c>
      <c r="M8" s="11">
        <f>LN(data!M9/data!M8)</f>
        <v>-0.25675036054592409</v>
      </c>
      <c r="N8" s="11">
        <f>LN(data!N9/data!N8)</f>
        <v>-0.29648861835938484</v>
      </c>
      <c r="O8" s="11">
        <f>LN(data!O9/data!O8)</f>
        <v>-9.2641699002263156E-2</v>
      </c>
    </row>
    <row r="9" spans="1:15" x14ac:dyDescent="0.25">
      <c r="A9" s="10">
        <v>37530</v>
      </c>
      <c r="B9" s="11">
        <f>LN(data!B10/data!B9)</f>
        <v>0.14364977558020411</v>
      </c>
      <c r="C9" s="11">
        <f>LN(data!C10/data!C9)</f>
        <v>0.13417736429600732</v>
      </c>
      <c r="D9" s="11">
        <f>LN(data!D10/data!D9)</f>
        <v>0.15639657926763981</v>
      </c>
      <c r="E9" s="11">
        <f>LN(data!E10/data!E9)</f>
        <v>0.13414348860144595</v>
      </c>
      <c r="F9" s="11">
        <f>LN(data!F10/data!F9)</f>
        <v>0.10214680105473065</v>
      </c>
      <c r="G9" s="11">
        <f>LN(data!G10/data!G9)</f>
        <v>0.13422019555283202</v>
      </c>
      <c r="H9" s="11">
        <f>LN(data!H10/data!H9)</f>
        <v>5.360849304035388E-2</v>
      </c>
      <c r="I9" s="11">
        <f>LN(data!I10/data!I9)</f>
        <v>0.30307395621936489</v>
      </c>
      <c r="J9" s="11">
        <f>LN(data!J10/data!J9)</f>
        <v>0.10116644228270387</v>
      </c>
      <c r="K9" s="11">
        <f>LN(data!K10/data!K9)</f>
        <v>0.10013262518268681</v>
      </c>
      <c r="L9" s="11">
        <f>LN(data!L10/data!L9)</f>
        <v>0.21978937832657913</v>
      </c>
      <c r="M9" s="11">
        <f>LN(data!M10/data!M9)</f>
        <v>0.30292912454234117</v>
      </c>
      <c r="N9" s="11">
        <f>LN(data!N10/data!N9)</f>
        <v>2.5131570903949022E-2</v>
      </c>
      <c r="O9" s="11">
        <f>LN(data!O10/data!O9)</f>
        <v>0.17115136347945761</v>
      </c>
    </row>
    <row r="10" spans="1:15" x14ac:dyDescent="0.25">
      <c r="A10" s="10">
        <v>37561</v>
      </c>
      <c r="B10" s="11">
        <f>LN(data!B11/data!B10)</f>
        <v>2.746010879949376E-2</v>
      </c>
      <c r="C10" s="11">
        <f>LN(data!C11/data!C10)</f>
        <v>0.15293016059615935</v>
      </c>
      <c r="D10" s="11">
        <f>LN(data!D11/data!D10)</f>
        <v>6.7897940905646173E-2</v>
      </c>
      <c r="E10" s="11">
        <f>LN(data!E11/data!E10)</f>
        <v>4.0677008722018966E-2</v>
      </c>
      <c r="F10" s="11">
        <f>LN(data!F11/data!F10)</f>
        <v>0.19969480000068515</v>
      </c>
      <c r="G10" s="11">
        <f>LN(data!G11/data!G10)</f>
        <v>8.6845972516242917E-2</v>
      </c>
      <c r="H10" s="11">
        <f>LN(data!H11/data!H10)</f>
        <v>3.9830422797960174E-2</v>
      </c>
      <c r="I10" s="11">
        <f>LN(data!I11/data!I10)</f>
        <v>0.20957482210814096</v>
      </c>
      <c r="J10" s="11">
        <f>LN(data!J11/data!J10)</f>
        <v>-8.9853190306167591E-2</v>
      </c>
      <c r="K10" s="11">
        <f>LN(data!K11/data!K10)</f>
        <v>9.1012392290696811E-2</v>
      </c>
      <c r="L10" s="11">
        <f>LN(data!L11/data!L10)</f>
        <v>0.1892209348115225</v>
      </c>
      <c r="M10" s="11">
        <f>LN(data!M11/data!M10)</f>
        <v>9.8153829301039858E-2</v>
      </c>
      <c r="N10" s="11">
        <f>LN(data!N11/data!N10)</f>
        <v>3.5091319811270193E-2</v>
      </c>
      <c r="O10" s="11">
        <f>LN(data!O11/data!O10)</f>
        <v>9.1042702706625372E-2</v>
      </c>
    </row>
    <row r="11" spans="1:15" x14ac:dyDescent="0.25">
      <c r="A11" s="10">
        <v>37592</v>
      </c>
      <c r="B11" s="11">
        <f>LN(data!B12/data!B11)</f>
        <v>-5.1765637798898284E-2</v>
      </c>
      <c r="C11" s="11">
        <f>LN(data!C12/data!C11)</f>
        <v>-0.11450178691481255</v>
      </c>
      <c r="D11" s="11">
        <f>LN(data!D12/data!D11)</f>
        <v>-9.4175854069931564E-2</v>
      </c>
      <c r="E11" s="11">
        <f>LN(data!E12/data!E11)</f>
        <v>-0.11805988511137402</v>
      </c>
      <c r="F11" s="11">
        <f>LN(data!F12/data!F11)</f>
        <v>-8.7171159685503916E-2</v>
      </c>
      <c r="G11" s="11">
        <f>LN(data!G12/data!G11)</f>
        <v>-5.1197530568416284E-2</v>
      </c>
      <c r="H11" s="11">
        <f>LN(data!H12/data!H11)</f>
        <v>4.1184914859701679E-3</v>
      </c>
      <c r="I11" s="11">
        <f>LN(data!I12/data!I11)</f>
        <v>-0.11083998142245205</v>
      </c>
      <c r="J11" s="11">
        <f>LN(data!J12/data!J11)</f>
        <v>-9.2101191892143761E-2</v>
      </c>
      <c r="K11" s="11">
        <f>LN(data!K12/data!K11)</f>
        <v>-8.0327040914007511E-2</v>
      </c>
      <c r="L11" s="11">
        <f>LN(data!L12/data!L11)</f>
        <v>-0.2934282434087373</v>
      </c>
      <c r="M11" s="11">
        <f>LN(data!M12/data!M11)</f>
        <v>-0.11474949926289385</v>
      </c>
      <c r="N11" s="11">
        <f>LN(data!N12/data!N11)</f>
        <v>-0.14031732743203845</v>
      </c>
      <c r="O11" s="11">
        <f>LN(data!O12/data!O11)</f>
        <v>-4.2152666705960143E-2</v>
      </c>
    </row>
    <row r="12" spans="1:15" x14ac:dyDescent="0.25">
      <c r="A12" s="10">
        <v>37623</v>
      </c>
      <c r="B12" s="11">
        <f>LN(data!B13/data!B12)</f>
        <v>1.0110950882124832E-2</v>
      </c>
      <c r="C12" s="11">
        <f>LN(data!C13/data!C12)</f>
        <v>-0.14206037682316391</v>
      </c>
      <c r="D12" s="11">
        <f>LN(data!D13/data!D12)</f>
        <v>5.0428750338619597E-3</v>
      </c>
      <c r="E12" s="11">
        <f>LN(data!E13/data!E12)</f>
        <v>-6.6605447499742537E-2</v>
      </c>
      <c r="F12" s="11">
        <f>LN(data!F13/data!F12)</f>
        <v>-3.165591815709666E-2</v>
      </c>
      <c r="G12" s="11">
        <f>LN(data!G13/data!G12)</f>
        <v>-0.11283633047334735</v>
      </c>
      <c r="H12" s="11">
        <f>LN(data!H13/data!H12)</f>
        <v>-2.270281359833615E-2</v>
      </c>
      <c r="I12" s="11">
        <f>LN(data!I13/data!I12)</f>
        <v>3.0478536242533358E-3</v>
      </c>
      <c r="J12" s="11">
        <f>LN(data!J13/data!J12)</f>
        <v>-0.13921143314022613</v>
      </c>
      <c r="K12" s="11">
        <f>LN(data!K13/data!K12)</f>
        <v>1.7861706835971044E-2</v>
      </c>
      <c r="L12" s="11">
        <f>LN(data!L13/data!L12)</f>
        <v>6.0831549534054626E-3</v>
      </c>
      <c r="M12" s="11">
        <f>LN(data!M13/data!M12)</f>
        <v>9.0012027097830672E-3</v>
      </c>
      <c r="N12" s="11">
        <f>LN(data!N13/data!N12)</f>
        <v>-0.12140424471687393</v>
      </c>
      <c r="O12" s="11">
        <f>LN(data!O13/data!O12)</f>
        <v>-2.176193563425213E-2</v>
      </c>
    </row>
    <row r="13" spans="1:15" x14ac:dyDescent="0.25">
      <c r="A13" s="10">
        <v>37655</v>
      </c>
      <c r="B13" s="11">
        <f>LN(data!B14/data!B13)</f>
        <v>1.1755552517920851E-2</v>
      </c>
      <c r="C13" s="11">
        <f>LN(data!C14/data!C13)</f>
        <v>4.413682864379085E-2</v>
      </c>
      <c r="D13" s="11">
        <f>LN(data!D14/data!D13)</f>
        <v>-5.6566802866058266E-2</v>
      </c>
      <c r="E13" s="11">
        <f>LN(data!E14/data!E13)</f>
        <v>-9.3466370771937562E-2</v>
      </c>
      <c r="F13" s="11">
        <f>LN(data!F14/data!F13)</f>
        <v>6.6515783274589638E-2</v>
      </c>
      <c r="G13" s="11">
        <f>LN(data!G14/data!G13)</f>
        <v>-2.2612083140832007E-2</v>
      </c>
      <c r="H13" s="11">
        <f>LN(data!H14/data!H13)</f>
        <v>2.9065093931364013E-3</v>
      </c>
      <c r="I13" s="11">
        <f>LN(data!I14/data!I13)</f>
        <v>-9.3728959502845405E-2</v>
      </c>
      <c r="J13" s="11">
        <f>LN(data!J14/data!J13)</f>
        <v>0.11513537053195214</v>
      </c>
      <c r="K13" s="11">
        <f>LN(data!K14/data!K13)</f>
        <v>-5.7452174106979448E-2</v>
      </c>
      <c r="L13" s="11">
        <f>LN(data!L14/data!L13)</f>
        <v>9.7513093435366613E-2</v>
      </c>
      <c r="M13" s="11">
        <f>LN(data!M14/data!M13)</f>
        <v>-1.3383299642137883E-3</v>
      </c>
      <c r="N13" s="11">
        <f>LN(data!N14/data!N13)</f>
        <v>-4.5038667698933867E-2</v>
      </c>
      <c r="O13" s="11">
        <f>LN(data!O14/data!O13)</f>
        <v>-4.8801504673744354E-2</v>
      </c>
    </row>
    <row r="14" spans="1:15" x14ac:dyDescent="0.25">
      <c r="A14" s="10">
        <v>37683</v>
      </c>
      <c r="B14" s="11">
        <f>LN(data!B15/data!B14)</f>
        <v>3.647977064966032E-2</v>
      </c>
      <c r="C14" s="11">
        <f>LN(data!C15/data!C14)</f>
        <v>-5.5904966696645401E-2</v>
      </c>
      <c r="D14" s="11">
        <f>LN(data!D15/data!D14)</f>
        <v>-1.0344304831136584E-2</v>
      </c>
      <c r="E14" s="11">
        <f>LN(data!E15/data!E14)</f>
        <v>4.1692785014516461E-3</v>
      </c>
      <c r="F14" s="11">
        <f>LN(data!F15/data!F14)</f>
        <v>4.5698971599759074E-2</v>
      </c>
      <c r="G14" s="11">
        <f>LN(data!G15/data!G14)</f>
        <v>5.8115210211008989E-2</v>
      </c>
      <c r="H14" s="11">
        <f>LN(data!H15/data!H14)</f>
        <v>2.6727648905814819E-2</v>
      </c>
      <c r="I14" s="11">
        <f>LN(data!I15/data!I14)</f>
        <v>-1.4136889760502466E-2</v>
      </c>
      <c r="J14" s="11">
        <f>LN(data!J15/data!J14)</f>
        <v>4.067757976081568E-2</v>
      </c>
      <c r="K14" s="11">
        <f>LN(data!K15/data!K14)</f>
        <v>-6.916458952635339E-2</v>
      </c>
      <c r="L14" s="11">
        <f>LN(data!L15/data!L14)</f>
        <v>-5.7877786577970866E-2</v>
      </c>
      <c r="M14" s="11">
        <f>LN(data!M15/data!M14)</f>
        <v>6.1415413334588217E-3</v>
      </c>
      <c r="N14" s="11">
        <f>LN(data!N15/data!N14)</f>
        <v>6.0110543057596055E-2</v>
      </c>
      <c r="O14" s="11">
        <f>LN(data!O15/data!O14)</f>
        <v>4.4710589877524069E-2</v>
      </c>
    </row>
    <row r="15" spans="1:15" x14ac:dyDescent="0.25">
      <c r="A15" s="10">
        <v>37712</v>
      </c>
      <c r="B15" s="11">
        <f>LN(data!B16/data!B15)</f>
        <v>-3.1087046438630288E-2</v>
      </c>
      <c r="C15" s="11">
        <f>LN(data!C16/data!C15)</f>
        <v>0.174871854746532</v>
      </c>
      <c r="D15" s="11">
        <f>LN(data!D16/data!D15)</f>
        <v>0.13276918037877475</v>
      </c>
      <c r="E15" s="11">
        <f>LN(data!E16/data!E15)</f>
        <v>0.15856897100075321</v>
      </c>
      <c r="F15" s="11">
        <f>LN(data!F16/data!F15)</f>
        <v>7.3728801269502722E-2</v>
      </c>
      <c r="G15" s="11">
        <f>LN(data!G16/data!G15)</f>
        <v>9.0110324352734514E-2</v>
      </c>
      <c r="H15" s="11">
        <f>LN(data!H16/data!H15)</f>
        <v>7.1954009801412418E-3</v>
      </c>
      <c r="I15" s="11">
        <f>LN(data!I16/data!I15)</f>
        <v>4.7012960373447196E-2</v>
      </c>
      <c r="J15" s="11">
        <f>LN(data!J16/data!J15)</f>
        <v>0.14419787311066382</v>
      </c>
      <c r="K15" s="11">
        <f>LN(data!K16/data!K15)</f>
        <v>9.9936248193107077E-2</v>
      </c>
      <c r="L15" s="11">
        <f>LN(data!L16/data!L15)</f>
        <v>0.12237810405180607</v>
      </c>
      <c r="M15" s="11">
        <f>LN(data!M16/data!M15)</f>
        <v>7.9295005797614712E-2</v>
      </c>
      <c r="N15" s="11">
        <f>LN(data!N16/data!N15)</f>
        <v>0.16762926010752899</v>
      </c>
      <c r="O15" s="11">
        <f>LN(data!O16/data!O15)</f>
        <v>6.0316457468610973E-2</v>
      </c>
    </row>
    <row r="16" spans="1:15" x14ac:dyDescent="0.25">
      <c r="A16" s="10">
        <v>37742</v>
      </c>
      <c r="B16" s="11">
        <f>LN(data!B17/data!B16)</f>
        <v>8.6371239994085542E-3</v>
      </c>
      <c r="C16" s="11">
        <f>LN(data!C17/data!C16)</f>
        <v>7.0348632891472362E-2</v>
      </c>
      <c r="D16" s="11">
        <f>LN(data!D17/data!D16)</f>
        <v>9.5738231462426535E-2</v>
      </c>
      <c r="E16" s="11">
        <f>LN(data!E17/data!E16)</f>
        <v>-1.2434498449117645E-3</v>
      </c>
      <c r="F16" s="11">
        <f>LN(data!F17/data!F16)</f>
        <v>-8.6652079224408349E-3</v>
      </c>
      <c r="G16" s="11">
        <f>LN(data!G17/data!G16)</f>
        <v>-1.0810811863728189E-3</v>
      </c>
      <c r="H16" s="11">
        <f>LN(data!H17/data!H16)</f>
        <v>4.0622473370351353E-2</v>
      </c>
      <c r="I16" s="11">
        <f>LN(data!I17/data!I16)</f>
        <v>0.17897400223975735</v>
      </c>
      <c r="J16" s="11">
        <f>LN(data!J17/data!J16)</f>
        <v>0.1440256471858464</v>
      </c>
      <c r="K16" s="11">
        <f>LN(data!K17/data!K16)</f>
        <v>0.11191243147757718</v>
      </c>
      <c r="L16" s="11">
        <f>LN(data!L17/data!L16)</f>
        <v>0.1248259885340893</v>
      </c>
      <c r="M16" s="11">
        <f>LN(data!M17/data!M16)</f>
        <v>3.823658218444443E-2</v>
      </c>
      <c r="N16" s="11">
        <f>LN(data!N17/data!N16)</f>
        <v>9.1219251912908403E-2</v>
      </c>
      <c r="O16" s="11">
        <f>LN(data!O17/data!O16)</f>
        <v>-4.5621946423208354E-2</v>
      </c>
    </row>
    <row r="17" spans="1:15" x14ac:dyDescent="0.25">
      <c r="A17" s="10">
        <v>37774</v>
      </c>
      <c r="B17" s="11">
        <f>LN(data!B18/data!B17)</f>
        <v>1.9586762588546351E-2</v>
      </c>
      <c r="C17" s="11">
        <f>LN(data!C18/data!C17)</f>
        <v>3.5532334151383599E-2</v>
      </c>
      <c r="D17" s="11">
        <f>LN(data!D18/data!D17)</f>
        <v>3.7021258288131103E-3</v>
      </c>
      <c r="E17" s="11">
        <f>LN(data!E18/data!E17)</f>
        <v>-4.6943310398284414E-2</v>
      </c>
      <c r="F17" s="11">
        <f>LN(data!F18/data!F17)</f>
        <v>6.4978747472804826E-2</v>
      </c>
      <c r="G17" s="11">
        <f>LN(data!G18/data!G17)</f>
        <v>-1.1969675009118051E-2</v>
      </c>
      <c r="H17" s="11">
        <f>LN(data!H18/data!H17)</f>
        <v>-1.3560551327394055E-2</v>
      </c>
      <c r="I17" s="11">
        <f>LN(data!I18/data!I17)</f>
        <v>9.2405133323949021E-2</v>
      </c>
      <c r="J17" s="11">
        <f>LN(data!J18/data!J17)</f>
        <v>2.0891005624596871E-2</v>
      </c>
      <c r="K17" s="11">
        <f>LN(data!K18/data!K17)</f>
        <v>2.4702779376497959E-2</v>
      </c>
      <c r="L17" s="11">
        <f>LN(data!L18/data!L17)</f>
        <v>-5.0594486280371165E-4</v>
      </c>
      <c r="M17" s="11">
        <f>LN(data!M18/data!M17)</f>
        <v>-6.5027792685143554E-2</v>
      </c>
      <c r="N17" s="11">
        <f>LN(data!N18/data!N17)</f>
        <v>0.16367299771588145</v>
      </c>
      <c r="O17" s="11">
        <f>LN(data!O18/data!O17)</f>
        <v>9.1917782869763195E-2</v>
      </c>
    </row>
    <row r="18" spans="1:15" x14ac:dyDescent="0.25">
      <c r="A18" s="10">
        <v>37803</v>
      </c>
      <c r="B18" s="11">
        <f>LN(data!B19/data!B18)</f>
        <v>8.3449071665920124E-2</v>
      </c>
      <c r="C18" s="11">
        <f>LN(data!C19/data!C18)</f>
        <v>8.5626851500876025E-2</v>
      </c>
      <c r="D18" s="11">
        <f>LN(data!D19/data!D18)</f>
        <v>5.7174205516156332E-2</v>
      </c>
      <c r="E18" s="11">
        <f>LN(data!E19/data!E18)</f>
        <v>0.15148585919150626</v>
      </c>
      <c r="F18" s="11">
        <f>LN(data!F19/data!F18)</f>
        <v>0.19837326580446249</v>
      </c>
      <c r="G18" s="11">
        <f>LN(data!G19/data!G18)</f>
        <v>5.3807918792484317E-2</v>
      </c>
      <c r="H18" s="11">
        <f>LN(data!H19/data!H18)</f>
        <v>-9.1436174989520322E-3</v>
      </c>
      <c r="I18" s="11">
        <f>LN(data!I19/data!I18)</f>
        <v>-6.4308903302905144E-3</v>
      </c>
      <c r="J18" s="11">
        <f>LN(data!J19/data!J18)</f>
        <v>-5.9631158721353106E-2</v>
      </c>
      <c r="K18" s="11">
        <f>LN(data!K19/data!K18)</f>
        <v>5.1903112477390836E-2</v>
      </c>
      <c r="L18" s="11">
        <f>LN(data!L19/data!L18)</f>
        <v>0.17885739887909466</v>
      </c>
      <c r="M18" s="11">
        <f>LN(data!M19/data!M18)</f>
        <v>-1.5271358123533372E-2</v>
      </c>
      <c r="N18" s="11">
        <f>LN(data!N19/data!N18)</f>
        <v>4.2232763623272995E-2</v>
      </c>
      <c r="O18" s="11">
        <f>LN(data!O19/data!O18)</f>
        <v>-9.1020519462773383E-2</v>
      </c>
    </row>
    <row r="19" spans="1:15" x14ac:dyDescent="0.25">
      <c r="A19" s="10">
        <v>37834</v>
      </c>
      <c r="B19" s="11">
        <f>LN(data!B20/data!B19)</f>
        <v>2.0730108946075052E-2</v>
      </c>
      <c r="C19" s="11">
        <f>LN(data!C20/data!C19)</f>
        <v>3.3432508515112321E-2</v>
      </c>
      <c r="D19" s="11">
        <f>LN(data!D20/data!D19)</f>
        <v>1.9671022373965636E-2</v>
      </c>
      <c r="E19" s="11">
        <f>LN(data!E20/data!E19)</f>
        <v>-7.4945782069171712E-2</v>
      </c>
      <c r="F19" s="11">
        <f>LN(data!F20/data!F19)</f>
        <v>6.2645807517799496E-2</v>
      </c>
      <c r="G19" s="11">
        <f>LN(data!G20/data!G19)</f>
        <v>2.6108470432074711E-2</v>
      </c>
      <c r="H19" s="11">
        <f>LN(data!H20/data!H19)</f>
        <v>6.4615064441983242E-2</v>
      </c>
      <c r="I19" s="11">
        <f>LN(data!I20/data!I19)</f>
        <v>-6.0345504445769103E-2</v>
      </c>
      <c r="J19" s="11">
        <f>LN(data!J20/data!J19)</f>
        <v>3.025999790713375E-2</v>
      </c>
      <c r="K19" s="11">
        <f>LN(data!K20/data!K19)</f>
        <v>3.1169379962952937E-2</v>
      </c>
      <c r="L19" s="11">
        <f>LN(data!L20/data!L19)</f>
        <v>0.13959633223943993</v>
      </c>
      <c r="M19" s="11">
        <f>LN(data!M20/data!M19)</f>
        <v>1.1348543855448373E-2</v>
      </c>
      <c r="N19" s="11">
        <f>LN(data!N20/data!N19)</f>
        <v>-2.6185738025755453E-2</v>
      </c>
      <c r="O19" s="11">
        <f>LN(data!O20/data!O19)</f>
        <v>-3.9095160497229262E-2</v>
      </c>
    </row>
    <row r="20" spans="1:15" x14ac:dyDescent="0.25">
      <c r="A20" s="10">
        <v>37866</v>
      </c>
      <c r="B20" s="11">
        <f>LN(data!B21/data!B20)</f>
        <v>-3.0866647980527268E-2</v>
      </c>
      <c r="C20" s="11">
        <f>LN(data!C21/data!C20)</f>
        <v>-8.7629997485696068E-2</v>
      </c>
      <c r="D20" s="11">
        <f>LN(data!D21/data!D20)</f>
        <v>2.6319252685147855E-4</v>
      </c>
      <c r="E20" s="11">
        <f>LN(data!E21/data!E20)</f>
        <v>-3.0663812886115336E-2</v>
      </c>
      <c r="F20" s="11">
        <f>LN(data!F21/data!F20)</f>
        <v>-4.2468578231848797E-2</v>
      </c>
      <c r="G20" s="11">
        <f>LN(data!G21/data!G20)</f>
        <v>-0.11189464581704758</v>
      </c>
      <c r="H20" s="11">
        <f>LN(data!H21/data!H20)</f>
        <v>-2.9418169191685075E-2</v>
      </c>
      <c r="I20" s="11">
        <f>LN(data!I21/data!I20)</f>
        <v>-2.5088051862643682E-2</v>
      </c>
      <c r="J20" s="11">
        <f>LN(data!J21/data!J20)</f>
        <v>-7.5620942314630684E-3</v>
      </c>
      <c r="K20" s="11">
        <f>LN(data!K21/data!K20)</f>
        <v>-9.5347605654363884E-2</v>
      </c>
      <c r="L20" s="11">
        <f>LN(data!L21/data!L20)</f>
        <v>-3.8264232927324573E-2</v>
      </c>
      <c r="M20" s="11">
        <f>LN(data!M21/data!M20)</f>
        <v>7.4144197475225562E-2</v>
      </c>
      <c r="N20" s="11">
        <f>LN(data!N21/data!N20)</f>
        <v>4.8950948798767907E-2</v>
      </c>
      <c r="O20" s="11">
        <f>LN(data!O21/data!O20)</f>
        <v>1.3432346471911626E-2</v>
      </c>
    </row>
    <row r="21" spans="1:15" x14ac:dyDescent="0.25">
      <c r="A21" s="10">
        <v>37895</v>
      </c>
      <c r="B21" s="11">
        <f>LN(data!B22/data!B21)</f>
        <v>0.1326493422904696</v>
      </c>
      <c r="C21" s="11">
        <f>LN(data!C22/data!C21)</f>
        <v>0.18787541247675185</v>
      </c>
      <c r="D21" s="11">
        <f>LN(data!D22/data!D21)</f>
        <v>4.3009074799853102E-2</v>
      </c>
      <c r="E21" s="11">
        <f>LN(data!E22/data!E21)</f>
        <v>5.2680232499952732E-2</v>
      </c>
      <c r="F21" s="11">
        <f>LN(data!F22/data!F21)</f>
        <v>6.7285213686359105E-2</v>
      </c>
      <c r="G21" s="11">
        <f>LN(data!G22/data!G21)</f>
        <v>9.8412153739100474E-3</v>
      </c>
      <c r="H21" s="11">
        <f>LN(data!H22/data!H21)</f>
        <v>-5.9136607282231596E-4</v>
      </c>
      <c r="I21" s="11">
        <f>LN(data!I22/data!I21)</f>
        <v>0.14187486721336465</v>
      </c>
      <c r="J21" s="11">
        <f>LN(data!J22/data!J21)</f>
        <v>0.15188503173263718</v>
      </c>
      <c r="K21" s="11">
        <f>LN(data!K22/data!K21)</f>
        <v>0.14996620341058675</v>
      </c>
      <c r="L21" s="11">
        <f>LN(data!L22/data!L21)</f>
        <v>0.18008834482738237</v>
      </c>
      <c r="M21" s="11">
        <f>LN(data!M22/data!M21)</f>
        <v>1.2983397772423301E-2</v>
      </c>
      <c r="N21" s="11">
        <f>LN(data!N22/data!N21)</f>
        <v>6.0165168557720784E-2</v>
      </c>
      <c r="O21" s="11">
        <f>LN(data!O22/data!O21)</f>
        <v>-0.13448488527431496</v>
      </c>
    </row>
    <row r="22" spans="1:15" x14ac:dyDescent="0.25">
      <c r="A22" s="10">
        <v>37928</v>
      </c>
      <c r="B22" s="11">
        <f>LN(data!B23/data!B22)</f>
        <v>6.4308903302903314E-3</v>
      </c>
      <c r="C22" s="11">
        <f>LN(data!C23/data!C22)</f>
        <v>4.3157726112620851E-2</v>
      </c>
      <c r="D22" s="11">
        <f>LN(data!D23/data!D22)</f>
        <v>-2.6307225181921558E-2</v>
      </c>
      <c r="E22" s="11">
        <f>LN(data!E23/data!E22)</f>
        <v>-4.841886241498488E-2</v>
      </c>
      <c r="F22" s="11">
        <f>LN(data!F23/data!F22)</f>
        <v>3.6951074759186367E-2</v>
      </c>
      <c r="G22" s="11">
        <f>LN(data!G23/data!G22)</f>
        <v>3.4377096113080638E-2</v>
      </c>
      <c r="H22" s="11">
        <f>LN(data!H23/data!H22)</f>
        <v>-3.5555593013332069E-3</v>
      </c>
      <c r="I22" s="11">
        <f>LN(data!I23/data!I22)</f>
        <v>-2.5654613626562392E-2</v>
      </c>
      <c r="J22" s="11">
        <f>LN(data!J23/data!J22)</f>
        <v>-8.5421931726763177E-3</v>
      </c>
      <c r="K22" s="11">
        <f>LN(data!K23/data!K22)</f>
        <v>-2.4391453124159124E-2</v>
      </c>
      <c r="L22" s="11">
        <f>LN(data!L23/data!L22)</f>
        <v>1.8354945683651966E-2</v>
      </c>
      <c r="M22" s="11">
        <f>LN(data!M23/data!M22)</f>
        <v>1.3619785787578815E-2</v>
      </c>
      <c r="N22" s="11">
        <f>LN(data!N23/data!N22)</f>
        <v>4.0268207990803745E-2</v>
      </c>
      <c r="O22" s="11">
        <f>LN(data!O23/data!O22)</f>
        <v>-8.624611963451087E-2</v>
      </c>
    </row>
    <row r="23" spans="1:15" x14ac:dyDescent="0.25">
      <c r="A23" s="10">
        <v>37956</v>
      </c>
      <c r="B23" s="11">
        <f>LN(data!B24/data!B23)</f>
        <v>7.3094287322875817E-2</v>
      </c>
      <c r="C23" s="11">
        <f>LN(data!C24/data!C23)</f>
        <v>0.14682670342690285</v>
      </c>
      <c r="D23" s="11">
        <f>LN(data!D24/data!D23)</f>
        <v>5.5618811961694686E-2</v>
      </c>
      <c r="E23" s="11">
        <f>LN(data!E24/data!E23)</f>
        <v>0.13534583341173897</v>
      </c>
      <c r="F23" s="11">
        <f>LN(data!F24/data!F23)</f>
        <v>8.7714167095160389E-2</v>
      </c>
      <c r="G23" s="11">
        <f>LN(data!G24/data!G23)</f>
        <v>0.1017042044547159</v>
      </c>
      <c r="H23" s="11">
        <f>LN(data!H24/data!H23)</f>
        <v>0.12458678916162431</v>
      </c>
      <c r="I23" s="11">
        <f>LN(data!I24/data!I23)</f>
        <v>5.841417514317037E-2</v>
      </c>
      <c r="J23" s="11">
        <f>LN(data!J24/data!J23)</f>
        <v>-3.3142568282667387E-2</v>
      </c>
      <c r="K23" s="11">
        <f>LN(data!K24/data!K23)</f>
        <v>0.11867023981184896</v>
      </c>
      <c r="L23" s="11">
        <f>LN(data!L24/data!L23)</f>
        <v>-4.5221750203520684E-2</v>
      </c>
      <c r="M23" s="11">
        <f>LN(data!M24/data!M23)</f>
        <v>2.3341191083997837E-2</v>
      </c>
      <c r="N23" s="11">
        <f>LN(data!N24/data!N23)</f>
        <v>-3.1654890312688928E-2</v>
      </c>
      <c r="O23" s="11">
        <f>LN(data!O24/data!O23)</f>
        <v>0.13803928906371266</v>
      </c>
    </row>
    <row r="24" spans="1:15" x14ac:dyDescent="0.25">
      <c r="A24" s="10">
        <v>37988</v>
      </c>
      <c r="B24" s="11">
        <f>LN(data!B25/data!B24)</f>
        <v>-7.2412577568476938E-2</v>
      </c>
      <c r="C24" s="11">
        <f>LN(data!C25/data!C24)</f>
        <v>-0.10576898030774839</v>
      </c>
      <c r="D24" s="11">
        <f>LN(data!D25/data!D24)</f>
        <v>7.223526326761405E-2</v>
      </c>
      <c r="E24" s="11">
        <f>LN(data!E25/data!E24)</f>
        <v>4.6857596868582194E-2</v>
      </c>
      <c r="F24" s="11">
        <f>LN(data!F25/data!F24)</f>
        <v>-5.615882268033956E-2</v>
      </c>
      <c r="G24" s="11">
        <f>LN(data!G25/data!G24)</f>
        <v>-4.4440662621338563E-2</v>
      </c>
      <c r="H24" s="11">
        <f>LN(data!H25/data!H24)</f>
        <v>-5.2548728383585855E-3</v>
      </c>
      <c r="I24" s="11">
        <f>LN(data!I25/data!I24)</f>
        <v>3.5232183619677705E-2</v>
      </c>
      <c r="J24" s="11">
        <f>LN(data!J25/data!J24)</f>
        <v>-5.9136607282231596E-4</v>
      </c>
      <c r="K24" s="11">
        <f>LN(data!K25/data!K24)</f>
        <v>7.7534168636861314E-2</v>
      </c>
      <c r="L24" s="11">
        <f>LN(data!L25/data!L24)</f>
        <v>-4.9085483362403724E-2</v>
      </c>
      <c r="M24" s="11">
        <f>LN(data!M25/data!M24)</f>
        <v>6.8283320528230468E-2</v>
      </c>
      <c r="N24" s="11">
        <f>LN(data!N25/data!N24)</f>
        <v>3.5800833233100009E-2</v>
      </c>
      <c r="O24" s="11">
        <f>LN(data!O25/data!O24)</f>
        <v>2.9786817563221081E-2</v>
      </c>
    </row>
    <row r="25" spans="1:15" x14ac:dyDescent="0.25">
      <c r="A25" s="10">
        <v>38019</v>
      </c>
      <c r="B25" s="11">
        <f>LN(data!B26/data!B25)</f>
        <v>-9.1737481864292755E-3</v>
      </c>
      <c r="C25" s="11">
        <f>LN(data!C26/data!C25)</f>
        <v>9.6109814299754695E-2</v>
      </c>
      <c r="D25" s="11">
        <f>LN(data!D26/data!D25)</f>
        <v>3.00605855723091E-2</v>
      </c>
      <c r="E25" s="11">
        <f>LN(data!E26/data!E25)</f>
        <v>6.3365727954945356E-2</v>
      </c>
      <c r="F25" s="11">
        <f>LN(data!F26/data!F25)</f>
        <v>-3.0993072822835623E-2</v>
      </c>
      <c r="G25" s="11">
        <f>LN(data!G26/data!G25)</f>
        <v>3.4624632883681915E-2</v>
      </c>
      <c r="H25" s="11">
        <f>LN(data!H26/data!H25)</f>
        <v>3.9514501556831047E-2</v>
      </c>
      <c r="I25" s="11">
        <f>LN(data!I26/data!I25)</f>
        <v>-4.6186195477401097E-2</v>
      </c>
      <c r="J25" s="11">
        <f>LN(data!J26/data!J25)</f>
        <v>2.3386040927458097E-2</v>
      </c>
      <c r="K25" s="11">
        <f>LN(data!K26/data!K25)</f>
        <v>-2.5080631757416896E-2</v>
      </c>
      <c r="L25" s="11">
        <f>LN(data!L26/data!L25)</f>
        <v>-4.2949226759450322E-2</v>
      </c>
      <c r="M25" s="11">
        <f>LN(data!M26/data!M25)</f>
        <v>-2.6283836074227761E-2</v>
      </c>
      <c r="N25" s="11">
        <f>LN(data!N26/data!N25)</f>
        <v>9.5046858569707543E-2</v>
      </c>
      <c r="O25" s="11">
        <f>LN(data!O26/data!O25)</f>
        <v>1.0135221894043148E-2</v>
      </c>
    </row>
    <row r="26" spans="1:15" x14ac:dyDescent="0.25">
      <c r="A26" s="10">
        <v>38047</v>
      </c>
      <c r="B26" s="11">
        <f>LN(data!B27/data!B26)</f>
        <v>4.8200483562664424E-2</v>
      </c>
      <c r="C26" s="11">
        <f>LN(data!C27/data!C26)</f>
        <v>-7.6812607962183366E-2</v>
      </c>
      <c r="D26" s="11">
        <f>LN(data!D27/data!D26)</f>
        <v>-2.8013036227674006E-2</v>
      </c>
      <c r="E26" s="11">
        <f>LN(data!E27/data!E26)</f>
        <v>-3.5551776265424634E-2</v>
      </c>
      <c r="F26" s="11">
        <f>LN(data!F27/data!F26)</f>
        <v>4.2910873686870764E-2</v>
      </c>
      <c r="G26" s="11">
        <f>LN(data!G27/data!G26)</f>
        <v>-6.5739406317710927E-2</v>
      </c>
      <c r="H26" s="11">
        <f>LN(data!H27/data!H26)</f>
        <v>-1.3768702981800784E-2</v>
      </c>
      <c r="I26" s="11">
        <f>LN(data!I27/data!I26)</f>
        <v>9.1366556101412106E-3</v>
      </c>
      <c r="J26" s="11">
        <f>LN(data!J27/data!J26)</f>
        <v>3.044765006455568E-2</v>
      </c>
      <c r="K26" s="11">
        <f>LN(data!K27/data!K26)</f>
        <v>-3.4872774014128673E-2</v>
      </c>
      <c r="L26" s="11">
        <f>LN(data!L27/data!L26)</f>
        <v>-7.0793051991099462E-2</v>
      </c>
      <c r="M26" s="11">
        <f>LN(data!M27/data!M26)</f>
        <v>-4.9531418211784313E-2</v>
      </c>
      <c r="N26" s="11">
        <f>LN(data!N27/data!N26)</f>
        <v>9.3616111524334709E-3</v>
      </c>
      <c r="O26" s="11">
        <f>LN(data!O27/data!O26)</f>
        <v>-7.6567361135268658E-2</v>
      </c>
    </row>
    <row r="27" spans="1:15" x14ac:dyDescent="0.25">
      <c r="A27" s="10">
        <v>38078</v>
      </c>
      <c r="B27" s="11">
        <f>LN(data!B28/data!B27)</f>
        <v>5.4708611661063056E-2</v>
      </c>
      <c r="C27" s="11">
        <f>LN(data!C28/data!C27)</f>
        <v>-0.12075446200385265</v>
      </c>
      <c r="D27" s="11">
        <f>LN(data!D28/data!D27)</f>
        <v>-5.7532815470294915E-2</v>
      </c>
      <c r="E27" s="11">
        <f>LN(data!E28/data!E27)</f>
        <v>4.1562223928246766E-3</v>
      </c>
      <c r="F27" s="11">
        <f>LN(data!F28/data!F27)</f>
        <v>-1.2462908536295607E-2</v>
      </c>
      <c r="G27" s="11">
        <f>LN(data!G28/data!G27)</f>
        <v>1.7232802434478989E-2</v>
      </c>
      <c r="H27" s="11">
        <f>LN(data!H28/data!H27)</f>
        <v>2.2843632919466828E-2</v>
      </c>
      <c r="I27" s="11">
        <f>LN(data!I28/data!I27)</f>
        <v>-0.14772902061974691</v>
      </c>
      <c r="J27" s="11">
        <f>LN(data!J28/data!J27)</f>
        <v>-5.9766665974794318E-2</v>
      </c>
      <c r="K27" s="11">
        <f>LN(data!K28/data!K27)</f>
        <v>2.1627547264108048E-2</v>
      </c>
      <c r="L27" s="11">
        <f>LN(data!L28/data!L27)</f>
        <v>-5.5569851154810765E-2</v>
      </c>
      <c r="M27" s="11">
        <f>LN(data!M28/data!M27)</f>
        <v>-4.0765575439307006E-2</v>
      </c>
      <c r="N27" s="11">
        <f>LN(data!N28/data!N27)</f>
        <v>-4.8100875134437449E-2</v>
      </c>
      <c r="O27" s="11">
        <f>LN(data!O28/data!O27)</f>
        <v>6.1569498976511865E-2</v>
      </c>
    </row>
    <row r="28" spans="1:15" x14ac:dyDescent="0.25">
      <c r="A28" s="10">
        <v>38110</v>
      </c>
      <c r="B28" s="11">
        <f>LN(data!B29/data!B28)</f>
        <v>-1.8032043805922941E-2</v>
      </c>
      <c r="C28" s="11">
        <f>LN(data!C29/data!C28)</f>
        <v>2.2696985322544317E-2</v>
      </c>
      <c r="D28" s="11">
        <f>LN(data!D29/data!D28)</f>
        <v>3.5008305391617735E-2</v>
      </c>
      <c r="E28" s="11">
        <f>LN(data!E29/data!E28)</f>
        <v>2.2765210773012426E-2</v>
      </c>
      <c r="F28" s="11">
        <f>LN(data!F29/data!F28)</f>
        <v>-3.1010236742560208E-2</v>
      </c>
      <c r="G28" s="11">
        <f>LN(data!G29/data!G28)</f>
        <v>1.4137235838204735E-2</v>
      </c>
      <c r="H28" s="11">
        <f>LN(data!H29/data!H28)</f>
        <v>2.2824111594938128E-2</v>
      </c>
      <c r="I28" s="11">
        <f>LN(data!I29/data!I28)</f>
        <v>7.5124098541888021E-2</v>
      </c>
      <c r="J28" s="11">
        <f>LN(data!J29/data!J28)</f>
        <v>2.0321712434879954E-2</v>
      </c>
      <c r="K28" s="11">
        <f>LN(data!K29/data!K28)</f>
        <v>-2.0044517014255157E-2</v>
      </c>
      <c r="L28" s="11">
        <f>LN(data!L29/data!L28)</f>
        <v>0.10527887967263871</v>
      </c>
      <c r="M28" s="11">
        <f>LN(data!M29/data!M28)</f>
        <v>6.7939818551883578E-3</v>
      </c>
      <c r="N28" s="11">
        <f>LN(data!N29/data!N28)</f>
        <v>-3.097944325599615E-2</v>
      </c>
      <c r="O28" s="11">
        <f>LN(data!O29/data!O28)</f>
        <v>6.3168334439040533E-3</v>
      </c>
    </row>
    <row r="29" spans="1:15" x14ac:dyDescent="0.25">
      <c r="A29" s="10">
        <v>38139</v>
      </c>
      <c r="B29" s="11">
        <f>LN(data!B30/data!B29)</f>
        <v>6.2451431868441772E-2</v>
      </c>
      <c r="C29" s="11">
        <f>LN(data!C30/data!C29)</f>
        <v>5.3619725894385219E-2</v>
      </c>
      <c r="D29" s="11">
        <f>LN(data!D30/data!D29)</f>
        <v>1.5454119123760405E-2</v>
      </c>
      <c r="E29" s="11">
        <f>LN(data!E30/data!E29)</f>
        <v>-2.6921433165837144E-2</v>
      </c>
      <c r="F29" s="11">
        <f>LN(data!F30/data!F29)</f>
        <v>5.2852820102116914E-2</v>
      </c>
      <c r="G29" s="11">
        <f>LN(data!G30/data!G29)</f>
        <v>2.7936886686861288E-2</v>
      </c>
      <c r="H29" s="11">
        <f>LN(data!H30/data!H29)</f>
        <v>2.6384200186691457E-2</v>
      </c>
      <c r="I29" s="11">
        <f>LN(data!I30/data!I29)</f>
        <v>-2.9382979024468688E-3</v>
      </c>
      <c r="J29" s="11">
        <f>LN(data!J30/data!J29)</f>
        <v>-1.7647516813578002E-2</v>
      </c>
      <c r="K29" s="11">
        <f>LN(data!K30/data!K29)</f>
        <v>8.3128492440832036E-2</v>
      </c>
      <c r="L29" s="11">
        <f>LN(data!L30/data!L29)</f>
        <v>-3.3622890766203464E-2</v>
      </c>
      <c r="M29" s="11">
        <f>LN(data!M30/data!M29)</f>
        <v>-5.0324876530185893E-3</v>
      </c>
      <c r="N29" s="11">
        <f>LN(data!N30/data!N29)</f>
        <v>-1.5037877364540446E-2</v>
      </c>
      <c r="O29" s="11">
        <f>LN(data!O30/data!O29)</f>
        <v>1.2036736561825159E-2</v>
      </c>
    </row>
    <row r="30" spans="1:15" x14ac:dyDescent="0.25">
      <c r="A30" s="10">
        <v>38169</v>
      </c>
      <c r="B30" s="11">
        <f>LN(data!B31/data!B30)</f>
        <v>-8.8826024279554439E-2</v>
      </c>
      <c r="C30" s="11">
        <f>LN(data!C31/data!C30)</f>
        <v>-3.0761587818335056E-2</v>
      </c>
      <c r="D30" s="11">
        <f>LN(data!D31/data!D30)</f>
        <v>-2.2217993307410963E-2</v>
      </c>
      <c r="E30" s="11">
        <f>LN(data!E31/data!E30)</f>
        <v>-8.7991912845980427E-3</v>
      </c>
      <c r="F30" s="11">
        <f>LN(data!F31/data!F30)</f>
        <v>-7.2734190655945843E-2</v>
      </c>
      <c r="G30" s="11">
        <f>LN(data!G31/data!G30)</f>
        <v>-3.562331961101748E-2</v>
      </c>
      <c r="H30" s="11">
        <f>LN(data!H31/data!H30)</f>
        <v>4.1643443947016398E-2</v>
      </c>
      <c r="I30" s="11">
        <f>LN(data!I31/data!I30)</f>
        <v>-4.6169765202255596E-2</v>
      </c>
      <c r="J30" s="11">
        <f>LN(data!J31/data!J30)</f>
        <v>-4.3049993956568028E-2</v>
      </c>
      <c r="K30" s="11">
        <f>LN(data!K31/data!K30)</f>
        <v>2.6430725579602313E-2</v>
      </c>
      <c r="L30" s="11">
        <f>LN(data!L31/data!L30)</f>
        <v>-0.12402397442375113</v>
      </c>
      <c r="M30" s="11">
        <f>LN(data!M31/data!M30)</f>
        <v>-1.2277335184633696E-2</v>
      </c>
      <c r="N30" s="11">
        <f>LN(data!N31/data!N30)</f>
        <v>5.6134138425190404E-2</v>
      </c>
      <c r="O30" s="11">
        <f>LN(data!O31/data!O30)</f>
        <v>-4.6531410542508714E-2</v>
      </c>
    </row>
    <row r="31" spans="1:15" x14ac:dyDescent="0.25">
      <c r="A31" s="10">
        <v>38201</v>
      </c>
      <c r="B31" s="11">
        <f>LN(data!B32/data!B31)</f>
        <v>4.5304588524666123E-3</v>
      </c>
      <c r="C31" s="11">
        <f>LN(data!C32/data!C31)</f>
        <v>1.5826245260789358E-2</v>
      </c>
      <c r="D31" s="11">
        <f>LN(data!D32/data!D31)</f>
        <v>-4.6915403903913522E-3</v>
      </c>
      <c r="E31" s="11">
        <f>LN(data!E32/data!E31)</f>
        <v>8.2245611869014527E-3</v>
      </c>
      <c r="F31" s="11">
        <f>LN(data!F32/data!F31)</f>
        <v>-1.096059429638257E-2</v>
      </c>
      <c r="G31" s="11">
        <f>LN(data!G32/data!G31)</f>
        <v>-5.9332045588074778E-3</v>
      </c>
      <c r="H31" s="11">
        <f>LN(data!H32/data!H31)</f>
        <v>1.6027479103530621E-3</v>
      </c>
      <c r="I31" s="11">
        <f>LN(data!I32/data!I31)</f>
        <v>-0.11874651968890919</v>
      </c>
      <c r="J31" s="11">
        <f>LN(data!J32/data!J31)</f>
        <v>8.3183324102234224E-2</v>
      </c>
      <c r="K31" s="11">
        <f>LN(data!K32/data!K31)</f>
        <v>-3.8733165451821948E-2</v>
      </c>
      <c r="L31" s="11">
        <f>LN(data!L32/data!L31)</f>
        <v>-0.13420750439311019</v>
      </c>
      <c r="M31" s="11">
        <f>LN(data!M32/data!M31)</f>
        <v>-2.5625462335532569E-2</v>
      </c>
      <c r="N31" s="11">
        <f>LN(data!N32/data!N31)</f>
        <v>-1.7969233496558507E-2</v>
      </c>
      <c r="O31" s="11">
        <f>LN(data!O32/data!O31)</f>
        <v>-8.3071591628037945E-3</v>
      </c>
    </row>
    <row r="32" spans="1:15" x14ac:dyDescent="0.25">
      <c r="A32" s="10">
        <v>38231</v>
      </c>
      <c r="B32" s="11">
        <f>LN(data!B33/data!B32)</f>
        <v>-2.9489064262600308E-2</v>
      </c>
      <c r="C32" s="11">
        <f>LN(data!C33/data!C32)</f>
        <v>3.6612952647512791E-2</v>
      </c>
      <c r="D32" s="11">
        <f>LN(data!D33/data!D32)</f>
        <v>2.8281903538081191E-2</v>
      </c>
      <c r="E32" s="11">
        <f>LN(data!E33/data!E32)</f>
        <v>-4.5569318442395187E-2</v>
      </c>
      <c r="F32" s="11">
        <f>LN(data!F33/data!F32)</f>
        <v>0.1014084007845935</v>
      </c>
      <c r="G32" s="11">
        <f>LN(data!G33/data!G32)</f>
        <v>1.2598186934499239E-2</v>
      </c>
      <c r="H32" s="11">
        <f>LN(data!H33/data!H32)</f>
        <v>4.7361989645809413E-2</v>
      </c>
      <c r="I32" s="11">
        <f>LN(data!I33/data!I32)</f>
        <v>5.1293294387550481E-2</v>
      </c>
      <c r="J32" s="11">
        <f>LN(data!J33/data!J32)</f>
        <v>6.9638804978262664E-2</v>
      </c>
      <c r="K32" s="11">
        <f>LN(data!K33/data!K32)</f>
        <v>-3.5429620763441066E-3</v>
      </c>
      <c r="L32" s="11">
        <f>LN(data!L33/data!L32)</f>
        <v>-5.9272855097540683E-2</v>
      </c>
      <c r="M32" s="11">
        <f>LN(data!M33/data!M32)</f>
        <v>1.2353311993871418E-2</v>
      </c>
      <c r="N32" s="11">
        <f>LN(data!N33/data!N32)</f>
        <v>3.676173284592596E-2</v>
      </c>
      <c r="O32" s="11">
        <f>LN(data!O33/data!O32)</f>
        <v>-0.30091381766140052</v>
      </c>
    </row>
    <row r="33" spans="1:15" x14ac:dyDescent="0.25">
      <c r="A33" s="10">
        <v>38261</v>
      </c>
      <c r="B33" s="11">
        <f>LN(data!B34/data!B33)</f>
        <v>-3.0385161139890295E-2</v>
      </c>
      <c r="C33" s="11">
        <f>LN(data!C34/data!C33)</f>
        <v>-3.3021112051200563E-2</v>
      </c>
      <c r="D33" s="11">
        <f>LN(data!D34/data!D33)</f>
        <v>3.3268970686128246E-2</v>
      </c>
      <c r="E33" s="11">
        <f>LN(data!E34/data!E33)</f>
        <v>-0.11326251213177946</v>
      </c>
      <c r="F33" s="11">
        <f>LN(data!F34/data!F33)</f>
        <v>6.269613013595395E-3</v>
      </c>
      <c r="G33" s="11">
        <f>LN(data!G34/data!G33)</f>
        <v>1.7868543363101796E-3</v>
      </c>
      <c r="H33" s="11">
        <f>LN(data!H34/data!H33)</f>
        <v>1.8162661440691671E-2</v>
      </c>
      <c r="I33" s="11">
        <f>LN(data!I34/data!I33)</f>
        <v>-4.9573221874276352E-3</v>
      </c>
      <c r="J33" s="11">
        <f>LN(data!J34/data!J33)</f>
        <v>4.7003329242329084E-2</v>
      </c>
      <c r="K33" s="11">
        <f>LN(data!K34/data!K33)</f>
        <v>-6.2548980340859733E-2</v>
      </c>
      <c r="L33" s="11">
        <f>LN(data!L34/data!L33)</f>
        <v>0.1040026003710874</v>
      </c>
      <c r="M33" s="11">
        <f>LN(data!M34/data!M33)</f>
        <v>4.5759232593762231E-2</v>
      </c>
      <c r="N33" s="11">
        <f>LN(data!N34/data!N33)</f>
        <v>3.9483713403186377E-2</v>
      </c>
      <c r="O33" s="11">
        <f>LN(data!O34/data!O33)</f>
        <v>-5.2588351766913136E-2</v>
      </c>
    </row>
    <row r="34" spans="1:15" x14ac:dyDescent="0.25">
      <c r="A34" s="10">
        <v>38292</v>
      </c>
      <c r="B34" s="11">
        <f>LN(data!B35/data!B34)</f>
        <v>3.0119097549122797E-2</v>
      </c>
      <c r="C34" s="11">
        <f>LN(data!C35/data!C34)</f>
        <v>4.928671932829095E-2</v>
      </c>
      <c r="D34" s="11">
        <f>LN(data!D35/data!D34)</f>
        <v>4.8547986251715608E-2</v>
      </c>
      <c r="E34" s="11">
        <f>LN(data!E35/data!E34)</f>
        <v>4.2538559792567418E-2</v>
      </c>
      <c r="F34" s="11">
        <f>LN(data!F35/data!F34)</f>
        <v>0.12814582269193003</v>
      </c>
      <c r="G34" s="11">
        <f>LN(data!G35/data!G34)</f>
        <v>6.3485939824179369E-2</v>
      </c>
      <c r="H34" s="11">
        <f>LN(data!H35/data!H34)</f>
        <v>4.585750586787013E-2</v>
      </c>
      <c r="I34" s="11">
        <f>LN(data!I35/data!I34)</f>
        <v>6.9324125285596824E-2</v>
      </c>
      <c r="J34" s="11">
        <f>LN(data!J35/data!J34)</f>
        <v>1.8100041643617937E-2</v>
      </c>
      <c r="K34" s="11">
        <f>LN(data!K35/data!K34)</f>
        <v>5.3039250427178254E-2</v>
      </c>
      <c r="L34" s="11">
        <f>LN(data!L35/data!L34)</f>
        <v>7.0307296877894559E-3</v>
      </c>
      <c r="M34" s="11">
        <f>LN(data!M35/data!M34)</f>
        <v>5.0666445089770057E-2</v>
      </c>
      <c r="N34" s="11">
        <f>LN(data!N35/data!N34)</f>
        <v>7.1181854484333187E-2</v>
      </c>
      <c r="O34" s="11">
        <f>LN(data!O35/data!O34)</f>
        <v>-0.11105625124363276</v>
      </c>
    </row>
    <row r="35" spans="1:15" x14ac:dyDescent="0.25">
      <c r="A35" s="10">
        <v>38322</v>
      </c>
      <c r="B35" s="11">
        <f>LN(data!B36/data!B35)</f>
        <v>3.0658761814036841E-2</v>
      </c>
      <c r="C35" s="11">
        <f>LN(data!C36/data!C35)</f>
        <v>-7.8724929102155519E-2</v>
      </c>
      <c r="D35" s="11">
        <f>LN(data!D36/data!D35)</f>
        <v>1.1725427470315507E-2</v>
      </c>
      <c r="E35" s="11">
        <f>LN(data!E36/data!E35)</f>
        <v>3.7232023168422203E-2</v>
      </c>
      <c r="F35" s="11">
        <f>LN(data!F36/data!F35)</f>
        <v>6.3033953416882144E-2</v>
      </c>
      <c r="G35" s="11">
        <f>LN(data!G36/data!G35)</f>
        <v>7.8900545178094056E-2</v>
      </c>
      <c r="H35" s="11">
        <f>LN(data!H36/data!H35)</f>
        <v>2.0464545246893189E-4</v>
      </c>
      <c r="I35" s="11">
        <f>LN(data!I36/data!I35)</f>
        <v>5.1216011648611795E-2</v>
      </c>
      <c r="J35" s="11">
        <f>LN(data!J36/data!J35)</f>
        <v>2.3391439527126429E-2</v>
      </c>
      <c r="K35" s="11">
        <f>LN(data!K36/data!K35)</f>
        <v>2.3859241858302138E-3</v>
      </c>
      <c r="L35" s="11">
        <f>LN(data!L36/data!L35)</f>
        <v>4.4309600282187778E-2</v>
      </c>
      <c r="M35" s="11">
        <f>LN(data!M36/data!M35)</f>
        <v>4.5093109516371112E-2</v>
      </c>
      <c r="N35" s="11">
        <f>LN(data!N36/data!N35)</f>
        <v>4.2290303781524277E-2</v>
      </c>
      <c r="O35" s="11">
        <f>LN(data!O36/data!O35)</f>
        <v>0.15092746994568976</v>
      </c>
    </row>
    <row r="36" spans="1:15" x14ac:dyDescent="0.25">
      <c r="A36" s="10">
        <v>38355</v>
      </c>
      <c r="B36" s="11">
        <f>LN(data!B37/data!B36)</f>
        <v>2.748964139419691E-2</v>
      </c>
      <c r="C36" s="11">
        <f>LN(data!C37/data!C36)</f>
        <v>-6.232546319782882E-2</v>
      </c>
      <c r="D36" s="11">
        <f>LN(data!D37/data!D36)</f>
        <v>-5.3003858632801305E-2</v>
      </c>
      <c r="E36" s="11">
        <f>LN(data!E37/data!E36)</f>
        <v>9.2879924664707215E-3</v>
      </c>
      <c r="F36" s="11">
        <f>LN(data!F37/data!F36)</f>
        <v>-8.5975522659288997E-2</v>
      </c>
      <c r="G36" s="11">
        <f>LN(data!G37/data!G36)</f>
        <v>-3.077165866675366E-2</v>
      </c>
      <c r="H36" s="11">
        <f>LN(data!H37/data!H36)</f>
        <v>6.5266395251850455E-3</v>
      </c>
      <c r="I36" s="11">
        <f>LN(data!I37/data!I36)</f>
        <v>-6.7839771091874473E-2</v>
      </c>
      <c r="J36" s="11">
        <f>LN(data!J37/data!J36)</f>
        <v>-3.5169548369079658E-2</v>
      </c>
      <c r="K36" s="11">
        <f>LN(data!K37/data!K36)</f>
        <v>1.5957785438610816E-2</v>
      </c>
      <c r="L36" s="11">
        <f>LN(data!L37/data!L36)</f>
        <v>-4.1045433243115145E-2</v>
      </c>
      <c r="M36" s="11">
        <f>LN(data!M37/data!M36)</f>
        <v>-5.3765429086724104E-2</v>
      </c>
      <c r="N36" s="11">
        <f>LN(data!N37/data!N36)</f>
        <v>1.0056856862562285E-2</v>
      </c>
      <c r="O36" s="11">
        <f>LN(data!O37/data!O36)</f>
        <v>-0.13615379337528827</v>
      </c>
    </row>
    <row r="37" spans="1:15" x14ac:dyDescent="0.25">
      <c r="A37" s="10">
        <v>38384</v>
      </c>
      <c r="B37" s="11">
        <f>LN(data!B38/data!B37)</f>
        <v>0</v>
      </c>
      <c r="C37" s="11">
        <f>LN(data!C38/data!C37)</f>
        <v>8.9806086702175686E-2</v>
      </c>
      <c r="D37" s="11">
        <f>LN(data!D38/data!D37)</f>
        <v>1.5031325379452728E-2</v>
      </c>
      <c r="E37" s="11">
        <f>LN(data!E38/data!E37)</f>
        <v>7.6746347531086662E-3</v>
      </c>
      <c r="F37" s="11">
        <f>LN(data!F38/data!F37)</f>
        <v>6.4670368985346088E-2</v>
      </c>
      <c r="G37" s="11">
        <f>LN(data!G38/data!G37)</f>
        <v>0.12081978259985712</v>
      </c>
      <c r="H37" s="11">
        <f>LN(data!H38/data!H37)</f>
        <v>0.20942928458281071</v>
      </c>
      <c r="I37" s="11">
        <f>LN(data!I38/data!I37)</f>
        <v>5.9483861082881236E-2</v>
      </c>
      <c r="J37" s="11">
        <f>LN(data!J38/data!J37)</f>
        <v>-3.0456608728733185E-2</v>
      </c>
      <c r="K37" s="11">
        <f>LN(data!K38/data!K37)</f>
        <v>5.8915883536594785E-2</v>
      </c>
      <c r="L37" s="11">
        <f>LN(data!L38/data!L37)</f>
        <v>7.0109566187026531E-2</v>
      </c>
      <c r="M37" s="11">
        <f>LN(data!M38/data!M37)</f>
        <v>-7.1922854991258974E-3</v>
      </c>
      <c r="N37" s="11">
        <f>LN(data!N38/data!N37)</f>
        <v>2.1080307910730536E-2</v>
      </c>
      <c r="O37" s="11">
        <f>LN(data!O38/data!O37)</f>
        <v>0.12222114027161432</v>
      </c>
    </row>
    <row r="38" spans="1:15" x14ac:dyDescent="0.25">
      <c r="A38" s="10">
        <v>38412</v>
      </c>
      <c r="B38" s="11">
        <f>LN(data!B39/data!B38)</f>
        <v>2.0624411006647584E-2</v>
      </c>
      <c r="C38" s="11">
        <f>LN(data!C39/data!C38)</f>
        <v>-5.539257844827878E-2</v>
      </c>
      <c r="D38" s="11">
        <f>LN(data!D39/data!D38)</f>
        <v>-5.0326478831819108E-2</v>
      </c>
      <c r="E38" s="11">
        <f>LN(data!E39/data!E38)</f>
        <v>-0.18507764489593456</v>
      </c>
      <c r="F38" s="11">
        <f>LN(data!F39/data!F38)</f>
        <v>-3.8754989933833653E-2</v>
      </c>
      <c r="G38" s="11">
        <f>LN(data!G39/data!G38)</f>
        <v>-3.9374353417036115E-2</v>
      </c>
      <c r="H38" s="11">
        <f>LN(data!H39/data!H38)</f>
        <v>-6.0315518728094597E-2</v>
      </c>
      <c r="I38" s="11">
        <f>LN(data!I39/data!I38)</f>
        <v>5.7542238382015047E-2</v>
      </c>
      <c r="J38" s="11">
        <f>LN(data!J39/data!J38)</f>
        <v>-4.3011673555828508E-2</v>
      </c>
      <c r="K38" s="11">
        <f>LN(data!K39/data!K38)</f>
        <v>-2.0101179321087265E-2</v>
      </c>
      <c r="L38" s="11">
        <f>LN(data!L39/data!L38)</f>
        <v>-3.219682738324936E-2</v>
      </c>
      <c r="M38" s="11">
        <f>LN(data!M39/data!M38)</f>
        <v>-1.2965421368381531E-2</v>
      </c>
      <c r="N38" s="11">
        <f>LN(data!N39/data!N38)</f>
        <v>-6.0249376174262313E-2</v>
      </c>
      <c r="O38" s="11">
        <f>LN(data!O39/data!O38)</f>
        <v>3.2778508109903473E-2</v>
      </c>
    </row>
    <row r="39" spans="1:15" x14ac:dyDescent="0.25">
      <c r="A39" s="10">
        <v>38443</v>
      </c>
      <c r="B39" s="11">
        <f>LN(data!B40/data!B39)</f>
        <v>-0.11384037547010033</v>
      </c>
      <c r="C39" s="11">
        <f>LN(data!C40/data!C39)</f>
        <v>-4.5912017982424343E-2</v>
      </c>
      <c r="D39" s="11">
        <f>LN(data!D40/data!D39)</f>
        <v>2.5590622063188361E-2</v>
      </c>
      <c r="E39" s="11">
        <f>LN(data!E40/data!E39)</f>
        <v>-8.5824492755382731E-2</v>
      </c>
      <c r="F39" s="11">
        <f>LN(data!F40/data!F39)</f>
        <v>-3.297257136151116E-2</v>
      </c>
      <c r="G39" s="11">
        <f>LN(data!G40/data!G39)</f>
        <v>-8.3957706397752033E-2</v>
      </c>
      <c r="H39" s="11">
        <f>LN(data!H40/data!H39)</f>
        <v>-4.4037901399429952E-2</v>
      </c>
      <c r="I39" s="11">
        <f>LN(data!I40/data!I39)</f>
        <v>-6.9458963315478003E-2</v>
      </c>
      <c r="J39" s="11">
        <f>LN(data!J40/data!J39)</f>
        <v>-7.8122866091865403E-2</v>
      </c>
      <c r="K39" s="11">
        <f>LN(data!K40/data!K39)</f>
        <v>-3.9694598684946895E-2</v>
      </c>
      <c r="L39" s="11">
        <f>LN(data!L40/data!L39)</f>
        <v>1.2029550277074695E-2</v>
      </c>
      <c r="M39" s="11">
        <f>LN(data!M40/data!M39)</f>
        <v>-0.17942329708986865</v>
      </c>
      <c r="N39" s="11">
        <f>LN(data!N40/data!N39)</f>
        <v>-6.0540704558801582E-2</v>
      </c>
      <c r="O39" s="11">
        <f>LN(data!O40/data!O39)</f>
        <v>4.6103339316912705E-2</v>
      </c>
    </row>
    <row r="40" spans="1:15" x14ac:dyDescent="0.25">
      <c r="A40" s="10">
        <v>38474</v>
      </c>
      <c r="B40" s="11">
        <f>LN(data!B41/data!B40)</f>
        <v>7.8237994311896996E-3</v>
      </c>
      <c r="C40" s="11">
        <f>LN(data!C41/data!C40)</f>
        <v>-6.3406768124177615E-2</v>
      </c>
      <c r="D40" s="11">
        <f>LN(data!D41/data!D40)</f>
        <v>2.1487342812799511E-2</v>
      </c>
      <c r="E40" s="11">
        <f>LN(data!E41/data!E40)</f>
        <v>8.8397077783171338E-2</v>
      </c>
      <c r="F40" s="11">
        <f>LN(data!F41/data!F40)</f>
        <v>6.6440040714661627E-2</v>
      </c>
      <c r="G40" s="11">
        <f>LN(data!G41/data!G40)</f>
        <v>-5.043568692240436E-3</v>
      </c>
      <c r="H40" s="11">
        <f>LN(data!H41/data!H40)</f>
        <v>-9.7472036078907285E-3</v>
      </c>
      <c r="I40" s="11">
        <f>LN(data!I41/data!I40)</f>
        <v>9.5219357407459335E-2</v>
      </c>
      <c r="J40" s="11">
        <f>LN(data!J41/data!J40)</f>
        <v>0.10673826955099577</v>
      </c>
      <c r="K40" s="11">
        <f>LN(data!K41/data!K40)</f>
        <v>1.8605187831034486E-2</v>
      </c>
      <c r="L40" s="11">
        <f>LN(data!L41/data!L40)</f>
        <v>0.13987746695314104</v>
      </c>
      <c r="M40" s="11">
        <f>LN(data!M41/data!M40)</f>
        <v>-8.2449612166634705E-3</v>
      </c>
      <c r="N40" s="11">
        <f>LN(data!N41/data!N40)</f>
        <v>5.4142299163625458E-2</v>
      </c>
      <c r="O40" s="11">
        <f>LN(data!O41/data!O40)</f>
        <v>-4.3730054595565587E-2</v>
      </c>
    </row>
    <row r="41" spans="1:15" x14ac:dyDescent="0.25">
      <c r="A41" s="10">
        <v>38504</v>
      </c>
      <c r="B41" s="11">
        <f>LN(data!B42/data!B41)</f>
        <v>-5.8413846163217945E-2</v>
      </c>
      <c r="C41" s="11">
        <f>LN(data!C42/data!C41)</f>
        <v>-3.6467479442759257E-2</v>
      </c>
      <c r="D41" s="11">
        <f>LN(data!D42/data!D41)</f>
        <v>-9.3713228056952272E-3</v>
      </c>
      <c r="E41" s="11">
        <f>LN(data!E42/data!E41)</f>
        <v>4.7137119436321831E-2</v>
      </c>
      <c r="F41" s="11">
        <f>LN(data!F42/data!F41)</f>
        <v>1.2730637254606504E-2</v>
      </c>
      <c r="G41" s="11">
        <f>LN(data!G42/data!G41)</f>
        <v>-7.8129270941104861E-2</v>
      </c>
      <c r="H41" s="11">
        <f>LN(data!H42/data!H41)</f>
        <v>2.2476962704135996E-2</v>
      </c>
      <c r="I41" s="11">
        <f>LN(data!I42/data!I41)</f>
        <v>4.7015310345364845E-2</v>
      </c>
      <c r="J41" s="11">
        <f>LN(data!J42/data!J41)</f>
        <v>-9.0042981247208161E-3</v>
      </c>
      <c r="K41" s="11">
        <f>LN(data!K42/data!K41)</f>
        <v>1.1170100388191578E-2</v>
      </c>
      <c r="L41" s="11">
        <f>LN(data!L42/data!L41)</f>
        <v>-3.527011350445499E-2</v>
      </c>
      <c r="M41" s="11">
        <f>LN(data!M42/data!M41)</f>
        <v>-1.7939543069015147E-2</v>
      </c>
      <c r="N41" s="11">
        <f>LN(data!N42/data!N41)</f>
        <v>-0.10912133242595336</v>
      </c>
      <c r="O41" s="11">
        <f>LN(data!O42/data!O41)</f>
        <v>-4.0074446935071277E-2</v>
      </c>
    </row>
    <row r="42" spans="1:15" x14ac:dyDescent="0.25">
      <c r="A42" s="10">
        <v>38534</v>
      </c>
      <c r="B42" s="11">
        <f>LN(data!B43/data!B42)</f>
        <v>3.6714425192488707E-2</v>
      </c>
      <c r="C42" s="11">
        <f>LN(data!C43/data!C42)</f>
        <v>7.0907969423050971E-2</v>
      </c>
      <c r="D42" s="11">
        <f>LN(data!D43/data!D42)</f>
        <v>3.2740378541388504E-2</v>
      </c>
      <c r="E42" s="11">
        <f>LN(data!E43/data!E42)</f>
        <v>3.5429328940734736E-2</v>
      </c>
      <c r="F42" s="11">
        <f>LN(data!F43/data!F42)</f>
        <v>0.12798167021864945</v>
      </c>
      <c r="G42" s="11">
        <f>LN(data!G43/data!G42)</f>
        <v>-7.7336047163538684E-3</v>
      </c>
      <c r="H42" s="11">
        <f>LN(data!H43/data!H42)</f>
        <v>2.1982834996284409E-2</v>
      </c>
      <c r="I42" s="11">
        <f>LN(data!I43/data!I42)</f>
        <v>4.6145753075492978E-2</v>
      </c>
      <c r="J42" s="11">
        <f>LN(data!J43/data!J42)</f>
        <v>0.11188348843266363</v>
      </c>
      <c r="K42" s="11">
        <f>LN(data!K43/data!K42)</f>
        <v>6.9846964065561595E-2</v>
      </c>
      <c r="L42" s="11">
        <f>LN(data!L43/data!L42)</f>
        <v>4.2177278340729894E-2</v>
      </c>
      <c r="M42" s="11">
        <f>LN(data!M43/data!M42)</f>
        <v>0.11758342413045826</v>
      </c>
      <c r="N42" s="11">
        <f>LN(data!N43/data!N42)</f>
        <v>0.11652628043253087</v>
      </c>
      <c r="O42" s="11">
        <f>LN(data!O43/data!O42)</f>
        <v>8.0744690050469515E-3</v>
      </c>
    </row>
    <row r="43" spans="1:15" x14ac:dyDescent="0.25">
      <c r="A43" s="10">
        <v>38565</v>
      </c>
      <c r="B43" s="11">
        <f>LN(data!B44/data!B43)</f>
        <v>-4.676622517376175E-2</v>
      </c>
      <c r="C43" s="11">
        <f>LN(data!C44/data!C43)</f>
        <v>-4.0620501924426351E-2</v>
      </c>
      <c r="D43" s="11">
        <f>LN(data!D44/data!D43)</f>
        <v>4.4402229627347849E-3</v>
      </c>
      <c r="E43" s="11">
        <f>LN(data!E44/data!E43)</f>
        <v>-1.4124288239498611E-2</v>
      </c>
      <c r="F43" s="11">
        <f>LN(data!F44/data!F43)</f>
        <v>2.8938189492354546E-2</v>
      </c>
      <c r="G43" s="11">
        <f>LN(data!G44/data!G43)</f>
        <v>-6.7062782961553352E-2</v>
      </c>
      <c r="H43" s="11">
        <f>LN(data!H44/data!H43)</f>
        <v>2.4274308097417232E-2</v>
      </c>
      <c r="I43" s="11">
        <f>LN(data!I44/data!I43)</f>
        <v>0.11994132639386131</v>
      </c>
      <c r="J43" s="11">
        <f>LN(data!J44/data!J43)</f>
        <v>-7.3522620560217439E-2</v>
      </c>
      <c r="K43" s="11">
        <f>LN(data!K44/data!K43)</f>
        <v>-2.0392442637318233E-2</v>
      </c>
      <c r="L43" s="11">
        <f>LN(data!L44/data!L43)</f>
        <v>-5.0991437968294064E-2</v>
      </c>
      <c r="M43" s="11">
        <f>LN(data!M44/data!M43)</f>
        <v>-3.220850124163719E-2</v>
      </c>
      <c r="N43" s="11">
        <f>LN(data!N44/data!N43)</f>
        <v>4.0097385978425507E-2</v>
      </c>
      <c r="O43" s="11">
        <f>LN(data!O44/data!O43)</f>
        <v>-8.1938442838435543E-2</v>
      </c>
    </row>
    <row r="44" spans="1:15" x14ac:dyDescent="0.25">
      <c r="A44" s="10">
        <v>38596</v>
      </c>
      <c r="B44" s="11">
        <f>LN(data!B45/data!B44)</f>
        <v>3.0567547150162085E-2</v>
      </c>
      <c r="C44" s="11">
        <f>LN(data!C45/data!C44)</f>
        <v>-9.2910890700096352E-2</v>
      </c>
      <c r="D44" s="11">
        <f>LN(data!D45/data!D44)</f>
        <v>3.8896090524233658E-2</v>
      </c>
      <c r="E44" s="11">
        <f>LN(data!E45/data!E44)</f>
        <v>4.5561388502478421E-2</v>
      </c>
      <c r="F44" s="11">
        <f>LN(data!F45/data!F44)</f>
        <v>5.7065195475863396E-2</v>
      </c>
      <c r="G44" s="11">
        <f>LN(data!G45/data!G44)</f>
        <v>-9.9583651650361239E-3</v>
      </c>
      <c r="H44" s="11">
        <f>LN(data!H45/data!H44)</f>
        <v>5.8958801217913498E-2</v>
      </c>
      <c r="I44" s="11">
        <f>LN(data!I45/data!I44)</f>
        <v>5.3236359541625818E-2</v>
      </c>
      <c r="J44" s="11">
        <f>LN(data!J45/data!J44)</f>
        <v>-5.5803950677439131E-2</v>
      </c>
      <c r="K44" s="11">
        <f>LN(data!K45/data!K44)</f>
        <v>-2.0540226444501798E-2</v>
      </c>
      <c r="L44" s="11">
        <f>LN(data!L45/data!L44)</f>
        <v>-4.2332188615483761E-2</v>
      </c>
      <c r="M44" s="11">
        <f>LN(data!M45/data!M44)</f>
        <v>-4.9602645422823525E-3</v>
      </c>
      <c r="N44" s="11">
        <f>LN(data!N45/data!N44)</f>
        <v>3.1396268306048775E-2</v>
      </c>
      <c r="O44" s="11">
        <f>LN(data!O45/data!O44)</f>
        <v>-3.6719100962880509E-2</v>
      </c>
    </row>
    <row r="45" spans="1:15" x14ac:dyDescent="0.25">
      <c r="A45" s="10">
        <v>38628</v>
      </c>
      <c r="B45" s="11">
        <f>LN(data!B46/data!B45)</f>
        <v>3.5022763269235403E-2</v>
      </c>
      <c r="C45" s="11">
        <f>LN(data!C46/data!C45)</f>
        <v>-5.1151006667704887E-3</v>
      </c>
      <c r="D45" s="11">
        <f>LN(data!D46/data!D45)</f>
        <v>-7.7409227444380094E-3</v>
      </c>
      <c r="E45" s="11">
        <f>LN(data!E46/data!E45)</f>
        <v>4.482902033845431E-2</v>
      </c>
      <c r="F45" s="11">
        <f>LN(data!F46/data!F45)</f>
        <v>-0.10616301322978859</v>
      </c>
      <c r="G45" s="11">
        <f>LN(data!G46/data!G45)</f>
        <v>6.2135040012372605E-2</v>
      </c>
      <c r="H45" s="11">
        <f>LN(data!H46/data!H45)</f>
        <v>-0.12381943541995431</v>
      </c>
      <c r="I45" s="11">
        <f>LN(data!I46/data!I45)</f>
        <v>-4.047410792777445E-2</v>
      </c>
      <c r="J45" s="11">
        <f>LN(data!J46/data!J45)</f>
        <v>7.3314866329247011E-2</v>
      </c>
      <c r="K45" s="11">
        <f>LN(data!K46/data!K45)</f>
        <v>-9.2105580122811448E-2</v>
      </c>
      <c r="L45" s="11">
        <f>LN(data!L46/data!L45)</f>
        <v>-4.7720207809686964E-2</v>
      </c>
      <c r="M45" s="11">
        <f>LN(data!M46/data!M45)</f>
        <v>2.0444932218148505E-2</v>
      </c>
      <c r="N45" s="11">
        <f>LN(data!N46/data!N45)</f>
        <v>-5.7838154829700089E-2</v>
      </c>
      <c r="O45" s="11">
        <f>LN(data!O46/data!O45)</f>
        <v>3.6339522290644063E-2</v>
      </c>
    </row>
    <row r="46" spans="1:15" x14ac:dyDescent="0.25">
      <c r="A46" s="10">
        <v>38657</v>
      </c>
      <c r="B46" s="11">
        <f>LN(data!B47/data!B46)</f>
        <v>3.767430612958967E-2</v>
      </c>
      <c r="C46" s="11">
        <f>LN(data!C47/data!C46)</f>
        <v>0.12667030224457732</v>
      </c>
      <c r="D46" s="11">
        <f>LN(data!D47/data!D46)</f>
        <v>3.2591901001464051E-2</v>
      </c>
      <c r="E46" s="11">
        <f>LN(data!E47/data!E46)</f>
        <v>3.5528534919968387E-2</v>
      </c>
      <c r="F46" s="11">
        <f>LN(data!F47/data!F46)</f>
        <v>9.4116809103328133E-2</v>
      </c>
      <c r="G46" s="11">
        <f>LN(data!G47/data!G46)</f>
        <v>3.398627948763628E-2</v>
      </c>
      <c r="H46" s="11">
        <f>LN(data!H47/data!H46)</f>
        <v>3.8285643734172432E-2</v>
      </c>
      <c r="I46" s="11">
        <f>LN(data!I47/data!I46)</f>
        <v>5.6695343676545294E-2</v>
      </c>
      <c r="J46" s="11">
        <f>LN(data!J47/data!J46)</f>
        <v>2.0419036118014867E-2</v>
      </c>
      <c r="K46" s="11">
        <f>LN(data!K47/data!K46)</f>
        <v>7.1699561082541219E-2</v>
      </c>
      <c r="L46" s="11">
        <f>LN(data!L47/data!L46)</f>
        <v>0.13027864008047058</v>
      </c>
      <c r="M46" s="11">
        <f>LN(data!M47/data!M46)</f>
        <v>8.4635039181981328E-2</v>
      </c>
      <c r="N46" s="11">
        <f>LN(data!N47/data!N46)</f>
        <v>8.8884139861410597E-2</v>
      </c>
      <c r="O46" s="11">
        <f>LN(data!O47/data!O46)</f>
        <v>5.3947324381456385E-2</v>
      </c>
    </row>
    <row r="47" spans="1:15" x14ac:dyDescent="0.25">
      <c r="A47" s="10">
        <v>38687</v>
      </c>
      <c r="B47" s="11">
        <f>LN(data!B48/data!B47)</f>
        <v>-1.249019692215503E-2</v>
      </c>
      <c r="C47" s="11">
        <f>LN(data!C48/data!C47)</f>
        <v>7.6096097791792675E-2</v>
      </c>
      <c r="D47" s="11">
        <f>LN(data!D48/data!D47)</f>
        <v>7.9145235631155155E-4</v>
      </c>
      <c r="E47" s="11">
        <f>LN(data!E48/data!E47)</f>
        <v>1.603871598848226E-2</v>
      </c>
      <c r="F47" s="11">
        <f>LN(data!F48/data!F47)</f>
        <v>-1.7823723422998185E-4</v>
      </c>
      <c r="G47" s="11">
        <f>LN(data!G48/data!G47)</f>
        <v>-5.9142607089499692E-3</v>
      </c>
      <c r="H47" s="11">
        <f>LN(data!H48/data!H47)</f>
        <v>-3.259494457698689E-2</v>
      </c>
      <c r="I47" s="11">
        <f>LN(data!I48/data!I47)</f>
        <v>-3.3063739143268225E-2</v>
      </c>
      <c r="J47" s="11">
        <f>LN(data!J48/data!J47)</f>
        <v>-3.1549937784586896E-2</v>
      </c>
      <c r="K47" s="11">
        <f>LN(data!K48/data!K47)</f>
        <v>1.9298599215023093E-2</v>
      </c>
      <c r="L47" s="11">
        <f>LN(data!L48/data!L47)</f>
        <v>-6.6731363035297142E-2</v>
      </c>
      <c r="M47" s="11">
        <f>LN(data!M48/data!M47)</f>
        <v>-7.8408369001721698E-2</v>
      </c>
      <c r="N47" s="11">
        <f>LN(data!N48/data!N47)</f>
        <v>-3.63857284390818E-3</v>
      </c>
      <c r="O47" s="11">
        <f>LN(data!O48/data!O47)</f>
        <v>7.8491976303846217E-2</v>
      </c>
    </row>
    <row r="48" spans="1:15" x14ac:dyDescent="0.25">
      <c r="A48" s="10">
        <v>38720</v>
      </c>
      <c r="B48" s="11">
        <f>LN(data!B49/data!B48)</f>
        <v>-6.3335875171810871E-2</v>
      </c>
      <c r="C48" s="11">
        <f>LN(data!C49/data!C48)</f>
        <v>6.3207384346760653E-2</v>
      </c>
      <c r="D48" s="11">
        <f>LN(data!D49/data!D48)</f>
        <v>2.132944572704544E-2</v>
      </c>
      <c r="E48" s="11">
        <f>LN(data!E49/data!E48)</f>
        <v>-4.1441765224940481E-2</v>
      </c>
      <c r="F48" s="11">
        <f>LN(data!F49/data!F48)</f>
        <v>0.16554465041431199</v>
      </c>
      <c r="G48" s="11">
        <f>LN(data!G49/data!G48)</f>
        <v>-8.2125118248432313E-2</v>
      </c>
      <c r="H48" s="11">
        <f>LN(data!H49/data!H48)</f>
        <v>0.11078236414877719</v>
      </c>
      <c r="I48" s="11">
        <f>LN(data!I49/data!I48)</f>
        <v>8.5092812077569024E-2</v>
      </c>
      <c r="J48" s="11">
        <f>LN(data!J49/data!J48)</f>
        <v>1.5251655218771396E-3</v>
      </c>
      <c r="K48" s="11">
        <f>LN(data!K49/data!K48)</f>
        <v>3.0822022545790244E-2</v>
      </c>
      <c r="L48" s="11">
        <f>LN(data!L49/data!L48)</f>
        <v>-0.16057623826027301</v>
      </c>
      <c r="M48" s="11">
        <f>LN(data!M49/data!M48)</f>
        <v>-1.0985006230708697E-2</v>
      </c>
      <c r="N48" s="11">
        <f>LN(data!N49/data!N48)</f>
        <v>3.7560301878575605E-2</v>
      </c>
      <c r="O48" s="11">
        <f>LN(data!O49/data!O48)</f>
        <v>8.1397600192429975E-2</v>
      </c>
    </row>
    <row r="49" spans="1:15" x14ac:dyDescent="0.25">
      <c r="A49" s="10">
        <v>38749</v>
      </c>
      <c r="B49" s="11">
        <f>LN(data!B50/data!B49)</f>
        <v>1.778954156349824E-2</v>
      </c>
      <c r="C49" s="11">
        <f>LN(data!C50/data!C49)</f>
        <v>-6.7052870644767226E-2</v>
      </c>
      <c r="D49" s="11">
        <f>LN(data!D50/data!D49)</f>
        <v>2.6933153143946072E-2</v>
      </c>
      <c r="E49" s="11">
        <f>LN(data!E50/data!E49)</f>
        <v>1.3699898716113313E-2</v>
      </c>
      <c r="F49" s="11">
        <f>LN(data!F50/data!F49)</f>
        <v>7.3514356205797327E-2</v>
      </c>
      <c r="G49" s="11">
        <f>LN(data!G50/data!G49)</f>
        <v>3.6616760289017669E-2</v>
      </c>
      <c r="H49" s="11">
        <f>LN(data!H50/data!H49)</f>
        <v>-5.0060838412503188E-2</v>
      </c>
      <c r="I49" s="11">
        <f>LN(data!I50/data!I49)</f>
        <v>5.1000758915538666E-2</v>
      </c>
      <c r="J49" s="11">
        <f>LN(data!J50/data!J49)</f>
        <v>3.8859185548665569E-2</v>
      </c>
      <c r="K49" s="11">
        <f>LN(data!K50/data!K49)</f>
        <v>6.9261436011192307E-2</v>
      </c>
      <c r="L49" s="11">
        <f>LN(data!L50/data!L49)</f>
        <v>-2.655023209412084E-2</v>
      </c>
      <c r="M49" s="11">
        <f>LN(data!M50/data!M49)</f>
        <v>-1.0599468320457798E-2</v>
      </c>
      <c r="N49" s="11">
        <f>LN(data!N50/data!N49)</f>
        <v>-2.9299757263299415E-3</v>
      </c>
      <c r="O49" s="11">
        <f>LN(data!O50/data!O49)</f>
        <v>1.0369107848403253E-2</v>
      </c>
    </row>
    <row r="50" spans="1:15" x14ac:dyDescent="0.25">
      <c r="A50" s="10">
        <v>38777</v>
      </c>
      <c r="B50" s="11">
        <f>LN(data!B51/data!B50)</f>
        <v>2.8147553623527406E-2</v>
      </c>
      <c r="C50" s="11">
        <f>LN(data!C51/data!C50)</f>
        <v>4.1508273862871946E-2</v>
      </c>
      <c r="D50" s="11">
        <f>LN(data!D51/data!D50)</f>
        <v>-2.4998916564115178E-2</v>
      </c>
      <c r="E50" s="11">
        <f>LN(data!E51/data!E50)</f>
        <v>-1.8362667745791162E-3</v>
      </c>
      <c r="F50" s="11">
        <f>LN(data!F51/data!F50)</f>
        <v>-1.7556730159653623E-2</v>
      </c>
      <c r="G50" s="11">
        <f>LN(data!G51/data!G50)</f>
        <v>4.7976885502743011E-2</v>
      </c>
      <c r="H50" s="11">
        <f>LN(data!H51/data!H50)</f>
        <v>2.4671604407683519E-2</v>
      </c>
      <c r="I50" s="11">
        <f>LN(data!I51/data!I50)</f>
        <v>5.2364204050889792E-3</v>
      </c>
      <c r="J50" s="11">
        <f>LN(data!J51/data!J50)</f>
        <v>7.0602849580012981E-3</v>
      </c>
      <c r="K50" s="11">
        <f>LN(data!K51/data!K50)</f>
        <v>4.3405121538544478E-2</v>
      </c>
      <c r="L50" s="11">
        <f>LN(data!L51/data!L50)</f>
        <v>-5.6894665981371037E-2</v>
      </c>
      <c r="M50" s="11">
        <f>LN(data!M51/data!M50)</f>
        <v>2.7402402702727629E-2</v>
      </c>
      <c r="N50" s="11">
        <f>LN(data!N51/data!N50)</f>
        <v>-1.5971945566052113E-2</v>
      </c>
      <c r="O50" s="11">
        <f>LN(data!O51/data!O50)</f>
        <v>2.1312528131712173E-2</v>
      </c>
    </row>
    <row r="51" spans="1:15" x14ac:dyDescent="0.25">
      <c r="A51" s="10">
        <v>38810</v>
      </c>
      <c r="B51" s="11">
        <f>LN(data!B52/data!B51)</f>
        <v>0.12107315770248075</v>
      </c>
      <c r="C51" s="11">
        <f>LN(data!C52/data!C51)</f>
        <v>0.10000345023607453</v>
      </c>
      <c r="D51" s="11">
        <f>LN(data!D52/data!D51)</f>
        <v>2.5940802288829289E-2</v>
      </c>
      <c r="E51" s="11">
        <f>LN(data!E52/data!E51)</f>
        <v>-1.279400881125055E-2</v>
      </c>
      <c r="F51" s="11">
        <f>LN(data!F52/data!F51)</f>
        <v>5.6507501348817643E-2</v>
      </c>
      <c r="G51" s="11">
        <f>LN(data!G52/data!G51)</f>
        <v>4.3658205355540103E-2</v>
      </c>
      <c r="H51" s="11">
        <f>LN(data!H52/data!H51)</f>
        <v>3.5821276451817499E-2</v>
      </c>
      <c r="I51" s="11">
        <f>LN(data!I52/data!I51)</f>
        <v>-1.2987195526810966E-2</v>
      </c>
      <c r="J51" s="11">
        <f>LN(data!J52/data!J51)</f>
        <v>-5.7672288465850888E-2</v>
      </c>
      <c r="K51" s="11">
        <f>LN(data!K52/data!K51)</f>
        <v>-6.2590478768863632E-3</v>
      </c>
      <c r="L51" s="11">
        <f>LN(data!L52/data!L51)</f>
        <v>2.6029579930983322E-2</v>
      </c>
      <c r="M51" s="11">
        <f>LN(data!M52/data!M51)</f>
        <v>-1.6058307446832538E-3</v>
      </c>
      <c r="N51" s="11">
        <f>LN(data!N52/data!N51)</f>
        <v>6.2416609234761337E-3</v>
      </c>
      <c r="O51" s="11">
        <f>LN(data!O52/data!O51)</f>
        <v>-2.3134575401656969E-2</v>
      </c>
    </row>
    <row r="52" spans="1:15" x14ac:dyDescent="0.25">
      <c r="A52" s="10">
        <v>38838</v>
      </c>
      <c r="B52" s="11">
        <f>LN(data!B53/data!B52)</f>
        <v>-1.5671826551087443E-2</v>
      </c>
      <c r="C52" s="11">
        <f>LN(data!C53/data!C52)</f>
        <v>-5.8536502452572914E-2</v>
      </c>
      <c r="D52" s="11">
        <f>LN(data!D53/data!D52)</f>
        <v>1.0116234642399734E-2</v>
      </c>
      <c r="E52" s="11">
        <f>LN(data!E53/data!E52)</f>
        <v>-6.8206424910935259E-2</v>
      </c>
      <c r="F52" s="11">
        <f>LN(data!F53/data!F52)</f>
        <v>-3.7548246415078548E-2</v>
      </c>
      <c r="G52" s="11">
        <f>LN(data!G53/data!G52)</f>
        <v>-2.8002308282986967E-2</v>
      </c>
      <c r="H52" s="11">
        <f>LN(data!H53/data!H52)</f>
        <v>-2.9956156999419347E-2</v>
      </c>
      <c r="I52" s="11">
        <f>LN(data!I53/data!I52)</f>
        <v>-2.8050509276087211E-3</v>
      </c>
      <c r="J52" s="11">
        <f>LN(data!J53/data!J52)</f>
        <v>-4.6287515832693998E-2</v>
      </c>
      <c r="K52" s="11">
        <f>LN(data!K53/data!K52)</f>
        <v>-2.6178865031409967E-2</v>
      </c>
      <c r="L52" s="11">
        <f>LN(data!L53/data!L52)</f>
        <v>-9.8192026179213729E-2</v>
      </c>
      <c r="M52" s="11">
        <f>LN(data!M53/data!M52)</f>
        <v>-2.6431049487101434E-2</v>
      </c>
      <c r="N52" s="11">
        <f>LN(data!N53/data!N52)</f>
        <v>-4.1439469069049675E-2</v>
      </c>
      <c r="O52" s="11">
        <f>LN(data!O53/data!O52)</f>
        <v>-2.1816812460609451E-2</v>
      </c>
    </row>
    <row r="53" spans="1:15" x14ac:dyDescent="0.25">
      <c r="A53" s="10">
        <v>38869</v>
      </c>
      <c r="B53" s="11">
        <f>LN(data!B54/data!B53)</f>
        <v>-3.5139423961137048E-2</v>
      </c>
      <c r="C53" s="11">
        <f>LN(data!C54/data!C53)</f>
        <v>2.0105990841792383E-2</v>
      </c>
      <c r="D53" s="11">
        <f>LN(data!D54/data!D53)</f>
        <v>-2.1097034110837271E-2</v>
      </c>
      <c r="E53" s="11">
        <f>LN(data!E54/data!E53)</f>
        <v>-2.9153636034833466E-2</v>
      </c>
      <c r="F53" s="11">
        <f>LN(data!F54/data!F53)</f>
        <v>2.0667910936561878E-2</v>
      </c>
      <c r="G53" s="11">
        <f>LN(data!G54/data!G53)</f>
        <v>-2.2086787402843512E-2</v>
      </c>
      <c r="H53" s="11">
        <f>LN(data!H54/data!H53)</f>
        <v>7.1589417543125883E-3</v>
      </c>
      <c r="I53" s="11">
        <f>LN(data!I54/data!I53)</f>
        <v>-1.9222271390682232E-2</v>
      </c>
      <c r="J53" s="11">
        <f>LN(data!J54/data!J53)</f>
        <v>-5.9044444306062267E-2</v>
      </c>
      <c r="K53" s="11">
        <f>LN(data!K54/data!K53)</f>
        <v>-2.1802642851310103E-2</v>
      </c>
      <c r="L53" s="11">
        <f>LN(data!L54/data!L53)</f>
        <v>5.2992530140510377E-2</v>
      </c>
      <c r="M53" s="11">
        <f>LN(data!M54/data!M53)</f>
        <v>-3.9352735069111175E-2</v>
      </c>
      <c r="N53" s="11">
        <f>LN(data!N54/data!N53)</f>
        <v>1.288756714060884E-2</v>
      </c>
      <c r="O53" s="11">
        <f>LN(data!O54/data!O53)</f>
        <v>9.0242147042429541E-2</v>
      </c>
    </row>
    <row r="54" spans="1:15" x14ac:dyDescent="0.25">
      <c r="A54" s="10">
        <v>38901</v>
      </c>
      <c r="B54" s="11">
        <f>LN(data!B55/data!B54)</f>
        <v>-0.13736152827553341</v>
      </c>
      <c r="C54" s="11">
        <f>LN(data!C55/data!C54)</f>
        <v>-7.7491987750543112E-2</v>
      </c>
      <c r="D54" s="11">
        <f>LN(data!D55/data!D54)</f>
        <v>-1.9220272625737275E-2</v>
      </c>
      <c r="E54" s="11">
        <f>LN(data!E55/data!E54)</f>
        <v>2.6992192014356185E-2</v>
      </c>
      <c r="F54" s="11">
        <f>LN(data!F55/data!F54)</f>
        <v>-4.53570196788321E-2</v>
      </c>
      <c r="G54" s="11">
        <f>LN(data!G55/data!G54)</f>
        <v>-4.7773311612226567E-2</v>
      </c>
      <c r="H54" s="11">
        <f>LN(data!H55/data!H54)</f>
        <v>9.9103422754658471E-2</v>
      </c>
      <c r="I54" s="11">
        <f>LN(data!I55/data!I54)</f>
        <v>7.2912036433897933E-3</v>
      </c>
      <c r="J54" s="11">
        <f>LN(data!J55/data!J54)</f>
        <v>-3.0735965414559294E-2</v>
      </c>
      <c r="K54" s="11">
        <f>LN(data!K55/data!K54)</f>
        <v>-4.0325960146512276E-2</v>
      </c>
      <c r="L54" s="11">
        <f>LN(data!L55/data!L54)</f>
        <v>-5.3559584309376795E-2</v>
      </c>
      <c r="M54" s="11">
        <f>LN(data!M55/data!M54)</f>
        <v>7.7596233367303192E-3</v>
      </c>
      <c r="N54" s="11">
        <f>LN(data!N55/data!N54)</f>
        <v>5.1979034823580954E-2</v>
      </c>
      <c r="O54" s="11">
        <f>LN(data!O55/data!O54)</f>
        <v>0.10012400759090735</v>
      </c>
    </row>
    <row r="55" spans="1:15" x14ac:dyDescent="0.25">
      <c r="A55" s="10">
        <v>38930</v>
      </c>
      <c r="B55" s="11">
        <f>LN(data!B56/data!B55)</f>
        <v>2.4717453211175411E-2</v>
      </c>
      <c r="C55" s="11">
        <f>LN(data!C56/data!C55)</f>
        <v>-4.1120775921201592E-2</v>
      </c>
      <c r="D55" s="11">
        <f>LN(data!D56/data!D55)</f>
        <v>9.0795562412944661E-3</v>
      </c>
      <c r="E55" s="11">
        <f>LN(data!E56/data!E55)</f>
        <v>5.3313555879546316E-2</v>
      </c>
      <c r="F55" s="11">
        <f>LN(data!F56/data!F55)</f>
        <v>-6.5908994836286094E-2</v>
      </c>
      <c r="G55" s="11">
        <f>LN(data!G56/data!G55)</f>
        <v>1.7032669834171413E-2</v>
      </c>
      <c r="H55" s="11">
        <f>LN(data!H56/data!H55)</f>
        <v>3.5992840296468214E-3</v>
      </c>
      <c r="I55" s="11">
        <f>LN(data!I56/data!I55)</f>
        <v>0.13593689884194501</v>
      </c>
      <c r="J55" s="11">
        <f>LN(data!J56/data!J55)</f>
        <v>-1.2146498025455855E-2</v>
      </c>
      <c r="K55" s="11">
        <f>LN(data!K56/data!K55)</f>
        <v>6.3108282022226762E-3</v>
      </c>
      <c r="L55" s="11">
        <f>LN(data!L56/data!L55)</f>
        <v>8.8947486016496116E-2</v>
      </c>
      <c r="M55" s="11">
        <f>LN(data!M56/data!M55)</f>
        <v>4.8833833245183075E-2</v>
      </c>
      <c r="N55" s="11">
        <f>LN(data!N56/data!N55)</f>
        <v>1.4082715854511953E-2</v>
      </c>
      <c r="O55" s="11">
        <f>LN(data!O56/data!O55)</f>
        <v>1.6049255453279451E-2</v>
      </c>
    </row>
    <row r="56" spans="1:15" x14ac:dyDescent="0.25">
      <c r="A56" s="10">
        <v>38961</v>
      </c>
      <c r="B56" s="11">
        <f>LN(data!B57/data!B56)</f>
        <v>3.7335440938170511E-2</v>
      </c>
      <c r="C56" s="11">
        <f>LN(data!C57/data!C56)</f>
        <v>-1.9397159882735084E-2</v>
      </c>
      <c r="D56" s="11">
        <f>LN(data!D57/data!D56)</f>
        <v>6.5319466120642461E-2</v>
      </c>
      <c r="E56" s="11">
        <f>LN(data!E57/data!E56)</f>
        <v>3.7477287762481097E-2</v>
      </c>
      <c r="F56" s="11">
        <f>LN(data!F57/data!F56)</f>
        <v>-8.3205410694850417E-3</v>
      </c>
      <c r="G56" s="11">
        <f>LN(data!G57/data!G56)</f>
        <v>6.9436307784361675E-2</v>
      </c>
      <c r="H56" s="11">
        <f>LN(data!H57/data!H56)</f>
        <v>-8.4185704655957896E-3</v>
      </c>
      <c r="I56" s="11">
        <f>LN(data!I57/data!I56)</f>
        <v>5.7732119113193666E-3</v>
      </c>
      <c r="J56" s="11">
        <f>LN(data!J57/data!J56)</f>
        <v>6.0431739184917871E-2</v>
      </c>
      <c r="K56" s="11">
        <f>LN(data!K57/data!K56)</f>
        <v>5.4825711222171204E-2</v>
      </c>
      <c r="L56" s="11">
        <f>LN(data!L57/data!L56)</f>
        <v>5.0099016394262313E-2</v>
      </c>
      <c r="M56" s="11">
        <f>LN(data!M57/data!M56)</f>
        <v>1.1906379026691321E-2</v>
      </c>
      <c r="N56" s="11">
        <f>LN(data!N57/data!N56)</f>
        <v>8.6083435169234043E-2</v>
      </c>
      <c r="O56" s="11">
        <f>LN(data!O57/data!O56)</f>
        <v>3.2814278979218105E-2</v>
      </c>
    </row>
    <row r="57" spans="1:15" x14ac:dyDescent="0.25">
      <c r="A57" s="10">
        <v>38992</v>
      </c>
      <c r="B57" s="11">
        <f>LN(data!B58/data!B57)</f>
        <v>5.7652085360951302E-2</v>
      </c>
      <c r="C57" s="11">
        <f>LN(data!C58/data!C57)</f>
        <v>3.0364897633249233E-2</v>
      </c>
      <c r="D57" s="11">
        <f>LN(data!D58/data!D57)</f>
        <v>3.295833391170986E-2</v>
      </c>
      <c r="E57" s="11">
        <f>LN(data!E58/data!E57)</f>
        <v>1.3587165546308356E-2</v>
      </c>
      <c r="F57" s="11">
        <f>LN(data!F58/data!F57)</f>
        <v>-7.6169152998432924E-2</v>
      </c>
      <c r="G57" s="11">
        <f>LN(data!G58/data!G57)</f>
        <v>6.6714476211665194E-2</v>
      </c>
      <c r="H57" s="11">
        <f>LN(data!H58/data!H57)</f>
        <v>6.2470033653945205E-2</v>
      </c>
      <c r="I57" s="11">
        <f>LN(data!I58/data!I57)</f>
        <v>5.441342172379441E-2</v>
      </c>
      <c r="J57" s="11">
        <f>LN(data!J58/data!J57)</f>
        <v>2.876304478565541E-2</v>
      </c>
      <c r="K57" s="11">
        <f>LN(data!K58/data!K57)</f>
        <v>2.9341958284015375E-2</v>
      </c>
      <c r="L57" s="11">
        <f>LN(data!L58/data!L57)</f>
        <v>3.6350016036371807E-2</v>
      </c>
      <c r="M57" s="11">
        <f>LN(data!M58/data!M57)</f>
        <v>0.11943922037785105</v>
      </c>
      <c r="N57" s="11">
        <f>LN(data!N58/data!N57)</f>
        <v>6.9045239846001E-2</v>
      </c>
      <c r="O57" s="11">
        <f>LN(data!O58/data!O57)</f>
        <v>8.0776114380411254E-2</v>
      </c>
    </row>
    <row r="58" spans="1:15" x14ac:dyDescent="0.25">
      <c r="A58" s="10">
        <v>39022</v>
      </c>
      <c r="B58" s="11">
        <f>LN(data!B59/data!B58)</f>
        <v>3.8366419780706491E-2</v>
      </c>
      <c r="C58" s="11">
        <f>LN(data!C59/data!C58)</f>
        <v>8.0421567310574218E-2</v>
      </c>
      <c r="D58" s="11">
        <f>LN(data!D59/data!D58)</f>
        <v>1.5737462713224532E-2</v>
      </c>
      <c r="E58" s="11">
        <f>LN(data!E59/data!E58)</f>
        <v>4.8297358057233411E-2</v>
      </c>
      <c r="F58" s="11">
        <f>LN(data!F59/data!F58)</f>
        <v>2.163764324190931E-2</v>
      </c>
      <c r="G58" s="11">
        <f>LN(data!G59/data!G58)</f>
        <v>3.2299852787825427E-2</v>
      </c>
      <c r="H58" s="11">
        <f>LN(data!H59/data!H58)</f>
        <v>7.7081846752160579E-2</v>
      </c>
      <c r="I58" s="11">
        <f>LN(data!I59/data!I58)</f>
        <v>1.8264173291536182E-2</v>
      </c>
      <c r="J58" s="11">
        <f>LN(data!J59/data!J58)</f>
        <v>2.3175383770098583E-2</v>
      </c>
      <c r="K58" s="11">
        <f>LN(data!K59/data!K58)</f>
        <v>2.5456352603408429E-2</v>
      </c>
      <c r="L58" s="11">
        <f>LN(data!L59/data!L58)</f>
        <v>8.0588253163512338E-3</v>
      </c>
      <c r="M58" s="11">
        <f>LN(data!M59/data!M58)</f>
        <v>-1.2042258831149733E-3</v>
      </c>
      <c r="N58" s="11">
        <f>LN(data!N59/data!N58)</f>
        <v>2.5336136262073743E-2</v>
      </c>
      <c r="O58" s="11">
        <f>LN(data!O59/data!O58)</f>
        <v>-2.0280973131282166E-2</v>
      </c>
    </row>
    <row r="59" spans="1:15" x14ac:dyDescent="0.25">
      <c r="A59" s="10">
        <v>39052</v>
      </c>
      <c r="B59" s="11">
        <f>LN(data!B60/data!B59)</f>
        <v>-4.4321900873358855E-2</v>
      </c>
      <c r="C59" s="11">
        <f>LN(data!C60/data!C59)</f>
        <v>-3.6031000505012539E-2</v>
      </c>
      <c r="D59" s="11">
        <f>LN(data!D60/data!D59)</f>
        <v>3.2579470149352308E-2</v>
      </c>
      <c r="E59" s="11">
        <f>LN(data!E60/data!E59)</f>
        <v>1.8824418293491345E-2</v>
      </c>
      <c r="F59" s="11">
        <f>LN(data!F60/data!F59)</f>
        <v>-1.1338548884050373E-2</v>
      </c>
      <c r="G59" s="11">
        <f>LN(data!G60/data!G59)</f>
        <v>3.7139546949456786E-2</v>
      </c>
      <c r="H59" s="11">
        <f>LN(data!H60/data!H59)</f>
        <v>-2.3662427236302414E-3</v>
      </c>
      <c r="I59" s="11">
        <f>LN(data!I60/data!I59)</f>
        <v>4.510544064105286E-2</v>
      </c>
      <c r="J59" s="11">
        <f>LN(data!J60/data!J59)</f>
        <v>5.5944156534782151E-2</v>
      </c>
      <c r="K59" s="11">
        <f>LN(data!K60/data!K59)</f>
        <v>5.1281548957990794E-2</v>
      </c>
      <c r="L59" s="11">
        <f>LN(data!L60/data!L59)</f>
        <v>-5.5327063956596416E-2</v>
      </c>
      <c r="M59" s="11">
        <f>LN(data!M60/data!M59)</f>
        <v>5.5294480401885809E-2</v>
      </c>
      <c r="N59" s="11">
        <f>LN(data!N60/data!N59)</f>
        <v>5.4706571411462721E-2</v>
      </c>
      <c r="O59" s="11">
        <f>LN(data!O60/data!O59)</f>
        <v>-1.2275776622246701E-2</v>
      </c>
    </row>
    <row r="60" spans="1:15" x14ac:dyDescent="0.25">
      <c r="A60" s="10">
        <v>39085</v>
      </c>
      <c r="B60" s="11">
        <f>LN(data!B61/data!B60)</f>
        <v>-4.7738905482470576E-2</v>
      </c>
      <c r="C60" s="11">
        <f>LN(data!C61/data!C60)</f>
        <v>7.8617670834850231E-2</v>
      </c>
      <c r="D60" s="11">
        <f>LN(data!D61/data!D60)</f>
        <v>-3.8775703398895536E-2</v>
      </c>
      <c r="E60" s="11">
        <f>LN(data!E61/data!E60)</f>
        <v>-4.5905937200451934E-2</v>
      </c>
      <c r="F60" s="11">
        <f>LN(data!F61/data!F60)</f>
        <v>4.8703594644211888E-2</v>
      </c>
      <c r="G60" s="11">
        <f>LN(data!G61/data!G60)</f>
        <v>1.7348638334613073E-2</v>
      </c>
      <c r="H60" s="11">
        <f>LN(data!H61/data!H60)</f>
        <v>-3.3592988127293562E-2</v>
      </c>
      <c r="I60" s="11">
        <f>LN(data!I61/data!I60)</f>
        <v>4.9439725738227511E-2</v>
      </c>
      <c r="J60" s="11">
        <f>LN(data!J61/data!J60)</f>
        <v>1.425558717021814E-2</v>
      </c>
      <c r="K60" s="11">
        <f>LN(data!K61/data!K60)</f>
        <v>9.9923114073395044E-3</v>
      </c>
      <c r="L60" s="11">
        <f>LN(data!L61/data!L60)</f>
        <v>3.433392658471715E-2</v>
      </c>
      <c r="M60" s="11">
        <f>LN(data!M61/data!M60)</f>
        <v>2.0416200280835389E-2</v>
      </c>
      <c r="N60" s="11">
        <f>LN(data!N61/data!N60)</f>
        <v>4.5105999862642392E-4</v>
      </c>
      <c r="O60" s="11">
        <f>LN(data!O61/data!O60)</f>
        <v>2.5993412851046008E-2</v>
      </c>
    </row>
    <row r="61" spans="1:15" x14ac:dyDescent="0.25">
      <c r="A61" s="10">
        <v>39114</v>
      </c>
      <c r="B61" s="11">
        <f>LN(data!B62/data!B61)</f>
        <v>3.3992826260340805E-3</v>
      </c>
      <c r="C61" s="11">
        <f>LN(data!C62/data!C61)</f>
        <v>3.3953406792496497E-2</v>
      </c>
      <c r="D61" s="11">
        <f>LN(data!D62/data!D61)</f>
        <v>-2.340718220403986E-2</v>
      </c>
      <c r="E61" s="11">
        <f>LN(data!E62/data!E61)</f>
        <v>-1.7175429613267811E-2</v>
      </c>
      <c r="F61" s="11">
        <f>LN(data!F62/data!F61)</f>
        <v>5.4940880683699116E-3</v>
      </c>
      <c r="G61" s="11">
        <f>LN(data!G62/data!G61)</f>
        <v>3.0647559933642415E-2</v>
      </c>
      <c r="H61" s="11">
        <f>LN(data!H62/data!H61)</f>
        <v>-2.8999546649209996E-2</v>
      </c>
      <c r="I61" s="11">
        <f>LN(data!I62/data!I61)</f>
        <v>-9.5310179804324768E-2</v>
      </c>
      <c r="J61" s="11">
        <f>LN(data!J62/data!J61)</f>
        <v>-2.8461812895432745E-2</v>
      </c>
      <c r="K61" s="11">
        <f>LN(data!K62/data!K61)</f>
        <v>2.0556157882301924E-2</v>
      </c>
      <c r="L61" s="11">
        <f>LN(data!L62/data!L61)</f>
        <v>-4.840451048165937E-2</v>
      </c>
      <c r="M61" s="11">
        <f>LN(data!M62/data!M61)</f>
        <v>-6.1678797656586196E-2</v>
      </c>
      <c r="N61" s="11">
        <f>LN(data!N62/data!N61)</f>
        <v>-1.4993465792244113E-2</v>
      </c>
      <c r="O61" s="11">
        <f>LN(data!O62/data!O61)</f>
        <v>-1.348746014307806E-2</v>
      </c>
    </row>
    <row r="62" spans="1:15" x14ac:dyDescent="0.25">
      <c r="A62" s="10">
        <v>39142</v>
      </c>
      <c r="B62" s="11">
        <f>LN(data!B63/data!B62)</f>
        <v>3.1137679591608753E-2</v>
      </c>
      <c r="C62" s="11">
        <f>LN(data!C63/data!C62)</f>
        <v>1.4332881971695624E-2</v>
      </c>
      <c r="D62" s="11">
        <f>LN(data!D63/data!D62)</f>
        <v>-8.3415161105404832E-3</v>
      </c>
      <c r="E62" s="11">
        <f>LN(data!E63/data!E62)</f>
        <v>1.6414239304259899E-3</v>
      </c>
      <c r="F62" s="11">
        <f>LN(data!F63/data!F62)</f>
        <v>3.9593939579636472E-2</v>
      </c>
      <c r="G62" s="11">
        <f>LN(data!G63/data!G62)</f>
        <v>-2.5949359074334353E-2</v>
      </c>
      <c r="H62" s="11">
        <f>LN(data!H63/data!H62)</f>
        <v>5.1342333398093125E-2</v>
      </c>
      <c r="I62" s="11">
        <f>LN(data!I63/data!I62)</f>
        <v>2.1951177851636351E-2</v>
      </c>
      <c r="J62" s="11">
        <f>LN(data!J63/data!J62)</f>
        <v>-6.901112116073907E-2</v>
      </c>
      <c r="K62" s="11">
        <f>LN(data!K63/data!K62)</f>
        <v>-7.3865206579348799E-3</v>
      </c>
      <c r="L62" s="11">
        <f>LN(data!L63/data!L62)</f>
        <v>-3.7643011011663605E-2</v>
      </c>
      <c r="M62" s="11">
        <f>LN(data!M63/data!M62)</f>
        <v>1.4050748667331572E-2</v>
      </c>
      <c r="N62" s="11">
        <f>LN(data!N63/data!N62)</f>
        <v>3.0653741091002305E-2</v>
      </c>
      <c r="O62" s="11">
        <f>LN(data!O63/data!O62)</f>
        <v>8.9357909283591577E-3</v>
      </c>
    </row>
    <row r="63" spans="1:15" x14ac:dyDescent="0.25">
      <c r="A63" s="10">
        <v>39174</v>
      </c>
      <c r="B63" s="11">
        <f>LN(data!B64/data!B63)</f>
        <v>7.9759266698221573E-2</v>
      </c>
      <c r="C63" s="11">
        <f>LN(data!C64/data!C63)</f>
        <v>4.6061726662200549E-2</v>
      </c>
      <c r="D63" s="11">
        <f>LN(data!D64/data!D63)</f>
        <v>7.56598391572747E-2</v>
      </c>
      <c r="E63" s="11">
        <f>LN(data!E64/data!E63)</f>
        <v>3.9180570589829343E-2</v>
      </c>
      <c r="F63" s="11">
        <f>LN(data!F64/data!F63)</f>
        <v>8.4500453157472774E-2</v>
      </c>
      <c r="G63" s="11">
        <f>LN(data!G64/data!G63)</f>
        <v>-5.3126402027558854E-3</v>
      </c>
      <c r="H63" s="11">
        <f>LN(data!H64/data!H63)</f>
        <v>5.0734107058543372E-2</v>
      </c>
      <c r="I63" s="11">
        <f>LN(data!I64/data!I63)</f>
        <v>4.8706972954376308E-2</v>
      </c>
      <c r="J63" s="11">
        <f>LN(data!J64/data!J63)</f>
        <v>3.0464682421815083E-2</v>
      </c>
      <c r="K63" s="11">
        <f>LN(data!K64/data!K63)</f>
        <v>0.16246441427438538</v>
      </c>
      <c r="L63" s="11">
        <f>LN(data!L64/data!L63)</f>
        <v>0.11690684178625611</v>
      </c>
      <c r="M63" s="11">
        <f>LN(data!M64/data!M63)</f>
        <v>8.0984446848648306E-2</v>
      </c>
      <c r="N63" s="11">
        <f>LN(data!N64/data!N63)</f>
        <v>6.924441217498381E-2</v>
      </c>
      <c r="O63" s="11">
        <f>LN(data!O64/data!O63)</f>
        <v>0.15245476917357756</v>
      </c>
    </row>
    <row r="64" spans="1:15" x14ac:dyDescent="0.25">
      <c r="A64" s="10">
        <v>39203</v>
      </c>
      <c r="B64" s="11">
        <f>LN(data!B65/data!B64)</f>
        <v>6.6389558702007745E-2</v>
      </c>
      <c r="C64" s="11">
        <f>LN(data!C65/data!C64)</f>
        <v>0.15592874543754803</v>
      </c>
      <c r="D64" s="11">
        <f>LN(data!D65/data!D64)</f>
        <v>6.8640308793245994E-2</v>
      </c>
      <c r="E64" s="11">
        <f>LN(data!E65/data!E64)</f>
        <v>3.6459805822476932E-2</v>
      </c>
      <c r="F64" s="11">
        <f>LN(data!F65/data!F64)</f>
        <v>7.8808113336341537E-2</v>
      </c>
      <c r="G64" s="11">
        <f>LN(data!G65/data!G64)</f>
        <v>6.9443497249887187E-2</v>
      </c>
      <c r="H64" s="11">
        <f>LN(data!H65/data!H64)</f>
        <v>5.0932652440983682E-2</v>
      </c>
      <c r="I64" s="11">
        <f>LN(data!I65/data!I64)</f>
        <v>8.1230497336881646E-2</v>
      </c>
      <c r="J64" s="11">
        <f>LN(data!J65/data!J64)</f>
        <v>2.5948251804424612E-2</v>
      </c>
      <c r="K64" s="11">
        <f>LN(data!K65/data!K64)</f>
        <v>7.083238953355471E-2</v>
      </c>
      <c r="L64" s="11">
        <f>LN(data!L65/data!L64)</f>
        <v>3.626745882790678E-2</v>
      </c>
      <c r="M64" s="11">
        <f>LN(data!M65/data!M64)</f>
        <v>4.5975180612639645E-2</v>
      </c>
      <c r="N64" s="11">
        <f>LN(data!N65/data!N64)</f>
        <v>4.5945549237149656E-2</v>
      </c>
      <c r="O64" s="11">
        <f>LN(data!O65/data!O64)</f>
        <v>1.93954877530816E-2</v>
      </c>
    </row>
    <row r="65" spans="1:15" x14ac:dyDescent="0.25">
      <c r="A65" s="10">
        <v>39234</v>
      </c>
      <c r="B65" s="11">
        <f>LN(data!B66/data!B65)</f>
        <v>-1.3390758030406872E-2</v>
      </c>
      <c r="C65" s="11">
        <f>LN(data!C66/data!C65)</f>
        <v>-1.8335680533090089E-2</v>
      </c>
      <c r="D65" s="11">
        <f>LN(data!D66/data!D65)</f>
        <v>-6.0248651156997624E-2</v>
      </c>
      <c r="E65" s="11">
        <f>LN(data!E66/data!E65)</f>
        <v>-3.2453504856525574E-2</v>
      </c>
      <c r="F65" s="11">
        <f>LN(data!F66/data!F65)</f>
        <v>-3.584692098754044E-3</v>
      </c>
      <c r="G65" s="11">
        <f>LN(data!G66/data!G65)</f>
        <v>-2.8695260827689882E-2</v>
      </c>
      <c r="H65" s="11">
        <f>LN(data!H66/data!H65)</f>
        <v>8.5005001531230397E-3</v>
      </c>
      <c r="I65" s="11">
        <f>LN(data!I66/data!I65)</f>
        <v>-2.2383205934924866E-2</v>
      </c>
      <c r="J65" s="11">
        <f>LN(data!J66/data!J65)</f>
        <v>1.7949199829981284E-2</v>
      </c>
      <c r="K65" s="11">
        <f>LN(data!K66/data!K65)</f>
        <v>-2.855084899151001E-2</v>
      </c>
      <c r="L65" s="11">
        <f>LN(data!L66/data!L65)</f>
        <v>6.7970407259300883E-2</v>
      </c>
      <c r="M65" s="11">
        <f>LN(data!M66/data!M65)</f>
        <v>-1.2745039169253335E-2</v>
      </c>
      <c r="N65" s="11">
        <f>LN(data!N66/data!N65)</f>
        <v>4.1456973797065659E-3</v>
      </c>
      <c r="O65" s="11">
        <f>LN(data!O66/data!O65)</f>
        <v>-4.4381915535812222E-2</v>
      </c>
    </row>
    <row r="66" spans="1:15" x14ac:dyDescent="0.25">
      <c r="A66" s="10">
        <v>39265</v>
      </c>
      <c r="B66" s="11">
        <f>LN(data!B67/data!B66)</f>
        <v>3.864887801239375E-2</v>
      </c>
      <c r="C66" s="11">
        <f>LN(data!C67/data!C66)</f>
        <v>6.1016411647970607E-2</v>
      </c>
      <c r="D66" s="11">
        <f>LN(data!D67/data!D66)</f>
        <v>5.5454703987746795E-2</v>
      </c>
      <c r="E66" s="11">
        <f>LN(data!E67/data!E66)</f>
        <v>-1.4237674892253789E-2</v>
      </c>
      <c r="F66" s="11">
        <f>LN(data!F67/data!F66)</f>
        <v>6.4923210505654402E-2</v>
      </c>
      <c r="G66" s="11">
        <f>LN(data!G67/data!G66)</f>
        <v>3.4412829290893288E-2</v>
      </c>
      <c r="H66" s="11">
        <f>LN(data!H67/data!H66)</f>
        <v>9.1748984344362808E-2</v>
      </c>
      <c r="I66" s="11">
        <f>LN(data!I67/data!I66)</f>
        <v>8.4206011294068975E-2</v>
      </c>
      <c r="J66" s="11">
        <f>LN(data!J67/data!J66)</f>
        <v>1.016002119402263E-3</v>
      </c>
      <c r="K66" s="11">
        <f>LN(data!K67/data!K66)</f>
        <v>7.9878679132202521E-2</v>
      </c>
      <c r="L66" s="11">
        <f>LN(data!L67/data!L66)</f>
        <v>3.3550465059007779E-2</v>
      </c>
      <c r="M66" s="11">
        <f>LN(data!M67/data!M66)</f>
        <v>8.694011554322989E-2</v>
      </c>
      <c r="N66" s="11">
        <f>LN(data!N67/data!N66)</f>
        <v>2.5864348910913378E-2</v>
      </c>
      <c r="O66" s="11">
        <f>LN(data!O67/data!O66)</f>
        <v>-1.578660593064065E-2</v>
      </c>
    </row>
    <row r="67" spans="1:15" x14ac:dyDescent="0.25">
      <c r="A67" s="7"/>
    </row>
    <row r="68" spans="1:15" x14ac:dyDescent="0.25">
      <c r="A68" s="3" t="s">
        <v>34</v>
      </c>
      <c r="B68" s="12">
        <f>AVERAGE(B7:B66)</f>
        <v>7.7423742888722462E-3</v>
      </c>
      <c r="C68" s="12">
        <f t="shared" ref="C68:O68" si="0">AVERAGE(C7:C66)</f>
        <v>9.4677661313886437E-3</v>
      </c>
      <c r="D68" s="12">
        <f t="shared" si="0"/>
        <v>1.3063113991827763E-2</v>
      </c>
      <c r="E68" s="12">
        <f t="shared" si="0"/>
        <v>1.7979049069261738E-3</v>
      </c>
      <c r="F68" s="12">
        <f t="shared" si="0"/>
        <v>2.3584496940193891E-2</v>
      </c>
      <c r="G68" s="12">
        <f t="shared" si="0"/>
        <v>6.5406242147607015E-3</v>
      </c>
      <c r="H68" s="12">
        <f t="shared" si="0"/>
        <v>1.7153074090791049E-2</v>
      </c>
      <c r="I68" s="12">
        <f t="shared" si="0"/>
        <v>2.1677622764581909E-2</v>
      </c>
      <c r="J68" s="12">
        <f t="shared" si="0"/>
        <v>5.0634210402004855E-3</v>
      </c>
      <c r="K68" s="12">
        <f t="shared" si="0"/>
        <v>1.2514745563582246E-2</v>
      </c>
      <c r="L68" s="12">
        <f t="shared" si="0"/>
        <v>5.3960519446084199E-3</v>
      </c>
      <c r="M68" s="12">
        <f t="shared" si="0"/>
        <v>8.9664855321982054E-3</v>
      </c>
      <c r="N68" s="12">
        <f t="shared" si="0"/>
        <v>1.3939190015460932E-2</v>
      </c>
      <c r="O68" s="12">
        <f t="shared" si="0"/>
        <v>3.8324934297201642E-3</v>
      </c>
    </row>
  </sheetData>
  <mergeCells count="1">
    <mergeCell ref="A1:O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825AA-BE2B-4667-85B8-EA93642E49B0}">
  <dimension ref="A1:W69"/>
  <sheetViews>
    <sheetView tabSelected="1" workbookViewId="0">
      <selection activeCell="V22" sqref="V22"/>
    </sheetView>
  </sheetViews>
  <sheetFormatPr defaultRowHeight="13.8" x14ac:dyDescent="0.25"/>
  <cols>
    <col min="1" max="1" width="20.33203125" style="3" customWidth="1"/>
    <col min="2" max="23" width="8.88671875" style="2"/>
  </cols>
  <sheetData>
    <row r="1" spans="1:23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23" x14ac:dyDescent="0.25">
      <c r="B2" s="3" t="s">
        <v>19</v>
      </c>
      <c r="C2" s="3" t="s">
        <v>20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  <c r="K2" s="3" t="s">
        <v>28</v>
      </c>
      <c r="L2" s="3" t="s">
        <v>29</v>
      </c>
      <c r="M2" s="3" t="s">
        <v>12</v>
      </c>
      <c r="N2" s="3" t="s">
        <v>30</v>
      </c>
      <c r="O2" s="3" t="s">
        <v>31</v>
      </c>
      <c r="P2" s="3"/>
      <c r="Q2" s="3"/>
      <c r="R2" s="3"/>
      <c r="S2" s="3"/>
      <c r="T2" s="3"/>
      <c r="U2" s="3"/>
      <c r="V2" s="3"/>
      <c r="W2" s="3"/>
    </row>
    <row r="3" spans="1:23" x14ac:dyDescent="0.25">
      <c r="A3" s="3" t="s">
        <v>32</v>
      </c>
      <c r="B3" s="2">
        <v>65.66</v>
      </c>
      <c r="C3" s="2">
        <v>39.11</v>
      </c>
      <c r="D3" s="2">
        <v>77.91</v>
      </c>
      <c r="E3" s="2">
        <v>180.72</v>
      </c>
      <c r="F3" s="2">
        <v>55.7</v>
      </c>
      <c r="G3" s="2">
        <v>49.08</v>
      </c>
      <c r="H3" s="2">
        <v>519.89</v>
      </c>
      <c r="I3" s="2">
        <v>126.75</v>
      </c>
      <c r="J3" s="2">
        <v>78.37</v>
      </c>
      <c r="K3" s="2">
        <v>47.55</v>
      </c>
      <c r="L3" s="2">
        <v>146.76</v>
      </c>
      <c r="M3" s="2">
        <v>172.03</v>
      </c>
      <c r="N3" s="2">
        <v>62.88</v>
      </c>
      <c r="O3" s="2">
        <v>106.93</v>
      </c>
    </row>
    <row r="4" spans="1:23" x14ac:dyDescent="0.25">
      <c r="A4" s="3" t="s">
        <v>35</v>
      </c>
      <c r="B4" s="13">
        <f>B3/SUM($B$3:$O$3)</f>
        <v>3.7968242219575093E-2</v>
      </c>
      <c r="C4" s="13">
        <f t="shared" ref="C4:O4" si="0">C3/SUM($B$3:$O$3)</f>
        <v>2.2615564319335698E-2</v>
      </c>
      <c r="D4" s="13">
        <f t="shared" si="0"/>
        <v>4.5051869499346565E-2</v>
      </c>
      <c r="E4" s="13">
        <f t="shared" si="0"/>
        <v>0.10450229567349392</v>
      </c>
      <c r="F4" s="13">
        <f t="shared" si="0"/>
        <v>3.220881954965478E-2</v>
      </c>
      <c r="G4" s="13">
        <f t="shared" si="0"/>
        <v>2.838076954213746E-2</v>
      </c>
      <c r="H4" s="13">
        <f t="shared" si="0"/>
        <v>0.30062914175350131</v>
      </c>
      <c r="I4" s="13">
        <f t="shared" si="0"/>
        <v>7.3293857772329316E-2</v>
      </c>
      <c r="J4" s="13">
        <f t="shared" si="0"/>
        <v>4.5317866931893089E-2</v>
      </c>
      <c r="K4" s="13">
        <f t="shared" si="0"/>
        <v>2.7496038951276204E-2</v>
      </c>
      <c r="L4" s="13">
        <f t="shared" si="0"/>
        <v>8.486474608810296E-2</v>
      </c>
      <c r="M4" s="13">
        <f t="shared" si="0"/>
        <v>9.9477257219517265E-2</v>
      </c>
      <c r="N4" s="13">
        <f t="shared" si="0"/>
        <v>3.6360692518533078E-2</v>
      </c>
      <c r="O4" s="13">
        <f t="shared" si="0"/>
        <v>6.1832837961303157E-2</v>
      </c>
    </row>
    <row r="6" spans="1:23" x14ac:dyDescent="0.25">
      <c r="A6" s="6"/>
    </row>
    <row r="7" spans="1:23" ht="32.4" customHeight="1" x14ac:dyDescent="0.25">
      <c r="A7" s="14" t="str">
        <f ca="1">"The var-cov matrix is computed by "&amp;[2]!ggetformula(B9)</f>
        <v>The var-cov matrix is computed by  {=VarCovar(returns!$B$7:$O$66)}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</row>
    <row r="8" spans="1:23" x14ac:dyDescent="0.25">
      <c r="A8" s="7"/>
      <c r="B8" s="3" t="s">
        <v>19</v>
      </c>
      <c r="C8" s="3" t="s">
        <v>20</v>
      </c>
      <c r="D8" s="3" t="s">
        <v>21</v>
      </c>
      <c r="E8" s="3" t="s">
        <v>22</v>
      </c>
      <c r="F8" s="3" t="s">
        <v>23</v>
      </c>
      <c r="G8" s="3" t="s">
        <v>24</v>
      </c>
      <c r="H8" s="3" t="s">
        <v>25</v>
      </c>
      <c r="I8" s="3" t="s">
        <v>26</v>
      </c>
      <c r="J8" s="3" t="s">
        <v>27</v>
      </c>
      <c r="K8" s="3" t="s">
        <v>28</v>
      </c>
      <c r="L8" s="3" t="s">
        <v>29</v>
      </c>
      <c r="M8" s="3" t="s">
        <v>12</v>
      </c>
      <c r="N8" s="3" t="s">
        <v>30</v>
      </c>
      <c r="O8" s="3" t="s">
        <v>31</v>
      </c>
    </row>
    <row r="9" spans="1:23" x14ac:dyDescent="0.25">
      <c r="A9" s="3" t="s">
        <v>19</v>
      </c>
      <c r="B9" s="15">
        <f t="array" ref="B9:O22">[2]!VarCovar(returns!$B$7:$O$66)</f>
        <v>3.169563907835527E-3</v>
      </c>
      <c r="C9" s="15">
        <v>2.4692299153224197E-3</v>
      </c>
      <c r="D9" s="15">
        <v>1.1260531955934849E-3</v>
      </c>
      <c r="E9" s="15">
        <v>1.471615014531966E-3</v>
      </c>
      <c r="F9" s="15">
        <v>1.787579104562026E-3</v>
      </c>
      <c r="G9" s="15">
        <v>1.8547717365387877E-3</v>
      </c>
      <c r="H9" s="15">
        <v>4.8374116773263734E-4</v>
      </c>
      <c r="I9" s="15">
        <v>1.5792279583012703E-3</v>
      </c>
      <c r="J9" s="15">
        <v>1.2941695374901212E-3</v>
      </c>
      <c r="K9" s="15">
        <v>2.1177267857467024E-3</v>
      </c>
      <c r="L9" s="15">
        <v>2.6488108922238999E-3</v>
      </c>
      <c r="M9" s="15">
        <v>2.0411517840547124E-3</v>
      </c>
      <c r="N9" s="15">
        <v>1.0994652426402907E-3</v>
      </c>
      <c r="O9" s="15">
        <v>5.1121289210330555E-4</v>
      </c>
    </row>
    <row r="10" spans="1:23" x14ac:dyDescent="0.25">
      <c r="A10" s="3" t="s">
        <v>20</v>
      </c>
      <c r="B10" s="15">
        <v>2.4692299153224197E-3</v>
      </c>
      <c r="C10" s="15">
        <v>7.7240454168485788E-3</v>
      </c>
      <c r="D10" s="15">
        <v>2.5595369985430888E-3</v>
      </c>
      <c r="E10" s="15">
        <v>2.7387120560546318E-3</v>
      </c>
      <c r="F10" s="15">
        <v>3.9540596882655732E-3</v>
      </c>
      <c r="G10" s="15">
        <v>3.1413644886225641E-3</v>
      </c>
      <c r="H10" s="15">
        <v>2.0182092276605952E-3</v>
      </c>
      <c r="I10" s="15">
        <v>3.3127667796675072E-3</v>
      </c>
      <c r="J10" s="15">
        <v>2.8212248864414808E-3</v>
      </c>
      <c r="K10" s="15">
        <v>4.2687146641848285E-3</v>
      </c>
      <c r="L10" s="15">
        <v>4.7174523794301206E-3</v>
      </c>
      <c r="M10" s="15">
        <v>3.0227384933173484E-3</v>
      </c>
      <c r="N10" s="15">
        <v>3.4085827779202571E-3</v>
      </c>
      <c r="O10" s="15">
        <v>1.2523407901171627E-3</v>
      </c>
    </row>
    <row r="11" spans="1:23" x14ac:dyDescent="0.25">
      <c r="A11" s="3" t="s">
        <v>21</v>
      </c>
      <c r="B11" s="15">
        <v>1.1260531955934849E-3</v>
      </c>
      <c r="C11" s="15">
        <v>2.5595369985430888E-3</v>
      </c>
      <c r="D11" s="15">
        <v>2.4609418321133989E-3</v>
      </c>
      <c r="E11" s="15">
        <v>2.1183039327676524E-3</v>
      </c>
      <c r="F11" s="15">
        <v>1.8198089491330484E-3</v>
      </c>
      <c r="G11" s="15">
        <v>1.4714297348591469E-3</v>
      </c>
      <c r="H11" s="15">
        <v>8.9664207420506691E-4</v>
      </c>
      <c r="I11" s="15">
        <v>2.7309103000936388E-3</v>
      </c>
      <c r="J11" s="15">
        <v>1.7365648386608327E-3</v>
      </c>
      <c r="K11" s="15">
        <v>2.5729029396170501E-3</v>
      </c>
      <c r="L11" s="15">
        <v>2.8373313169980665E-3</v>
      </c>
      <c r="M11" s="15">
        <v>2.5623376263266837E-3</v>
      </c>
      <c r="N11" s="15">
        <v>2.1791395700875549E-3</v>
      </c>
      <c r="O11" s="15">
        <v>1.0810781220602071E-3</v>
      </c>
    </row>
    <row r="12" spans="1:23" x14ac:dyDescent="0.25">
      <c r="A12" s="3" t="s">
        <v>22</v>
      </c>
      <c r="B12" s="15">
        <v>1.471615014531966E-3</v>
      </c>
      <c r="C12" s="15">
        <v>2.7387120560546318E-3</v>
      </c>
      <c r="D12" s="15">
        <v>2.1183039327676524E-3</v>
      </c>
      <c r="E12" s="15">
        <v>4.3020499162743486E-3</v>
      </c>
      <c r="F12" s="15">
        <v>1.8018379338117455E-3</v>
      </c>
      <c r="G12" s="15">
        <v>2.1112698065408986E-3</v>
      </c>
      <c r="H12" s="15">
        <v>1.0002286726787807E-3</v>
      </c>
      <c r="I12" s="15">
        <v>2.2641977630213721E-3</v>
      </c>
      <c r="J12" s="15">
        <v>1.6791828646799661E-3</v>
      </c>
      <c r="K12" s="15">
        <v>2.6629282481771643E-3</v>
      </c>
      <c r="L12" s="15">
        <v>2.6749651485348208E-3</v>
      </c>
      <c r="M12" s="15">
        <v>2.3978637052884302E-3</v>
      </c>
      <c r="N12" s="15">
        <v>2.3114962926748021E-3</v>
      </c>
      <c r="O12" s="15">
        <v>1.3863062952428808E-3</v>
      </c>
    </row>
    <row r="13" spans="1:23" x14ac:dyDescent="0.25">
      <c r="A13" s="3" t="s">
        <v>23</v>
      </c>
      <c r="B13" s="15">
        <v>1.787579104562026E-3</v>
      </c>
      <c r="C13" s="15">
        <v>3.9540596882655732E-3</v>
      </c>
      <c r="D13" s="15">
        <v>1.8198089491330484E-3</v>
      </c>
      <c r="E13" s="15">
        <v>1.8018379338117455E-3</v>
      </c>
      <c r="F13" s="15">
        <v>5.1560034455748888E-3</v>
      </c>
      <c r="G13" s="15">
        <v>1.7032707711849182E-3</v>
      </c>
      <c r="H13" s="15">
        <v>1.5745582316523819E-3</v>
      </c>
      <c r="I13" s="15">
        <v>2.8296077295965707E-3</v>
      </c>
      <c r="J13" s="15">
        <v>1.3743450897233539E-3</v>
      </c>
      <c r="K13" s="15">
        <v>2.9567950745277511E-3</v>
      </c>
      <c r="L13" s="15">
        <v>3.4912496462956486E-3</v>
      </c>
      <c r="M13" s="15">
        <v>2.0926783967034996E-3</v>
      </c>
      <c r="N13" s="15">
        <v>2.4122452688172891E-3</v>
      </c>
      <c r="O13" s="15">
        <v>4.8806592307803082E-4</v>
      </c>
    </row>
    <row r="14" spans="1:23" x14ac:dyDescent="0.25">
      <c r="A14" s="3" t="s">
        <v>24</v>
      </c>
      <c r="B14" s="15">
        <v>1.8547717365387877E-3</v>
      </c>
      <c r="C14" s="15">
        <v>3.1413644886225641E-3</v>
      </c>
      <c r="D14" s="15">
        <v>1.4714297348591469E-3</v>
      </c>
      <c r="E14" s="15">
        <v>2.1112698065408986E-3</v>
      </c>
      <c r="F14" s="15">
        <v>1.7032707711849182E-3</v>
      </c>
      <c r="G14" s="15">
        <v>3.1960362103583021E-3</v>
      </c>
      <c r="H14" s="15">
        <v>1.0555412970192823E-3</v>
      </c>
      <c r="I14" s="15">
        <v>1.6768652877956806E-3</v>
      </c>
      <c r="J14" s="15">
        <v>1.511412124648837E-3</v>
      </c>
      <c r="K14" s="15">
        <v>2.071364490509433E-3</v>
      </c>
      <c r="L14" s="15">
        <v>2.632674231280364E-3</v>
      </c>
      <c r="M14" s="15">
        <v>2.1694571870053895E-3</v>
      </c>
      <c r="N14" s="15">
        <v>1.6700792691167869E-3</v>
      </c>
      <c r="O14" s="15">
        <v>1.4299026722512627E-3</v>
      </c>
    </row>
    <row r="15" spans="1:23" x14ac:dyDescent="0.25">
      <c r="A15" s="3" t="s">
        <v>25</v>
      </c>
      <c r="B15" s="15">
        <v>4.8374116773263734E-4</v>
      </c>
      <c r="C15" s="15">
        <v>2.0182092276605952E-3</v>
      </c>
      <c r="D15" s="15">
        <v>8.9664207420506691E-4</v>
      </c>
      <c r="E15" s="15">
        <v>1.0002286726787807E-3</v>
      </c>
      <c r="F15" s="15">
        <v>1.5745582316523819E-3</v>
      </c>
      <c r="G15" s="15">
        <v>1.0555412970192823E-3</v>
      </c>
      <c r="H15" s="15">
        <v>2.7233510688014443E-3</v>
      </c>
      <c r="I15" s="15">
        <v>1.4025096436727871E-3</v>
      </c>
      <c r="J15" s="15">
        <v>2.7490497128767455E-4</v>
      </c>
      <c r="K15" s="15">
        <v>1.7679103416077401E-3</v>
      </c>
      <c r="L15" s="15">
        <v>9.1813907627891385E-4</v>
      </c>
      <c r="M15" s="15">
        <v>1.3123107226522971E-3</v>
      </c>
      <c r="N15" s="15">
        <v>1.3401358329028917E-3</v>
      </c>
      <c r="O15" s="15">
        <v>9.1638163403005965E-4</v>
      </c>
    </row>
    <row r="16" spans="1:23" x14ac:dyDescent="0.25">
      <c r="A16" s="3" t="s">
        <v>26</v>
      </c>
      <c r="B16" s="15">
        <v>1.5792279583012703E-3</v>
      </c>
      <c r="C16" s="15">
        <v>3.3127667796675072E-3</v>
      </c>
      <c r="D16" s="15">
        <v>2.7309103000936388E-3</v>
      </c>
      <c r="E16" s="15">
        <v>2.2641977630213721E-3</v>
      </c>
      <c r="F16" s="15">
        <v>2.8296077295965707E-3</v>
      </c>
      <c r="G16" s="15">
        <v>1.6768652877956806E-3</v>
      </c>
      <c r="H16" s="15">
        <v>1.4025096436727871E-3</v>
      </c>
      <c r="I16" s="15">
        <v>6.6789572370171361E-3</v>
      </c>
      <c r="J16" s="15">
        <v>1.8661861696938214E-3</v>
      </c>
      <c r="K16" s="15">
        <v>3.433942636211937E-3</v>
      </c>
      <c r="L16" s="15">
        <v>4.4848540012453909E-3</v>
      </c>
      <c r="M16" s="15">
        <v>3.8607688245395483E-3</v>
      </c>
      <c r="N16" s="15">
        <v>2.6590827581507957E-3</v>
      </c>
      <c r="O16" s="15">
        <v>1.4090148914765643E-3</v>
      </c>
    </row>
    <row r="17" spans="1:15" x14ac:dyDescent="0.25">
      <c r="A17" s="3" t="s">
        <v>27</v>
      </c>
      <c r="B17" s="15">
        <v>1.2941695374901212E-3</v>
      </c>
      <c r="C17" s="15">
        <v>2.8212248864414808E-3</v>
      </c>
      <c r="D17" s="15">
        <v>1.7365648386608327E-3</v>
      </c>
      <c r="E17" s="15">
        <v>1.6791828646799661E-3</v>
      </c>
      <c r="F17" s="15">
        <v>1.3743450897233539E-3</v>
      </c>
      <c r="G17" s="15">
        <v>1.511412124648837E-3</v>
      </c>
      <c r="H17" s="15">
        <v>2.7490497128767455E-4</v>
      </c>
      <c r="I17" s="15">
        <v>1.8661861696938214E-3</v>
      </c>
      <c r="J17" s="15">
        <v>4.8652821672051597E-3</v>
      </c>
      <c r="K17" s="15">
        <v>2.2074680366492025E-3</v>
      </c>
      <c r="L17" s="15">
        <v>2.843653015195298E-3</v>
      </c>
      <c r="M17" s="15">
        <v>2.8035734224813764E-3</v>
      </c>
      <c r="N17" s="15">
        <v>2.9366444522979911E-3</v>
      </c>
      <c r="O17" s="15">
        <v>-8.2094252098072781E-5</v>
      </c>
    </row>
    <row r="18" spans="1:15" x14ac:dyDescent="0.25">
      <c r="A18" s="3" t="s">
        <v>28</v>
      </c>
      <c r="B18" s="15">
        <v>2.1177267857467024E-3</v>
      </c>
      <c r="C18" s="15">
        <v>4.2687146641848285E-3</v>
      </c>
      <c r="D18" s="15">
        <v>2.5729029396170501E-3</v>
      </c>
      <c r="E18" s="15">
        <v>2.6629282481771643E-3</v>
      </c>
      <c r="F18" s="15">
        <v>2.9567950745277511E-3</v>
      </c>
      <c r="G18" s="15">
        <v>2.071364490509433E-3</v>
      </c>
      <c r="H18" s="15">
        <v>1.7679103416077401E-3</v>
      </c>
      <c r="I18" s="15">
        <v>3.433942636211937E-3</v>
      </c>
      <c r="J18" s="15">
        <v>2.2074680366492025E-3</v>
      </c>
      <c r="K18" s="15">
        <v>5.3250465377352261E-3</v>
      </c>
      <c r="L18" s="15">
        <v>3.7358865718781957E-3</v>
      </c>
      <c r="M18" s="15">
        <v>3.093752781428068E-3</v>
      </c>
      <c r="N18" s="15">
        <v>3.1157873666177506E-3</v>
      </c>
      <c r="O18" s="15">
        <v>1.4820415226152843E-3</v>
      </c>
    </row>
    <row r="19" spans="1:15" x14ac:dyDescent="0.25">
      <c r="A19" s="3" t="s">
        <v>29</v>
      </c>
      <c r="B19" s="15">
        <v>2.6488108922238999E-3</v>
      </c>
      <c r="C19" s="15">
        <v>4.7174523794301206E-3</v>
      </c>
      <c r="D19" s="15">
        <v>2.8373313169980665E-3</v>
      </c>
      <c r="E19" s="15">
        <v>2.6749651485348208E-3</v>
      </c>
      <c r="F19" s="15">
        <v>3.4912496462956486E-3</v>
      </c>
      <c r="G19" s="15">
        <v>2.632674231280364E-3</v>
      </c>
      <c r="H19" s="15">
        <v>9.1813907627891385E-4</v>
      </c>
      <c r="I19" s="15">
        <v>4.4848540012453909E-3</v>
      </c>
      <c r="J19" s="15">
        <v>2.843653015195298E-3</v>
      </c>
      <c r="K19" s="15">
        <v>3.7358865718781957E-3</v>
      </c>
      <c r="L19" s="15">
        <v>9.5964926026002768E-3</v>
      </c>
      <c r="M19" s="15">
        <v>3.8410627927198036E-3</v>
      </c>
      <c r="N19" s="15">
        <v>3.0844077895126171E-3</v>
      </c>
      <c r="O19" s="15">
        <v>1.1923937962744502E-3</v>
      </c>
    </row>
    <row r="20" spans="1:15" x14ac:dyDescent="0.25">
      <c r="A20" s="3" t="s">
        <v>12</v>
      </c>
      <c r="B20" s="15">
        <v>2.0411517840547124E-3</v>
      </c>
      <c r="C20" s="15">
        <v>3.0227384933173484E-3</v>
      </c>
      <c r="D20" s="15">
        <v>2.5623376263266837E-3</v>
      </c>
      <c r="E20" s="15">
        <v>2.3978637052884302E-3</v>
      </c>
      <c r="F20" s="15">
        <v>2.0926783967034996E-3</v>
      </c>
      <c r="G20" s="15">
        <v>2.1694571870053895E-3</v>
      </c>
      <c r="H20" s="15">
        <v>1.3123107226522971E-3</v>
      </c>
      <c r="I20" s="15">
        <v>3.8607688245395483E-3</v>
      </c>
      <c r="J20" s="15">
        <v>2.8035734224813764E-3</v>
      </c>
      <c r="K20" s="15">
        <v>3.093752781428068E-3</v>
      </c>
      <c r="L20" s="15">
        <v>3.8410627927198036E-3</v>
      </c>
      <c r="M20" s="15">
        <v>5.5077835789434934E-3</v>
      </c>
      <c r="N20" s="15">
        <v>2.8179236333774316E-3</v>
      </c>
      <c r="O20" s="15">
        <v>1.8680033730158556E-3</v>
      </c>
    </row>
    <row r="21" spans="1:15" x14ac:dyDescent="0.25">
      <c r="A21" s="3" t="s">
        <v>30</v>
      </c>
      <c r="B21" s="15">
        <v>1.0994652426402907E-3</v>
      </c>
      <c r="C21" s="15">
        <v>3.4085827779202571E-3</v>
      </c>
      <c r="D21" s="15">
        <v>2.1791395700875549E-3</v>
      </c>
      <c r="E21" s="15">
        <v>2.3114962926748021E-3</v>
      </c>
      <c r="F21" s="15">
        <v>2.4122452688172891E-3</v>
      </c>
      <c r="G21" s="15">
        <v>1.6700792691167869E-3</v>
      </c>
      <c r="H21" s="15">
        <v>1.3401358329028917E-3</v>
      </c>
      <c r="I21" s="15">
        <v>2.6590827581507957E-3</v>
      </c>
      <c r="J21" s="15">
        <v>2.9366444522979911E-3</v>
      </c>
      <c r="K21" s="15">
        <v>3.1157873666177506E-3</v>
      </c>
      <c r="L21" s="15">
        <v>3.0844077895126171E-3</v>
      </c>
      <c r="M21" s="15">
        <v>2.8179236333774316E-3</v>
      </c>
      <c r="N21" s="15">
        <v>5.1266592293463722E-3</v>
      </c>
      <c r="O21" s="15">
        <v>9.179508459271139E-4</v>
      </c>
    </row>
    <row r="22" spans="1:15" x14ac:dyDescent="0.25">
      <c r="A22" s="3" t="s">
        <v>31</v>
      </c>
      <c r="B22" s="15">
        <v>5.1121289210330555E-4</v>
      </c>
      <c r="C22" s="15">
        <v>1.2523407901171627E-3</v>
      </c>
      <c r="D22" s="15">
        <v>1.0810781220602071E-3</v>
      </c>
      <c r="E22" s="15">
        <v>1.3863062952428808E-3</v>
      </c>
      <c r="F22" s="15">
        <v>4.8806592307803082E-4</v>
      </c>
      <c r="G22" s="15">
        <v>1.4299026722512627E-3</v>
      </c>
      <c r="H22" s="15">
        <v>9.1638163403005965E-4</v>
      </c>
      <c r="I22" s="15">
        <v>1.4090148914765643E-3</v>
      </c>
      <c r="J22" s="15">
        <v>-8.2094252098072781E-5</v>
      </c>
      <c r="K22" s="15">
        <v>1.4820415226152843E-3</v>
      </c>
      <c r="L22" s="15">
        <v>1.1923937962744502E-3</v>
      </c>
      <c r="M22" s="15">
        <v>1.8680033730158556E-3</v>
      </c>
      <c r="N22" s="15">
        <v>9.179508459271139E-4</v>
      </c>
      <c r="O22" s="15">
        <v>6.4874015844898292E-3</v>
      </c>
    </row>
    <row r="23" spans="1:15" x14ac:dyDescent="0.25">
      <c r="A23" s="7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25">
      <c r="A24" s="7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</row>
    <row r="25" spans="1:15" ht="15.6" x14ac:dyDescent="0.3">
      <c r="A25" s="17" t="s">
        <v>36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</row>
    <row r="26" spans="1:15" x14ac:dyDescent="0.25">
      <c r="A26" s="7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</row>
    <row r="27" spans="1:15" x14ac:dyDescent="0.25">
      <c r="A27" s="7" t="s">
        <v>37</v>
      </c>
      <c r="B27" s="16">
        <f>5.25%/12</f>
        <v>4.3749999999999995E-3</v>
      </c>
      <c r="C27" s="16" t="str">
        <f ca="1">[2]!getformula(B27)</f>
        <v>&lt;--  =5.25%/12</v>
      </c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</row>
    <row r="28" spans="1:15" x14ac:dyDescent="0.25">
      <c r="A28" s="7" t="s">
        <v>38</v>
      </c>
      <c r="B28" s="16">
        <f>12%/12</f>
        <v>0.01</v>
      </c>
      <c r="C28" s="16" t="str">
        <f ca="1">[2]!getformula(B28)</f>
        <v>&lt;--  =12%/12</v>
      </c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</row>
    <row r="29" spans="1:15" ht="27.6" x14ac:dyDescent="0.25">
      <c r="A29" s="18" t="s">
        <v>39</v>
      </c>
      <c r="B29" s="16">
        <f t="array" ref="B29">SUMPRODUCT(TRANSPOSE(B4:O4),B31:B44)</f>
        <v>1.0000000000000002E-2</v>
      </c>
      <c r="C29" s="16" t="str">
        <f ca="1">[2]!getformula(B29)</f>
        <v>&lt;--  {=SUMPRODUCT(TRANSPOSE(B4:O4),B31:B44)}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</row>
    <row r="30" spans="1:15" x14ac:dyDescent="0.25">
      <c r="A30" s="7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x14ac:dyDescent="0.25">
      <c r="A31" s="19" t="s">
        <v>19</v>
      </c>
      <c r="B31" s="20">
        <f t="array" ref="B31:B44">MMULT($B$9:$O$22,TRANSPOSE($B$4:$O$4))*($B$28-$B$27)/MMULT(MMULT($B$4:$O$4,$B$9:$O$22),TRANSPOSE($B$4:$O$4))+B27</f>
        <v>8.1719864659468254E-3</v>
      </c>
      <c r="C31" s="21" t="str">
        <f ca="1">[2]!getformula(B31)</f>
        <v>&lt;--  {=MMULT($B$9:$O$22,TRANSPOSE($B$4:$O$4))*($B$28-$B$27)/MMULT(MMULT($B$4:$O$4,$B$9:$O$22),TRANSPOSE($B$4:$O$4))+B27}</v>
      </c>
      <c r="D31" s="21"/>
      <c r="E31" s="21"/>
      <c r="F31" s="21"/>
      <c r="G31" s="21"/>
      <c r="H31" s="21"/>
      <c r="I31" s="21"/>
      <c r="J31" s="16"/>
      <c r="K31" s="16"/>
      <c r="L31" s="16"/>
      <c r="M31" s="16"/>
      <c r="N31" s="16"/>
      <c r="O31" s="16"/>
    </row>
    <row r="32" spans="1:15" x14ac:dyDescent="0.25">
      <c r="A32" s="19" t="s">
        <v>20</v>
      </c>
      <c r="B32" s="20">
        <v>1.2376419425537948E-2</v>
      </c>
      <c r="C32" s="21"/>
      <c r="D32" s="21"/>
      <c r="E32" s="21"/>
      <c r="F32" s="21"/>
      <c r="G32" s="21"/>
      <c r="H32" s="21"/>
      <c r="I32" s="21"/>
      <c r="J32" s="16"/>
      <c r="K32" s="16"/>
      <c r="L32" s="16"/>
      <c r="M32" s="16"/>
      <c r="N32" s="16"/>
      <c r="O32" s="16"/>
    </row>
    <row r="33" spans="1:15" x14ac:dyDescent="0.25">
      <c r="A33" s="19" t="s">
        <v>21</v>
      </c>
      <c r="B33" s="20">
        <v>9.3534168918174461E-3</v>
      </c>
      <c r="C33" s="21"/>
      <c r="D33" s="21"/>
      <c r="E33" s="21"/>
      <c r="F33" s="21"/>
      <c r="G33" s="21"/>
      <c r="H33" s="21"/>
      <c r="I33" s="21"/>
      <c r="J33" s="16"/>
      <c r="K33" s="16"/>
      <c r="L33" s="16"/>
      <c r="M33" s="16"/>
      <c r="N33" s="16"/>
      <c r="O33" s="16"/>
    </row>
    <row r="34" spans="1:15" x14ac:dyDescent="0.25">
      <c r="A34" s="19" t="s">
        <v>22</v>
      </c>
      <c r="B34" s="20">
        <v>1.00134700042419E-2</v>
      </c>
      <c r="C34" s="21"/>
      <c r="D34" s="21"/>
      <c r="E34" s="21"/>
      <c r="F34" s="21"/>
      <c r="G34" s="21"/>
      <c r="H34" s="21"/>
      <c r="I34" s="21"/>
      <c r="J34" s="16"/>
      <c r="K34" s="16"/>
      <c r="L34" s="16"/>
      <c r="M34" s="16"/>
      <c r="N34" s="16"/>
      <c r="O34" s="16"/>
    </row>
    <row r="35" spans="1:15" x14ac:dyDescent="0.25">
      <c r="A35" s="19" t="s">
        <v>23</v>
      </c>
      <c r="B35" s="20">
        <v>1.0170564316234728E-2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</row>
    <row r="36" spans="1:15" x14ac:dyDescent="0.25">
      <c r="A36" s="19" t="s">
        <v>24</v>
      </c>
      <c r="B36" s="20">
        <v>9.1698196661943367E-3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</row>
    <row r="37" spans="1:15" x14ac:dyDescent="0.25">
      <c r="A37" s="19" t="s">
        <v>25</v>
      </c>
      <c r="B37" s="20">
        <v>8.775890815102938E-3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</row>
    <row r="38" spans="1:15" x14ac:dyDescent="0.25">
      <c r="A38" s="19" t="s">
        <v>26</v>
      </c>
      <c r="B38" s="20">
        <v>1.1788856839686614E-2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</row>
    <row r="39" spans="1:15" x14ac:dyDescent="0.25">
      <c r="A39" s="19" t="s">
        <v>27</v>
      </c>
      <c r="B39" s="20">
        <v>8.7489811657484803E-3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</row>
    <row r="40" spans="1:15" x14ac:dyDescent="0.25">
      <c r="A40" s="19" t="s">
        <v>28</v>
      </c>
      <c r="B40" s="20">
        <v>1.1546458860482254E-2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</row>
    <row r="41" spans="1:15" x14ac:dyDescent="0.25">
      <c r="A41" s="19" t="s">
        <v>29</v>
      </c>
      <c r="B41" s="20">
        <v>1.2756177150852411E-2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</row>
    <row r="42" spans="1:15" x14ac:dyDescent="0.25">
      <c r="A42" s="19" t="s">
        <v>12</v>
      </c>
      <c r="B42" s="20">
        <v>1.1651265332916858E-2</v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</row>
    <row r="43" spans="1:15" x14ac:dyDescent="0.25">
      <c r="A43" s="19" t="s">
        <v>30</v>
      </c>
      <c r="B43" s="20">
        <v>1.0439073004293906E-2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</row>
    <row r="44" spans="1:15" x14ac:dyDescent="0.25">
      <c r="A44" s="19" t="s">
        <v>31</v>
      </c>
      <c r="B44" s="20">
        <v>8.3566026055680066E-3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</row>
    <row r="45" spans="1:15" x14ac:dyDescent="0.25">
      <c r="A45" s="7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</row>
    <row r="46" spans="1:15" x14ac:dyDescent="0.25">
      <c r="A46" s="7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</row>
    <row r="47" spans="1:15" x14ac:dyDescent="0.25">
      <c r="A47" s="7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</row>
    <row r="48" spans="1:15" x14ac:dyDescent="0.25">
      <c r="A48" s="7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</row>
    <row r="49" spans="1:15" x14ac:dyDescent="0.25">
      <c r="A49" s="7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</row>
    <row r="50" spans="1:15" x14ac:dyDescent="0.25">
      <c r="A50" s="7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</row>
    <row r="51" spans="1:15" x14ac:dyDescent="0.25">
      <c r="A51" s="7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</row>
    <row r="52" spans="1:15" x14ac:dyDescent="0.25">
      <c r="A52" s="7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</row>
    <row r="53" spans="1:15" x14ac:dyDescent="0.25">
      <c r="A53" s="7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</row>
    <row r="54" spans="1:15" x14ac:dyDescent="0.25">
      <c r="A54" s="7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</row>
    <row r="55" spans="1:15" x14ac:dyDescent="0.25">
      <c r="A55" s="7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</row>
    <row r="56" spans="1:15" x14ac:dyDescent="0.25">
      <c r="A56" s="7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</row>
    <row r="57" spans="1:15" x14ac:dyDescent="0.25">
      <c r="A57" s="7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</row>
    <row r="58" spans="1:15" x14ac:dyDescent="0.25">
      <c r="A58" s="7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</row>
    <row r="59" spans="1:15" x14ac:dyDescent="0.25">
      <c r="A59" s="7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</row>
    <row r="60" spans="1:15" x14ac:dyDescent="0.25">
      <c r="A60" s="7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</row>
    <row r="61" spans="1:15" x14ac:dyDescent="0.25">
      <c r="A61" s="7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</row>
    <row r="62" spans="1:15" x14ac:dyDescent="0.25">
      <c r="A62" s="7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</row>
    <row r="63" spans="1:15" x14ac:dyDescent="0.25">
      <c r="A63" s="7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</row>
    <row r="64" spans="1:15" x14ac:dyDescent="0.25">
      <c r="A64" s="7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</row>
    <row r="65" spans="1:15" x14ac:dyDescent="0.25">
      <c r="A65" s="7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</row>
    <row r="66" spans="1:15" x14ac:dyDescent="0.25">
      <c r="A66" s="7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</row>
    <row r="67" spans="1:15" x14ac:dyDescent="0.25">
      <c r="A67" s="7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</row>
    <row r="68" spans="1:15" x14ac:dyDescent="0.25">
      <c r="A68" s="7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</row>
    <row r="69" spans="1:15" x14ac:dyDescent="0.25">
      <c r="A69" s="7"/>
    </row>
  </sheetData>
  <mergeCells count="3">
    <mergeCell ref="A1:O1"/>
    <mergeCell ref="A7:O7"/>
    <mergeCell ref="C31:I34"/>
  </mergeCells>
  <phoneticPr fontId="1" type="noConversion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3073" r:id="rId3">
          <objectPr defaultSize="0" autoPict="0" r:id="rId4">
            <anchor moveWithCells="1" sizeWithCells="1">
              <from>
                <xdr:col>12</xdr:col>
                <xdr:colOff>205740</xdr:colOff>
                <xdr:row>28</xdr:row>
                <xdr:rowOff>220980</xdr:rowOff>
              </from>
              <to>
                <xdr:col>21</xdr:col>
                <xdr:colOff>350520</xdr:colOff>
                <xdr:row>44</xdr:row>
                <xdr:rowOff>60960</xdr:rowOff>
              </to>
            </anchor>
          </objectPr>
        </oleObject>
      </mc:Choice>
      <mc:Fallback>
        <oleObject progId="Equation.DSMT4" shapeId="3073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returns</vt:lpstr>
      <vt:lpstr>varcov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2024-11-11T02:09:51Z</dcterms:modified>
</cp:coreProperties>
</file>