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3\practice\"/>
    </mc:Choice>
  </mc:AlternateContent>
  <xr:revisionPtr revIDLastSave="0" documentId="13_ncr:1_{C051E86D-7108-42BC-90DA-AEFD073D1D3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6" i="1" l="1" a="1"/>
  <c r="C46" i="1" s="1"/>
  <c r="B28" i="1"/>
  <c r="B27" i="1"/>
  <c r="H21" i="1"/>
  <c r="G21" i="1"/>
  <c r="F21" i="1"/>
  <c r="E21" i="1"/>
  <c r="D21" i="1"/>
  <c r="C21" i="1"/>
  <c r="B21" i="1"/>
  <c r="O20" i="1"/>
  <c r="D19" i="1"/>
  <c r="C19" i="1"/>
  <c r="B19" i="1"/>
  <c r="O18" i="1"/>
  <c r="N18" i="1"/>
  <c r="M18" i="1"/>
  <c r="L18" i="1"/>
  <c r="K18" i="1"/>
  <c r="N16" i="1"/>
  <c r="M16" i="1"/>
  <c r="L16" i="1"/>
  <c r="K16" i="1"/>
  <c r="J16" i="1"/>
  <c r="I16" i="1"/>
  <c r="H16" i="1"/>
  <c r="G16" i="1"/>
  <c r="J14" i="1"/>
  <c r="I14" i="1"/>
  <c r="H14" i="1"/>
  <c r="G14" i="1"/>
  <c r="F14" i="1"/>
  <c r="E14" i="1"/>
  <c r="D14" i="1"/>
  <c r="C14" i="1"/>
  <c r="F12" i="1"/>
  <c r="E12" i="1"/>
  <c r="D12" i="1"/>
  <c r="C12" i="1"/>
  <c r="B12" i="1"/>
  <c r="O11" i="1"/>
  <c r="N11" i="1"/>
  <c r="M11" i="1"/>
  <c r="B10" i="1"/>
  <c r="O9" i="1"/>
  <c r="N9" i="1"/>
  <c r="M9" i="1"/>
  <c r="L9" i="1"/>
  <c r="K9" i="1"/>
  <c r="J9" i="1"/>
  <c r="I9" i="1"/>
  <c r="B9" i="1" a="1"/>
  <c r="N20" i="1" s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A66" i="1"/>
  <c r="G46" i="1"/>
  <c r="G33" i="1"/>
  <c r="A48" i="1"/>
  <c r="C29" i="1"/>
  <c r="C28" i="1"/>
  <c r="C27" i="1"/>
  <c r="A7" i="1"/>
  <c r="J12" i="1" l="1"/>
  <c r="H19" i="1"/>
  <c r="L21" i="1"/>
  <c r="G10" i="1"/>
  <c r="K12" i="1"/>
  <c r="O14" i="1"/>
  <c r="E17" i="1"/>
  <c r="I19" i="1"/>
  <c r="M21" i="1"/>
  <c r="H10" i="1"/>
  <c r="L12" i="1"/>
  <c r="B15" i="1"/>
  <c r="F17" i="1"/>
  <c r="J19" i="1"/>
  <c r="N21" i="1"/>
  <c r="I10" i="1"/>
  <c r="M12" i="1"/>
  <c r="C15" i="1"/>
  <c r="G17" i="1"/>
  <c r="K19" i="1"/>
  <c r="O21" i="1"/>
  <c r="J10" i="1"/>
  <c r="N12" i="1"/>
  <c r="D15" i="1"/>
  <c r="H17" i="1"/>
  <c r="L19" i="1"/>
  <c r="B22" i="1"/>
  <c r="O16" i="1"/>
  <c r="J21" i="1"/>
  <c r="I12" i="1"/>
  <c r="F10" i="1"/>
  <c r="D17" i="1"/>
  <c r="K10" i="1"/>
  <c r="O12" i="1"/>
  <c r="E15" i="1"/>
  <c r="I17" i="1"/>
  <c r="M19" i="1"/>
  <c r="C22" i="1"/>
  <c r="I21" i="1"/>
  <c r="L14" i="1"/>
  <c r="E10" i="1"/>
  <c r="G19" i="1"/>
  <c r="D22" i="1"/>
  <c r="O10" i="1"/>
  <c r="E13" i="1"/>
  <c r="I15" i="1"/>
  <c r="M17" i="1"/>
  <c r="C20" i="1"/>
  <c r="G22" i="1"/>
  <c r="L10" i="1"/>
  <c r="B13" i="1"/>
  <c r="F15" i="1"/>
  <c r="J17" i="1"/>
  <c r="N19" i="1"/>
  <c r="C13" i="1"/>
  <c r="G15" i="1"/>
  <c r="K17" i="1"/>
  <c r="O19" i="1"/>
  <c r="E22" i="1"/>
  <c r="N10" i="1"/>
  <c r="D13" i="1"/>
  <c r="H15" i="1"/>
  <c r="L17" i="1"/>
  <c r="B20" i="1"/>
  <c r="F22" i="1"/>
  <c r="B11" i="1"/>
  <c r="F13" i="1"/>
  <c r="J15" i="1"/>
  <c r="N17" i="1"/>
  <c r="D20" i="1"/>
  <c r="H22" i="1"/>
  <c r="E19" i="1"/>
  <c r="H12" i="1"/>
  <c r="C17" i="1"/>
  <c r="C11" i="1"/>
  <c r="K15" i="1"/>
  <c r="E20" i="1"/>
  <c r="I22" i="1"/>
  <c r="D11" i="1"/>
  <c r="H13" i="1"/>
  <c r="L15" i="1"/>
  <c r="B18" i="1"/>
  <c r="F20" i="1"/>
  <c r="J22" i="1"/>
  <c r="E11" i="1"/>
  <c r="I13" i="1"/>
  <c r="M15" i="1"/>
  <c r="C18" i="1"/>
  <c r="G20" i="1"/>
  <c r="K22" i="1"/>
  <c r="C10" i="1"/>
  <c r="D10" i="1"/>
  <c r="F19" i="1"/>
  <c r="K21" i="1"/>
  <c r="O17" i="1"/>
  <c r="B9" i="1"/>
  <c r="F11" i="1"/>
  <c r="J13" i="1"/>
  <c r="N15" i="1"/>
  <c r="D18" i="1"/>
  <c r="H20" i="1"/>
  <c r="L22" i="1"/>
  <c r="K14" i="1"/>
  <c r="G13" i="1"/>
  <c r="C9" i="1"/>
  <c r="G11" i="1"/>
  <c r="K13" i="1"/>
  <c r="O15" i="1"/>
  <c r="E18" i="1"/>
  <c r="I20" i="1"/>
  <c r="M22" i="1"/>
  <c r="N14" i="1"/>
  <c r="B16" i="1"/>
  <c r="E9" i="1"/>
  <c r="I11" i="1"/>
  <c r="M13" i="1"/>
  <c r="C16" i="1"/>
  <c r="G18" i="1"/>
  <c r="K20" i="1"/>
  <c r="O22" i="1"/>
  <c r="D9" i="1"/>
  <c r="L13" i="1"/>
  <c r="J20" i="1"/>
  <c r="F9" i="1"/>
  <c r="J11" i="1"/>
  <c r="N13" i="1"/>
  <c r="D16" i="1"/>
  <c r="H18" i="1"/>
  <c r="L20" i="1"/>
  <c r="M10" i="1"/>
  <c r="H11" i="1"/>
  <c r="F18" i="1"/>
  <c r="N22" i="1"/>
  <c r="G9" i="1"/>
  <c r="K11" i="1"/>
  <c r="O13" i="1"/>
  <c r="E16" i="1"/>
  <c r="I18" i="1"/>
  <c r="M20" i="1"/>
  <c r="G12" i="1"/>
  <c r="B17" i="1"/>
  <c r="M14" i="1"/>
  <c r="H9" i="1"/>
  <c r="L11" i="1"/>
  <c r="B14" i="1"/>
  <c r="F16" i="1"/>
  <c r="J18" i="1"/>
  <c r="B68" i="1" l="1" a="1"/>
  <c r="B32" i="1" a="1"/>
  <c r="B37" i="1" l="1"/>
  <c r="B35" i="1"/>
  <c r="B36" i="1"/>
  <c r="B45" i="1"/>
  <c r="B44" i="1"/>
  <c r="B43" i="1"/>
  <c r="B38" i="1"/>
  <c r="B42" i="1"/>
  <c r="B41" i="1"/>
  <c r="B40" i="1"/>
  <c r="B39" i="1"/>
  <c r="B34" i="1"/>
  <c r="B33" i="1"/>
  <c r="B32" i="1"/>
  <c r="O81" i="1"/>
  <c r="K79" i="1"/>
  <c r="G77" i="1"/>
  <c r="C75" i="1"/>
  <c r="M72" i="1"/>
  <c r="I70" i="1"/>
  <c r="E68" i="1"/>
  <c r="I69" i="1"/>
  <c r="D78" i="1"/>
  <c r="G80" i="1"/>
  <c r="B78" i="1"/>
  <c r="N81" i="1"/>
  <c r="J79" i="1"/>
  <c r="F77" i="1"/>
  <c r="B75" i="1"/>
  <c r="L72" i="1"/>
  <c r="H70" i="1"/>
  <c r="D68" i="1"/>
  <c r="D72" i="1"/>
  <c r="G76" i="1"/>
  <c r="M81" i="1"/>
  <c r="I79" i="1"/>
  <c r="E77" i="1"/>
  <c r="O74" i="1"/>
  <c r="K72" i="1"/>
  <c r="G70" i="1"/>
  <c r="C68" i="1"/>
  <c r="N69" i="1"/>
  <c r="C74" i="1"/>
  <c r="G71" i="1"/>
  <c r="J73" i="1"/>
  <c r="L81" i="1"/>
  <c r="H79" i="1"/>
  <c r="D77" i="1"/>
  <c r="N74" i="1"/>
  <c r="J72" i="1"/>
  <c r="F70" i="1"/>
  <c r="B68" i="1"/>
  <c r="H74" i="1"/>
  <c r="K73" i="1"/>
  <c r="K81" i="1"/>
  <c r="G79" i="1"/>
  <c r="C77" i="1"/>
  <c r="M74" i="1"/>
  <c r="I72" i="1"/>
  <c r="E70" i="1"/>
  <c r="J81" i="1"/>
  <c r="F79" i="1"/>
  <c r="B77" i="1"/>
  <c r="L74" i="1"/>
  <c r="H72" i="1"/>
  <c r="D70" i="1"/>
  <c r="L76" i="1"/>
  <c r="O68" i="1"/>
  <c r="N68" i="1"/>
  <c r="I81" i="1"/>
  <c r="E79" i="1"/>
  <c r="O76" i="1"/>
  <c r="K74" i="1"/>
  <c r="G72" i="1"/>
  <c r="C70" i="1"/>
  <c r="B79" i="1"/>
  <c r="M71" i="1"/>
  <c r="N75" i="1"/>
  <c r="M75" i="1"/>
  <c r="L75" i="1"/>
  <c r="H81" i="1"/>
  <c r="D79" i="1"/>
  <c r="N76" i="1"/>
  <c r="J74" i="1"/>
  <c r="F72" i="1"/>
  <c r="B70" i="1"/>
  <c r="G81" i="1"/>
  <c r="C79" i="1"/>
  <c r="M76" i="1"/>
  <c r="I74" i="1"/>
  <c r="E72" i="1"/>
  <c r="O69" i="1"/>
  <c r="F81" i="1"/>
  <c r="B69" i="1"/>
  <c r="E71" i="1"/>
  <c r="D71" i="1"/>
  <c r="E81" i="1"/>
  <c r="O78" i="1"/>
  <c r="K76" i="1"/>
  <c r="G74" i="1"/>
  <c r="C72" i="1"/>
  <c r="M69" i="1"/>
  <c r="M78" i="1"/>
  <c r="I76" i="1"/>
  <c r="E74" i="1"/>
  <c r="O71" i="1"/>
  <c r="B81" i="1"/>
  <c r="H76" i="1"/>
  <c r="D74" i="1"/>
  <c r="J69" i="1"/>
  <c r="O80" i="1"/>
  <c r="O75" i="1"/>
  <c r="D81" i="1"/>
  <c r="N78" i="1"/>
  <c r="J76" i="1"/>
  <c r="F74" i="1"/>
  <c r="B72" i="1"/>
  <c r="L69" i="1"/>
  <c r="C81" i="1"/>
  <c r="K69" i="1"/>
  <c r="L78" i="1"/>
  <c r="N71" i="1"/>
  <c r="K78" i="1"/>
  <c r="F71" i="1"/>
  <c r="C78" i="1"/>
  <c r="F80" i="1"/>
  <c r="N80" i="1"/>
  <c r="J78" i="1"/>
  <c r="F76" i="1"/>
  <c r="B74" i="1"/>
  <c r="L71" i="1"/>
  <c r="H69" i="1"/>
  <c r="G78" i="1"/>
  <c r="F78" i="1"/>
  <c r="E78" i="1"/>
  <c r="H80" i="1"/>
  <c r="I73" i="1"/>
  <c r="H73" i="1"/>
  <c r="M80" i="1"/>
  <c r="I78" i="1"/>
  <c r="E76" i="1"/>
  <c r="O73" i="1"/>
  <c r="K71" i="1"/>
  <c r="G69" i="1"/>
  <c r="L80" i="1"/>
  <c r="H78" i="1"/>
  <c r="D76" i="1"/>
  <c r="N73" i="1"/>
  <c r="J71" i="1"/>
  <c r="F69" i="1"/>
  <c r="K80" i="1"/>
  <c r="C76" i="1"/>
  <c r="M73" i="1"/>
  <c r="I71" i="1"/>
  <c r="E69" i="1"/>
  <c r="J80" i="1"/>
  <c r="B76" i="1"/>
  <c r="L73" i="1"/>
  <c r="H71" i="1"/>
  <c r="D69" i="1"/>
  <c r="I80" i="1"/>
  <c r="E80" i="1"/>
  <c r="C71" i="1"/>
  <c r="D80" i="1"/>
  <c r="B71" i="1"/>
  <c r="C80" i="1"/>
  <c r="O70" i="1"/>
  <c r="B80" i="1"/>
  <c r="N70" i="1"/>
  <c r="O79" i="1"/>
  <c r="M70" i="1"/>
  <c r="G75" i="1"/>
  <c r="N79" i="1"/>
  <c r="L70" i="1"/>
  <c r="M79" i="1"/>
  <c r="K70" i="1"/>
  <c r="L68" i="1"/>
  <c r="H68" i="1"/>
  <c r="H75" i="1"/>
  <c r="O72" i="1"/>
  <c r="N72" i="1"/>
  <c r="L79" i="1"/>
  <c r="J70" i="1"/>
  <c r="I77" i="1"/>
  <c r="F75" i="1"/>
  <c r="O77" i="1"/>
  <c r="C69" i="1"/>
  <c r="N77" i="1"/>
  <c r="M68" i="1"/>
  <c r="J68" i="1"/>
  <c r="I75" i="1"/>
  <c r="M77" i="1"/>
  <c r="I68" i="1"/>
  <c r="L77" i="1"/>
  <c r="K68" i="1"/>
  <c r="K77" i="1"/>
  <c r="J77" i="1"/>
  <c r="H77" i="1"/>
  <c r="G68" i="1"/>
  <c r="K75" i="1"/>
  <c r="F68" i="1"/>
  <c r="J75" i="1"/>
  <c r="E75" i="1"/>
  <c r="D75" i="1"/>
  <c r="G73" i="1"/>
  <c r="F73" i="1"/>
  <c r="E73" i="1"/>
  <c r="D73" i="1"/>
  <c r="C73" i="1"/>
  <c r="B73" i="1"/>
  <c r="B29" i="1" l="1" a="1"/>
  <c r="B29" i="1" s="1"/>
  <c r="B50" i="1" a="1"/>
  <c r="C62" i="1" l="1"/>
  <c r="M59" i="1"/>
  <c r="I57" i="1"/>
  <c r="E55" i="1"/>
  <c r="O52" i="1"/>
  <c r="K50" i="1"/>
  <c r="O54" i="1"/>
  <c r="G58" i="1"/>
  <c r="B56" i="1"/>
  <c r="K53" i="1"/>
  <c r="F51" i="1"/>
  <c r="B62" i="1"/>
  <c r="L59" i="1"/>
  <c r="H57" i="1"/>
  <c r="D55" i="1"/>
  <c r="N52" i="1"/>
  <c r="J50" i="1"/>
  <c r="I59" i="1"/>
  <c r="K52" i="1"/>
  <c r="O61" i="1"/>
  <c r="K59" i="1"/>
  <c r="G57" i="1"/>
  <c r="C55" i="1"/>
  <c r="M52" i="1"/>
  <c r="I50" i="1"/>
  <c r="E57" i="1"/>
  <c r="G50" i="1"/>
  <c r="E58" i="1"/>
  <c r="D58" i="1"/>
  <c r="N61" i="1"/>
  <c r="J59" i="1"/>
  <c r="F57" i="1"/>
  <c r="B55" i="1"/>
  <c r="L52" i="1"/>
  <c r="H50" i="1"/>
  <c r="M61" i="1"/>
  <c r="C61" i="1"/>
  <c r="I56" i="1"/>
  <c r="H60" i="1"/>
  <c r="L61" i="1"/>
  <c r="H59" i="1"/>
  <c r="D57" i="1"/>
  <c r="N54" i="1"/>
  <c r="J52" i="1"/>
  <c r="F50" i="1"/>
  <c r="G63" i="1"/>
  <c r="O62" i="1"/>
  <c r="N62" i="1"/>
  <c r="O63" i="1"/>
  <c r="K61" i="1"/>
  <c r="G59" i="1"/>
  <c r="C57" i="1"/>
  <c r="M54" i="1"/>
  <c r="I52" i="1"/>
  <c r="E50" i="1"/>
  <c r="M53" i="1"/>
  <c r="G51" i="1"/>
  <c r="J53" i="1"/>
  <c r="N63" i="1"/>
  <c r="J61" i="1"/>
  <c r="F59" i="1"/>
  <c r="B57" i="1"/>
  <c r="L54" i="1"/>
  <c r="H52" i="1"/>
  <c r="D50" i="1"/>
  <c r="M63" i="1"/>
  <c r="I61" i="1"/>
  <c r="E59" i="1"/>
  <c r="O56" i="1"/>
  <c r="K54" i="1"/>
  <c r="G52" i="1"/>
  <c r="C50" i="1"/>
  <c r="L63" i="1"/>
  <c r="H61" i="1"/>
  <c r="D59" i="1"/>
  <c r="N56" i="1"/>
  <c r="J54" i="1"/>
  <c r="F52" i="1"/>
  <c r="B50" i="1"/>
  <c r="M58" i="1"/>
  <c r="C56" i="1"/>
  <c r="H51" i="1"/>
  <c r="K63" i="1"/>
  <c r="G61" i="1"/>
  <c r="C59" i="1"/>
  <c r="M56" i="1"/>
  <c r="I54" i="1"/>
  <c r="E52" i="1"/>
  <c r="I63" i="1"/>
  <c r="E61" i="1"/>
  <c r="K56" i="1"/>
  <c r="C52" i="1"/>
  <c r="D61" i="1"/>
  <c r="J56" i="1"/>
  <c r="B52" i="1"/>
  <c r="E54" i="1"/>
  <c r="O51" i="1"/>
  <c r="M62" i="1"/>
  <c r="J63" i="1"/>
  <c r="F61" i="1"/>
  <c r="B59" i="1"/>
  <c r="L56" i="1"/>
  <c r="H54" i="1"/>
  <c r="D52" i="1"/>
  <c r="O58" i="1"/>
  <c r="G54" i="1"/>
  <c r="H63" i="1"/>
  <c r="N58" i="1"/>
  <c r="F54" i="1"/>
  <c r="K60" i="1"/>
  <c r="L53" i="1"/>
  <c r="O55" i="1"/>
  <c r="I60" i="1"/>
  <c r="L62" i="1"/>
  <c r="F63" i="1"/>
  <c r="B61" i="1"/>
  <c r="L58" i="1"/>
  <c r="H56" i="1"/>
  <c r="D54" i="1"/>
  <c r="N51" i="1"/>
  <c r="F58" i="1"/>
  <c r="E63" i="1"/>
  <c r="O60" i="1"/>
  <c r="K58" i="1"/>
  <c r="G56" i="1"/>
  <c r="C54" i="1"/>
  <c r="M51" i="1"/>
  <c r="D63" i="1"/>
  <c r="N60" i="1"/>
  <c r="J58" i="1"/>
  <c r="F56" i="1"/>
  <c r="B54" i="1"/>
  <c r="L51" i="1"/>
  <c r="C63" i="1"/>
  <c r="M60" i="1"/>
  <c r="I58" i="1"/>
  <c r="E56" i="1"/>
  <c r="O53" i="1"/>
  <c r="K51" i="1"/>
  <c r="B63" i="1"/>
  <c r="L60" i="1"/>
  <c r="H58" i="1"/>
  <c r="D56" i="1"/>
  <c r="N53" i="1"/>
  <c r="J51" i="1"/>
  <c r="I51" i="1"/>
  <c r="J60" i="1"/>
  <c r="O59" i="1"/>
  <c r="N50" i="1"/>
  <c r="N59" i="1"/>
  <c r="M50" i="1"/>
  <c r="C58" i="1"/>
  <c r="L50" i="1"/>
  <c r="C51" i="1"/>
  <c r="B58" i="1"/>
  <c r="O57" i="1"/>
  <c r="D60" i="1"/>
  <c r="N57" i="1"/>
  <c r="M57" i="1"/>
  <c r="K55" i="1"/>
  <c r="K62" i="1"/>
  <c r="L57" i="1"/>
  <c r="N55" i="1"/>
  <c r="F55" i="1"/>
  <c r="J62" i="1"/>
  <c r="H53" i="1"/>
  <c r="C60" i="1"/>
  <c r="B60" i="1"/>
  <c r="K57" i="1"/>
  <c r="L55" i="1"/>
  <c r="O50" i="1"/>
  <c r="J57" i="1"/>
  <c r="M55" i="1"/>
  <c r="J55" i="1"/>
  <c r="G53" i="1"/>
  <c r="I55" i="1"/>
  <c r="H55" i="1"/>
  <c r="G55" i="1"/>
  <c r="I53" i="1"/>
  <c r="I62" i="1"/>
  <c r="H62" i="1"/>
  <c r="G62" i="1"/>
  <c r="F53" i="1"/>
  <c r="F62" i="1"/>
  <c r="E53" i="1"/>
  <c r="E62" i="1"/>
  <c r="D53" i="1"/>
  <c r="D62" i="1"/>
  <c r="C53" i="1"/>
  <c r="G60" i="1"/>
  <c r="B53" i="1"/>
  <c r="F60" i="1"/>
  <c r="E51" i="1"/>
  <c r="E60" i="1"/>
  <c r="D51" i="1"/>
  <c r="B51" i="1"/>
  <c r="D32" i="1" l="1" a="1"/>
  <c r="D43" i="1" l="1"/>
  <c r="D42" i="1"/>
  <c r="D41" i="1"/>
  <c r="D40" i="1"/>
  <c r="D39" i="1"/>
  <c r="D38" i="1"/>
  <c r="D37" i="1"/>
  <c r="D36" i="1"/>
  <c r="D35" i="1"/>
  <c r="D34" i="1"/>
  <c r="D33" i="1"/>
  <c r="D32" i="1"/>
  <c r="F32" i="1" s="1" a="1"/>
  <c r="D45" i="1"/>
  <c r="D44" i="1"/>
  <c r="F38" i="1" l="1"/>
  <c r="F37" i="1"/>
  <c r="F45" i="1"/>
  <c r="F39" i="1"/>
  <c r="F44" i="1"/>
  <c r="F43" i="1"/>
  <c r="F42" i="1"/>
  <c r="F41" i="1"/>
  <c r="F40" i="1"/>
  <c r="F36" i="1"/>
  <c r="F35" i="1"/>
  <c r="F34" i="1"/>
  <c r="F32" i="1"/>
  <c r="F33" i="1"/>
  <c r="F46" i="1" l="1"/>
</calcChain>
</file>

<file path=xl/sharedStrings.xml><?xml version="1.0" encoding="utf-8"?>
<sst xmlns="http://schemas.openxmlformats.org/spreadsheetml/2006/main" count="124" uniqueCount="26">
  <si>
    <t>HIGH-BETA INDEX FROM DOW-JONES 30 COMPONENTS</t>
  </si>
  <si>
    <t>MMM</t>
  </si>
  <si>
    <t>AA</t>
  </si>
  <si>
    <t>AXP</t>
  </si>
  <si>
    <t>AIG</t>
  </si>
  <si>
    <t>CAT</t>
  </si>
  <si>
    <t>DD</t>
  </si>
  <si>
    <t>XOM</t>
  </si>
  <si>
    <t>HPQ</t>
  </si>
  <si>
    <t>HD</t>
  </si>
  <si>
    <t>HON</t>
  </si>
  <si>
    <t>INTC</t>
  </si>
  <si>
    <t>IBM</t>
  </si>
  <si>
    <t>MCD</t>
  </si>
  <si>
    <t>MRK</t>
  </si>
  <si>
    <t>Market cap</t>
  </si>
  <si>
    <t>Weight</t>
  </si>
  <si>
    <t>Computing the expected returns using Black-Litterman</t>
  </si>
  <si>
    <t>Risk-free</t>
  </si>
  <si>
    <t>Expected index return</t>
  </si>
  <si>
    <t>Check:  
Index return</t>
  </si>
  <si>
    <t>Black-Litterman neutral returns</t>
  </si>
  <si>
    <t>Analyst
opinion,
delta</t>
  </si>
  <si>
    <t>Adjusted
returns</t>
  </si>
  <si>
    <t>Adjusted portfolio holdings</t>
  </si>
  <si>
    <r>
      <rPr>
        <sz val="11"/>
        <color theme="1"/>
        <rFont val="Malgun Gothic Semilight"/>
        <family val="2"/>
        <charset val="134"/>
      </rPr>
      <t>σ</t>
    </r>
    <r>
      <rPr>
        <sz val="11"/>
        <color theme="1"/>
        <rFont val="等线"/>
        <family val="2"/>
        <charset val="134"/>
        <scheme val="minor"/>
      </rPr>
      <t>平方和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</si>
</sst>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[$-409]d\-mmm\-yy;@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Malgun Gothic Semilight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176" fontId="0" fillId="0" borderId="0" xfId="0" applyNumberFormat="1" applyAlignment="1"/>
    <xf numFmtId="0" fontId="4" fillId="0" borderId="0" xfId="0" applyFont="1" applyAlignment="1">
      <alignment horizontal="left"/>
    </xf>
    <xf numFmtId="177" fontId="0" fillId="2" borderId="0" xfId="0" applyNumberFormat="1" applyFill="1" applyAlignment="1">
      <alignment horizontal="center"/>
    </xf>
    <xf numFmtId="177" fontId="0" fillId="0" borderId="0" xfId="0" applyNumberFormat="1" applyAlignment="1">
      <alignment horizontal="center"/>
    </xf>
    <xf numFmtId="176" fontId="2" fillId="0" borderId="0" xfId="1" applyNumberFormat="1" applyAlignment="1"/>
    <xf numFmtId="10" fontId="2" fillId="0" borderId="0" xfId="1" applyNumberFormat="1" applyAlignment="1"/>
    <xf numFmtId="177" fontId="6" fillId="0" borderId="0" xfId="0" applyNumberFormat="1" applyFont="1" applyAlignment="1">
      <alignment horizontal="left"/>
    </xf>
    <xf numFmtId="177" fontId="0" fillId="0" borderId="0" xfId="0" applyNumberFormat="1" applyAlignment="1">
      <alignment horizontal="center" wrapText="1"/>
    </xf>
    <xf numFmtId="177" fontId="0" fillId="0" borderId="0" xfId="0" applyNumberFormat="1" applyAlignment="1">
      <alignment horizontal="center" vertical="center" wrapText="1"/>
    </xf>
    <xf numFmtId="10" fontId="5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0" fontId="2" fillId="0" borderId="0" xfId="1" applyNumberFormat="1" applyAlignment="1">
      <alignment horizontal="center" vertical="center" wrapText="1"/>
    </xf>
    <xf numFmtId="0" fontId="0" fillId="3" borderId="0" xfId="0" applyFill="1" applyAlignment="1">
      <alignment horizontal="center"/>
    </xf>
    <xf numFmtId="10" fontId="2" fillId="3" borderId="0" xfId="1" applyNumberFormat="1" applyFill="1" applyAlignment="1"/>
    <xf numFmtId="10" fontId="2" fillId="0" borderId="0" xfId="1" applyNumberFormat="1" applyAlignment="1">
      <alignment vertical="center"/>
    </xf>
    <xf numFmtId="0" fontId="7" fillId="0" borderId="0" xfId="0" applyFont="1" applyAlignment="1">
      <alignment horizontal="left"/>
    </xf>
    <xf numFmtId="177" fontId="7" fillId="0" borderId="0" xfId="0" applyNumberFormat="1" applyFont="1" applyAlignment="1">
      <alignment horizontal="left"/>
    </xf>
    <xf numFmtId="10" fontId="8" fillId="2" borderId="0" xfId="1" applyNumberFormat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10" fontId="0" fillId="4" borderId="0" xfId="1" applyNumberFormat="1" applyFont="1" applyFill="1" applyAlignment="1">
      <alignment horizontal="center"/>
    </xf>
    <xf numFmtId="10" fontId="2" fillId="4" borderId="0" xfId="1" applyNumberFormat="1" applyFill="1" applyAlignment="1"/>
    <xf numFmtId="0" fontId="0" fillId="4" borderId="0" xfId="0" applyFill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561975</xdr:colOff>
      <xdr:row>1</xdr:row>
      <xdr:rowOff>85725</xdr:rowOff>
    </xdr:from>
    <xdr:to>
      <xdr:col>33</xdr:col>
      <xdr:colOff>133350</xdr:colOff>
      <xdr:row>80</xdr:row>
      <xdr:rowOff>131445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7070191-6419-AB43-A445-93CFB9B059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096625" y="304800"/>
          <a:ext cx="9934575" cy="14344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3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3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Data (中文)"/>
      <sheetName val="Returns"/>
      <sheetName val="Returns (中文)"/>
      <sheetName val="Var-cov-expected"/>
      <sheetName val="Var-cov-expected (中文)"/>
      <sheetName val="MMM opinion"/>
      <sheetName val="MMM opinion (中文)"/>
      <sheetName val="HD opinion"/>
      <sheetName val="HD opinion (中文)"/>
      <sheetName val="Var-cov check"/>
      <sheetName val="Var-cov check (中文)"/>
    </sheetNames>
    <sheetDataSet>
      <sheetData sheetId="0"/>
      <sheetData sheetId="1"/>
      <sheetData sheetId="2">
        <row r="7">
          <cell r="B7">
            <v>-2.2958067478948845E-3</v>
          </cell>
          <cell r="C7">
            <v>-7.5274631069886494E-2</v>
          </cell>
          <cell r="D7">
            <v>2.2155991897208641E-2</v>
          </cell>
          <cell r="E7">
            <v>-1.774279473911939E-2</v>
          </cell>
          <cell r="F7">
            <v>-2.4037211381005681E-2</v>
          </cell>
          <cell r="G7">
            <v>-3.0859591626721656E-2</v>
          </cell>
          <cell r="H7">
            <v>-2.9972891008605305E-2</v>
          </cell>
          <cell r="I7">
            <v>-5.2807299218765653E-2</v>
          </cell>
          <cell r="J7">
            <v>6.4280489914361624E-2</v>
          </cell>
          <cell r="K7">
            <v>-7.1677837300430008E-2</v>
          </cell>
          <cell r="L7">
            <v>-0.11820542214629598</v>
          </cell>
          <cell r="M7">
            <v>7.0542982093650078E-2</v>
          </cell>
          <cell r="N7">
            <v>-4.0692775281176589E-2</v>
          </cell>
          <cell r="O7">
            <v>1.8316462209481413E-2</v>
          </cell>
        </row>
        <row r="8">
          <cell r="B8">
            <v>-0.12768872464887143</v>
          </cell>
          <cell r="C8">
            <v>-0.2626734995548845</v>
          </cell>
          <cell r="D8">
            <v>-0.1451716347323169</v>
          </cell>
          <cell r="E8">
            <v>-0.13726874815647602</v>
          </cell>
          <cell r="F8">
            <v>-0.15897731183180949</v>
          </cell>
          <cell r="G8">
            <v>-0.11098668240465491</v>
          </cell>
          <cell r="H8">
            <v>-0.10543022392874085</v>
          </cell>
          <cell r="I8">
            <v>-0.13467125368490507</v>
          </cell>
          <cell r="J8">
            <v>-0.23083434008218182</v>
          </cell>
          <cell r="K8">
            <v>-0.3239298628441219</v>
          </cell>
          <cell r="L8">
            <v>-0.18308230236126358</v>
          </cell>
          <cell r="M8">
            <v>-0.25675036054592409</v>
          </cell>
          <cell r="N8">
            <v>-0.29648861835938484</v>
          </cell>
          <cell r="O8">
            <v>-9.2641699002263156E-2</v>
          </cell>
        </row>
        <row r="9">
          <cell r="B9">
            <v>0.14364977558020411</v>
          </cell>
          <cell r="C9">
            <v>0.13417736429600732</v>
          </cell>
          <cell r="D9">
            <v>0.15639657926763981</v>
          </cell>
          <cell r="E9">
            <v>0.13414348860144595</v>
          </cell>
          <cell r="F9">
            <v>0.10214680105473065</v>
          </cell>
          <cell r="G9">
            <v>0.13422019555283202</v>
          </cell>
          <cell r="H9">
            <v>5.360849304035388E-2</v>
          </cell>
          <cell r="I9">
            <v>0.30307395621936489</v>
          </cell>
          <cell r="J9">
            <v>0.10116644228270387</v>
          </cell>
          <cell r="K9">
            <v>0.10013262518268681</v>
          </cell>
          <cell r="L9">
            <v>0.21978937832657913</v>
          </cell>
          <cell r="M9">
            <v>0.30292912454234117</v>
          </cell>
          <cell r="N9">
            <v>2.5131570903949022E-2</v>
          </cell>
          <cell r="O9">
            <v>0.17115136347945761</v>
          </cell>
        </row>
        <row r="10">
          <cell r="B10">
            <v>2.746010879949376E-2</v>
          </cell>
          <cell r="C10">
            <v>0.15293016059615935</v>
          </cell>
          <cell r="D10">
            <v>6.7897940905646173E-2</v>
          </cell>
          <cell r="E10">
            <v>4.0677008722018966E-2</v>
          </cell>
          <cell r="F10">
            <v>0.19969480000068515</v>
          </cell>
          <cell r="G10">
            <v>8.6845972516242917E-2</v>
          </cell>
          <cell r="H10">
            <v>3.9830422797960174E-2</v>
          </cell>
          <cell r="I10">
            <v>0.20957482210814096</v>
          </cell>
          <cell r="J10">
            <v>-8.9853190306167591E-2</v>
          </cell>
          <cell r="K10">
            <v>9.1012392290696811E-2</v>
          </cell>
          <cell r="L10">
            <v>0.1892209348115225</v>
          </cell>
          <cell r="M10">
            <v>9.8153829301039858E-2</v>
          </cell>
          <cell r="N10">
            <v>3.5091319811270193E-2</v>
          </cell>
          <cell r="O10">
            <v>9.1042702706625372E-2</v>
          </cell>
        </row>
        <row r="11">
          <cell r="B11">
            <v>-5.1765637798898284E-2</v>
          </cell>
          <cell r="C11">
            <v>-0.11450178691481255</v>
          </cell>
          <cell r="D11">
            <v>-9.4175854069931564E-2</v>
          </cell>
          <cell r="E11">
            <v>-0.11805988511137402</v>
          </cell>
          <cell r="F11">
            <v>-8.7171159685503916E-2</v>
          </cell>
          <cell r="G11">
            <v>-5.1197530568416284E-2</v>
          </cell>
          <cell r="H11">
            <v>4.1184914859701679E-3</v>
          </cell>
          <cell r="I11">
            <v>-0.11083998142245205</v>
          </cell>
          <cell r="J11">
            <v>-9.2101191892143761E-2</v>
          </cell>
          <cell r="K11">
            <v>-8.0327040914007511E-2</v>
          </cell>
          <cell r="L11">
            <v>-0.2934282434087373</v>
          </cell>
          <cell r="M11">
            <v>-0.11474949926289385</v>
          </cell>
          <cell r="N11">
            <v>-0.14031732743203845</v>
          </cell>
          <cell r="O11">
            <v>-4.2152666705960143E-2</v>
          </cell>
        </row>
        <row r="12">
          <cell r="B12">
            <v>1.0110950882124832E-2</v>
          </cell>
          <cell r="C12">
            <v>-0.14206037682316391</v>
          </cell>
          <cell r="D12">
            <v>5.0428750338619597E-3</v>
          </cell>
          <cell r="E12">
            <v>-6.6605447499742537E-2</v>
          </cell>
          <cell r="F12">
            <v>-3.165591815709666E-2</v>
          </cell>
          <cell r="G12">
            <v>-0.11283633047334735</v>
          </cell>
          <cell r="H12">
            <v>-2.270281359833615E-2</v>
          </cell>
          <cell r="I12">
            <v>3.0478536242533358E-3</v>
          </cell>
          <cell r="J12">
            <v>-0.13921143314022613</v>
          </cell>
          <cell r="K12">
            <v>1.7861706835971044E-2</v>
          </cell>
          <cell r="L12">
            <v>6.0831549534054626E-3</v>
          </cell>
          <cell r="M12">
            <v>9.0012027097830672E-3</v>
          </cell>
          <cell r="N12">
            <v>-0.12140424471687393</v>
          </cell>
          <cell r="O12">
            <v>-2.176193563425213E-2</v>
          </cell>
        </row>
        <row r="13">
          <cell r="B13">
            <v>1.1755552517920851E-2</v>
          </cell>
          <cell r="C13">
            <v>4.413682864379085E-2</v>
          </cell>
          <cell r="D13">
            <v>-5.6566802866058266E-2</v>
          </cell>
          <cell r="E13">
            <v>-9.3466370771937562E-2</v>
          </cell>
          <cell r="F13">
            <v>6.6515783274589638E-2</v>
          </cell>
          <cell r="G13">
            <v>-2.2612083140832007E-2</v>
          </cell>
          <cell r="H13">
            <v>2.9065093931364013E-3</v>
          </cell>
          <cell r="I13">
            <v>-9.3728959502845405E-2</v>
          </cell>
          <cell r="J13">
            <v>0.11513537053195214</v>
          </cell>
          <cell r="K13">
            <v>-5.7452174106979448E-2</v>
          </cell>
          <cell r="L13">
            <v>9.7513093435366613E-2</v>
          </cell>
          <cell r="M13">
            <v>-1.3383299642137883E-3</v>
          </cell>
          <cell r="N13">
            <v>-4.5038667698933867E-2</v>
          </cell>
          <cell r="O13">
            <v>-4.8801504673744354E-2</v>
          </cell>
        </row>
        <row r="14">
          <cell r="B14">
            <v>3.647977064966032E-2</v>
          </cell>
          <cell r="C14">
            <v>-5.5904966696645401E-2</v>
          </cell>
          <cell r="D14">
            <v>-1.0344304831136584E-2</v>
          </cell>
          <cell r="E14">
            <v>4.1692785014516461E-3</v>
          </cell>
          <cell r="F14">
            <v>4.5698971599759074E-2</v>
          </cell>
          <cell r="G14">
            <v>5.8115210211008989E-2</v>
          </cell>
          <cell r="H14">
            <v>2.6727648905814819E-2</v>
          </cell>
          <cell r="I14">
            <v>-1.4136889760502466E-2</v>
          </cell>
          <cell r="J14">
            <v>4.067757976081568E-2</v>
          </cell>
          <cell r="K14">
            <v>-6.916458952635339E-2</v>
          </cell>
          <cell r="L14">
            <v>-5.7877786577970866E-2</v>
          </cell>
          <cell r="M14">
            <v>6.1415413334588217E-3</v>
          </cell>
          <cell r="N14">
            <v>6.0110543057596055E-2</v>
          </cell>
          <cell r="O14">
            <v>4.4710589877524069E-2</v>
          </cell>
        </row>
        <row r="15">
          <cell r="B15">
            <v>-3.1087046438630288E-2</v>
          </cell>
          <cell r="C15">
            <v>0.174871854746532</v>
          </cell>
          <cell r="D15">
            <v>0.13276918037877475</v>
          </cell>
          <cell r="E15">
            <v>0.15856897100075321</v>
          </cell>
          <cell r="F15">
            <v>7.3728801269502722E-2</v>
          </cell>
          <cell r="G15">
            <v>9.0110324352734514E-2</v>
          </cell>
          <cell r="H15">
            <v>7.1954009801412418E-3</v>
          </cell>
          <cell r="I15">
            <v>4.7012960373447196E-2</v>
          </cell>
          <cell r="J15">
            <v>0.14419787311066382</v>
          </cell>
          <cell r="K15">
            <v>9.9936248193107077E-2</v>
          </cell>
          <cell r="L15">
            <v>0.12237810405180607</v>
          </cell>
          <cell r="M15">
            <v>7.9295005797614712E-2</v>
          </cell>
          <cell r="N15">
            <v>0.16762926010752899</v>
          </cell>
          <cell r="O15">
            <v>6.0316457468610973E-2</v>
          </cell>
        </row>
        <row r="16">
          <cell r="B16">
            <v>8.6371239994085542E-3</v>
          </cell>
          <cell r="C16">
            <v>7.0348632891472362E-2</v>
          </cell>
          <cell r="D16">
            <v>9.5738231462426535E-2</v>
          </cell>
          <cell r="E16">
            <v>-1.2434498449117645E-3</v>
          </cell>
          <cell r="F16">
            <v>-8.6652079224408349E-3</v>
          </cell>
          <cell r="G16">
            <v>-1.0810811863728189E-3</v>
          </cell>
          <cell r="H16">
            <v>4.0622473370351353E-2</v>
          </cell>
          <cell r="I16">
            <v>0.17897400223975735</v>
          </cell>
          <cell r="J16">
            <v>0.1440256471858464</v>
          </cell>
          <cell r="K16">
            <v>0.11191243147757718</v>
          </cell>
          <cell r="L16">
            <v>0.1248259885340893</v>
          </cell>
          <cell r="M16">
            <v>3.823658218444443E-2</v>
          </cell>
          <cell r="N16">
            <v>9.1219251912908403E-2</v>
          </cell>
          <cell r="O16">
            <v>-4.5621946423208354E-2</v>
          </cell>
        </row>
        <row r="17">
          <cell r="B17">
            <v>1.9586762588546351E-2</v>
          </cell>
          <cell r="C17">
            <v>3.5532334151383599E-2</v>
          </cell>
          <cell r="D17">
            <v>3.7021258288131103E-3</v>
          </cell>
          <cell r="E17">
            <v>-4.6943310398284414E-2</v>
          </cell>
          <cell r="F17">
            <v>6.4978747472804826E-2</v>
          </cell>
          <cell r="G17">
            <v>-1.1969675009118051E-2</v>
          </cell>
          <cell r="H17">
            <v>-1.3560551327394055E-2</v>
          </cell>
          <cell r="I17">
            <v>9.2405133323949021E-2</v>
          </cell>
          <cell r="J17">
            <v>2.0891005624596871E-2</v>
          </cell>
          <cell r="K17">
            <v>2.4702779376497959E-2</v>
          </cell>
          <cell r="L17">
            <v>-5.0594486280371165E-4</v>
          </cell>
          <cell r="M17">
            <v>-6.5027792685143554E-2</v>
          </cell>
          <cell r="N17">
            <v>0.16367299771588145</v>
          </cell>
          <cell r="O17">
            <v>9.1917782869763195E-2</v>
          </cell>
        </row>
        <row r="18">
          <cell r="B18">
            <v>8.3449071665920124E-2</v>
          </cell>
          <cell r="C18">
            <v>8.5626851500876025E-2</v>
          </cell>
          <cell r="D18">
            <v>5.7174205516156332E-2</v>
          </cell>
          <cell r="E18">
            <v>0.15148585919150626</v>
          </cell>
          <cell r="F18">
            <v>0.19837326580446249</v>
          </cell>
          <cell r="G18">
            <v>5.3807918792484317E-2</v>
          </cell>
          <cell r="H18">
            <v>-9.1436174989520322E-3</v>
          </cell>
          <cell r="I18">
            <v>-6.4308903302905144E-3</v>
          </cell>
          <cell r="J18">
            <v>-5.9631158721353106E-2</v>
          </cell>
          <cell r="K18">
            <v>5.1903112477390836E-2</v>
          </cell>
          <cell r="L18">
            <v>0.17885739887909466</v>
          </cell>
          <cell r="M18">
            <v>-1.5271358123533372E-2</v>
          </cell>
          <cell r="N18">
            <v>4.2232763623272995E-2</v>
          </cell>
          <cell r="O18">
            <v>-9.1020519462773383E-2</v>
          </cell>
        </row>
        <row r="19">
          <cell r="B19">
            <v>2.0730108946075052E-2</v>
          </cell>
          <cell r="C19">
            <v>3.3432508515112321E-2</v>
          </cell>
          <cell r="D19">
            <v>1.9671022373965636E-2</v>
          </cell>
          <cell r="E19">
            <v>-7.4945782069171712E-2</v>
          </cell>
          <cell r="F19">
            <v>6.2645807517799496E-2</v>
          </cell>
          <cell r="G19">
            <v>2.6108470432074711E-2</v>
          </cell>
          <cell r="H19">
            <v>6.4615064441983242E-2</v>
          </cell>
          <cell r="I19">
            <v>-6.0345504445769103E-2</v>
          </cell>
          <cell r="J19">
            <v>3.025999790713375E-2</v>
          </cell>
          <cell r="K19">
            <v>3.1169379962952937E-2</v>
          </cell>
          <cell r="L19">
            <v>0.13959633223943993</v>
          </cell>
          <cell r="M19">
            <v>1.1348543855448373E-2</v>
          </cell>
          <cell r="N19">
            <v>-2.6185738025755453E-2</v>
          </cell>
          <cell r="O19">
            <v>-3.9095160497229262E-2</v>
          </cell>
        </row>
        <row r="20">
          <cell r="B20">
            <v>-3.0866647980527268E-2</v>
          </cell>
          <cell r="C20">
            <v>-8.7629997485696068E-2</v>
          </cell>
          <cell r="D20">
            <v>2.6319252685147855E-4</v>
          </cell>
          <cell r="E20">
            <v>-3.0663812886115336E-2</v>
          </cell>
          <cell r="F20">
            <v>-4.2468578231848797E-2</v>
          </cell>
          <cell r="G20">
            <v>-0.11189464581704758</v>
          </cell>
          <cell r="H20">
            <v>-2.9418169191685075E-2</v>
          </cell>
          <cell r="I20">
            <v>-2.5088051862643682E-2</v>
          </cell>
          <cell r="J20">
            <v>-7.5620942314630684E-3</v>
          </cell>
          <cell r="K20">
            <v>-9.5347605654363884E-2</v>
          </cell>
          <cell r="L20">
            <v>-3.8264232927324573E-2</v>
          </cell>
          <cell r="M20">
            <v>7.4144197475225562E-2</v>
          </cell>
          <cell r="N20">
            <v>4.8950948798767907E-2</v>
          </cell>
          <cell r="O20">
            <v>1.3432346471911626E-2</v>
          </cell>
        </row>
        <row r="21">
          <cell r="B21">
            <v>0.1326493422904696</v>
          </cell>
          <cell r="C21">
            <v>0.18787541247675185</v>
          </cell>
          <cell r="D21">
            <v>4.3009074799853102E-2</v>
          </cell>
          <cell r="E21">
            <v>5.2680232499952732E-2</v>
          </cell>
          <cell r="F21">
            <v>6.7285213686359105E-2</v>
          </cell>
          <cell r="G21">
            <v>9.8412153739100474E-3</v>
          </cell>
          <cell r="H21">
            <v>-5.9136607282231596E-4</v>
          </cell>
          <cell r="I21">
            <v>0.14187486721336465</v>
          </cell>
          <cell r="J21">
            <v>0.15188503173263718</v>
          </cell>
          <cell r="K21">
            <v>0.14996620341058675</v>
          </cell>
          <cell r="L21">
            <v>0.18008834482738237</v>
          </cell>
          <cell r="M21">
            <v>1.2983397772423301E-2</v>
          </cell>
          <cell r="N21">
            <v>6.0165168557720784E-2</v>
          </cell>
          <cell r="O21">
            <v>-0.13448488527431496</v>
          </cell>
        </row>
        <row r="22">
          <cell r="B22">
            <v>6.4308903302903314E-3</v>
          </cell>
          <cell r="C22">
            <v>4.3157726112620851E-2</v>
          </cell>
          <cell r="D22">
            <v>-2.6307225181921558E-2</v>
          </cell>
          <cell r="E22">
            <v>-4.841886241498488E-2</v>
          </cell>
          <cell r="F22">
            <v>3.6951074759186367E-2</v>
          </cell>
          <cell r="G22">
            <v>3.4377096113080638E-2</v>
          </cell>
          <cell r="H22">
            <v>-3.5555593013332069E-3</v>
          </cell>
          <cell r="I22">
            <v>-2.5654613626562392E-2</v>
          </cell>
          <cell r="J22">
            <v>-8.5421931726763177E-3</v>
          </cell>
          <cell r="K22">
            <v>-2.4391453124159124E-2</v>
          </cell>
          <cell r="L22">
            <v>1.8354945683651966E-2</v>
          </cell>
          <cell r="M22">
            <v>1.3619785787578815E-2</v>
          </cell>
          <cell r="N22">
            <v>4.0268207990803745E-2</v>
          </cell>
          <cell r="O22">
            <v>-8.624611963451087E-2</v>
          </cell>
        </row>
        <row r="23">
          <cell r="B23">
            <v>7.3094287322875817E-2</v>
          </cell>
          <cell r="C23">
            <v>0.14682670342690285</v>
          </cell>
          <cell r="D23">
            <v>5.5618811961694686E-2</v>
          </cell>
          <cell r="E23">
            <v>0.13534583341173897</v>
          </cell>
          <cell r="F23">
            <v>8.7714167095160389E-2</v>
          </cell>
          <cell r="G23">
            <v>0.1017042044547159</v>
          </cell>
          <cell r="H23">
            <v>0.12458678916162431</v>
          </cell>
          <cell r="I23">
            <v>5.841417514317037E-2</v>
          </cell>
          <cell r="J23">
            <v>-3.3142568282667387E-2</v>
          </cell>
          <cell r="K23">
            <v>0.11867023981184896</v>
          </cell>
          <cell r="L23">
            <v>-4.5221750203520684E-2</v>
          </cell>
          <cell r="M23">
            <v>2.3341191083997837E-2</v>
          </cell>
          <cell r="N23">
            <v>-3.1654890312688928E-2</v>
          </cell>
          <cell r="O23">
            <v>0.13803928906371266</v>
          </cell>
        </row>
        <row r="24">
          <cell r="B24">
            <v>-7.2412577568476938E-2</v>
          </cell>
          <cell r="C24">
            <v>-0.10576898030774839</v>
          </cell>
          <cell r="D24">
            <v>7.223526326761405E-2</v>
          </cell>
          <cell r="E24">
            <v>4.6857596868582194E-2</v>
          </cell>
          <cell r="F24">
            <v>-5.615882268033956E-2</v>
          </cell>
          <cell r="G24">
            <v>-4.4440662621338563E-2</v>
          </cell>
          <cell r="H24">
            <v>-5.2548728383585855E-3</v>
          </cell>
          <cell r="I24">
            <v>3.5232183619677705E-2</v>
          </cell>
          <cell r="J24">
            <v>-5.9136607282231596E-4</v>
          </cell>
          <cell r="K24">
            <v>7.7534168636861314E-2</v>
          </cell>
          <cell r="L24">
            <v>-4.9085483362403724E-2</v>
          </cell>
          <cell r="M24">
            <v>6.8283320528230468E-2</v>
          </cell>
          <cell r="N24">
            <v>3.5800833233100009E-2</v>
          </cell>
          <cell r="O24">
            <v>2.9786817563221081E-2</v>
          </cell>
        </row>
        <row r="25">
          <cell r="B25">
            <v>-9.1737481864292755E-3</v>
          </cell>
          <cell r="C25">
            <v>9.6109814299754695E-2</v>
          </cell>
          <cell r="D25">
            <v>3.00605855723091E-2</v>
          </cell>
          <cell r="E25">
            <v>6.3365727954945356E-2</v>
          </cell>
          <cell r="F25">
            <v>-3.0993072822835623E-2</v>
          </cell>
          <cell r="G25">
            <v>3.4624632883681915E-2</v>
          </cell>
          <cell r="H25">
            <v>3.9514501556831047E-2</v>
          </cell>
          <cell r="I25">
            <v>-4.6186195477401097E-2</v>
          </cell>
          <cell r="J25">
            <v>2.3386040927458097E-2</v>
          </cell>
          <cell r="K25">
            <v>-2.5080631757416896E-2</v>
          </cell>
          <cell r="L25">
            <v>-4.2949226759450322E-2</v>
          </cell>
          <cell r="M25">
            <v>-2.6283836074227761E-2</v>
          </cell>
          <cell r="N25">
            <v>9.5046858569707543E-2</v>
          </cell>
          <cell r="O25">
            <v>1.0135221894043148E-2</v>
          </cell>
        </row>
        <row r="26">
          <cell r="B26">
            <v>4.8200483562664424E-2</v>
          </cell>
          <cell r="C26">
            <v>-7.6812607962183366E-2</v>
          </cell>
          <cell r="D26">
            <v>-2.8013036227674006E-2</v>
          </cell>
          <cell r="E26">
            <v>-3.5551776265424634E-2</v>
          </cell>
          <cell r="F26">
            <v>4.2910873686870764E-2</v>
          </cell>
          <cell r="G26">
            <v>-6.5739406317710927E-2</v>
          </cell>
          <cell r="H26">
            <v>-1.3768702981800784E-2</v>
          </cell>
          <cell r="I26">
            <v>9.1366556101412106E-3</v>
          </cell>
          <cell r="J26">
            <v>3.044765006455568E-2</v>
          </cell>
          <cell r="K26">
            <v>-3.4872774014128673E-2</v>
          </cell>
          <cell r="L26">
            <v>-7.0793051991099462E-2</v>
          </cell>
          <cell r="M26">
            <v>-4.9531418211784313E-2</v>
          </cell>
          <cell r="N26">
            <v>9.3616111524334709E-3</v>
          </cell>
          <cell r="O26">
            <v>-7.6567361135268658E-2</v>
          </cell>
        </row>
        <row r="27">
          <cell r="B27">
            <v>5.4708611661063056E-2</v>
          </cell>
          <cell r="C27">
            <v>-0.12075446200385265</v>
          </cell>
          <cell r="D27">
            <v>-5.7532815470294915E-2</v>
          </cell>
          <cell r="E27">
            <v>4.1562223928246766E-3</v>
          </cell>
          <cell r="F27">
            <v>-1.2462908536295607E-2</v>
          </cell>
          <cell r="G27">
            <v>1.7232802434478989E-2</v>
          </cell>
          <cell r="H27">
            <v>2.2843632919466828E-2</v>
          </cell>
          <cell r="I27">
            <v>-0.14772902061974691</v>
          </cell>
          <cell r="J27">
            <v>-5.9766665974794318E-2</v>
          </cell>
          <cell r="K27">
            <v>2.1627547264108048E-2</v>
          </cell>
          <cell r="L27">
            <v>-5.5569851154810765E-2</v>
          </cell>
          <cell r="M27">
            <v>-4.0765575439307006E-2</v>
          </cell>
          <cell r="N27">
            <v>-4.8100875134437449E-2</v>
          </cell>
          <cell r="O27">
            <v>6.1569498976511865E-2</v>
          </cell>
        </row>
        <row r="28">
          <cell r="B28">
            <v>-1.8032043805922941E-2</v>
          </cell>
          <cell r="C28">
            <v>2.2696985322544317E-2</v>
          </cell>
          <cell r="D28">
            <v>3.5008305391617735E-2</v>
          </cell>
          <cell r="E28">
            <v>2.2765210773012426E-2</v>
          </cell>
          <cell r="F28">
            <v>-3.1010236742560208E-2</v>
          </cell>
          <cell r="G28">
            <v>1.4137235838204735E-2</v>
          </cell>
          <cell r="H28">
            <v>2.2824111594938128E-2</v>
          </cell>
          <cell r="I28">
            <v>7.5124098541888021E-2</v>
          </cell>
          <cell r="J28">
            <v>2.0321712434879954E-2</v>
          </cell>
          <cell r="K28">
            <v>-2.0044517014255157E-2</v>
          </cell>
          <cell r="L28">
            <v>0.10527887967263871</v>
          </cell>
          <cell r="M28">
            <v>6.7939818551883578E-3</v>
          </cell>
          <cell r="N28">
            <v>-3.097944325599615E-2</v>
          </cell>
          <cell r="O28">
            <v>6.3168334439040533E-3</v>
          </cell>
        </row>
        <row r="29">
          <cell r="B29">
            <v>6.2451431868441772E-2</v>
          </cell>
          <cell r="C29">
            <v>5.3619725894385219E-2</v>
          </cell>
          <cell r="D29">
            <v>1.5454119123760405E-2</v>
          </cell>
          <cell r="E29">
            <v>-2.6921433165837144E-2</v>
          </cell>
          <cell r="F29">
            <v>5.2852820102116914E-2</v>
          </cell>
          <cell r="G29">
            <v>2.7936886686861288E-2</v>
          </cell>
          <cell r="H29">
            <v>2.6384200186691457E-2</v>
          </cell>
          <cell r="I29">
            <v>-2.9382979024468688E-3</v>
          </cell>
          <cell r="J29">
            <v>-1.7647516813578002E-2</v>
          </cell>
          <cell r="K29">
            <v>8.3128492440832036E-2</v>
          </cell>
          <cell r="L29">
            <v>-3.3622890766203464E-2</v>
          </cell>
          <cell r="M29">
            <v>-5.0324876530185893E-3</v>
          </cell>
          <cell r="N29">
            <v>-1.5037877364540446E-2</v>
          </cell>
          <cell r="O29">
            <v>1.2036736561825159E-2</v>
          </cell>
        </row>
        <row r="30">
          <cell r="B30">
            <v>-8.8826024279554439E-2</v>
          </cell>
          <cell r="C30">
            <v>-3.0761587818335056E-2</v>
          </cell>
          <cell r="D30">
            <v>-2.2217993307410963E-2</v>
          </cell>
          <cell r="E30">
            <v>-8.7991912845980427E-3</v>
          </cell>
          <cell r="F30">
            <v>-7.2734190655945843E-2</v>
          </cell>
          <cell r="G30">
            <v>-3.562331961101748E-2</v>
          </cell>
          <cell r="H30">
            <v>4.1643443947016398E-2</v>
          </cell>
          <cell r="I30">
            <v>-4.6169765202255596E-2</v>
          </cell>
          <cell r="J30">
            <v>-4.3049993956568028E-2</v>
          </cell>
          <cell r="K30">
            <v>2.6430725579602313E-2</v>
          </cell>
          <cell r="L30">
            <v>-0.12402397442375113</v>
          </cell>
          <cell r="M30">
            <v>-1.2277335184633696E-2</v>
          </cell>
          <cell r="N30">
            <v>5.6134138425190404E-2</v>
          </cell>
          <cell r="O30">
            <v>-4.6531410542508714E-2</v>
          </cell>
        </row>
        <row r="31">
          <cell r="B31">
            <v>4.5304588524666123E-3</v>
          </cell>
          <cell r="C31">
            <v>1.5826245260789358E-2</v>
          </cell>
          <cell r="D31">
            <v>-4.6915403903913522E-3</v>
          </cell>
          <cell r="E31">
            <v>8.2245611869014527E-3</v>
          </cell>
          <cell r="F31">
            <v>-1.096059429638257E-2</v>
          </cell>
          <cell r="G31">
            <v>-5.9332045588074778E-3</v>
          </cell>
          <cell r="H31">
            <v>1.6027479103530621E-3</v>
          </cell>
          <cell r="I31">
            <v>-0.11874651968890919</v>
          </cell>
          <cell r="J31">
            <v>8.3183324102234224E-2</v>
          </cell>
          <cell r="K31">
            <v>-3.8733165451821948E-2</v>
          </cell>
          <cell r="L31">
            <v>-0.13420750439311019</v>
          </cell>
          <cell r="M31">
            <v>-2.5625462335532569E-2</v>
          </cell>
          <cell r="N31">
            <v>-1.7969233496558507E-2</v>
          </cell>
          <cell r="O31">
            <v>-8.3071591628037945E-3</v>
          </cell>
        </row>
        <row r="32">
          <cell r="B32">
            <v>-2.9489064262600308E-2</v>
          </cell>
          <cell r="C32">
            <v>3.6612952647512791E-2</v>
          </cell>
          <cell r="D32">
            <v>2.8281903538081191E-2</v>
          </cell>
          <cell r="E32">
            <v>-4.5569318442395187E-2</v>
          </cell>
          <cell r="F32">
            <v>0.1014084007845935</v>
          </cell>
          <cell r="G32">
            <v>1.2598186934499239E-2</v>
          </cell>
          <cell r="H32">
            <v>4.7361989645809413E-2</v>
          </cell>
          <cell r="I32">
            <v>5.1293294387550481E-2</v>
          </cell>
          <cell r="J32">
            <v>6.9638804978262664E-2</v>
          </cell>
          <cell r="K32">
            <v>-3.5429620763441066E-3</v>
          </cell>
          <cell r="L32">
            <v>-5.9272855097540683E-2</v>
          </cell>
          <cell r="M32">
            <v>1.2353311993871418E-2</v>
          </cell>
          <cell r="N32">
            <v>3.676173284592596E-2</v>
          </cell>
          <cell r="O32">
            <v>-0.30091381766140052</v>
          </cell>
        </row>
        <row r="33">
          <cell r="B33">
            <v>-3.0385161139890295E-2</v>
          </cell>
          <cell r="C33">
            <v>-3.3021112051200563E-2</v>
          </cell>
          <cell r="D33">
            <v>3.3268970686128246E-2</v>
          </cell>
          <cell r="E33">
            <v>-0.11326251213177946</v>
          </cell>
          <cell r="F33">
            <v>6.269613013595395E-3</v>
          </cell>
          <cell r="G33">
            <v>1.7868543363101796E-3</v>
          </cell>
          <cell r="H33">
            <v>1.8162661440691671E-2</v>
          </cell>
          <cell r="I33">
            <v>-4.9573221874276352E-3</v>
          </cell>
          <cell r="J33">
            <v>4.7003329242329084E-2</v>
          </cell>
          <cell r="K33">
            <v>-6.2548980340859733E-2</v>
          </cell>
          <cell r="L33">
            <v>0.1040026003710874</v>
          </cell>
          <cell r="M33">
            <v>4.5759232593762231E-2</v>
          </cell>
          <cell r="N33">
            <v>3.9483713403186377E-2</v>
          </cell>
          <cell r="O33">
            <v>-5.2588351766913136E-2</v>
          </cell>
        </row>
        <row r="34">
          <cell r="B34">
            <v>3.0119097549122797E-2</v>
          </cell>
          <cell r="C34">
            <v>4.928671932829095E-2</v>
          </cell>
          <cell r="D34">
            <v>4.8547986251715608E-2</v>
          </cell>
          <cell r="E34">
            <v>4.2538559792567418E-2</v>
          </cell>
          <cell r="F34">
            <v>0.12814582269193003</v>
          </cell>
          <cell r="G34">
            <v>6.3485939824179369E-2</v>
          </cell>
          <cell r="H34">
            <v>4.585750586787013E-2</v>
          </cell>
          <cell r="I34">
            <v>6.9324125285596824E-2</v>
          </cell>
          <cell r="J34">
            <v>1.8100041643617937E-2</v>
          </cell>
          <cell r="K34">
            <v>5.3039250427178254E-2</v>
          </cell>
          <cell r="L34">
            <v>7.0307296877894559E-3</v>
          </cell>
          <cell r="M34">
            <v>5.0666445089770057E-2</v>
          </cell>
          <cell r="N34">
            <v>7.1181854484333187E-2</v>
          </cell>
          <cell r="O34">
            <v>-0.11105625124363276</v>
          </cell>
        </row>
        <row r="35">
          <cell r="B35">
            <v>3.0658761814036841E-2</v>
          </cell>
          <cell r="C35">
            <v>-7.8724929102155519E-2</v>
          </cell>
          <cell r="D35">
            <v>1.1725427470315507E-2</v>
          </cell>
          <cell r="E35">
            <v>3.7232023168422203E-2</v>
          </cell>
          <cell r="F35">
            <v>6.3033953416882144E-2</v>
          </cell>
          <cell r="G35">
            <v>7.8900545178094056E-2</v>
          </cell>
          <cell r="H35">
            <v>2.0464545246893189E-4</v>
          </cell>
          <cell r="I35">
            <v>5.1216011648611795E-2</v>
          </cell>
          <cell r="J35">
            <v>2.3391439527126429E-2</v>
          </cell>
          <cell r="K35">
            <v>2.3859241858302138E-3</v>
          </cell>
          <cell r="L35">
            <v>4.4309600282187778E-2</v>
          </cell>
          <cell r="M35">
            <v>4.5093109516371112E-2</v>
          </cell>
          <cell r="N35">
            <v>4.2290303781524277E-2</v>
          </cell>
          <cell r="O35">
            <v>0.15092746994568976</v>
          </cell>
        </row>
        <row r="36">
          <cell r="B36">
            <v>2.748964139419691E-2</v>
          </cell>
          <cell r="C36">
            <v>-6.232546319782882E-2</v>
          </cell>
          <cell r="D36">
            <v>-5.3003858632801305E-2</v>
          </cell>
          <cell r="E36">
            <v>9.2879924664707215E-3</v>
          </cell>
          <cell r="F36">
            <v>-8.5975522659288997E-2</v>
          </cell>
          <cell r="G36">
            <v>-3.077165866675366E-2</v>
          </cell>
          <cell r="H36">
            <v>6.5266395251850455E-3</v>
          </cell>
          <cell r="I36">
            <v>-6.7839771091874473E-2</v>
          </cell>
          <cell r="J36">
            <v>-3.5169548369079658E-2</v>
          </cell>
          <cell r="K36">
            <v>1.5957785438610816E-2</v>
          </cell>
          <cell r="L36">
            <v>-4.1045433243115145E-2</v>
          </cell>
          <cell r="M36">
            <v>-5.3765429086724104E-2</v>
          </cell>
          <cell r="N36">
            <v>1.0056856862562285E-2</v>
          </cell>
          <cell r="O36">
            <v>-0.13615379337528827</v>
          </cell>
        </row>
        <row r="37">
          <cell r="B37">
            <v>0</v>
          </cell>
          <cell r="C37">
            <v>8.9806086702175686E-2</v>
          </cell>
          <cell r="D37">
            <v>1.5031325379452728E-2</v>
          </cell>
          <cell r="E37">
            <v>7.6746347531086662E-3</v>
          </cell>
          <cell r="F37">
            <v>6.4670368985346088E-2</v>
          </cell>
          <cell r="G37">
            <v>0.12081978259985712</v>
          </cell>
          <cell r="H37">
            <v>0.20942928458281071</v>
          </cell>
          <cell r="I37">
            <v>5.9483861082881236E-2</v>
          </cell>
          <cell r="J37">
            <v>-3.0456608728733185E-2</v>
          </cell>
          <cell r="K37">
            <v>5.8915883536594785E-2</v>
          </cell>
          <cell r="L37">
            <v>7.0109566187026531E-2</v>
          </cell>
          <cell r="M37">
            <v>-7.1922854991258974E-3</v>
          </cell>
          <cell r="N37">
            <v>2.1080307910730536E-2</v>
          </cell>
          <cell r="O37">
            <v>0.12222114027161432</v>
          </cell>
        </row>
        <row r="38">
          <cell r="B38">
            <v>2.0624411006647584E-2</v>
          </cell>
          <cell r="C38">
            <v>-5.539257844827878E-2</v>
          </cell>
          <cell r="D38">
            <v>-5.0326478831819108E-2</v>
          </cell>
          <cell r="E38">
            <v>-0.18507764489593456</v>
          </cell>
          <cell r="F38">
            <v>-3.8754989933833653E-2</v>
          </cell>
          <cell r="G38">
            <v>-3.9374353417036115E-2</v>
          </cell>
          <cell r="H38">
            <v>-6.0315518728094597E-2</v>
          </cell>
          <cell r="I38">
            <v>5.7542238382015047E-2</v>
          </cell>
          <cell r="J38">
            <v>-4.3011673555828508E-2</v>
          </cell>
          <cell r="K38">
            <v>-2.0101179321087265E-2</v>
          </cell>
          <cell r="L38">
            <v>-3.219682738324936E-2</v>
          </cell>
          <cell r="M38">
            <v>-1.2965421368381531E-2</v>
          </cell>
          <cell r="N38">
            <v>-6.0249376174262313E-2</v>
          </cell>
          <cell r="O38">
            <v>3.2778508109903473E-2</v>
          </cell>
        </row>
        <row r="39">
          <cell r="B39">
            <v>-0.11384037547010033</v>
          </cell>
          <cell r="C39">
            <v>-4.5912017982424343E-2</v>
          </cell>
          <cell r="D39">
            <v>2.5590622063188361E-2</v>
          </cell>
          <cell r="E39">
            <v>-8.5824492755382731E-2</v>
          </cell>
          <cell r="F39">
            <v>-3.297257136151116E-2</v>
          </cell>
          <cell r="G39">
            <v>-8.3957706397752033E-2</v>
          </cell>
          <cell r="H39">
            <v>-4.4037901399429952E-2</v>
          </cell>
          <cell r="I39">
            <v>-6.9458963315478003E-2</v>
          </cell>
          <cell r="J39">
            <v>-7.8122866091865403E-2</v>
          </cell>
          <cell r="K39">
            <v>-3.9694598684946895E-2</v>
          </cell>
          <cell r="L39">
            <v>1.2029550277074695E-2</v>
          </cell>
          <cell r="M39">
            <v>-0.17942329708986865</v>
          </cell>
          <cell r="N39">
            <v>-6.0540704558801582E-2</v>
          </cell>
          <cell r="O39">
            <v>4.6103339316912705E-2</v>
          </cell>
        </row>
        <row r="40">
          <cell r="B40">
            <v>7.8237994311896996E-3</v>
          </cell>
          <cell r="C40">
            <v>-6.3406768124177615E-2</v>
          </cell>
          <cell r="D40">
            <v>2.1487342812799511E-2</v>
          </cell>
          <cell r="E40">
            <v>8.8397077783171338E-2</v>
          </cell>
          <cell r="F40">
            <v>6.6440040714661627E-2</v>
          </cell>
          <cell r="G40">
            <v>-5.043568692240436E-3</v>
          </cell>
          <cell r="H40">
            <v>-9.7472036078907285E-3</v>
          </cell>
          <cell r="I40">
            <v>9.5219357407459335E-2</v>
          </cell>
          <cell r="J40">
            <v>0.10673826955099577</v>
          </cell>
          <cell r="K40">
            <v>1.8605187831034486E-2</v>
          </cell>
          <cell r="L40">
            <v>0.13987746695314104</v>
          </cell>
          <cell r="M40">
            <v>-8.2449612166634705E-3</v>
          </cell>
          <cell r="N40">
            <v>5.4142299163625458E-2</v>
          </cell>
          <cell r="O40">
            <v>-4.3730054595565587E-2</v>
          </cell>
        </row>
        <row r="41">
          <cell r="B41">
            <v>-5.8413846163217945E-2</v>
          </cell>
          <cell r="C41">
            <v>-3.6467479442759257E-2</v>
          </cell>
          <cell r="D41">
            <v>-9.3713228056952272E-3</v>
          </cell>
          <cell r="E41">
            <v>4.7137119436321831E-2</v>
          </cell>
          <cell r="F41">
            <v>1.2730637254606504E-2</v>
          </cell>
          <cell r="G41">
            <v>-7.8129270941104861E-2</v>
          </cell>
          <cell r="H41">
            <v>2.2476962704135996E-2</v>
          </cell>
          <cell r="I41">
            <v>4.7015310345364845E-2</v>
          </cell>
          <cell r="J41">
            <v>-9.0042981247208161E-3</v>
          </cell>
          <cell r="K41">
            <v>1.1170100388191578E-2</v>
          </cell>
          <cell r="L41">
            <v>-3.527011350445499E-2</v>
          </cell>
          <cell r="M41">
            <v>-1.7939543069015147E-2</v>
          </cell>
          <cell r="N41">
            <v>-0.10912133242595336</v>
          </cell>
          <cell r="O41">
            <v>-4.0074446935071277E-2</v>
          </cell>
        </row>
        <row r="42">
          <cell r="B42">
            <v>3.6714425192488707E-2</v>
          </cell>
          <cell r="C42">
            <v>7.0907969423050971E-2</v>
          </cell>
          <cell r="D42">
            <v>3.2740378541388504E-2</v>
          </cell>
          <cell r="E42">
            <v>3.5429328940734736E-2</v>
          </cell>
          <cell r="F42">
            <v>0.12798167021864945</v>
          </cell>
          <cell r="G42">
            <v>-7.7336047163538684E-3</v>
          </cell>
          <cell r="H42">
            <v>2.1982834996284409E-2</v>
          </cell>
          <cell r="I42">
            <v>4.6145753075492978E-2</v>
          </cell>
          <cell r="J42">
            <v>0.11188348843266363</v>
          </cell>
          <cell r="K42">
            <v>6.9846964065561595E-2</v>
          </cell>
          <cell r="L42">
            <v>4.2177278340729894E-2</v>
          </cell>
          <cell r="M42">
            <v>0.11758342413045826</v>
          </cell>
          <cell r="N42">
            <v>0.11652628043253087</v>
          </cell>
          <cell r="O42">
            <v>8.0744690050469515E-3</v>
          </cell>
        </row>
        <row r="43">
          <cell r="B43">
            <v>-4.676622517376175E-2</v>
          </cell>
          <cell r="C43">
            <v>-4.0620501924426351E-2</v>
          </cell>
          <cell r="D43">
            <v>4.4402229627347849E-3</v>
          </cell>
          <cell r="E43">
            <v>-1.4124288239498611E-2</v>
          </cell>
          <cell r="F43">
            <v>2.8938189492354546E-2</v>
          </cell>
          <cell r="G43">
            <v>-6.7062782961553352E-2</v>
          </cell>
          <cell r="H43">
            <v>2.4274308097417232E-2</v>
          </cell>
          <cell r="I43">
            <v>0.11994132639386131</v>
          </cell>
          <cell r="J43">
            <v>-7.3522620560217439E-2</v>
          </cell>
          <cell r="K43">
            <v>-2.0392442637318233E-2</v>
          </cell>
          <cell r="L43">
            <v>-5.0991437968294064E-2</v>
          </cell>
          <cell r="M43">
            <v>-3.220850124163719E-2</v>
          </cell>
          <cell r="N43">
            <v>4.0097385978425507E-2</v>
          </cell>
          <cell r="O43">
            <v>-8.1938442838435543E-2</v>
          </cell>
        </row>
        <row r="44">
          <cell r="B44">
            <v>3.0567547150162085E-2</v>
          </cell>
          <cell r="C44">
            <v>-9.2910890700096352E-2</v>
          </cell>
          <cell r="D44">
            <v>3.8896090524233658E-2</v>
          </cell>
          <cell r="E44">
            <v>4.5561388502478421E-2</v>
          </cell>
          <cell r="F44">
            <v>5.7065195475863396E-2</v>
          </cell>
          <cell r="G44">
            <v>-9.9583651650361239E-3</v>
          </cell>
          <cell r="H44">
            <v>5.8958801217913498E-2</v>
          </cell>
          <cell r="I44">
            <v>5.3236359541625818E-2</v>
          </cell>
          <cell r="J44">
            <v>-5.5803950677439131E-2</v>
          </cell>
          <cell r="K44">
            <v>-2.0540226444501798E-2</v>
          </cell>
          <cell r="L44">
            <v>-4.2332188615483761E-2</v>
          </cell>
          <cell r="M44">
            <v>-4.9602645422823525E-3</v>
          </cell>
          <cell r="N44">
            <v>3.1396268306048775E-2</v>
          </cell>
          <cell r="O44">
            <v>-3.6719100962880509E-2</v>
          </cell>
        </row>
        <row r="45">
          <cell r="B45">
            <v>3.5022763269235403E-2</v>
          </cell>
          <cell r="C45">
            <v>-5.1151006667704887E-3</v>
          </cell>
          <cell r="D45">
            <v>-7.7409227444380094E-3</v>
          </cell>
          <cell r="E45">
            <v>4.482902033845431E-2</v>
          </cell>
          <cell r="F45">
            <v>-0.10616301322978859</v>
          </cell>
          <cell r="G45">
            <v>6.2135040012372605E-2</v>
          </cell>
          <cell r="H45">
            <v>-0.12381943541995431</v>
          </cell>
          <cell r="I45">
            <v>-4.047410792777445E-2</v>
          </cell>
          <cell r="J45">
            <v>7.3314866329247011E-2</v>
          </cell>
          <cell r="K45">
            <v>-9.2105580122811448E-2</v>
          </cell>
          <cell r="L45">
            <v>-4.7720207809686964E-2</v>
          </cell>
          <cell r="M45">
            <v>2.0444932218148505E-2</v>
          </cell>
          <cell r="N45">
            <v>-5.7838154829700089E-2</v>
          </cell>
          <cell r="O45">
            <v>3.6339522290644063E-2</v>
          </cell>
        </row>
        <row r="46">
          <cell r="B46">
            <v>3.767430612958967E-2</v>
          </cell>
          <cell r="C46">
            <v>0.12667030224457732</v>
          </cell>
          <cell r="D46">
            <v>3.2591901001464051E-2</v>
          </cell>
          <cell r="E46">
            <v>3.5528534919968387E-2</v>
          </cell>
          <cell r="F46">
            <v>9.4116809103328133E-2</v>
          </cell>
          <cell r="G46">
            <v>3.398627948763628E-2</v>
          </cell>
          <cell r="H46">
            <v>3.8285643734172432E-2</v>
          </cell>
          <cell r="I46">
            <v>5.6695343676545294E-2</v>
          </cell>
          <cell r="J46">
            <v>2.0419036118014867E-2</v>
          </cell>
          <cell r="K46">
            <v>7.1699561082541219E-2</v>
          </cell>
          <cell r="L46">
            <v>0.13027864008047058</v>
          </cell>
          <cell r="M46">
            <v>8.4635039181981328E-2</v>
          </cell>
          <cell r="N46">
            <v>8.8884139861410597E-2</v>
          </cell>
          <cell r="O46">
            <v>5.3947324381456385E-2</v>
          </cell>
        </row>
        <row r="47">
          <cell r="B47">
            <v>-1.249019692215503E-2</v>
          </cell>
          <cell r="C47">
            <v>7.6096097791792675E-2</v>
          </cell>
          <cell r="D47">
            <v>7.9145235631155155E-4</v>
          </cell>
          <cell r="E47">
            <v>1.603871598848226E-2</v>
          </cell>
          <cell r="F47">
            <v>-1.7823723422998185E-4</v>
          </cell>
          <cell r="G47">
            <v>-5.9142607089499692E-3</v>
          </cell>
          <cell r="H47">
            <v>-3.259494457698689E-2</v>
          </cell>
          <cell r="I47">
            <v>-3.3063739143268225E-2</v>
          </cell>
          <cell r="J47">
            <v>-3.1549937784586896E-2</v>
          </cell>
          <cell r="K47">
            <v>1.9298599215023093E-2</v>
          </cell>
          <cell r="L47">
            <v>-6.6731363035297142E-2</v>
          </cell>
          <cell r="M47">
            <v>-7.8408369001721698E-2</v>
          </cell>
          <cell r="N47">
            <v>-3.63857284390818E-3</v>
          </cell>
          <cell r="O47">
            <v>7.8491976303846217E-2</v>
          </cell>
        </row>
        <row r="48">
          <cell r="B48">
            <v>-6.3335875171810871E-2</v>
          </cell>
          <cell r="C48">
            <v>6.3207384346760653E-2</v>
          </cell>
          <cell r="D48">
            <v>2.132944572704544E-2</v>
          </cell>
          <cell r="E48">
            <v>-4.1441765224940481E-2</v>
          </cell>
          <cell r="F48">
            <v>0.16554465041431199</v>
          </cell>
          <cell r="G48">
            <v>-8.2125118248432313E-2</v>
          </cell>
          <cell r="H48">
            <v>0.11078236414877719</v>
          </cell>
          <cell r="I48">
            <v>8.5092812077569024E-2</v>
          </cell>
          <cell r="J48">
            <v>1.5251655218771396E-3</v>
          </cell>
          <cell r="K48">
            <v>3.0822022545790244E-2</v>
          </cell>
          <cell r="L48">
            <v>-0.16057623826027301</v>
          </cell>
          <cell r="M48">
            <v>-1.0985006230708697E-2</v>
          </cell>
          <cell r="N48">
            <v>3.7560301878575605E-2</v>
          </cell>
          <cell r="O48">
            <v>8.1397600192429975E-2</v>
          </cell>
        </row>
        <row r="49">
          <cell r="B49">
            <v>1.778954156349824E-2</v>
          </cell>
          <cell r="C49">
            <v>-6.7052870644767226E-2</v>
          </cell>
          <cell r="D49">
            <v>2.6933153143946072E-2</v>
          </cell>
          <cell r="E49">
            <v>1.3699898716113313E-2</v>
          </cell>
          <cell r="F49">
            <v>7.3514356205797327E-2</v>
          </cell>
          <cell r="G49">
            <v>3.6616760289017669E-2</v>
          </cell>
          <cell r="H49">
            <v>-5.0060838412503188E-2</v>
          </cell>
          <cell r="I49">
            <v>5.1000758915538666E-2</v>
          </cell>
          <cell r="J49">
            <v>3.8859185548665569E-2</v>
          </cell>
          <cell r="K49">
            <v>6.9261436011192307E-2</v>
          </cell>
          <cell r="L49">
            <v>-2.655023209412084E-2</v>
          </cell>
          <cell r="M49">
            <v>-1.0599468320457798E-2</v>
          </cell>
          <cell r="N49">
            <v>-2.9299757263299415E-3</v>
          </cell>
          <cell r="O49">
            <v>1.0369107848403253E-2</v>
          </cell>
        </row>
        <row r="50">
          <cell r="B50">
            <v>2.8147553623527406E-2</v>
          </cell>
          <cell r="C50">
            <v>4.1508273862871946E-2</v>
          </cell>
          <cell r="D50">
            <v>-2.4998916564115178E-2</v>
          </cell>
          <cell r="E50">
            <v>-1.8362667745791162E-3</v>
          </cell>
          <cell r="F50">
            <v>-1.7556730159653623E-2</v>
          </cell>
          <cell r="G50">
            <v>4.7976885502743011E-2</v>
          </cell>
          <cell r="H50">
            <v>2.4671604407683519E-2</v>
          </cell>
          <cell r="I50">
            <v>5.2364204050889792E-3</v>
          </cell>
          <cell r="J50">
            <v>7.0602849580012981E-3</v>
          </cell>
          <cell r="K50">
            <v>4.3405121538544478E-2</v>
          </cell>
          <cell r="L50">
            <v>-5.6894665981371037E-2</v>
          </cell>
          <cell r="M50">
            <v>2.7402402702727629E-2</v>
          </cell>
          <cell r="N50">
            <v>-1.5971945566052113E-2</v>
          </cell>
          <cell r="O50">
            <v>2.1312528131712173E-2</v>
          </cell>
        </row>
        <row r="51">
          <cell r="B51">
            <v>0.12107315770248075</v>
          </cell>
          <cell r="C51">
            <v>0.10000345023607453</v>
          </cell>
          <cell r="D51">
            <v>2.5940802288829289E-2</v>
          </cell>
          <cell r="E51">
            <v>-1.279400881125055E-2</v>
          </cell>
          <cell r="F51">
            <v>5.6507501348817643E-2</v>
          </cell>
          <cell r="G51">
            <v>4.3658205355540103E-2</v>
          </cell>
          <cell r="H51">
            <v>3.5821276451817499E-2</v>
          </cell>
          <cell r="I51">
            <v>-1.2987195526810966E-2</v>
          </cell>
          <cell r="J51">
            <v>-5.7672288465850888E-2</v>
          </cell>
          <cell r="K51">
            <v>-6.2590478768863632E-3</v>
          </cell>
          <cell r="L51">
            <v>2.6029579930983322E-2</v>
          </cell>
          <cell r="M51">
            <v>-1.6058307446832538E-3</v>
          </cell>
          <cell r="N51">
            <v>6.2416609234761337E-3</v>
          </cell>
          <cell r="O51">
            <v>-2.3134575401656969E-2</v>
          </cell>
        </row>
        <row r="52">
          <cell r="B52">
            <v>-1.5671826551087443E-2</v>
          </cell>
          <cell r="C52">
            <v>-5.8536502452572914E-2</v>
          </cell>
          <cell r="D52">
            <v>1.0116234642399734E-2</v>
          </cell>
          <cell r="E52">
            <v>-6.8206424910935259E-2</v>
          </cell>
          <cell r="F52">
            <v>-3.7548246415078548E-2</v>
          </cell>
          <cell r="G52">
            <v>-2.8002308282986967E-2</v>
          </cell>
          <cell r="H52">
            <v>-2.9956156999419347E-2</v>
          </cell>
          <cell r="I52">
            <v>-2.8050509276087211E-3</v>
          </cell>
          <cell r="J52">
            <v>-4.6287515832693998E-2</v>
          </cell>
          <cell r="K52">
            <v>-2.6178865031409967E-2</v>
          </cell>
          <cell r="L52">
            <v>-9.8192026179213729E-2</v>
          </cell>
          <cell r="M52">
            <v>-2.6431049487101434E-2</v>
          </cell>
          <cell r="N52">
            <v>-4.1439469069049675E-2</v>
          </cell>
          <cell r="O52">
            <v>-2.1816812460609451E-2</v>
          </cell>
        </row>
        <row r="53">
          <cell r="B53">
            <v>-3.5139423961137048E-2</v>
          </cell>
          <cell r="C53">
            <v>2.0105990841792383E-2</v>
          </cell>
          <cell r="D53">
            <v>-2.1097034110837271E-2</v>
          </cell>
          <cell r="E53">
            <v>-2.9153636034833466E-2</v>
          </cell>
          <cell r="F53">
            <v>2.0667910936561878E-2</v>
          </cell>
          <cell r="G53">
            <v>-2.2086787402843512E-2</v>
          </cell>
          <cell r="H53">
            <v>7.1589417543125883E-3</v>
          </cell>
          <cell r="I53">
            <v>-1.9222271390682232E-2</v>
          </cell>
          <cell r="J53">
            <v>-5.9044444306062267E-2</v>
          </cell>
          <cell r="K53">
            <v>-2.1802642851310103E-2</v>
          </cell>
          <cell r="L53">
            <v>5.2992530140510377E-2</v>
          </cell>
          <cell r="M53">
            <v>-3.9352735069111175E-2</v>
          </cell>
          <cell r="N53">
            <v>1.288756714060884E-2</v>
          </cell>
          <cell r="O53">
            <v>9.0242147042429541E-2</v>
          </cell>
        </row>
        <row r="54">
          <cell r="B54">
            <v>-0.13736152827553341</v>
          </cell>
          <cell r="C54">
            <v>-7.7491987750543112E-2</v>
          </cell>
          <cell r="D54">
            <v>-1.9220272625737275E-2</v>
          </cell>
          <cell r="E54">
            <v>2.6992192014356185E-2</v>
          </cell>
          <cell r="F54">
            <v>-4.53570196788321E-2</v>
          </cell>
          <cell r="G54">
            <v>-4.7773311612226567E-2</v>
          </cell>
          <cell r="H54">
            <v>9.9103422754658471E-2</v>
          </cell>
          <cell r="I54">
            <v>7.2912036433897933E-3</v>
          </cell>
          <cell r="J54">
            <v>-3.0735965414559294E-2</v>
          </cell>
          <cell r="K54">
            <v>-4.0325960146512276E-2</v>
          </cell>
          <cell r="L54">
            <v>-5.3559584309376795E-2</v>
          </cell>
          <cell r="M54">
            <v>7.7596233367303192E-3</v>
          </cell>
          <cell r="N54">
            <v>5.1979034823580954E-2</v>
          </cell>
          <cell r="O54">
            <v>0.10012400759090735</v>
          </cell>
        </row>
        <row r="55">
          <cell r="B55">
            <v>2.4717453211175411E-2</v>
          </cell>
          <cell r="C55">
            <v>-4.1120775921201592E-2</v>
          </cell>
          <cell r="D55">
            <v>9.0795562412944661E-3</v>
          </cell>
          <cell r="E55">
            <v>5.3313555879546316E-2</v>
          </cell>
          <cell r="F55">
            <v>-6.5908994836286094E-2</v>
          </cell>
          <cell r="G55">
            <v>1.7032669834171413E-2</v>
          </cell>
          <cell r="H55">
            <v>3.5992840296468214E-3</v>
          </cell>
          <cell r="I55">
            <v>0.13593689884194501</v>
          </cell>
          <cell r="J55">
            <v>-1.2146498025455855E-2</v>
          </cell>
          <cell r="K55">
            <v>6.3108282022226762E-3</v>
          </cell>
          <cell r="L55">
            <v>8.8947486016496116E-2</v>
          </cell>
          <cell r="M55">
            <v>4.8833833245183075E-2</v>
          </cell>
          <cell r="N55">
            <v>1.4082715854511953E-2</v>
          </cell>
          <cell r="O55">
            <v>1.6049255453279451E-2</v>
          </cell>
        </row>
        <row r="56">
          <cell r="B56">
            <v>3.7335440938170511E-2</v>
          </cell>
          <cell r="C56">
            <v>-1.9397159882735084E-2</v>
          </cell>
          <cell r="D56">
            <v>6.5319466120642461E-2</v>
          </cell>
          <cell r="E56">
            <v>3.7477287762481097E-2</v>
          </cell>
          <cell r="F56">
            <v>-8.3205410694850417E-3</v>
          </cell>
          <cell r="G56">
            <v>6.9436307784361675E-2</v>
          </cell>
          <cell r="H56">
            <v>-8.4185704655957896E-3</v>
          </cell>
          <cell r="I56">
            <v>5.7732119113193666E-3</v>
          </cell>
          <cell r="J56">
            <v>6.0431739184917871E-2</v>
          </cell>
          <cell r="K56">
            <v>5.4825711222171204E-2</v>
          </cell>
          <cell r="L56">
            <v>5.0099016394262313E-2</v>
          </cell>
          <cell r="M56">
            <v>1.1906379026691321E-2</v>
          </cell>
          <cell r="N56">
            <v>8.6083435169234043E-2</v>
          </cell>
          <cell r="O56">
            <v>3.2814278979218105E-2</v>
          </cell>
        </row>
        <row r="57">
          <cell r="B57">
            <v>5.7652085360951302E-2</v>
          </cell>
          <cell r="C57">
            <v>3.0364897633249233E-2</v>
          </cell>
          <cell r="D57">
            <v>3.295833391170986E-2</v>
          </cell>
          <cell r="E57">
            <v>1.3587165546308356E-2</v>
          </cell>
          <cell r="F57">
            <v>-7.6169152998432924E-2</v>
          </cell>
          <cell r="G57">
            <v>6.6714476211665194E-2</v>
          </cell>
          <cell r="H57">
            <v>6.2470033653945205E-2</v>
          </cell>
          <cell r="I57">
            <v>5.441342172379441E-2</v>
          </cell>
          <cell r="J57">
            <v>2.876304478565541E-2</v>
          </cell>
          <cell r="K57">
            <v>2.9341958284015375E-2</v>
          </cell>
          <cell r="L57">
            <v>3.6350016036371807E-2</v>
          </cell>
          <cell r="M57">
            <v>0.11943922037785105</v>
          </cell>
          <cell r="N57">
            <v>6.9045239846001E-2</v>
          </cell>
          <cell r="O57">
            <v>8.0776114380411254E-2</v>
          </cell>
        </row>
        <row r="58">
          <cell r="B58">
            <v>3.8366419780706491E-2</v>
          </cell>
          <cell r="C58">
            <v>8.0421567310574218E-2</v>
          </cell>
          <cell r="D58">
            <v>1.5737462713224532E-2</v>
          </cell>
          <cell r="E58">
            <v>4.8297358057233411E-2</v>
          </cell>
          <cell r="F58">
            <v>2.163764324190931E-2</v>
          </cell>
          <cell r="G58">
            <v>3.2299852787825427E-2</v>
          </cell>
          <cell r="H58">
            <v>7.7081846752160579E-2</v>
          </cell>
          <cell r="I58">
            <v>1.8264173291536182E-2</v>
          </cell>
          <cell r="J58">
            <v>2.3175383770098583E-2</v>
          </cell>
          <cell r="K58">
            <v>2.5456352603408429E-2</v>
          </cell>
          <cell r="L58">
            <v>8.0588253163512338E-3</v>
          </cell>
          <cell r="M58">
            <v>-1.2042258831149733E-3</v>
          </cell>
          <cell r="N58">
            <v>2.5336136262073743E-2</v>
          </cell>
          <cell r="O58">
            <v>-2.0280973131282166E-2</v>
          </cell>
        </row>
        <row r="59">
          <cell r="B59">
            <v>-4.4321900873358855E-2</v>
          </cell>
          <cell r="C59">
            <v>-3.6031000505012539E-2</v>
          </cell>
          <cell r="D59">
            <v>3.2579470149352308E-2</v>
          </cell>
          <cell r="E59">
            <v>1.8824418293491345E-2</v>
          </cell>
          <cell r="F59">
            <v>-1.1338548884050373E-2</v>
          </cell>
          <cell r="G59">
            <v>3.7139546949456786E-2</v>
          </cell>
          <cell r="H59">
            <v>-2.3662427236302414E-3</v>
          </cell>
          <cell r="I59">
            <v>4.510544064105286E-2</v>
          </cell>
          <cell r="J59">
            <v>5.5944156534782151E-2</v>
          </cell>
          <cell r="K59">
            <v>5.1281548957990794E-2</v>
          </cell>
          <cell r="L59">
            <v>-5.5327063956596416E-2</v>
          </cell>
          <cell r="M59">
            <v>5.5294480401885809E-2</v>
          </cell>
          <cell r="N59">
            <v>5.4706571411462721E-2</v>
          </cell>
          <cell r="O59">
            <v>-1.2275776622246701E-2</v>
          </cell>
        </row>
        <row r="60">
          <cell r="B60">
            <v>-4.7738905482470576E-2</v>
          </cell>
          <cell r="C60">
            <v>7.8617670834850231E-2</v>
          </cell>
          <cell r="D60">
            <v>-3.8775703398895536E-2</v>
          </cell>
          <cell r="E60">
            <v>-4.5905937200451934E-2</v>
          </cell>
          <cell r="F60">
            <v>4.8703594644211888E-2</v>
          </cell>
          <cell r="G60">
            <v>1.7348638334613073E-2</v>
          </cell>
          <cell r="H60">
            <v>-3.3592988127293562E-2</v>
          </cell>
          <cell r="I60">
            <v>4.9439725738227511E-2</v>
          </cell>
          <cell r="J60">
            <v>1.425558717021814E-2</v>
          </cell>
          <cell r="K60">
            <v>9.9923114073395044E-3</v>
          </cell>
          <cell r="L60">
            <v>3.433392658471715E-2</v>
          </cell>
          <cell r="M60">
            <v>2.0416200280835389E-2</v>
          </cell>
          <cell r="N60">
            <v>4.5105999862642392E-4</v>
          </cell>
          <cell r="O60">
            <v>2.5993412851046008E-2</v>
          </cell>
        </row>
        <row r="61">
          <cell r="B61">
            <v>3.3992826260340805E-3</v>
          </cell>
          <cell r="C61">
            <v>3.3953406792496497E-2</v>
          </cell>
          <cell r="D61">
            <v>-2.340718220403986E-2</v>
          </cell>
          <cell r="E61">
            <v>-1.7175429613267811E-2</v>
          </cell>
          <cell r="F61">
            <v>5.4940880683699116E-3</v>
          </cell>
          <cell r="G61">
            <v>3.0647559933642415E-2</v>
          </cell>
          <cell r="H61">
            <v>-2.8999546649209996E-2</v>
          </cell>
          <cell r="I61">
            <v>-9.5310179804324768E-2</v>
          </cell>
          <cell r="J61">
            <v>-2.8461812895432745E-2</v>
          </cell>
          <cell r="K61">
            <v>2.0556157882301924E-2</v>
          </cell>
          <cell r="L61">
            <v>-4.840451048165937E-2</v>
          </cell>
          <cell r="M61">
            <v>-6.1678797656586196E-2</v>
          </cell>
          <cell r="N61">
            <v>-1.4993465792244113E-2</v>
          </cell>
          <cell r="O61">
            <v>-1.348746014307806E-2</v>
          </cell>
        </row>
        <row r="62">
          <cell r="B62">
            <v>3.1137679591608753E-2</v>
          </cell>
          <cell r="C62">
            <v>1.4332881971695624E-2</v>
          </cell>
          <cell r="D62">
            <v>-8.3415161105404832E-3</v>
          </cell>
          <cell r="E62">
            <v>1.6414239304259899E-3</v>
          </cell>
          <cell r="F62">
            <v>3.9593939579636472E-2</v>
          </cell>
          <cell r="G62">
            <v>-2.5949359074334353E-2</v>
          </cell>
          <cell r="H62">
            <v>5.1342333398093125E-2</v>
          </cell>
          <cell r="I62">
            <v>2.1951177851636351E-2</v>
          </cell>
          <cell r="J62">
            <v>-6.901112116073907E-2</v>
          </cell>
          <cell r="K62">
            <v>-7.3865206579348799E-3</v>
          </cell>
          <cell r="L62">
            <v>-3.7643011011663605E-2</v>
          </cell>
          <cell r="M62">
            <v>1.4050748667331572E-2</v>
          </cell>
          <cell r="N62">
            <v>3.0653741091002305E-2</v>
          </cell>
          <cell r="O62">
            <v>8.9357909283591577E-3</v>
          </cell>
        </row>
        <row r="63">
          <cell r="B63">
            <v>7.9759266698221573E-2</v>
          </cell>
          <cell r="C63">
            <v>4.6061726662200549E-2</v>
          </cell>
          <cell r="D63">
            <v>7.56598391572747E-2</v>
          </cell>
          <cell r="E63">
            <v>3.9180570589829343E-2</v>
          </cell>
          <cell r="F63">
            <v>8.4500453157472774E-2</v>
          </cell>
          <cell r="G63">
            <v>-5.3126402027558854E-3</v>
          </cell>
          <cell r="H63">
            <v>5.0734107058543372E-2</v>
          </cell>
          <cell r="I63">
            <v>4.8706972954376308E-2</v>
          </cell>
          <cell r="J63">
            <v>3.0464682421815083E-2</v>
          </cell>
          <cell r="K63">
            <v>0.16246441427438538</v>
          </cell>
          <cell r="L63">
            <v>0.11690684178625611</v>
          </cell>
          <cell r="M63">
            <v>8.0984446848648306E-2</v>
          </cell>
          <cell r="N63">
            <v>6.924441217498381E-2</v>
          </cell>
          <cell r="O63">
            <v>0.15245476917357756</v>
          </cell>
        </row>
        <row r="64">
          <cell r="B64">
            <v>6.6389558702007745E-2</v>
          </cell>
          <cell r="C64">
            <v>0.15592874543754803</v>
          </cell>
          <cell r="D64">
            <v>6.8640308793245994E-2</v>
          </cell>
          <cell r="E64">
            <v>3.6459805822476932E-2</v>
          </cell>
          <cell r="F64">
            <v>7.8808113336341537E-2</v>
          </cell>
          <cell r="G64">
            <v>6.9443497249887187E-2</v>
          </cell>
          <cell r="H64">
            <v>5.0932652440983682E-2</v>
          </cell>
          <cell r="I64">
            <v>8.1230497336881646E-2</v>
          </cell>
          <cell r="J64">
            <v>2.5948251804424612E-2</v>
          </cell>
          <cell r="K64">
            <v>7.083238953355471E-2</v>
          </cell>
          <cell r="L64">
            <v>3.626745882790678E-2</v>
          </cell>
          <cell r="M64">
            <v>4.5975180612639645E-2</v>
          </cell>
          <cell r="N64">
            <v>4.5945549237149656E-2</v>
          </cell>
          <cell r="O64">
            <v>1.93954877530816E-2</v>
          </cell>
        </row>
        <row r="65">
          <cell r="B65">
            <v>-1.3390758030406872E-2</v>
          </cell>
          <cell r="C65">
            <v>-1.8335680533090089E-2</v>
          </cell>
          <cell r="D65">
            <v>-6.0248651156997624E-2</v>
          </cell>
          <cell r="E65">
            <v>-3.2453504856525574E-2</v>
          </cell>
          <cell r="F65">
            <v>-3.584692098754044E-3</v>
          </cell>
          <cell r="G65">
            <v>-2.8695260827689882E-2</v>
          </cell>
          <cell r="H65">
            <v>8.5005001531230397E-3</v>
          </cell>
          <cell r="I65">
            <v>-2.2383205934924866E-2</v>
          </cell>
          <cell r="J65">
            <v>1.7949199829981284E-2</v>
          </cell>
          <cell r="K65">
            <v>-2.855084899151001E-2</v>
          </cell>
          <cell r="L65">
            <v>6.7970407259300883E-2</v>
          </cell>
          <cell r="M65">
            <v>-1.2745039169253335E-2</v>
          </cell>
          <cell r="N65">
            <v>4.1456973797065659E-3</v>
          </cell>
          <cell r="O65">
            <v>-4.4381915535812222E-2</v>
          </cell>
        </row>
        <row r="66">
          <cell r="B66">
            <v>3.864887801239375E-2</v>
          </cell>
          <cell r="C66">
            <v>6.1016411647970607E-2</v>
          </cell>
          <cell r="D66">
            <v>5.5454703987746795E-2</v>
          </cell>
          <cell r="E66">
            <v>-1.4237674892253789E-2</v>
          </cell>
          <cell r="F66">
            <v>6.4923210505654402E-2</v>
          </cell>
          <cell r="G66">
            <v>3.4412829290893288E-2</v>
          </cell>
          <cell r="H66">
            <v>9.1748984344362808E-2</v>
          </cell>
          <cell r="I66">
            <v>8.4206011294068975E-2</v>
          </cell>
          <cell r="J66">
            <v>1.016002119402263E-3</v>
          </cell>
          <cell r="K66">
            <v>7.9878679132202521E-2</v>
          </cell>
          <cell r="L66">
            <v>3.3550465059007779E-2</v>
          </cell>
          <cell r="M66">
            <v>8.694011554322989E-2</v>
          </cell>
          <cell r="N66">
            <v>2.5864348910913378E-2</v>
          </cell>
          <cell r="O66">
            <v>-1.578660593064065E-2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O81"/>
  <sheetViews>
    <sheetView tabSelected="1" workbookViewId="0">
      <selection activeCell="AK4" sqref="AK4"/>
    </sheetView>
  </sheetViews>
  <sheetFormatPr defaultRowHeight="13.8" x14ac:dyDescent="0.25"/>
  <cols>
    <col min="1" max="1" width="20.33203125" style="2" customWidth="1"/>
    <col min="2" max="15" width="8.88671875" style="3"/>
  </cols>
  <sheetData>
    <row r="1" spans="1:15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5"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</row>
    <row r="3" spans="1:15" x14ac:dyDescent="0.25">
      <c r="A3" s="2" t="s">
        <v>15</v>
      </c>
      <c r="B3" s="3">
        <v>65.66</v>
      </c>
      <c r="C3" s="3">
        <v>39.11</v>
      </c>
      <c r="D3" s="3">
        <v>77.91</v>
      </c>
      <c r="E3" s="3">
        <v>180.72</v>
      </c>
      <c r="F3" s="3">
        <v>55.7</v>
      </c>
      <c r="G3" s="3">
        <v>49.08</v>
      </c>
      <c r="H3" s="3">
        <v>519.89</v>
      </c>
      <c r="I3" s="3">
        <v>126.75</v>
      </c>
      <c r="J3" s="3">
        <v>78.37</v>
      </c>
      <c r="K3" s="3">
        <v>47.55</v>
      </c>
      <c r="L3" s="3">
        <v>146.76</v>
      </c>
      <c r="M3" s="3">
        <v>172.03</v>
      </c>
      <c r="N3" s="3">
        <v>62.88</v>
      </c>
      <c r="O3" s="3">
        <v>106.93</v>
      </c>
    </row>
    <row r="4" spans="1:15" x14ac:dyDescent="0.25">
      <c r="A4" s="2" t="s">
        <v>16</v>
      </c>
      <c r="B4" s="4">
        <f t="shared" ref="B4:O4" si="0">B3/SUM($B$3:$O$3)</f>
        <v>3.7968242219575093E-2</v>
      </c>
      <c r="C4" s="4">
        <f t="shared" si="0"/>
        <v>2.2615564319335698E-2</v>
      </c>
      <c r="D4" s="4">
        <f t="shared" si="0"/>
        <v>4.5051869499346565E-2</v>
      </c>
      <c r="E4" s="4">
        <f t="shared" si="0"/>
        <v>0.10450229567349392</v>
      </c>
      <c r="F4" s="4">
        <f t="shared" si="0"/>
        <v>3.220881954965478E-2</v>
      </c>
      <c r="G4" s="4">
        <f t="shared" si="0"/>
        <v>2.838076954213746E-2</v>
      </c>
      <c r="H4" s="4">
        <f t="shared" si="0"/>
        <v>0.30062914175350131</v>
      </c>
      <c r="I4" s="4">
        <f t="shared" si="0"/>
        <v>7.3293857772329316E-2</v>
      </c>
      <c r="J4" s="4">
        <f t="shared" si="0"/>
        <v>4.5317866931893089E-2</v>
      </c>
      <c r="K4" s="4">
        <f t="shared" si="0"/>
        <v>2.7496038951276204E-2</v>
      </c>
      <c r="L4" s="4">
        <f t="shared" si="0"/>
        <v>8.486474608810296E-2</v>
      </c>
      <c r="M4" s="4">
        <f t="shared" si="0"/>
        <v>9.9477257219517265E-2</v>
      </c>
      <c r="N4" s="4">
        <f t="shared" si="0"/>
        <v>3.6360692518533078E-2</v>
      </c>
      <c r="O4" s="4">
        <f t="shared" si="0"/>
        <v>6.1832837961303157E-2</v>
      </c>
    </row>
    <row r="6" spans="1:15" x14ac:dyDescent="0.25">
      <c r="A6" s="5"/>
    </row>
    <row r="7" spans="1:15" x14ac:dyDescent="0.25">
      <c r="A7" s="6" t="str">
        <f ca="1">"The var-cov matrix is computed by "&amp;[2]!ggetformula(B9)</f>
        <v>The var-cov matrix is computed by  {=MMULT(TRANSPOSE([fm3_problems13.xls]Returns!B7:O66-AVERAGE([fm3_problems13.xls]Returns!B7:O66)),[fm3_problems13.xls]Returns!B7:O66-AVERAGE([fm3_problems13.xls]Returns!B7:O66))/60}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</row>
    <row r="8" spans="1:15" x14ac:dyDescent="0.25">
      <c r="A8" s="7"/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 t="s">
        <v>13</v>
      </c>
      <c r="O8" s="2" t="s">
        <v>14</v>
      </c>
    </row>
    <row r="9" spans="1:15" x14ac:dyDescent="0.25">
      <c r="A9" s="2" t="s">
        <v>1</v>
      </c>
      <c r="B9" s="8">
        <f t="array" ref="B9:O22">MMULT(TRANSPOSE([1]Returns!B7:O66-AVERAGE([1]Returns!B7:O66)),[1]Returns!B7:O66-AVERAGE([1]Returns!B7:O66))/60</f>
        <v>3.1258867931462627E-3</v>
      </c>
      <c r="C9" s="8">
        <v>2.4320062011052154E-3</v>
      </c>
      <c r="D9" s="8">
        <v>1.1003408279500885E-3</v>
      </c>
      <c r="E9" s="8">
        <v>1.4742174225203196E-3</v>
      </c>
      <c r="F9" s="8">
        <v>1.7190170339942872E-3</v>
      </c>
      <c r="G9" s="8">
        <v>1.8366427860351728E-3</v>
      </c>
      <c r="H9" s="8">
        <v>4.5636300335199522E-4</v>
      </c>
      <c r="I9" s="8">
        <v>1.5199061733978155E-3</v>
      </c>
      <c r="J9" s="8">
        <v>1.289852087685007E-3</v>
      </c>
      <c r="K9" s="8">
        <v>2.0771451876415744E-3</v>
      </c>
      <c r="L9" s="8">
        <v>2.6209099700926978E-3</v>
      </c>
      <c r="M9" s="8">
        <v>2.0125789404171071E-3</v>
      </c>
      <c r="N9" s="8">
        <v>1.0715461200717846E-3</v>
      </c>
      <c r="O9" s="8">
        <v>5.2366793502320417E-4</v>
      </c>
    </row>
    <row r="10" spans="1:15" x14ac:dyDescent="0.25">
      <c r="A10" s="2" t="s">
        <v>2</v>
      </c>
      <c r="B10" s="8">
        <v>2.4320062011052154E-3</v>
      </c>
      <c r="C10" s="8">
        <v>7.5969995885463324E-3</v>
      </c>
      <c r="D10" s="8">
        <v>2.5138947623270036E-3</v>
      </c>
      <c r="E10" s="8">
        <v>2.7047208083014144E-3</v>
      </c>
      <c r="F10" s="8">
        <v>3.871504644423682E-3</v>
      </c>
      <c r="G10" s="8">
        <v>3.0945000030731108E-3</v>
      </c>
      <c r="H10" s="8">
        <v>1.976274907548595E-3</v>
      </c>
      <c r="I10" s="8">
        <v>3.2433776123815487E-3</v>
      </c>
      <c r="J10" s="8">
        <v>2.7816154373356103E-3</v>
      </c>
      <c r="K10" s="8">
        <v>4.1952986458360817E-3</v>
      </c>
      <c r="L10" s="8">
        <v>4.6458069410096146E-3</v>
      </c>
      <c r="M10" s="8">
        <v>2.9746991100091081E-3</v>
      </c>
      <c r="N10" s="8">
        <v>3.3476514656648275E-3</v>
      </c>
      <c r="O10" s="8">
        <v>1.2404787921274113E-3</v>
      </c>
    </row>
    <row r="11" spans="1:15" x14ac:dyDescent="0.25">
      <c r="A11" s="2" t="s">
        <v>3</v>
      </c>
      <c r="B11" s="8">
        <v>1.1003408279500885E-3</v>
      </c>
      <c r="C11" s="8">
        <v>2.5138947623270036E-3</v>
      </c>
      <c r="D11" s="8">
        <v>2.4251978266897783E-3</v>
      </c>
      <c r="E11" s="8">
        <v>2.0624054530403867E-3</v>
      </c>
      <c r="F11" s="8">
        <v>1.81890776063427E-3</v>
      </c>
      <c r="G11" s="8">
        <v>1.4372018535596708E-3</v>
      </c>
      <c r="H11" s="8">
        <v>8.9636034729371529E-4</v>
      </c>
      <c r="I11" s="8">
        <v>2.7104458745040695E-3</v>
      </c>
      <c r="J11" s="8">
        <v>1.6945263560988039E-3</v>
      </c>
      <c r="K11" s="8">
        <v>2.5340338527745114E-3</v>
      </c>
      <c r="L11" s="8">
        <v>2.7777104525094072E-3</v>
      </c>
      <c r="M11" s="8">
        <v>2.5154977644529096E-3</v>
      </c>
      <c r="N11" s="8">
        <v>2.1501037540384519E-3</v>
      </c>
      <c r="O11" s="8">
        <v>1.0471381880015399E-3</v>
      </c>
    </row>
    <row r="12" spans="1:15" x14ac:dyDescent="0.25">
      <c r="A12" s="2" t="s">
        <v>4</v>
      </c>
      <c r="B12" s="8">
        <v>1.4742174225203196E-3</v>
      </c>
      <c r="C12" s="8">
        <v>2.7047208083014144E-3</v>
      </c>
      <c r="D12" s="8">
        <v>2.0624054530403867E-3</v>
      </c>
      <c r="E12" s="8">
        <v>4.3107954999224455E-3</v>
      </c>
      <c r="F12" s="8">
        <v>1.6568455774999208E-3</v>
      </c>
      <c r="G12" s="8">
        <v>2.1139900291801132E-3</v>
      </c>
      <c r="H12" s="8">
        <v>9.2628114083640096E-4</v>
      </c>
      <c r="I12" s="8">
        <v>2.12860253126814E-3</v>
      </c>
      <c r="J12" s="8">
        <v>1.7023538561066402E-3</v>
      </c>
      <c r="K12" s="8">
        <v>2.602871118565627E-3</v>
      </c>
      <c r="L12" s="8">
        <v>2.6785563379233125E-3</v>
      </c>
      <c r="M12" s="8">
        <v>2.3740493456134415E-3</v>
      </c>
      <c r="N12" s="8">
        <v>2.2445202457093438E-3</v>
      </c>
      <c r="O12" s="8">
        <v>1.4253989896206298E-3</v>
      </c>
    </row>
    <row r="13" spans="1:15" x14ac:dyDescent="0.25">
      <c r="A13" s="2" t="s">
        <v>5</v>
      </c>
      <c r="B13" s="8">
        <v>1.7190170339942872E-3</v>
      </c>
      <c r="C13" s="8">
        <v>3.871504644423682E-3</v>
      </c>
      <c r="D13" s="8">
        <v>1.81890776063427E-3</v>
      </c>
      <c r="E13" s="8">
        <v>1.6568455774999208E-3</v>
      </c>
      <c r="F13" s="8">
        <v>5.2343557834900875E-3</v>
      </c>
      <c r="G13" s="8">
        <v>1.62071052876719E-3</v>
      </c>
      <c r="H13" s="8">
        <v>1.6301672074368089E-3</v>
      </c>
      <c r="I13" s="8">
        <v>2.9222921614339976E-3</v>
      </c>
      <c r="J13" s="8">
        <v>1.2783330388387035E-3</v>
      </c>
      <c r="K13" s="8">
        <v>2.9299154600815058E-3</v>
      </c>
      <c r="L13" s="8">
        <v>3.3642193159728541E-3</v>
      </c>
      <c r="M13" s="8">
        <v>2.0347212607110129E-3</v>
      </c>
      <c r="N13" s="8">
        <v>2.4126991580010544E-3</v>
      </c>
      <c r="O13" s="8">
        <v>3.9104790075923993E-4</v>
      </c>
    </row>
    <row r="14" spans="1:15" x14ac:dyDescent="0.25">
      <c r="A14" s="2" t="s">
        <v>6</v>
      </c>
      <c r="B14" s="8">
        <v>1.8366427860351728E-3</v>
      </c>
      <c r="C14" s="8">
        <v>3.0945000030731108E-3</v>
      </c>
      <c r="D14" s="8">
        <v>1.4372018535596708E-3</v>
      </c>
      <c r="E14" s="8">
        <v>2.1139900291801132E-3</v>
      </c>
      <c r="F14" s="8">
        <v>1.62071052876719E-3</v>
      </c>
      <c r="G14" s="8">
        <v>3.1606320165290247E-3</v>
      </c>
      <c r="H14" s="8">
        <v>1.0109587826301681E-3</v>
      </c>
      <c r="I14" s="8">
        <v>1.6028044895095746E-3</v>
      </c>
      <c r="J14" s="8">
        <v>1.5103283586535793E-3</v>
      </c>
      <c r="K14" s="8">
        <v>2.029455361122558E-3</v>
      </c>
      <c r="L14" s="8">
        <v>2.6114969078800333E-3</v>
      </c>
      <c r="M14" s="8">
        <v>2.1409098055385888E-3</v>
      </c>
      <c r="N14" s="8">
        <v>1.6288378503456916E-3</v>
      </c>
      <c r="O14" s="8">
        <v>1.4353798797783173E-3</v>
      </c>
    </row>
    <row r="15" spans="1:15" x14ac:dyDescent="0.25">
      <c r="A15" s="2" t="s">
        <v>7</v>
      </c>
      <c r="B15" s="8">
        <v>4.5636300335199522E-4</v>
      </c>
      <c r="C15" s="8">
        <v>1.976274907548595E-3</v>
      </c>
      <c r="D15" s="8">
        <v>8.9636034729371529E-4</v>
      </c>
      <c r="E15" s="8">
        <v>9.2628114083640096E-4</v>
      </c>
      <c r="F15" s="8">
        <v>1.6301672074368089E-3</v>
      </c>
      <c r="G15" s="8">
        <v>1.0109587826301681E-3</v>
      </c>
      <c r="H15" s="8">
        <v>2.718742581471729E-3</v>
      </c>
      <c r="I15" s="8">
        <v>1.4488088420567642E-3</v>
      </c>
      <c r="J15" s="8">
        <v>2.3389967741954852E-4</v>
      </c>
      <c r="K15" s="8">
        <v>1.7496056089547636E-3</v>
      </c>
      <c r="L15" s="8">
        <v>8.6853738716663258E-4</v>
      </c>
      <c r="M15" s="8">
        <v>1.2789402114467331E-3</v>
      </c>
      <c r="N15" s="8">
        <v>1.3380571443343174E-3</v>
      </c>
      <c r="O15" s="8">
        <v>8.5682438753133608E-4</v>
      </c>
    </row>
    <row r="16" spans="1:15" x14ac:dyDescent="0.25">
      <c r="A16" s="2" t="s">
        <v>8</v>
      </c>
      <c r="B16" s="8">
        <v>1.5199061733978155E-3</v>
      </c>
      <c r="C16" s="8">
        <v>3.2433776123815487E-3</v>
      </c>
      <c r="D16" s="8">
        <v>2.7104458745040695E-3</v>
      </c>
      <c r="E16" s="8">
        <v>2.12860253126814E-3</v>
      </c>
      <c r="F16" s="8">
        <v>2.9222921614339976E-3</v>
      </c>
      <c r="G16" s="8">
        <v>1.6028044895095746E-3</v>
      </c>
      <c r="H16" s="8">
        <v>1.4488088420567642E-3</v>
      </c>
      <c r="I16" s="8">
        <v>6.6866808448417586E-3</v>
      </c>
      <c r="J16" s="8">
        <v>1.7728529608038342E-3</v>
      </c>
      <c r="K16" s="8">
        <v>3.3957780174240508E-3</v>
      </c>
      <c r="L16" s="8">
        <v>4.3515055063859751E-3</v>
      </c>
      <c r="M16" s="8">
        <v>3.7767770551917577E-3</v>
      </c>
      <c r="N16" s="8">
        <v>2.6493739078588857E-3</v>
      </c>
      <c r="O16" s="8">
        <v>1.3098711370844408E-3</v>
      </c>
    </row>
    <row r="17" spans="1:15" x14ac:dyDescent="0.25">
      <c r="A17" s="2" t="s">
        <v>9</v>
      </c>
      <c r="B17" s="8">
        <v>1.289852087685007E-3</v>
      </c>
      <c r="C17" s="8">
        <v>2.7816154373356103E-3</v>
      </c>
      <c r="D17" s="8">
        <v>1.6945263560988039E-3</v>
      </c>
      <c r="E17" s="8">
        <v>1.7023538561066402E-3</v>
      </c>
      <c r="F17" s="8">
        <v>1.2783330388387035E-3</v>
      </c>
      <c r="G17" s="8">
        <v>1.5103283586535793E-3</v>
      </c>
      <c r="H17" s="8">
        <v>2.3389967741954852E-4</v>
      </c>
      <c r="I17" s="8">
        <v>1.7728529608038342E-3</v>
      </c>
      <c r="J17" s="8">
        <v>4.8167260561250884E-3</v>
      </c>
      <c r="K17" s="8">
        <v>2.1607088835438396E-3</v>
      </c>
      <c r="L17" s="8">
        <v>2.8268935042595612E-3</v>
      </c>
      <c r="M17" s="8">
        <v>2.7671173067896787E-3</v>
      </c>
      <c r="N17" s="8">
        <v>2.8696077886580847E-3</v>
      </c>
      <c r="O17" s="8">
        <v>-4.1173276700214289E-5</v>
      </c>
    </row>
    <row r="18" spans="1:15" x14ac:dyDescent="0.25">
      <c r="A18" s="2" t="s">
        <v>10</v>
      </c>
      <c r="B18" s="8">
        <v>2.0771451876415744E-3</v>
      </c>
      <c r="C18" s="8">
        <v>4.1952986458360817E-3</v>
      </c>
      <c r="D18" s="8">
        <v>2.5340338527745114E-3</v>
      </c>
      <c r="E18" s="8">
        <v>2.602871118565627E-3</v>
      </c>
      <c r="F18" s="8">
        <v>2.9299154600815058E-3</v>
      </c>
      <c r="G18" s="8">
        <v>2.029455361122558E-3</v>
      </c>
      <c r="H18" s="8">
        <v>1.7496056089547636E-3</v>
      </c>
      <c r="I18" s="8">
        <v>3.3957780174240508E-3</v>
      </c>
      <c r="J18" s="8">
        <v>2.1607088835438396E-3</v>
      </c>
      <c r="K18" s="8">
        <v>5.2393500358966193E-3</v>
      </c>
      <c r="L18" s="8">
        <v>3.6642350982784362E-3</v>
      </c>
      <c r="M18" s="8">
        <v>3.0390433990515938E-3</v>
      </c>
      <c r="N18" s="8">
        <v>3.0694012785671848E-3</v>
      </c>
      <c r="O18" s="8">
        <v>1.4452215831428821E-3</v>
      </c>
    </row>
    <row r="19" spans="1:15" x14ac:dyDescent="0.25">
      <c r="A19" s="2" t="s">
        <v>11</v>
      </c>
      <c r="B19" s="8">
        <v>2.6209099700926978E-3</v>
      </c>
      <c r="C19" s="8">
        <v>4.6458069410096146E-3</v>
      </c>
      <c r="D19" s="8">
        <v>2.7777104525094072E-3</v>
      </c>
      <c r="E19" s="8">
        <v>2.6785563379233125E-3</v>
      </c>
      <c r="F19" s="8">
        <v>3.3642193159728541E-3</v>
      </c>
      <c r="G19" s="8">
        <v>2.6114969078800333E-3</v>
      </c>
      <c r="H19" s="8">
        <v>8.6853738716663258E-4</v>
      </c>
      <c r="I19" s="8">
        <v>4.3515055063859751E-3</v>
      </c>
      <c r="J19" s="8">
        <v>2.8268935042595612E-3</v>
      </c>
      <c r="K19" s="8">
        <v>3.6642350982784362E-3</v>
      </c>
      <c r="L19" s="8">
        <v>9.4653991894705306E-3</v>
      </c>
      <c r="M19" s="8">
        <v>3.7867162483402341E-3</v>
      </c>
      <c r="N19" s="8">
        <v>3.0159635395915251E-3</v>
      </c>
      <c r="O19" s="8">
        <v>1.2097666405792673E-3</v>
      </c>
    </row>
    <row r="20" spans="1:15" x14ac:dyDescent="0.25">
      <c r="A20" s="2" t="s">
        <v>12</v>
      </c>
      <c r="B20" s="8">
        <v>2.0125789404171071E-3</v>
      </c>
      <c r="C20" s="8">
        <v>2.9746991100091081E-3</v>
      </c>
      <c r="D20" s="8">
        <v>2.5154977644529096E-3</v>
      </c>
      <c r="E20" s="8">
        <v>2.3740493456134415E-3</v>
      </c>
      <c r="F20" s="8">
        <v>2.0347212607110129E-3</v>
      </c>
      <c r="G20" s="8">
        <v>2.1409098055385888E-3</v>
      </c>
      <c r="H20" s="8">
        <v>1.2789402114467331E-3</v>
      </c>
      <c r="I20" s="8">
        <v>3.7767770551917577E-3</v>
      </c>
      <c r="J20" s="8">
        <v>2.7671173067896787E-3</v>
      </c>
      <c r="K20" s="8">
        <v>3.0390433990515938E-3</v>
      </c>
      <c r="L20" s="8">
        <v>3.7867162483402341E-3</v>
      </c>
      <c r="M20" s="8">
        <v>5.4192293893824241E-3</v>
      </c>
      <c r="N20" s="8">
        <v>2.7652465317556888E-3</v>
      </c>
      <c r="O20" s="8">
        <v>1.8493565144561035E-3</v>
      </c>
    </row>
    <row r="21" spans="1:15" x14ac:dyDescent="0.25">
      <c r="A21" s="2" t="s">
        <v>13</v>
      </c>
      <c r="B21" s="8">
        <v>1.0715461200717846E-3</v>
      </c>
      <c r="C21" s="8">
        <v>3.3476514656648275E-3</v>
      </c>
      <c r="D21" s="8">
        <v>2.1501037540384519E-3</v>
      </c>
      <c r="E21" s="8">
        <v>2.2445202457093438E-3</v>
      </c>
      <c r="F21" s="8">
        <v>2.4126991580010544E-3</v>
      </c>
      <c r="G21" s="8">
        <v>1.6288378503456916E-3</v>
      </c>
      <c r="H21" s="8">
        <v>1.3380571443343174E-3</v>
      </c>
      <c r="I21" s="8">
        <v>2.6493739078588857E-3</v>
      </c>
      <c r="J21" s="8">
        <v>2.8696077886580847E-3</v>
      </c>
      <c r="K21" s="8">
        <v>3.0694012785671848E-3</v>
      </c>
      <c r="L21" s="8">
        <v>3.0159635395915251E-3</v>
      </c>
      <c r="M21" s="8">
        <v>2.7652465317556888E-3</v>
      </c>
      <c r="N21" s="8">
        <v>5.0512770798495669E-3</v>
      </c>
      <c r="O21" s="8">
        <v>8.806544594537033E-4</v>
      </c>
    </row>
    <row r="22" spans="1:15" x14ac:dyDescent="0.25">
      <c r="A22" s="2" t="s">
        <v>14</v>
      </c>
      <c r="B22" s="8">
        <v>5.2366793502320417E-4</v>
      </c>
      <c r="C22" s="8">
        <v>1.2404787921274113E-3</v>
      </c>
      <c r="D22" s="8">
        <v>1.0471381880015399E-3</v>
      </c>
      <c r="E22" s="8">
        <v>1.4253989896206298E-3</v>
      </c>
      <c r="F22" s="8">
        <v>3.9104790075923993E-4</v>
      </c>
      <c r="G22" s="8">
        <v>1.4353798797783173E-3</v>
      </c>
      <c r="H22" s="8">
        <v>8.5682438753133608E-4</v>
      </c>
      <c r="I22" s="8">
        <v>1.3098711370844408E-3</v>
      </c>
      <c r="J22" s="8">
        <v>-4.1173276700214289E-5</v>
      </c>
      <c r="K22" s="8">
        <v>1.4452215831428821E-3</v>
      </c>
      <c r="L22" s="8">
        <v>1.2097666405792673E-3</v>
      </c>
      <c r="M22" s="8">
        <v>1.8493565144561035E-3</v>
      </c>
      <c r="N22" s="8">
        <v>8.806544594537033E-4</v>
      </c>
      <c r="O22" s="8">
        <v>6.4273669582163408E-3</v>
      </c>
    </row>
    <row r="23" spans="1:15" x14ac:dyDescent="0.25">
      <c r="A23" s="7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 x14ac:dyDescent="0.25">
      <c r="A24" s="7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 ht="15.6" x14ac:dyDescent="0.3">
      <c r="A25" s="10" t="s">
        <v>17</v>
      </c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 x14ac:dyDescent="0.25">
      <c r="A26" s="7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 x14ac:dyDescent="0.25">
      <c r="A27" s="7" t="s">
        <v>18</v>
      </c>
      <c r="B27" s="9">
        <f>5.25%/12</f>
        <v>4.3749999999999995E-3</v>
      </c>
      <c r="C27" s="9" t="str">
        <f ca="1">[2]!getformula(B27)</f>
        <v>&lt;--  =5.25%/12</v>
      </c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 x14ac:dyDescent="0.25">
      <c r="A28" s="7" t="s">
        <v>19</v>
      </c>
      <c r="B28" s="9">
        <f>12%/12</f>
        <v>0.01</v>
      </c>
      <c r="C28" s="9" t="str">
        <f ca="1">[2]!getformula(B28)</f>
        <v>&lt;--  =12%/12</v>
      </c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</row>
    <row r="29" spans="1:15" ht="27.6" x14ac:dyDescent="0.25">
      <c r="A29" s="11" t="s">
        <v>20</v>
      </c>
      <c r="B29" s="9">
        <f t="array" ref="B29">SUMPRODUCT(TRANSPOSE(B4:O4),B32:B45)</f>
        <v>1.0000000000000002E-2</v>
      </c>
      <c r="C29" s="9" t="str">
        <f ca="1">[2]!getformula(B29)</f>
        <v>&lt;--  {=SUMPRODUCT(TRANSPOSE(B4:O4),B32:B45)}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 x14ac:dyDescent="0.25">
      <c r="A30" s="11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 ht="52.8" x14ac:dyDescent="0.25">
      <c r="A31" s="12"/>
      <c r="B31" s="13" t="s">
        <v>21</v>
      </c>
      <c r="C31" s="14" t="s">
        <v>22</v>
      </c>
      <c r="D31" s="13" t="s">
        <v>23</v>
      </c>
      <c r="E31" s="15"/>
      <c r="F31" s="13" t="s">
        <v>24</v>
      </c>
      <c r="G31" s="15"/>
      <c r="H31" s="15"/>
      <c r="I31" s="15"/>
      <c r="J31" s="15"/>
      <c r="K31" s="15"/>
      <c r="L31" s="15"/>
      <c r="M31" s="15"/>
      <c r="N31" s="15"/>
      <c r="O31" s="15"/>
    </row>
    <row r="32" spans="1:15" x14ac:dyDescent="0.25">
      <c r="A32" s="16" t="s">
        <v>1</v>
      </c>
      <c r="B32" s="17">
        <f t="array" ref="B32:B45">MMULT(B9:O22,TRANSPOSE(B4:O4))*(B28-B27)/(MMULT(MMULT(B4:O4,B9:O22),TRANSPOSE(B4:O4)))+B27</f>
        <v>8.1630576730100275E-3</v>
      </c>
      <c r="C32" s="18">
        <v>0</v>
      </c>
      <c r="D32" s="18">
        <f t="array" ref="D32:D45">B32:B45+MMULT(B50:O63,C32:C45)</f>
        <v>7.1722492548385733E-3</v>
      </c>
      <c r="E32" s="18"/>
      <c r="F32" s="18">
        <f t="array" ref="F32:F45">MMULT(MINVERSE(B9:O22),D32:D45-B27)/SUM(MMULT(MINVERSE(B9:O22),D32:D45-B27))</f>
        <v>5.2177620822881784E-2</v>
      </c>
      <c r="G32" s="18"/>
      <c r="H32" s="18"/>
      <c r="I32" s="18"/>
      <c r="J32" s="9"/>
      <c r="K32" s="9"/>
      <c r="L32" s="9"/>
      <c r="M32" s="9"/>
      <c r="N32" s="9"/>
      <c r="O32" s="9"/>
    </row>
    <row r="33" spans="1:15" x14ac:dyDescent="0.25">
      <c r="A33" s="16" t="s">
        <v>2</v>
      </c>
      <c r="B33" s="17">
        <v>1.237013546153717E-2</v>
      </c>
      <c r="C33" s="18">
        <v>0</v>
      </c>
      <c r="D33" s="18">
        <v>1.0233419152945324E-2</v>
      </c>
      <c r="E33" s="18"/>
      <c r="F33" s="18">
        <v>3.1079298665594165E-2</v>
      </c>
      <c r="G33" s="21" t="str">
        <f ca="1">[2]!getformula(F33)</f>
        <v>&lt;--  {=MMULT(MINVERSE(B9:O22),D32:D45-B27)/SUM(MMULT(MINVERSE(B9:O22),D32:D45-B27))}</v>
      </c>
      <c r="H33" s="22"/>
      <c r="I33" s="22"/>
      <c r="J33" s="22"/>
      <c r="K33" s="9"/>
      <c r="L33" s="9"/>
      <c r="M33" s="9"/>
      <c r="N33" s="9"/>
      <c r="O33" s="9"/>
    </row>
    <row r="34" spans="1:15" x14ac:dyDescent="0.25">
      <c r="A34" s="16" t="s">
        <v>3</v>
      </c>
      <c r="B34" s="17">
        <v>9.3571733780361023E-3</v>
      </c>
      <c r="C34" s="18">
        <v>0</v>
      </c>
      <c r="D34" s="18">
        <v>8.0555117422051042E-3</v>
      </c>
      <c r="E34" s="18"/>
      <c r="F34" s="18">
        <v>6.1912251573418751E-2</v>
      </c>
      <c r="G34" s="22"/>
      <c r="H34" s="22"/>
      <c r="I34" s="22"/>
      <c r="J34" s="22"/>
      <c r="K34" s="9"/>
      <c r="L34" s="9"/>
      <c r="M34" s="9"/>
      <c r="N34" s="9"/>
      <c r="O34" s="9"/>
    </row>
    <row r="35" spans="1:15" x14ac:dyDescent="0.25">
      <c r="A35" s="16" t="s">
        <v>4</v>
      </c>
      <c r="B35" s="17">
        <v>9.9891538102994878E-3</v>
      </c>
      <c r="C35" s="18">
        <v>0</v>
      </c>
      <c r="D35" s="18">
        <v>8.6814794285303715E-3</v>
      </c>
      <c r="E35" s="18"/>
      <c r="F35" s="18">
        <v>0.14361163014180819</v>
      </c>
      <c r="G35" s="22"/>
      <c r="H35" s="22"/>
      <c r="I35" s="22"/>
      <c r="J35" s="22"/>
      <c r="K35" s="9"/>
      <c r="L35" s="9"/>
      <c r="M35" s="9"/>
      <c r="N35" s="9"/>
      <c r="O35" s="9"/>
    </row>
    <row r="36" spans="1:15" x14ac:dyDescent="0.25">
      <c r="A36" s="16" t="s">
        <v>5</v>
      </c>
      <c r="B36" s="17">
        <v>1.0199988876579805E-2</v>
      </c>
      <c r="C36" s="9">
        <v>0</v>
      </c>
      <c r="D36" s="9">
        <v>9.2180288920196262E-3</v>
      </c>
      <c r="E36" s="9"/>
      <c r="F36" s="9">
        <v>4.4262770024892692E-2</v>
      </c>
      <c r="G36" s="22"/>
      <c r="H36" s="22"/>
      <c r="I36" s="22"/>
      <c r="J36" s="22"/>
      <c r="K36" s="9"/>
      <c r="L36" s="9"/>
      <c r="M36" s="9"/>
      <c r="N36" s="9"/>
      <c r="O36" s="9"/>
    </row>
    <row r="37" spans="1:15" x14ac:dyDescent="0.25">
      <c r="A37" s="16" t="s">
        <v>6</v>
      </c>
      <c r="B37" s="17">
        <v>9.1575396851346323E-3</v>
      </c>
      <c r="C37" s="9">
        <v>0</v>
      </c>
      <c r="D37" s="9">
        <v>7.9973709601742181E-3</v>
      </c>
      <c r="E37" s="9"/>
      <c r="F37" s="9">
        <v>3.9002096100928238E-2</v>
      </c>
      <c r="G37" s="9"/>
      <c r="H37" s="9"/>
      <c r="I37" s="9"/>
      <c r="J37" s="9"/>
      <c r="K37" s="9"/>
      <c r="L37" s="9"/>
      <c r="M37" s="9"/>
      <c r="N37" s="9"/>
      <c r="O37" s="9"/>
    </row>
    <row r="38" spans="1:15" x14ac:dyDescent="0.25">
      <c r="A38" s="16" t="s">
        <v>7</v>
      </c>
      <c r="B38" s="17">
        <v>8.7899692671027166E-3</v>
      </c>
      <c r="C38" s="9">
        <v>0</v>
      </c>
      <c r="D38" s="9">
        <v>8.6102976818042704E-3</v>
      </c>
      <c r="E38" s="9"/>
      <c r="F38" s="9">
        <v>0.41313772905281487</v>
      </c>
      <c r="G38" s="9"/>
      <c r="H38" s="9"/>
      <c r="I38" s="9"/>
      <c r="J38" s="9"/>
      <c r="K38" s="9"/>
      <c r="L38" s="9"/>
      <c r="M38" s="9"/>
      <c r="N38" s="9"/>
      <c r="O38" s="9"/>
    </row>
    <row r="39" spans="1:15" x14ac:dyDescent="0.25">
      <c r="A39" s="16" t="s">
        <v>8</v>
      </c>
      <c r="B39" s="17">
        <v>1.181295046437846E-2</v>
      </c>
      <c r="C39" s="9">
        <v>0</v>
      </c>
      <c r="D39" s="9">
        <v>1.0451121728730755E-2</v>
      </c>
      <c r="E39" s="9"/>
      <c r="F39" s="9">
        <v>0.1007236283780111</v>
      </c>
      <c r="G39" s="9"/>
      <c r="H39" s="9"/>
      <c r="I39" s="9"/>
      <c r="J39" s="9"/>
      <c r="K39" s="9"/>
      <c r="L39" s="9"/>
      <c r="M39" s="9"/>
      <c r="N39" s="9"/>
      <c r="O39" s="9"/>
    </row>
    <row r="40" spans="1:15" x14ac:dyDescent="0.25">
      <c r="A40" s="25" t="s">
        <v>9</v>
      </c>
      <c r="B40" s="24">
        <v>8.7332150372339198E-3</v>
      </c>
      <c r="C40" s="24">
        <v>-3.7000000000000002E-3</v>
      </c>
      <c r="D40" s="24">
        <v>5.0332150372339197E-3</v>
      </c>
      <c r="E40" s="9"/>
      <c r="F40" s="9">
        <v>-0.3119659861399986</v>
      </c>
      <c r="G40" s="9"/>
      <c r="H40" s="9"/>
      <c r="I40" s="9"/>
      <c r="J40" s="9"/>
      <c r="K40" s="9"/>
      <c r="L40" s="9"/>
      <c r="M40" s="9"/>
      <c r="N40" s="9"/>
      <c r="O40" s="9"/>
    </row>
    <row r="41" spans="1:15" x14ac:dyDescent="0.25">
      <c r="A41" s="16" t="s">
        <v>10</v>
      </c>
      <c r="B41" s="17">
        <v>1.1548018284762079E-2</v>
      </c>
      <c r="C41" s="9">
        <v>0</v>
      </c>
      <c r="D41" s="9">
        <v>9.8882554549980708E-3</v>
      </c>
      <c r="E41" s="9"/>
      <c r="F41" s="9">
        <v>3.7786260586780314E-2</v>
      </c>
      <c r="G41" s="9"/>
      <c r="H41" s="9"/>
      <c r="I41" s="9"/>
      <c r="J41" s="9"/>
      <c r="K41" s="9"/>
      <c r="L41" s="9"/>
      <c r="M41" s="9"/>
      <c r="N41" s="9"/>
      <c r="O41" s="9"/>
    </row>
    <row r="42" spans="1:15" x14ac:dyDescent="0.25">
      <c r="A42" s="16" t="s">
        <v>11</v>
      </c>
      <c r="B42" s="17">
        <v>1.2739692290175651E-2</v>
      </c>
      <c r="C42" s="9">
        <v>0</v>
      </c>
      <c r="D42" s="9">
        <v>1.0568195334798717E-2</v>
      </c>
      <c r="E42" s="9"/>
      <c r="F42" s="9">
        <v>0.11662484971011371</v>
      </c>
      <c r="G42" s="9"/>
      <c r="H42" s="9"/>
      <c r="I42" s="9"/>
      <c r="J42" s="9"/>
      <c r="K42" s="9"/>
      <c r="L42" s="9"/>
      <c r="M42" s="9"/>
      <c r="N42" s="9"/>
      <c r="O42" s="9"/>
    </row>
    <row r="43" spans="1:15" x14ac:dyDescent="0.25">
      <c r="A43" s="16" t="s">
        <v>12</v>
      </c>
      <c r="B43" s="17">
        <v>1.1644022186495736E-2</v>
      </c>
      <c r="C43" s="9">
        <v>0</v>
      </c>
      <c r="D43" s="9">
        <v>9.5184427128400875E-3</v>
      </c>
      <c r="E43" s="9"/>
      <c r="F43" s="9">
        <v>0.13670600228693611</v>
      </c>
      <c r="G43" s="9"/>
      <c r="H43" s="9"/>
      <c r="I43" s="9"/>
      <c r="J43" s="9"/>
      <c r="K43" s="9"/>
      <c r="L43" s="9"/>
      <c r="M43" s="9"/>
      <c r="N43" s="9"/>
      <c r="O43" s="9"/>
    </row>
    <row r="44" spans="1:15" x14ac:dyDescent="0.25">
      <c r="A44" s="16" t="s">
        <v>13</v>
      </c>
      <c r="B44" s="17">
        <v>1.0444575657873972E-2</v>
      </c>
      <c r="C44" s="9">
        <v>0</v>
      </c>
      <c r="D44" s="9">
        <v>8.2402674422275089E-3</v>
      </c>
      <c r="E44" s="9"/>
      <c r="F44" s="9">
        <v>4.9968455640309946E-2</v>
      </c>
      <c r="G44" s="9"/>
      <c r="H44" s="9"/>
      <c r="I44" s="9"/>
      <c r="J44" s="9"/>
      <c r="K44" s="9"/>
      <c r="L44" s="9"/>
      <c r="M44" s="9"/>
      <c r="N44" s="9"/>
      <c r="O44" s="9"/>
    </row>
    <row r="45" spans="1:15" x14ac:dyDescent="0.25">
      <c r="A45" s="16" t="s">
        <v>14</v>
      </c>
      <c r="B45" s="17">
        <v>8.3379475589526915E-3</v>
      </c>
      <c r="C45" s="9">
        <v>0</v>
      </c>
      <c r="D45" s="9">
        <v>8.3695750839594477E-3</v>
      </c>
      <c r="E45" s="9"/>
      <c r="F45" s="9">
        <v>8.4973393155508767E-2</v>
      </c>
      <c r="G45" s="9"/>
      <c r="H45" s="9"/>
      <c r="I45" s="9"/>
      <c r="J45" s="9"/>
      <c r="K45" s="9"/>
      <c r="L45" s="9"/>
      <c r="M45" s="9"/>
      <c r="N45" s="9"/>
      <c r="O45" s="9"/>
    </row>
    <row r="46" spans="1:15" ht="17.399999999999999" x14ac:dyDescent="0.4">
      <c r="A46" s="7"/>
      <c r="B46" s="23" t="s">
        <v>25</v>
      </c>
      <c r="C46" s="24">
        <f t="array" ref="C46">SUM(C32:C45^2)</f>
        <v>1.3690000000000001E-5</v>
      </c>
      <c r="D46" s="9"/>
      <c r="E46" s="9"/>
      <c r="F46" s="9">
        <f>SUM(F32:F45)</f>
        <v>1</v>
      </c>
      <c r="G46" s="9" t="str">
        <f ca="1">[2]!getformula(F46)</f>
        <v>&lt;--  =SUM(F32:F45)</v>
      </c>
      <c r="H46" s="9"/>
      <c r="I46" s="9"/>
      <c r="J46" s="9"/>
      <c r="K46" s="9"/>
      <c r="L46" s="9"/>
      <c r="M46" s="9"/>
      <c r="N46" s="9"/>
      <c r="O46" s="9"/>
    </row>
    <row r="47" spans="1:15" x14ac:dyDescent="0.25">
      <c r="A47" s="7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 x14ac:dyDescent="0.25">
      <c r="A48" s="20" t="str">
        <f ca="1">"Tracking factors:  Cov(ri,rj)/Var(ri) = "&amp;[2]!ggetformula(B50)</f>
        <v>Tracking factors:  Cov(ri,rj)/Var(ri) =  {=MMULT(B9:O22,B68:O81)}</v>
      </c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 x14ac:dyDescent="0.25">
      <c r="A49" s="7"/>
      <c r="B49" s="2" t="s">
        <v>1</v>
      </c>
      <c r="C49" s="2" t="s">
        <v>2</v>
      </c>
      <c r="D49" s="2" t="s">
        <v>3</v>
      </c>
      <c r="E49" s="2" t="s">
        <v>4</v>
      </c>
      <c r="F49" s="2" t="s">
        <v>5</v>
      </c>
      <c r="G49" s="2" t="s">
        <v>6</v>
      </c>
      <c r="H49" s="2" t="s">
        <v>7</v>
      </c>
      <c r="I49" s="2" t="s">
        <v>8</v>
      </c>
      <c r="J49" s="2" t="s">
        <v>9</v>
      </c>
      <c r="K49" s="2" t="s">
        <v>10</v>
      </c>
      <c r="L49" s="2" t="s">
        <v>11</v>
      </c>
      <c r="M49" s="2" t="s">
        <v>12</v>
      </c>
      <c r="N49" s="2" t="s">
        <v>13</v>
      </c>
      <c r="O49" s="2" t="s">
        <v>14</v>
      </c>
    </row>
    <row r="50" spans="1:15" x14ac:dyDescent="0.25">
      <c r="A50" s="2" t="s">
        <v>1</v>
      </c>
      <c r="B50" s="8">
        <f t="array" ref="B50:O63">MMULT(B9:O22,B68:O81)</f>
        <v>1</v>
      </c>
      <c r="C50" s="8">
        <v>0.32012719926585831</v>
      </c>
      <c r="D50" s="8">
        <v>0.45371178212375979</v>
      </c>
      <c r="E50" s="8">
        <v>0.34198268568918239</v>
      </c>
      <c r="F50" s="8">
        <v>0.32841043006979287</v>
      </c>
      <c r="G50" s="8">
        <v>0.5810998485208525</v>
      </c>
      <c r="H50" s="8">
        <v>0.16785811443205984</v>
      </c>
      <c r="I50" s="8">
        <v>0.22730353200127712</v>
      </c>
      <c r="J50" s="8">
        <v>0.26778605896525792</v>
      </c>
      <c r="K50" s="8">
        <v>0.39645092872404525</v>
      </c>
      <c r="L50" s="8">
        <v>0.27689375985412662</v>
      </c>
      <c r="M50" s="8">
        <v>0.37137732983959565</v>
      </c>
      <c r="N50" s="8">
        <v>0.21213370463211584</v>
      </c>
      <c r="O50" s="8">
        <v>8.1474721830497032E-2</v>
      </c>
    </row>
    <row r="51" spans="1:15" x14ac:dyDescent="0.25">
      <c r="A51" s="2" t="s">
        <v>2</v>
      </c>
      <c r="B51" s="8">
        <v>0.77802120231531358</v>
      </c>
      <c r="C51" s="8">
        <v>1</v>
      </c>
      <c r="D51" s="8">
        <v>1.0365730723741784</v>
      </c>
      <c r="E51" s="8">
        <v>0.62742962600524066</v>
      </c>
      <c r="F51" s="8">
        <v>0.73963345339171738</v>
      </c>
      <c r="G51" s="8">
        <v>0.97907633248348247</v>
      </c>
      <c r="H51" s="8">
        <v>0.72690769660097199</v>
      </c>
      <c r="I51" s="8">
        <v>0.48505045891094922</v>
      </c>
      <c r="J51" s="8">
        <v>0.57749089421401234</v>
      </c>
      <c r="K51" s="8">
        <v>0.80072883412878004</v>
      </c>
      <c r="L51" s="8">
        <v>0.49081996945017259</v>
      </c>
      <c r="M51" s="8">
        <v>0.54891551847523934</v>
      </c>
      <c r="N51" s="8">
        <v>0.66273368353108131</v>
      </c>
      <c r="O51" s="8">
        <v>0.19299952845257443</v>
      </c>
    </row>
    <row r="52" spans="1:15" x14ac:dyDescent="0.25">
      <c r="A52" s="2" t="s">
        <v>3</v>
      </c>
      <c r="B52" s="8">
        <v>0.35200917396070353</v>
      </c>
      <c r="C52" s="8">
        <v>0.33090626543103857</v>
      </c>
      <c r="D52" s="8">
        <v>0.99999999999999989</v>
      </c>
      <c r="E52" s="8">
        <v>0.47842804259155669</v>
      </c>
      <c r="F52" s="8">
        <v>0.34749410163737193</v>
      </c>
      <c r="G52" s="8">
        <v>0.4547197668199261</v>
      </c>
      <c r="H52" s="8">
        <v>0.3296966595522593</v>
      </c>
      <c r="I52" s="8">
        <v>0.40534996919958616</v>
      </c>
      <c r="J52" s="8">
        <v>0.35180044211648598</v>
      </c>
      <c r="K52" s="8">
        <v>0.48365423867711821</v>
      </c>
      <c r="L52" s="8">
        <v>0.29345940904419315</v>
      </c>
      <c r="M52" s="8">
        <v>0.46417997536354072</v>
      </c>
      <c r="N52" s="8">
        <v>0.42565547683289717</v>
      </c>
      <c r="O52" s="8">
        <v>0.16291868735811707</v>
      </c>
    </row>
    <row r="53" spans="1:15" x14ac:dyDescent="0.25">
      <c r="A53" s="2" t="s">
        <v>4</v>
      </c>
      <c r="B53" s="8">
        <v>0.47161574301175907</v>
      </c>
      <c r="C53" s="8">
        <v>0.35602487229026641</v>
      </c>
      <c r="D53" s="8">
        <v>0.85040710095614036</v>
      </c>
      <c r="E53" s="8">
        <v>1</v>
      </c>
      <c r="F53" s="8">
        <v>0.31653285447768958</v>
      </c>
      <c r="G53" s="8">
        <v>0.66885041286827074</v>
      </c>
      <c r="H53" s="8">
        <v>0.34070203893116646</v>
      </c>
      <c r="I53" s="8">
        <v>0.31833469858370572</v>
      </c>
      <c r="J53" s="8">
        <v>0.35342550858624766</v>
      </c>
      <c r="K53" s="8">
        <v>0.49679275114898735</v>
      </c>
      <c r="L53" s="8">
        <v>0.28298398031675026</v>
      </c>
      <c r="M53" s="8">
        <v>0.43807877006734131</v>
      </c>
      <c r="N53" s="8">
        <v>0.44434708495068109</v>
      </c>
      <c r="O53" s="8">
        <v>0.22177028305478805</v>
      </c>
    </row>
    <row r="54" spans="1:15" x14ac:dyDescent="0.25">
      <c r="A54" s="2" t="s">
        <v>5</v>
      </c>
      <c r="B54" s="8">
        <v>0.54992939532018847</v>
      </c>
      <c r="C54" s="8">
        <v>0.50960969515656973</v>
      </c>
      <c r="D54" s="8">
        <v>0.75000387210347663</v>
      </c>
      <c r="E54" s="8">
        <v>0.38434798809865339</v>
      </c>
      <c r="F54" s="8">
        <v>1</v>
      </c>
      <c r="G54" s="8">
        <v>0.51278051993760365</v>
      </c>
      <c r="H54" s="8">
        <v>0.59960336758118349</v>
      </c>
      <c r="I54" s="8">
        <v>0.43703179936998382</v>
      </c>
      <c r="J54" s="8">
        <v>0.26539459042166996</v>
      </c>
      <c r="K54" s="8">
        <v>0.55921353603168911</v>
      </c>
      <c r="L54" s="8">
        <v>0.35542286686812619</v>
      </c>
      <c r="M54" s="8">
        <v>0.3754632097134552</v>
      </c>
      <c r="N54" s="8">
        <v>0.47764142015209105</v>
      </c>
      <c r="O54" s="8">
        <v>6.0841072759872369E-2</v>
      </c>
    </row>
    <row r="55" spans="1:15" x14ac:dyDescent="0.25">
      <c r="A55" s="2" t="s">
        <v>6</v>
      </c>
      <c r="B55" s="8">
        <v>0.58755895768911004</v>
      </c>
      <c r="C55" s="8">
        <v>0.40733186398200605</v>
      </c>
      <c r="D55" s="8">
        <v>0.59261221404001851</v>
      </c>
      <c r="E55" s="8">
        <v>0.49039441310035364</v>
      </c>
      <c r="F55" s="8">
        <v>0.30962941683848555</v>
      </c>
      <c r="G55" s="8">
        <v>1</v>
      </c>
      <c r="H55" s="8">
        <v>0.3718479231979766</v>
      </c>
      <c r="I55" s="8">
        <v>0.23970106046649595</v>
      </c>
      <c r="J55" s="8">
        <v>0.31355911485416577</v>
      </c>
      <c r="K55" s="8">
        <v>0.38734868776051412</v>
      </c>
      <c r="L55" s="8">
        <v>0.27589928914832312</v>
      </c>
      <c r="M55" s="8">
        <v>0.39505797812012661</v>
      </c>
      <c r="N55" s="8">
        <v>0.32246060245703256</v>
      </c>
      <c r="O55" s="8">
        <v>0.2233231569178446</v>
      </c>
    </row>
    <row r="56" spans="1:15" x14ac:dyDescent="0.25">
      <c r="A56" s="2" t="s">
        <v>7</v>
      </c>
      <c r="B56" s="8">
        <v>0.14599473159188131</v>
      </c>
      <c r="C56" s="8">
        <v>0.2601388725264826</v>
      </c>
      <c r="D56" s="8">
        <v>0.36960298142654324</v>
      </c>
      <c r="E56" s="8">
        <v>0.21487475823268939</v>
      </c>
      <c r="F56" s="8">
        <v>0.31143607253037542</v>
      </c>
      <c r="G56" s="8">
        <v>0.31985969177784679</v>
      </c>
      <c r="H56" s="8">
        <v>1</v>
      </c>
      <c r="I56" s="8">
        <v>0.21667085295007082</v>
      </c>
      <c r="J56" s="8">
        <v>4.8559887918499106E-2</v>
      </c>
      <c r="K56" s="8">
        <v>0.33393562120637171</v>
      </c>
      <c r="L56" s="8">
        <v>9.1759192589870711E-2</v>
      </c>
      <c r="M56" s="8">
        <v>0.23600038299771642</v>
      </c>
      <c r="N56" s="8">
        <v>0.26489482227614536</v>
      </c>
      <c r="O56" s="8">
        <v>0.13330877062123017</v>
      </c>
    </row>
    <row r="57" spans="1:15" x14ac:dyDescent="0.25">
      <c r="A57" s="2" t="s">
        <v>8</v>
      </c>
      <c r="B57" s="8">
        <v>0.48623199558292446</v>
      </c>
      <c r="C57" s="8">
        <v>0.42692875977924871</v>
      </c>
      <c r="D57" s="8">
        <v>1.1176184658732085</v>
      </c>
      <c r="E57" s="8">
        <v>0.49378415916654711</v>
      </c>
      <c r="F57" s="8">
        <v>0.55829070134119052</v>
      </c>
      <c r="G57" s="8">
        <v>0.50711518491474339</v>
      </c>
      <c r="H57" s="8">
        <v>0.53289666036439709</v>
      </c>
      <c r="I57" s="8">
        <v>1</v>
      </c>
      <c r="J57" s="8">
        <v>0.36806182044532576</v>
      </c>
      <c r="K57" s="8">
        <v>0.64812963328626416</v>
      </c>
      <c r="L57" s="8">
        <v>0.45972762683127649</v>
      </c>
      <c r="M57" s="8">
        <v>0.69692142255343048</v>
      </c>
      <c r="N57" s="8">
        <v>0.52449585836969914</v>
      </c>
      <c r="O57" s="8">
        <v>0.20379591605703859</v>
      </c>
    </row>
    <row r="58" spans="1:15" x14ac:dyDescent="0.25">
      <c r="A58" s="2" t="s">
        <v>9</v>
      </c>
      <c r="B58" s="8">
        <v>0.41263557289185993</v>
      </c>
      <c r="C58" s="8">
        <v>0.36614658259680988</v>
      </c>
      <c r="D58" s="8">
        <v>0.69871675516537601</v>
      </c>
      <c r="E58" s="8">
        <v>0.39490480495705882</v>
      </c>
      <c r="F58" s="8">
        <v>0.24421974579388547</v>
      </c>
      <c r="G58" s="8">
        <v>0.47785643844493081</v>
      </c>
      <c r="H58" s="8">
        <v>8.6032300010151122E-2</v>
      </c>
      <c r="I58" s="8">
        <v>0.26513198430450718</v>
      </c>
      <c r="J58" s="8">
        <v>1</v>
      </c>
      <c r="K58" s="8">
        <v>0.41240017726245953</v>
      </c>
      <c r="L58" s="8">
        <v>0.29865549753086429</v>
      </c>
      <c r="M58" s="8">
        <v>0.51061084666597212</v>
      </c>
      <c r="N58" s="8">
        <v>0.56809550204748327</v>
      </c>
      <c r="O58" s="8">
        <v>-6.4059321597595992E-3</v>
      </c>
    </row>
    <row r="59" spans="1:15" x14ac:dyDescent="0.25">
      <c r="A59" s="2" t="s">
        <v>10</v>
      </c>
      <c r="B59" s="8">
        <v>0.6644978929486085</v>
      </c>
      <c r="C59" s="8">
        <v>0.55223099553159805</v>
      </c>
      <c r="D59" s="8">
        <v>1.0448771745079808</v>
      </c>
      <c r="E59" s="8">
        <v>0.6038029682949364</v>
      </c>
      <c r="F59" s="8">
        <v>0.55974709807133882</v>
      </c>
      <c r="G59" s="8">
        <v>0.64210428500034189</v>
      </c>
      <c r="H59" s="8">
        <v>0.64353485353058126</v>
      </c>
      <c r="I59" s="8">
        <v>0.50784209628363264</v>
      </c>
      <c r="J59" s="8">
        <v>0.44858454858486702</v>
      </c>
      <c r="K59" s="8">
        <v>1</v>
      </c>
      <c r="L59" s="8">
        <v>0.387118918592952</v>
      </c>
      <c r="M59" s="8">
        <v>0.56078884665886475</v>
      </c>
      <c r="N59" s="8">
        <v>0.60764856689639268</v>
      </c>
      <c r="O59" s="8">
        <v>0.22485437544458264</v>
      </c>
    </row>
    <row r="60" spans="1:15" x14ac:dyDescent="0.25">
      <c r="A60" s="2" t="s">
        <v>11</v>
      </c>
      <c r="B60" s="8">
        <v>0.83845325935642845</v>
      </c>
      <c r="C60" s="8">
        <v>0.61153181421964231</v>
      </c>
      <c r="D60" s="8">
        <v>1.1453541735606712</v>
      </c>
      <c r="E60" s="8">
        <v>0.62136010348240867</v>
      </c>
      <c r="F60" s="8">
        <v>0.64271888559506918</v>
      </c>
      <c r="G60" s="8">
        <v>0.82625781622877881</v>
      </c>
      <c r="H60" s="8">
        <v>0.31946289916733117</v>
      </c>
      <c r="I60" s="8">
        <v>0.65077212556702402</v>
      </c>
      <c r="J60" s="8">
        <v>0.58689106902079302</v>
      </c>
      <c r="K60" s="8">
        <v>0.69936825620992682</v>
      </c>
      <c r="L60" s="8">
        <v>0.99999999999999989</v>
      </c>
      <c r="M60" s="8">
        <v>0.69875548279231792</v>
      </c>
      <c r="N60" s="8">
        <v>0.59706951171273781</v>
      </c>
      <c r="O60" s="8">
        <v>0.18822118737639182</v>
      </c>
    </row>
    <row r="61" spans="1:15" x14ac:dyDescent="0.25">
      <c r="A61" s="2" t="s">
        <v>12</v>
      </c>
      <c r="B61" s="8">
        <v>0.64384255528057988</v>
      </c>
      <c r="C61" s="8">
        <v>0.39156236292205848</v>
      </c>
      <c r="D61" s="8">
        <v>1.0372340502574111</v>
      </c>
      <c r="E61" s="8">
        <v>0.55072186691670999</v>
      </c>
      <c r="F61" s="8">
        <v>0.38872429480793358</v>
      </c>
      <c r="G61" s="8">
        <v>0.67736762595024125</v>
      </c>
      <c r="H61" s="8">
        <v>0.4704160740199273</v>
      </c>
      <c r="I61" s="8">
        <v>0.56482089437620464</v>
      </c>
      <c r="J61" s="8">
        <v>0.57448093882585083</v>
      </c>
      <c r="K61" s="8">
        <v>0.58004206213176157</v>
      </c>
      <c r="L61" s="8">
        <v>0.40005880074795375</v>
      </c>
      <c r="M61" s="8">
        <v>1</v>
      </c>
      <c r="N61" s="8">
        <v>0.54743513136247146</v>
      </c>
      <c r="O61" s="8">
        <v>0.2877315900085653</v>
      </c>
    </row>
    <row r="62" spans="1:15" x14ac:dyDescent="0.25">
      <c r="A62" s="2" t="s">
        <v>13</v>
      </c>
      <c r="B62" s="8">
        <v>0.34279748147668959</v>
      </c>
      <c r="C62" s="8">
        <v>0.44065442240011921</v>
      </c>
      <c r="D62" s="8">
        <v>0.88656839882344352</v>
      </c>
      <c r="E62" s="8">
        <v>0.5206742573962797</v>
      </c>
      <c r="F62" s="8">
        <v>0.46093526267569646</v>
      </c>
      <c r="G62" s="8">
        <v>0.51535194284795782</v>
      </c>
      <c r="H62" s="8">
        <v>0.4921602925753974</v>
      </c>
      <c r="I62" s="8">
        <v>0.39621659375333673</v>
      </c>
      <c r="J62" s="8">
        <v>0.59575897720174653</v>
      </c>
      <c r="K62" s="8">
        <v>0.58583626929631416</v>
      </c>
      <c r="L62" s="8">
        <v>0.31863035876463969</v>
      </c>
      <c r="M62" s="8">
        <v>0.5102656361388711</v>
      </c>
      <c r="N62" s="8">
        <v>1</v>
      </c>
      <c r="O62" s="8">
        <v>0.13701636536061321</v>
      </c>
    </row>
    <row r="63" spans="1:15" x14ac:dyDescent="0.25">
      <c r="A63" s="2" t="s">
        <v>14</v>
      </c>
      <c r="B63" s="8">
        <v>0.1675261996600084</v>
      </c>
      <c r="C63" s="8">
        <v>0.16328535728732005</v>
      </c>
      <c r="D63" s="8">
        <v>0.43177433876839999</v>
      </c>
      <c r="E63" s="8">
        <v>0.33065799332078588</v>
      </c>
      <c r="F63" s="8">
        <v>7.4707932921308354E-2</v>
      </c>
      <c r="G63" s="8">
        <v>0.45414330813323772</v>
      </c>
      <c r="H63" s="8">
        <v>0.31515465766071676</v>
      </c>
      <c r="I63" s="8">
        <v>0.19589257622410705</v>
      </c>
      <c r="J63" s="8">
        <v>-8.5479797315558687E-3</v>
      </c>
      <c r="K63" s="8">
        <v>0.2758398605249055</v>
      </c>
      <c r="L63" s="8">
        <v>0.12780936296115561</v>
      </c>
      <c r="M63" s="8">
        <v>0.3412582087924601</v>
      </c>
      <c r="N63" s="8">
        <v>0.17434293259555864</v>
      </c>
      <c r="O63" s="8">
        <v>1</v>
      </c>
    </row>
    <row r="64" spans="1:15" x14ac:dyDescent="0.25">
      <c r="A64" s="7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 x14ac:dyDescent="0.25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</row>
    <row r="66" spans="1:15" x14ac:dyDescent="0.25">
      <c r="A66" s="19" t="str">
        <f ca="1">"Below:  Matrix with inverse of var(ri) on diagonal. "&amp;[2]!ggetformula(B69)</f>
        <v>Below:  Matrix with inverse of var(ri) on diagonal.  {=MINVERSE(IF(B8:O8=A9:A22,B9:O22,0))}</v>
      </c>
    </row>
    <row r="67" spans="1:15" x14ac:dyDescent="0.25">
      <c r="A67" s="7"/>
      <c r="B67" s="2" t="s">
        <v>1</v>
      </c>
      <c r="C67" s="2" t="s">
        <v>2</v>
      </c>
      <c r="D67" s="2" t="s">
        <v>3</v>
      </c>
      <c r="E67" s="2" t="s">
        <v>4</v>
      </c>
      <c r="F67" s="2" t="s">
        <v>5</v>
      </c>
      <c r="G67" s="2" t="s">
        <v>6</v>
      </c>
      <c r="H67" s="2" t="s">
        <v>7</v>
      </c>
      <c r="I67" s="2" t="s">
        <v>8</v>
      </c>
      <c r="J67" s="2" t="s">
        <v>9</v>
      </c>
      <c r="K67" s="2" t="s">
        <v>10</v>
      </c>
      <c r="L67" s="2" t="s">
        <v>11</v>
      </c>
      <c r="M67" s="2" t="s">
        <v>12</v>
      </c>
      <c r="N67" s="2" t="s">
        <v>13</v>
      </c>
      <c r="O67" s="2" t="s">
        <v>14</v>
      </c>
    </row>
    <row r="68" spans="1:15" x14ac:dyDescent="0.25">
      <c r="A68" s="2" t="s">
        <v>1</v>
      </c>
      <c r="B68" s="8">
        <f t="array" ref="B68:O81">MINVERSE(IF(B8:O8=A9:A22,B9:O22,0))</f>
        <v>319.90921814333575</v>
      </c>
      <c r="C68" s="8">
        <v>0</v>
      </c>
      <c r="D68" s="8">
        <v>0</v>
      </c>
      <c r="E68" s="8">
        <v>0</v>
      </c>
      <c r="F68" s="8">
        <v>0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</row>
    <row r="69" spans="1:15" x14ac:dyDescent="0.25">
      <c r="A69" s="2" t="s">
        <v>2</v>
      </c>
      <c r="B69" s="8">
        <v>0</v>
      </c>
      <c r="C69" s="8">
        <v>131.63091406608166</v>
      </c>
      <c r="D69" s="8">
        <v>0</v>
      </c>
      <c r="E69" s="8">
        <v>0</v>
      </c>
      <c r="F69" s="8">
        <v>0</v>
      </c>
      <c r="G69" s="8">
        <v>0</v>
      </c>
      <c r="H69" s="8">
        <v>0</v>
      </c>
      <c r="I69" s="8">
        <v>0</v>
      </c>
      <c r="J69" s="8">
        <v>0</v>
      </c>
      <c r="K69" s="8">
        <v>0</v>
      </c>
      <c r="L69" s="8">
        <v>0</v>
      </c>
      <c r="M69" s="8">
        <v>0</v>
      </c>
      <c r="N69" s="8">
        <v>0</v>
      </c>
      <c r="O69" s="8">
        <v>0</v>
      </c>
    </row>
    <row r="70" spans="1:15" x14ac:dyDescent="0.25">
      <c r="A70" s="2" t="s">
        <v>3</v>
      </c>
      <c r="B70" s="8">
        <v>0</v>
      </c>
      <c r="C70" s="8">
        <v>0</v>
      </c>
      <c r="D70" s="8">
        <v>412.3374963455779</v>
      </c>
      <c r="E70" s="8">
        <v>0</v>
      </c>
      <c r="F70" s="8">
        <v>0</v>
      </c>
      <c r="G70" s="8">
        <v>0</v>
      </c>
      <c r="H70" s="8">
        <v>0</v>
      </c>
      <c r="I70" s="8">
        <v>0</v>
      </c>
      <c r="J70" s="8">
        <v>0</v>
      </c>
      <c r="K70" s="8">
        <v>0</v>
      </c>
      <c r="L70" s="8">
        <v>0</v>
      </c>
      <c r="M70" s="8">
        <v>0</v>
      </c>
      <c r="N70" s="8">
        <v>0</v>
      </c>
      <c r="O70" s="8">
        <v>0</v>
      </c>
    </row>
    <row r="71" spans="1:15" x14ac:dyDescent="0.25">
      <c r="A71" s="2" t="s">
        <v>4</v>
      </c>
      <c r="B71" s="8">
        <v>0</v>
      </c>
      <c r="C71" s="8">
        <v>0</v>
      </c>
      <c r="D71" s="8">
        <v>0</v>
      </c>
      <c r="E71" s="8">
        <v>231.97574554812232</v>
      </c>
      <c r="F71" s="8">
        <v>0</v>
      </c>
      <c r="G71" s="8">
        <v>0</v>
      </c>
      <c r="H71" s="8">
        <v>0</v>
      </c>
      <c r="I71" s="8">
        <v>0</v>
      </c>
      <c r="J71" s="8">
        <v>0</v>
      </c>
      <c r="K71" s="8">
        <v>0</v>
      </c>
      <c r="L71" s="8">
        <v>0</v>
      </c>
      <c r="M71" s="8">
        <v>0</v>
      </c>
      <c r="N71" s="8">
        <v>0</v>
      </c>
      <c r="O71" s="8">
        <v>0</v>
      </c>
    </row>
    <row r="72" spans="1:15" x14ac:dyDescent="0.25">
      <c r="A72" s="2" t="s">
        <v>5</v>
      </c>
      <c r="B72" s="8">
        <v>0</v>
      </c>
      <c r="C72" s="8">
        <v>0</v>
      </c>
      <c r="D72" s="8">
        <v>0</v>
      </c>
      <c r="E72" s="8">
        <v>0</v>
      </c>
      <c r="F72" s="8">
        <v>191.04547748820286</v>
      </c>
      <c r="G72" s="8">
        <v>0</v>
      </c>
      <c r="H72" s="8">
        <v>0</v>
      </c>
      <c r="I72" s="8">
        <v>0</v>
      </c>
      <c r="J72" s="8">
        <v>0</v>
      </c>
      <c r="K72" s="8">
        <v>0</v>
      </c>
      <c r="L72" s="8">
        <v>0</v>
      </c>
      <c r="M72" s="8">
        <v>0</v>
      </c>
      <c r="N72" s="8">
        <v>0</v>
      </c>
      <c r="O72" s="8">
        <v>0</v>
      </c>
    </row>
    <row r="73" spans="1:15" x14ac:dyDescent="0.25">
      <c r="A73" s="2" t="s">
        <v>6</v>
      </c>
      <c r="B73" s="8">
        <v>0</v>
      </c>
      <c r="C73" s="8">
        <v>0</v>
      </c>
      <c r="D73" s="8">
        <v>0</v>
      </c>
      <c r="E73" s="8">
        <v>0</v>
      </c>
      <c r="F73" s="8">
        <v>0</v>
      </c>
      <c r="G73" s="8">
        <v>316.39241606436372</v>
      </c>
      <c r="H73" s="8">
        <v>0</v>
      </c>
      <c r="I73" s="8">
        <v>0</v>
      </c>
      <c r="J73" s="8">
        <v>0</v>
      </c>
      <c r="K73" s="8">
        <v>0</v>
      </c>
      <c r="L73" s="8">
        <v>0</v>
      </c>
      <c r="M73" s="8">
        <v>0</v>
      </c>
      <c r="N73" s="8">
        <v>0</v>
      </c>
      <c r="O73" s="8">
        <v>0</v>
      </c>
    </row>
    <row r="74" spans="1:15" x14ac:dyDescent="0.25">
      <c r="A74" s="2" t="s">
        <v>7</v>
      </c>
      <c r="B74" s="8">
        <v>0</v>
      </c>
      <c r="C74" s="8">
        <v>0</v>
      </c>
      <c r="D74" s="8">
        <v>0</v>
      </c>
      <c r="E74" s="8">
        <v>0</v>
      </c>
      <c r="F74" s="8">
        <v>0</v>
      </c>
      <c r="G74" s="8">
        <v>0</v>
      </c>
      <c r="H74" s="8">
        <v>367.81709559964037</v>
      </c>
      <c r="I74" s="8">
        <v>0</v>
      </c>
      <c r="J74" s="8">
        <v>0</v>
      </c>
      <c r="K74" s="8">
        <v>0</v>
      </c>
      <c r="L74" s="8">
        <v>0</v>
      </c>
      <c r="M74" s="8">
        <v>0</v>
      </c>
      <c r="N74" s="8">
        <v>0</v>
      </c>
      <c r="O74" s="8">
        <v>0</v>
      </c>
    </row>
    <row r="75" spans="1:15" x14ac:dyDescent="0.25">
      <c r="A75" s="2" t="s">
        <v>8</v>
      </c>
      <c r="B75" s="8">
        <v>0</v>
      </c>
      <c r="C75" s="8">
        <v>0</v>
      </c>
      <c r="D75" s="8">
        <v>0</v>
      </c>
      <c r="E75" s="8">
        <v>0</v>
      </c>
      <c r="F75" s="8">
        <v>0</v>
      </c>
      <c r="G75" s="8">
        <v>0</v>
      </c>
      <c r="H75" s="8">
        <v>0</v>
      </c>
      <c r="I75" s="8">
        <v>149.55102885932118</v>
      </c>
      <c r="J75" s="8">
        <v>0</v>
      </c>
      <c r="K75" s="8">
        <v>0</v>
      </c>
      <c r="L75" s="8">
        <v>0</v>
      </c>
      <c r="M75" s="8">
        <v>0</v>
      </c>
      <c r="N75" s="8">
        <v>0</v>
      </c>
      <c r="O75" s="8">
        <v>0</v>
      </c>
    </row>
    <row r="76" spans="1:15" x14ac:dyDescent="0.25">
      <c r="A76" s="2" t="s">
        <v>9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207.60989691916797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</row>
    <row r="77" spans="1:15" x14ac:dyDescent="0.25">
      <c r="A77" s="2" t="s">
        <v>10</v>
      </c>
      <c r="B77" s="8">
        <v>0</v>
      </c>
      <c r="C77" s="8">
        <v>0</v>
      </c>
      <c r="D77" s="8">
        <v>0</v>
      </c>
      <c r="E77" s="8">
        <v>0</v>
      </c>
      <c r="F77" s="8">
        <v>0</v>
      </c>
      <c r="G77" s="8">
        <v>0</v>
      </c>
      <c r="H77" s="8">
        <v>0</v>
      </c>
      <c r="I77" s="8">
        <v>0</v>
      </c>
      <c r="J77" s="8">
        <v>0</v>
      </c>
      <c r="K77" s="8">
        <v>190.8633691485872</v>
      </c>
      <c r="L77" s="8">
        <v>0</v>
      </c>
      <c r="M77" s="8">
        <v>0</v>
      </c>
      <c r="N77" s="8">
        <v>0</v>
      </c>
      <c r="O77" s="8">
        <v>0</v>
      </c>
    </row>
    <row r="78" spans="1:15" x14ac:dyDescent="0.25">
      <c r="A78" s="2" t="s">
        <v>11</v>
      </c>
      <c r="B78" s="8">
        <v>0</v>
      </c>
      <c r="C78" s="8">
        <v>0</v>
      </c>
      <c r="D78" s="8">
        <v>0</v>
      </c>
      <c r="E78" s="8">
        <v>0</v>
      </c>
      <c r="F78" s="8">
        <v>0</v>
      </c>
      <c r="G78" s="8">
        <v>0</v>
      </c>
      <c r="H78" s="8">
        <v>0</v>
      </c>
      <c r="I78" s="8">
        <v>0</v>
      </c>
      <c r="J78" s="8">
        <v>0</v>
      </c>
      <c r="K78" s="8">
        <v>0</v>
      </c>
      <c r="L78" s="8">
        <v>105.64794785542873</v>
      </c>
      <c r="M78" s="8">
        <v>0</v>
      </c>
      <c r="N78" s="8">
        <v>0</v>
      </c>
      <c r="O78" s="8">
        <v>0</v>
      </c>
    </row>
    <row r="79" spans="1:15" x14ac:dyDescent="0.25">
      <c r="A79" s="2" t="s">
        <v>12</v>
      </c>
      <c r="B79" s="8">
        <v>0</v>
      </c>
      <c r="C79" s="8">
        <v>0</v>
      </c>
      <c r="D79" s="8">
        <v>0</v>
      </c>
      <c r="E79" s="8">
        <v>0</v>
      </c>
      <c r="F79" s="8">
        <v>0</v>
      </c>
      <c r="G79" s="8">
        <v>0</v>
      </c>
      <c r="H79" s="8">
        <v>0</v>
      </c>
      <c r="I79" s="8">
        <v>0</v>
      </c>
      <c r="J79" s="8">
        <v>0</v>
      </c>
      <c r="K79" s="8">
        <v>0</v>
      </c>
      <c r="L79" s="8">
        <v>0</v>
      </c>
      <c r="M79" s="8">
        <v>184.52808105138359</v>
      </c>
      <c r="N79" s="8">
        <v>0</v>
      </c>
      <c r="O79" s="8">
        <v>0</v>
      </c>
    </row>
    <row r="80" spans="1:15" x14ac:dyDescent="0.25">
      <c r="A80" s="2" t="s">
        <v>13</v>
      </c>
      <c r="B80" s="8">
        <v>0</v>
      </c>
      <c r="C80" s="8">
        <v>0</v>
      </c>
      <c r="D80" s="8">
        <v>0</v>
      </c>
      <c r="E80" s="8">
        <v>0</v>
      </c>
      <c r="F80" s="8">
        <v>0</v>
      </c>
      <c r="G80" s="8">
        <v>0</v>
      </c>
      <c r="H80" s="8">
        <v>0</v>
      </c>
      <c r="I80" s="8">
        <v>0</v>
      </c>
      <c r="J80" s="8">
        <v>0</v>
      </c>
      <c r="K80" s="8">
        <v>0</v>
      </c>
      <c r="L80" s="8">
        <v>0</v>
      </c>
      <c r="M80" s="8">
        <v>0</v>
      </c>
      <c r="N80" s="8">
        <v>197.9697379874836</v>
      </c>
      <c r="O80" s="8">
        <v>0</v>
      </c>
    </row>
    <row r="81" spans="1:15" x14ac:dyDescent="0.25">
      <c r="A81" s="2" t="s">
        <v>14</v>
      </c>
      <c r="B81" s="8">
        <v>0</v>
      </c>
      <c r="C81" s="8">
        <v>0</v>
      </c>
      <c r="D81" s="8">
        <v>0</v>
      </c>
      <c r="E81" s="8">
        <v>0</v>
      </c>
      <c r="F81" s="8">
        <v>0</v>
      </c>
      <c r="G81" s="8">
        <v>0</v>
      </c>
      <c r="H81" s="8">
        <v>0</v>
      </c>
      <c r="I81" s="8">
        <v>0</v>
      </c>
      <c r="J81" s="8">
        <v>0</v>
      </c>
      <c r="K81" s="8">
        <v>0</v>
      </c>
      <c r="L81" s="8">
        <v>0</v>
      </c>
      <c r="M81" s="8">
        <v>0</v>
      </c>
      <c r="N81" s="8">
        <v>0</v>
      </c>
      <c r="O81" s="8">
        <v>155.58470622587731</v>
      </c>
    </row>
  </sheetData>
  <mergeCells count="3">
    <mergeCell ref="A1:O1"/>
    <mergeCell ref="A7:O7"/>
    <mergeCell ref="G33:J36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2024-11-11T02:09:46Z</dcterms:modified>
</cp:coreProperties>
</file>