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"/>
    </mc:Choice>
  </mc:AlternateContent>
  <xr:revisionPtr revIDLastSave="0" documentId="13_ncr:1_{6EF448C1-6B5D-4647-8C0C-00197330FB0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_xlnm.Print_Area" localSheetId="0">Sheet1!$A$1:$G$43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B14" i="1" a="1"/>
  <c r="B14" i="1" s="1"/>
  <c r="B15" i="1" s="1"/>
  <c r="E13" i="1" a="1"/>
  <c r="E13" i="1" s="1"/>
  <c r="B13" i="1" a="1"/>
  <c r="B13" i="1" s="1"/>
  <c r="B20" i="1" s="1"/>
  <c r="B21" i="1" s="1"/>
  <c r="E12" i="1"/>
  <c r="B12" i="1"/>
  <c r="E9" i="1"/>
  <c r="E8" i="1"/>
  <c r="C6" i="1"/>
  <c r="B6" i="1"/>
  <c r="A6" i="1"/>
  <c r="B5" i="1"/>
  <c r="A5" i="1"/>
  <c r="A4" i="1"/>
  <c r="D25" i="1"/>
  <c r="C19" i="1"/>
  <c r="C14" i="1"/>
  <c r="F13" i="1"/>
  <c r="F12" i="1"/>
  <c r="C21" i="1"/>
  <c r="C15" i="1"/>
  <c r="C20" i="1"/>
  <c r="C25" i="1" l="1"/>
  <c r="B25" i="1" l="1"/>
</calcChain>
</file>

<file path=xl/sharedStrings.xml><?xml version="1.0" encoding="utf-8"?>
<sst xmlns="http://schemas.openxmlformats.org/spreadsheetml/2006/main" count="21" uniqueCount="21">
  <si>
    <t>A FOUR-ASSET PORTFOLIO PROBLEM</t>
  </si>
  <si>
    <t>Variance-covariance, S</t>
  </si>
  <si>
    <t>Mean returns
E(r)</t>
  </si>
  <si>
    <t>Portfolio x</t>
  </si>
  <si>
    <t>Portfolio y</t>
  </si>
  <si>
    <t>Portfolio x and y statistics:  Mean, variance, covariance, correlation</t>
  </si>
  <si>
    <r>
      <t>Mean, E(r</t>
    </r>
    <r>
      <rPr>
        <vertAlign val="subscript"/>
        <sz val="10"/>
        <rFont val="Arial"/>
        <family val="2"/>
      </rPr>
      <t>x</t>
    </r>
    <r>
      <rPr>
        <sz val="10"/>
        <rFont val="Arial"/>
        <family val="2"/>
      </rPr>
      <t>)</t>
    </r>
  </si>
  <si>
    <r>
      <t>Mean, E(r</t>
    </r>
    <r>
      <rPr>
        <vertAlign val="subscript"/>
        <sz val="10"/>
        <rFont val="Arial"/>
        <family val="2"/>
      </rPr>
      <t>y</t>
    </r>
    <r>
      <rPr>
        <sz val="10"/>
        <rFont val="Arial"/>
        <family val="2"/>
      </rPr>
      <t>)</t>
    </r>
  </si>
  <si>
    <r>
      <t xml:space="preserve">Variance,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x</t>
    </r>
    <r>
      <rPr>
        <vertAlign val="superscript"/>
        <sz val="10"/>
        <rFont val="Arial"/>
        <family val="2"/>
      </rPr>
      <t>2</t>
    </r>
  </si>
  <si>
    <r>
      <t xml:space="preserve">Variance,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y</t>
    </r>
    <r>
      <rPr>
        <vertAlign val="superscript"/>
        <sz val="10"/>
        <rFont val="Arial"/>
        <family val="2"/>
      </rPr>
      <t>2</t>
    </r>
  </si>
  <si>
    <t>Covariance(x,y)</t>
  </si>
  <si>
    <r>
      <t xml:space="preserve">Correlation, </t>
    </r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xy</t>
    </r>
  </si>
  <si>
    <t>Calculating returns of combinations of Portfolio x and Portfolio y</t>
  </si>
  <si>
    <t>Proportion of Portfolio x</t>
  </si>
  <si>
    <r>
      <t>Mean return, E(r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>)</t>
    </r>
  </si>
  <si>
    <r>
      <t xml:space="preserve">Variance of return,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p</t>
    </r>
    <r>
      <rPr>
        <vertAlign val="superscript"/>
        <sz val="10"/>
        <rFont val="Arial"/>
        <family val="2"/>
      </rPr>
      <t>2</t>
    </r>
  </si>
  <si>
    <r>
      <t xml:space="preserve">Stand. dev. of return,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p</t>
    </r>
  </si>
  <si>
    <t>Table of returns (uses this example and Data|Table)</t>
  </si>
  <si>
    <t>Proportion
of x</t>
  </si>
  <si>
    <t>Standard
deviation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</si>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</sst>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/>
    <xf numFmtId="2" fontId="0" fillId="0" borderId="0" xfId="0" applyNumberFormat="1" applyAlignment="1"/>
    <xf numFmtId="9" fontId="0" fillId="0" borderId="0" xfId="0" applyNumberFormat="1" applyAlignment="1"/>
    <xf numFmtId="0" fontId="0" fillId="0" borderId="0" xfId="0" applyAlignment="1">
      <alignment horizontal="center"/>
    </xf>
    <xf numFmtId="10" fontId="2" fillId="0" borderId="0" xfId="1" applyNumberFormat="1" applyAlignment="1">
      <alignment horizontal="center"/>
    </xf>
    <xf numFmtId="0" fontId="6" fillId="0" borderId="0" xfId="0" applyFont="1" applyAlignment="1"/>
    <xf numFmtId="0" fontId="7" fillId="0" borderId="0" xfId="0" applyFont="1" applyAlignment="1"/>
    <xf numFmtId="176" fontId="2" fillId="0" borderId="0" xfId="1" applyNumberFormat="1" applyAlignment="1">
      <alignment horizontal="center"/>
    </xf>
    <xf numFmtId="176" fontId="0" fillId="0" borderId="0" xfId="0" applyNumberFormat="1" applyAlignment="1">
      <alignment horizontal="center"/>
    </xf>
    <xf numFmtId="10" fontId="2" fillId="0" borderId="0" xfId="1" quotePrefix="1" applyNumberFormat="1" applyAlignment="1"/>
    <xf numFmtId="176" fontId="0" fillId="0" borderId="0" xfId="0" quotePrefix="1" applyNumberFormat="1" applyAlignment="1"/>
    <xf numFmtId="0" fontId="4" fillId="0" borderId="0" xfId="0" applyFont="1" applyAlignment="1"/>
    <xf numFmtId="0" fontId="0" fillId="0" borderId="0" xfId="0" applyAlignment="1">
      <alignment horizontal="center" vertical="center" wrapText="1"/>
    </xf>
    <xf numFmtId="10" fontId="0" fillId="0" borderId="0" xfId="0" applyNumberFormat="1" applyAlignment="1"/>
    <xf numFmtId="177" fontId="0" fillId="0" borderId="0" xfId="0" applyNumberFormat="1" applyAlignment="1">
      <alignment horizontal="center"/>
    </xf>
    <xf numFmtId="10" fontId="2" fillId="0" borderId="0" xfId="1" applyNumberFormat="1" applyAlignment="1"/>
    <xf numFmtId="176" fontId="0" fillId="0" borderId="0" xfId="0" applyNumberFormat="1" applyAlignme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2" borderId="0" xfId="0" applyFill="1" applyAlignment="1"/>
    <xf numFmtId="0" fontId="0" fillId="2" borderId="0" xfId="0" applyFill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Returns of Combinations of 
Portfolios x and y </a:t>
            </a:r>
          </a:p>
        </c:rich>
      </c:tx>
      <c:layout>
        <c:manualLayout>
          <c:xMode val="edge"/>
          <c:yMode val="edge"/>
          <c:x val="0.2313438059048589"/>
          <c:y val="3.9525691699604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98738219592012"/>
          <c:y val="0.26119557647363201"/>
          <c:w val="0.73458757567655208"/>
          <c:h val="0.54477934521643234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Sheet1!$B$26:$B$38</c:f>
              <c:numCache>
                <c:formatCode>0.00%</c:formatCode>
                <c:ptCount val="13"/>
                <c:pt idx="0">
                  <c:v>0.45099889135118731</c:v>
                </c:pt>
                <c:pt idx="1">
                  <c:v>0.42287350354449976</c:v>
                </c:pt>
                <c:pt idx="2">
                  <c:v>0.39735123002200468</c:v>
                </c:pt>
                <c:pt idx="3">
                  <c:v>0.37496399827183408</c:v>
                </c:pt>
                <c:pt idx="4">
                  <c:v>0.35630324163554844</c:v>
                </c:pt>
                <c:pt idx="5">
                  <c:v>0.3419795315512319</c:v>
                </c:pt>
                <c:pt idx="6">
                  <c:v>0.33255375505322443</c:v>
                </c:pt>
                <c:pt idx="7">
                  <c:v>0.3284478649648982</c:v>
                </c:pt>
                <c:pt idx="8">
                  <c:v>0.32986057660775409</c:v>
                </c:pt>
                <c:pt idx="9">
                  <c:v>0.33672243762481879</c:v>
                </c:pt>
                <c:pt idx="10">
                  <c:v>0.34871191548325386</c:v>
                </c:pt>
                <c:pt idx="11">
                  <c:v>0.36532451327552606</c:v>
                </c:pt>
                <c:pt idx="12">
                  <c:v>0.38596372886580932</c:v>
                </c:pt>
              </c:numCache>
            </c:numRef>
          </c:xVal>
          <c:yVal>
            <c:numRef>
              <c:f>Sheet1!$C$26:$C$38</c:f>
              <c:numCache>
                <c:formatCode>0.00%</c:formatCode>
                <c:ptCount val="13"/>
                <c:pt idx="0">
                  <c:v>0.12000000000000001</c:v>
                </c:pt>
                <c:pt idx="1">
                  <c:v>0.11710000000000001</c:v>
                </c:pt>
                <c:pt idx="2">
                  <c:v>0.11420000000000002</c:v>
                </c:pt>
                <c:pt idx="3">
                  <c:v>0.11130000000000001</c:v>
                </c:pt>
                <c:pt idx="4">
                  <c:v>0.10840000000000002</c:v>
                </c:pt>
                <c:pt idx="5">
                  <c:v>0.10550000000000001</c:v>
                </c:pt>
                <c:pt idx="6">
                  <c:v>0.10260000000000001</c:v>
                </c:pt>
                <c:pt idx="7">
                  <c:v>9.9700000000000011E-2</c:v>
                </c:pt>
                <c:pt idx="8">
                  <c:v>9.6800000000000011E-2</c:v>
                </c:pt>
                <c:pt idx="9">
                  <c:v>9.3900000000000011E-2</c:v>
                </c:pt>
                <c:pt idx="10">
                  <c:v>9.1000000000000011E-2</c:v>
                </c:pt>
                <c:pt idx="11">
                  <c:v>8.8100000000000012E-2</c:v>
                </c:pt>
                <c:pt idx="12">
                  <c:v>8.5200000000000012E-2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B-4C37-BF3D-BCC09BB5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664912"/>
        <c:axId val="1"/>
      </c:scatterChart>
      <c:valAx>
        <c:axId val="884664912"/>
        <c:scaling>
          <c:orientation val="minMax"/>
          <c:min val="0.30000000000000032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Standard deviation</a:t>
                </a:r>
              </a:p>
            </c:rich>
          </c:tx>
          <c:layout>
            <c:manualLayout>
              <c:xMode val="edge"/>
              <c:yMode val="edge"/>
              <c:x val="0.38806074613807601"/>
              <c:y val="0.8932822922826345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8.0000000000000043E-2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Mean return</a:t>
                </a:r>
              </a:p>
            </c:rich>
          </c:tx>
          <c:layout>
            <c:manualLayout>
              <c:xMode val="edge"/>
              <c:yMode val="edge"/>
              <c:x val="2.4875621890547265E-2"/>
              <c:y val="0.3517794860622658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846649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000000000000111" r="0.75000000000000111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27</xdr:row>
      <xdr:rowOff>38100</xdr:rowOff>
    </xdr:from>
    <xdr:to>
      <xdr:col>6</xdr:col>
      <xdr:colOff>1577340</xdr:colOff>
      <xdr:row>42</xdr:row>
      <xdr:rowOff>22860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B6413784-AEB4-4614-86FE-36C0D2B7D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69237</xdr:colOff>
      <xdr:row>0</xdr:row>
      <xdr:rowOff>77908</xdr:rowOff>
    </xdr:from>
    <xdr:to>
      <xdr:col>19</xdr:col>
      <xdr:colOff>510540</xdr:colOff>
      <xdr:row>43</xdr:row>
      <xdr:rowOff>118898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E447BBEC-CE44-5E8A-C08A-4F83533FA0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840323" y="77908"/>
          <a:ext cx="7772269" cy="818650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240-41"/>
      <sheetName val="Pages 240-41 (中文)"/>
      <sheetName val="Page 242"/>
      <sheetName val="Page 242 (中文)"/>
      <sheetName val="Page 243"/>
      <sheetName val="Page 243 (中文)"/>
      <sheetName val="Page 244"/>
      <sheetName val="Page 244 (中文)"/>
      <sheetName val="Page 245"/>
      <sheetName val="Page 245 (中文)"/>
      <sheetName val="Page 246"/>
      <sheetName val="Page 246 (中文)"/>
      <sheetName val="Pages 248-9"/>
      <sheetName val="Pages 248-9 (中文)"/>
      <sheetName val="Page 251"/>
      <sheetName val="Page 251 (中文)"/>
      <sheetName val="Page 256, top"/>
      <sheetName val="Page 256, top (中文)"/>
      <sheetName val="Page 256, bottom"/>
      <sheetName val="Page 256, bottom (中文)"/>
      <sheetName val="Page 258"/>
      <sheetName val="Page 258 (中文)"/>
      <sheetName val="Page 259"/>
      <sheetName val="Page 259 (中文)"/>
    </sheetNames>
    <sheetDataSet>
      <sheetData sheetId="0">
        <row r="5">
          <cell r="E5">
            <v>-0.1697427745870945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/>
      <sheetData sheetId="9"/>
      <sheetData sheetId="10"/>
      <sheetData sheetId="11"/>
      <sheetData sheetId="12">
        <row r="26">
          <cell r="B26">
            <v>0.45099889135118731</v>
          </cell>
          <cell r="C26">
            <v>0.12000000000000001</v>
          </cell>
        </row>
        <row r="27">
          <cell r="B27">
            <v>0.42287350354449976</v>
          </cell>
          <cell r="C27">
            <v>0.11710000000000001</v>
          </cell>
        </row>
        <row r="28">
          <cell r="B28">
            <v>0.39735123002200468</v>
          </cell>
          <cell r="C28">
            <v>0.11420000000000002</v>
          </cell>
        </row>
        <row r="29">
          <cell r="B29">
            <v>0.37496399827183408</v>
          </cell>
          <cell r="C29">
            <v>0.11130000000000001</v>
          </cell>
        </row>
        <row r="30">
          <cell r="B30">
            <v>0.35630324163554844</v>
          </cell>
          <cell r="C30">
            <v>0.10840000000000002</v>
          </cell>
        </row>
        <row r="31">
          <cell r="B31">
            <v>0.3419795315512319</v>
          </cell>
          <cell r="C31">
            <v>0.10550000000000001</v>
          </cell>
        </row>
        <row r="32">
          <cell r="B32">
            <v>0.33255375505322443</v>
          </cell>
          <cell r="C32">
            <v>0.10260000000000001</v>
          </cell>
        </row>
        <row r="33">
          <cell r="B33">
            <v>0.3284478649648982</v>
          </cell>
          <cell r="C33">
            <v>9.9700000000000011E-2</v>
          </cell>
        </row>
        <row r="34">
          <cell r="B34">
            <v>0.32986057660775409</v>
          </cell>
          <cell r="C34">
            <v>9.6800000000000011E-2</v>
          </cell>
        </row>
        <row r="35">
          <cell r="B35">
            <v>0.33672243762481879</v>
          </cell>
          <cell r="C35">
            <v>9.3900000000000011E-2</v>
          </cell>
        </row>
        <row r="36">
          <cell r="B36">
            <v>0.34871191548325386</v>
          </cell>
          <cell r="C36">
            <v>9.1000000000000011E-2</v>
          </cell>
        </row>
        <row r="37">
          <cell r="B37">
            <v>0.36532451327552606</v>
          </cell>
          <cell r="C37">
            <v>8.8100000000000012E-2</v>
          </cell>
        </row>
        <row r="38">
          <cell r="B38">
            <v>0.38596372886580932</v>
          </cell>
          <cell r="C38">
            <v>8.5200000000000012E-2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>
    <pageSetUpPr fitToPage="1"/>
  </sheetPr>
  <dimension ref="A1:G38"/>
  <sheetViews>
    <sheetView tabSelected="1" topLeftCell="A24" zoomScale="145" zoomScaleNormal="145" workbookViewId="0">
      <selection activeCell="H47" sqref="H47"/>
    </sheetView>
  </sheetViews>
  <sheetFormatPr defaultRowHeight="13.8" x14ac:dyDescent="0.25"/>
  <cols>
    <col min="1" max="1" width="22.44140625" style="4" customWidth="1"/>
    <col min="2" max="2" width="9.88671875" style="4" customWidth="1"/>
    <col min="3" max="3" width="8.88671875" style="4"/>
    <col min="4" max="4" width="11.88671875" style="4" customWidth="1"/>
    <col min="5" max="5" width="8.88671875" style="4"/>
    <col min="6" max="6" width="9.6640625" style="4" customWidth="1"/>
    <col min="7" max="7" width="41.44140625" style="4" customWidth="1"/>
  </cols>
  <sheetData>
    <row r="1" spans="1:7" ht="17.399999999999999" x14ac:dyDescent="0.3">
      <c r="A1" s="21" t="s">
        <v>0</v>
      </c>
      <c r="B1" s="21"/>
      <c r="C1" s="21"/>
      <c r="D1" s="21"/>
      <c r="E1" s="21"/>
      <c r="F1" s="21"/>
      <c r="G1" s="1"/>
    </row>
    <row r="2" spans="1:7" ht="39.6" x14ac:dyDescent="0.25">
      <c r="A2" s="22" t="s">
        <v>1</v>
      </c>
      <c r="B2" s="22"/>
      <c r="C2" s="22"/>
      <c r="D2" s="22"/>
      <c r="E2" s="2"/>
      <c r="F2" s="3" t="s">
        <v>2</v>
      </c>
    </row>
    <row r="3" spans="1:7" x14ac:dyDescent="0.25">
      <c r="A3" s="5">
        <v>0.1</v>
      </c>
      <c r="B3" s="5">
        <v>0.01</v>
      </c>
      <c r="C3" s="5">
        <v>0.03</v>
      </c>
      <c r="D3" s="5">
        <v>0.05</v>
      </c>
      <c r="F3" s="6">
        <v>0.06</v>
      </c>
    </row>
    <row r="4" spans="1:7" x14ac:dyDescent="0.25">
      <c r="A4" s="5">
        <f>B3</f>
        <v>0.01</v>
      </c>
      <c r="B4" s="5">
        <v>0.3</v>
      </c>
      <c r="C4" s="5">
        <v>0.06</v>
      </c>
      <c r="D4" s="5">
        <v>-0.04</v>
      </c>
      <c r="F4" s="6">
        <v>0.08</v>
      </c>
    </row>
    <row r="5" spans="1:7" x14ac:dyDescent="0.25">
      <c r="A5" s="5">
        <f>C3</f>
        <v>0.03</v>
      </c>
      <c r="B5" s="5">
        <f>C4</f>
        <v>0.06</v>
      </c>
      <c r="C5" s="5">
        <v>0.4</v>
      </c>
      <c r="D5" s="5">
        <v>0.02</v>
      </c>
      <c r="F5" s="6">
        <v>0.1</v>
      </c>
    </row>
    <row r="6" spans="1:7" x14ac:dyDescent="0.25">
      <c r="A6" s="5">
        <f>D3</f>
        <v>0.05</v>
      </c>
      <c r="B6" s="5">
        <f>D4</f>
        <v>-0.04</v>
      </c>
      <c r="C6" s="5">
        <f>D5</f>
        <v>0.02</v>
      </c>
      <c r="D6" s="5">
        <v>0.5</v>
      </c>
      <c r="F6" s="6">
        <v>0.15</v>
      </c>
    </row>
    <row r="8" spans="1:7" x14ac:dyDescent="0.25">
      <c r="A8" s="4" t="s">
        <v>3</v>
      </c>
      <c r="B8" s="4">
        <v>0.2</v>
      </c>
      <c r="C8" s="4">
        <v>0.3</v>
      </c>
      <c r="D8" s="4">
        <v>0.4</v>
      </c>
      <c r="E8" s="4">
        <f>1-D8-C8-B8</f>
        <v>9.9999999999999978E-2</v>
      </c>
      <c r="F8" s="7"/>
      <c r="G8" s="7"/>
    </row>
    <row r="9" spans="1:7" x14ac:dyDescent="0.25">
      <c r="A9" s="4" t="s">
        <v>4</v>
      </c>
      <c r="B9" s="4">
        <v>0.2</v>
      </c>
      <c r="C9" s="4">
        <v>0.1</v>
      </c>
      <c r="D9" s="4">
        <v>0.1</v>
      </c>
      <c r="E9" s="4">
        <f>1-D9-C9-B9</f>
        <v>0.60000000000000009</v>
      </c>
    </row>
    <row r="10" spans="1:7" x14ac:dyDescent="0.25">
      <c r="F10" s="8"/>
      <c r="G10" s="7"/>
    </row>
    <row r="11" spans="1:7" ht="15.6" x14ac:dyDescent="0.3">
      <c r="A11" s="9" t="s">
        <v>5</v>
      </c>
      <c r="B11" s="10"/>
      <c r="C11" s="10"/>
      <c r="D11" s="9"/>
      <c r="E11" s="10"/>
      <c r="F11" s="10"/>
      <c r="G11" s="10"/>
    </row>
    <row r="12" spans="1:7" ht="15.6" x14ac:dyDescent="0.35">
      <c r="A12" s="4" t="s">
        <v>6</v>
      </c>
      <c r="B12" s="8">
        <f>MMULT(B8:E8,F3:F6)</f>
        <v>9.1000000000000011E-2</v>
      </c>
      <c r="D12" s="4" t="s">
        <v>7</v>
      </c>
      <c r="E12" s="8">
        <f>MMULT(B9:E9,F3:F6)</f>
        <v>0.12000000000000001</v>
      </c>
      <c r="F12" s="4" t="str">
        <f ca="1">[1]!getformula(E12)</f>
        <v>&lt;--  =MMULT(B9:E9,F3:F6)</v>
      </c>
    </row>
    <row r="13" spans="1:7" ht="16.8" x14ac:dyDescent="0.35">
      <c r="A13" s="4" t="s">
        <v>8</v>
      </c>
      <c r="B13" s="11">
        <f t="array" ref="B13">MMULT(B8:E8,MMULT(A3:D6,TRANSPOSE(B8:E8)))</f>
        <v>0.1216</v>
      </c>
      <c r="D13" s="4" t="s">
        <v>9</v>
      </c>
      <c r="E13" s="12">
        <f t="array" ref="E13">MMULT(B9:E9,MMULT(A3:D6,TRANSPOSE(B9:E9)))</f>
        <v>0.20340000000000005</v>
      </c>
      <c r="F13" s="4" t="str">
        <f ca="1">[1]!getformula(E13)</f>
        <v>&lt;--  {=MMULT(B9:E9,MMULT(A3:D6,TRANSPOSE(B9:E9)))}</v>
      </c>
    </row>
    <row r="14" spans="1:7" x14ac:dyDescent="0.25">
      <c r="A14" s="23" t="s">
        <v>10</v>
      </c>
      <c r="B14" s="24">
        <f t="array" ref="B14">MMULT(B8:E8,MMULT(A3:D6,TRANSPOSE(B9:E9)))</f>
        <v>7.1399999999999991E-2</v>
      </c>
      <c r="C14" s="4" t="str">
        <f ca="1">[1]!getformula(B14)</f>
        <v>&lt;--  {=MMULT(B8:E8,MMULT(A3:D6,TRANSPOSE(B9:E9)))}</v>
      </c>
      <c r="G14" s="12"/>
    </row>
    <row r="15" spans="1:7" ht="15.6" x14ac:dyDescent="0.35">
      <c r="A15" s="4" t="s">
        <v>11</v>
      </c>
      <c r="B15" s="12">
        <f>B14/SQRT(B13*E13)</f>
        <v>0.45400010156574261</v>
      </c>
      <c r="C15" s="4" t="str">
        <f ca="1">[1]!getformula(B15)</f>
        <v>&lt;--  =B14/SQRT(B13*E13)</v>
      </c>
      <c r="G15" s="12"/>
    </row>
    <row r="16" spans="1:7" x14ac:dyDescent="0.25">
      <c r="G16" s="12"/>
    </row>
    <row r="17" spans="1:5" ht="15.6" x14ac:dyDescent="0.3">
      <c r="A17" s="9" t="s">
        <v>12</v>
      </c>
    </row>
    <row r="18" spans="1:5" x14ac:dyDescent="0.25">
      <c r="A18" s="4" t="s">
        <v>13</v>
      </c>
      <c r="B18" s="4">
        <v>0.3</v>
      </c>
    </row>
    <row r="19" spans="1:5" ht="15.6" x14ac:dyDescent="0.35">
      <c r="A19" s="4" t="s">
        <v>14</v>
      </c>
      <c r="B19" s="13">
        <f>B18*B12+(1-B18)*E12</f>
        <v>0.11130000000000001</v>
      </c>
      <c r="C19" s="14" t="str">
        <f ca="1">[1]!getformula(B19)</f>
        <v>&lt;--  =B18*B12+(1-B18)*E12</v>
      </c>
    </row>
    <row r="20" spans="1:5" ht="16.8" x14ac:dyDescent="0.35">
      <c r="A20" s="4" t="s">
        <v>15</v>
      </c>
      <c r="B20" s="13">
        <f>B18^2*B13+(1-B18)^2*E13+B18*(1-B18)*B14*2</f>
        <v>0.140598</v>
      </c>
      <c r="C20" s="14" t="str">
        <f ca="1">[1]!getformula(B20)</f>
        <v>&lt;--  =B18^2*B13+(1-B18)^2*E13+B18*(1-B18)*B14*2</v>
      </c>
    </row>
    <row r="21" spans="1:5" ht="15.6" x14ac:dyDescent="0.35">
      <c r="A21" s="4" t="s">
        <v>16</v>
      </c>
      <c r="B21" s="13">
        <f>SQRT(B20)</f>
        <v>0.37496399827183408</v>
      </c>
      <c r="C21" s="14" t="str">
        <f ca="1">[1]!getformula(B21)</f>
        <v>&lt;--  =SQRT(B20)</v>
      </c>
    </row>
    <row r="22" spans="1:5" x14ac:dyDescent="0.25">
      <c r="B22" s="14"/>
    </row>
    <row r="23" spans="1:5" x14ac:dyDescent="0.25">
      <c r="A23" s="15" t="s">
        <v>17</v>
      </c>
    </row>
    <row r="24" spans="1:5" ht="27.6" x14ac:dyDescent="0.25">
      <c r="A24" s="16" t="s">
        <v>18</v>
      </c>
      <c r="B24" s="16" t="s">
        <v>19</v>
      </c>
      <c r="C24" s="16" t="s">
        <v>20</v>
      </c>
    </row>
    <row r="25" spans="1:5" x14ac:dyDescent="0.25">
      <c r="B25" s="17">
        <f>B21</f>
        <v>0.37496399827183408</v>
      </c>
      <c r="C25" s="17">
        <f>B19</f>
        <v>0.11130000000000001</v>
      </c>
      <c r="D25" s="4" t="str">
        <f ca="1">"Table header:  "&amp;[1]!ggetformula(B25)&amp;","&amp;[1]!ggetformula(C25)</f>
        <v>Table header:  =B21,=B19</v>
      </c>
    </row>
    <row r="26" spans="1:5" x14ac:dyDescent="0.25">
      <c r="A26" s="18">
        <v>0</v>
      </c>
      <c r="B26" s="19">
        <f t="dataTable" ref="B26:C38" dt2D="0" dtr="0" r1="B18"/>
        <v>0.45099889135118731</v>
      </c>
      <c r="C26" s="19">
        <v>0.12000000000000001</v>
      </c>
      <c r="E26" s="20"/>
    </row>
    <row r="27" spans="1:5" x14ac:dyDescent="0.25">
      <c r="A27" s="18">
        <v>0.1</v>
      </c>
      <c r="B27" s="19">
        <v>0.42287350354449976</v>
      </c>
      <c r="C27" s="19">
        <v>0.11710000000000001</v>
      </c>
      <c r="E27" s="20"/>
    </row>
    <row r="28" spans="1:5" x14ac:dyDescent="0.25">
      <c r="A28" s="18">
        <v>0.2</v>
      </c>
      <c r="B28" s="19">
        <v>0.39735123002200468</v>
      </c>
      <c r="C28" s="19">
        <v>0.11420000000000002</v>
      </c>
    </row>
    <row r="29" spans="1:5" x14ac:dyDescent="0.25">
      <c r="A29" s="18">
        <v>0.3</v>
      </c>
      <c r="B29" s="19">
        <v>0.37496399827183408</v>
      </c>
      <c r="C29" s="19">
        <v>0.11130000000000001</v>
      </c>
    </row>
    <row r="30" spans="1:5" x14ac:dyDescent="0.25">
      <c r="A30" s="18">
        <v>0.4</v>
      </c>
      <c r="B30" s="19">
        <v>0.35630324163554844</v>
      </c>
      <c r="C30" s="19">
        <v>0.10840000000000002</v>
      </c>
    </row>
    <row r="31" spans="1:5" x14ac:dyDescent="0.25">
      <c r="A31" s="18">
        <v>0.5</v>
      </c>
      <c r="B31" s="19">
        <v>0.3419795315512319</v>
      </c>
      <c r="C31" s="19">
        <v>0.10550000000000001</v>
      </c>
    </row>
    <row r="32" spans="1:5" x14ac:dyDescent="0.25">
      <c r="A32" s="18">
        <v>0.6</v>
      </c>
      <c r="B32" s="19">
        <v>0.33255375505322443</v>
      </c>
      <c r="C32" s="19">
        <v>0.10260000000000001</v>
      </c>
    </row>
    <row r="33" spans="1:3" x14ac:dyDescent="0.25">
      <c r="A33" s="18">
        <v>0.7</v>
      </c>
      <c r="B33" s="19">
        <v>0.3284478649648982</v>
      </c>
      <c r="C33" s="19">
        <v>9.9700000000000011E-2</v>
      </c>
    </row>
    <row r="34" spans="1:3" x14ac:dyDescent="0.25">
      <c r="A34" s="18">
        <v>0.8</v>
      </c>
      <c r="B34" s="19">
        <v>0.32986057660775409</v>
      </c>
      <c r="C34" s="19">
        <v>9.6800000000000011E-2</v>
      </c>
    </row>
    <row r="35" spans="1:3" x14ac:dyDescent="0.25">
      <c r="A35" s="18">
        <v>0.9</v>
      </c>
      <c r="B35" s="19">
        <v>0.33672243762481879</v>
      </c>
      <c r="C35" s="19">
        <v>9.3900000000000011E-2</v>
      </c>
    </row>
    <row r="36" spans="1:3" x14ac:dyDescent="0.25">
      <c r="A36" s="18">
        <v>1</v>
      </c>
      <c r="B36" s="19">
        <v>0.34871191548325386</v>
      </c>
      <c r="C36" s="19">
        <v>9.1000000000000011E-2</v>
      </c>
    </row>
    <row r="37" spans="1:3" x14ac:dyDescent="0.25">
      <c r="A37" s="18">
        <v>1.1000000000000001</v>
      </c>
      <c r="B37" s="19">
        <v>0.36532451327552606</v>
      </c>
      <c r="C37" s="19">
        <v>8.8100000000000012E-2</v>
      </c>
    </row>
    <row r="38" spans="1:3" x14ac:dyDescent="0.25">
      <c r="A38" s="18">
        <v>1.2</v>
      </c>
      <c r="B38" s="19">
        <v>0.38596372886580932</v>
      </c>
      <c r="C38" s="19">
        <v>8.5200000000000012E-2</v>
      </c>
    </row>
  </sheetData>
  <mergeCells count="2">
    <mergeCell ref="A1:F1"/>
    <mergeCell ref="A2:D2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2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2024-10-24T09:29:52Z</cp:lastPrinted>
  <dcterms:created xsi:type="dcterms:W3CDTF">2024-10-05T13:27:14Z</dcterms:created>
  <dcterms:modified xsi:type="dcterms:W3CDTF">2024-10-24T09:31:56Z</dcterms:modified>
</cp:coreProperties>
</file>