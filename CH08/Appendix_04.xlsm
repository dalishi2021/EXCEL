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DAB851BB-E793-44E1-89FA-421666D863C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3" i="1" l="1"/>
  <c r="F63" i="1" s="1"/>
  <c r="C63" i="1"/>
  <c r="B63" i="1"/>
  <c r="E62" i="1"/>
  <c r="F62" i="1" s="1"/>
  <c r="B62" i="1"/>
  <c r="C62" i="1" s="1"/>
  <c r="E61" i="1"/>
  <c r="F61" i="1" s="1"/>
  <c r="B61" i="1"/>
  <c r="C61" i="1" s="1"/>
  <c r="E60" i="1"/>
  <c r="F60" i="1" s="1"/>
  <c r="B60" i="1"/>
  <c r="C60" i="1" s="1"/>
  <c r="E59" i="1"/>
  <c r="F59" i="1" s="1"/>
  <c r="C59" i="1"/>
  <c r="B59" i="1"/>
  <c r="E58" i="1"/>
  <c r="F58" i="1" s="1"/>
  <c r="B58" i="1"/>
  <c r="C58" i="1" s="1"/>
  <c r="E57" i="1"/>
  <c r="F57" i="1" s="1"/>
  <c r="B57" i="1"/>
  <c r="C57" i="1" s="1"/>
  <c r="E56" i="1"/>
  <c r="F56" i="1" s="1"/>
  <c r="B56" i="1"/>
  <c r="C56" i="1" s="1"/>
  <c r="E55" i="1"/>
  <c r="F55" i="1" s="1"/>
  <c r="C55" i="1"/>
  <c r="B55" i="1"/>
  <c r="E54" i="1"/>
  <c r="F54" i="1" s="1"/>
  <c r="B54" i="1"/>
  <c r="C54" i="1" s="1"/>
  <c r="E53" i="1"/>
  <c r="F53" i="1" s="1"/>
  <c r="B53" i="1"/>
  <c r="C53" i="1" s="1"/>
  <c r="E52" i="1"/>
  <c r="F52" i="1" s="1"/>
  <c r="B52" i="1"/>
  <c r="C52" i="1" s="1"/>
  <c r="E51" i="1"/>
  <c r="F51" i="1" s="1"/>
  <c r="C51" i="1"/>
  <c r="B51" i="1"/>
  <c r="E50" i="1"/>
  <c r="F50" i="1" s="1"/>
  <c r="B50" i="1"/>
  <c r="C50" i="1" s="1"/>
  <c r="E49" i="1"/>
  <c r="F49" i="1" s="1"/>
  <c r="B49" i="1"/>
  <c r="C49" i="1" s="1"/>
  <c r="E48" i="1"/>
  <c r="F48" i="1" s="1"/>
  <c r="B48" i="1"/>
  <c r="C48" i="1" s="1"/>
  <c r="E47" i="1"/>
  <c r="F47" i="1" s="1"/>
  <c r="C47" i="1"/>
  <c r="B47" i="1"/>
  <c r="E46" i="1"/>
  <c r="F46" i="1" s="1"/>
  <c r="B46" i="1"/>
  <c r="C46" i="1" s="1"/>
  <c r="E45" i="1"/>
  <c r="F45" i="1" s="1"/>
  <c r="B45" i="1"/>
  <c r="C45" i="1" s="1"/>
  <c r="E44" i="1"/>
  <c r="F44" i="1" s="1"/>
  <c r="B44" i="1"/>
  <c r="C44" i="1" s="1"/>
  <c r="E43" i="1"/>
  <c r="F43" i="1" s="1"/>
  <c r="C43" i="1"/>
  <c r="B43" i="1"/>
  <c r="E42" i="1"/>
  <c r="F42" i="1" s="1"/>
  <c r="B42" i="1"/>
  <c r="C42" i="1" s="1"/>
  <c r="E41" i="1"/>
  <c r="F41" i="1" s="1"/>
  <c r="B41" i="1"/>
  <c r="C41" i="1" s="1"/>
  <c r="E40" i="1"/>
  <c r="F40" i="1" s="1"/>
  <c r="B40" i="1"/>
  <c r="C40" i="1" s="1"/>
  <c r="E39" i="1"/>
  <c r="F39" i="1" s="1"/>
  <c r="C39" i="1"/>
  <c r="B39" i="1"/>
  <c r="E38" i="1"/>
  <c r="F38" i="1" s="1"/>
  <c r="B38" i="1"/>
  <c r="C38" i="1" s="1"/>
  <c r="E37" i="1"/>
  <c r="F37" i="1" s="1"/>
  <c r="B37" i="1"/>
  <c r="C37" i="1" s="1"/>
  <c r="E36" i="1"/>
  <c r="F36" i="1" s="1"/>
  <c r="B36" i="1"/>
  <c r="C36" i="1" s="1"/>
  <c r="E35" i="1"/>
  <c r="F35" i="1" s="1"/>
  <c r="C35" i="1"/>
  <c r="B35" i="1"/>
  <c r="E34" i="1"/>
  <c r="F34" i="1" s="1"/>
  <c r="B34" i="1"/>
  <c r="C34" i="1" s="1"/>
  <c r="E33" i="1"/>
  <c r="F33" i="1" s="1"/>
  <c r="B33" i="1"/>
  <c r="C33" i="1" s="1"/>
  <c r="E32" i="1"/>
  <c r="F32" i="1" s="1"/>
  <c r="B32" i="1"/>
  <c r="C32" i="1" s="1"/>
  <c r="E31" i="1"/>
  <c r="F31" i="1" s="1"/>
  <c r="C31" i="1"/>
  <c r="B31" i="1"/>
  <c r="E30" i="1"/>
  <c r="F30" i="1" s="1"/>
  <c r="B30" i="1"/>
  <c r="C30" i="1" s="1"/>
  <c r="E29" i="1"/>
  <c r="F29" i="1" s="1"/>
  <c r="B29" i="1"/>
  <c r="C29" i="1" s="1"/>
  <c r="E28" i="1"/>
  <c r="F28" i="1" s="1"/>
  <c r="B28" i="1"/>
  <c r="C28" i="1" s="1"/>
  <c r="E27" i="1"/>
  <c r="F27" i="1" s="1"/>
  <c r="C27" i="1"/>
  <c r="B27" i="1"/>
  <c r="E26" i="1"/>
  <c r="F26" i="1" s="1"/>
  <c r="B26" i="1"/>
  <c r="C26" i="1" s="1"/>
  <c r="E25" i="1"/>
  <c r="F25" i="1" s="1"/>
  <c r="B25" i="1"/>
  <c r="C25" i="1" s="1"/>
  <c r="E24" i="1"/>
  <c r="F24" i="1" s="1"/>
  <c r="C24" i="1"/>
  <c r="B24" i="1"/>
  <c r="E23" i="1"/>
  <c r="F23" i="1" s="1"/>
  <c r="C23" i="1"/>
  <c r="B23" i="1"/>
  <c r="E22" i="1"/>
  <c r="F22" i="1" s="1"/>
  <c r="B22" i="1"/>
  <c r="C22" i="1" s="1"/>
  <c r="E21" i="1"/>
  <c r="F21" i="1" s="1"/>
  <c r="B21" i="1"/>
  <c r="C21" i="1" s="1"/>
  <c r="E20" i="1"/>
  <c r="F20" i="1" s="1"/>
  <c r="C20" i="1"/>
  <c r="B20" i="1"/>
  <c r="E19" i="1"/>
  <c r="F19" i="1" s="1"/>
  <c r="C19" i="1"/>
  <c r="B19" i="1"/>
  <c r="E18" i="1"/>
  <c r="F18" i="1" s="1"/>
  <c r="B18" i="1"/>
  <c r="C18" i="1" s="1"/>
  <c r="E17" i="1"/>
  <c r="F17" i="1" s="1"/>
  <c r="B17" i="1"/>
  <c r="C17" i="1" s="1"/>
  <c r="E16" i="1"/>
  <c r="F16" i="1" s="1"/>
  <c r="C16" i="1"/>
  <c r="B16" i="1"/>
  <c r="E15" i="1"/>
  <c r="F15" i="1" s="1"/>
  <c r="C15" i="1"/>
  <c r="B15" i="1"/>
  <c r="E14" i="1"/>
  <c r="F14" i="1" s="1"/>
  <c r="B14" i="1"/>
  <c r="C14" i="1" s="1"/>
  <c r="E13" i="1"/>
  <c r="F13" i="1" s="1"/>
  <c r="B13" i="1"/>
  <c r="C13" i="1" s="1"/>
  <c r="E12" i="1"/>
  <c r="F12" i="1" s="1"/>
  <c r="C12" i="1"/>
  <c r="B12" i="1"/>
  <c r="E11" i="1"/>
  <c r="F11" i="1" s="1"/>
  <c r="C11" i="1"/>
  <c r="B11" i="1"/>
  <c r="E10" i="1"/>
  <c r="F10" i="1" s="1"/>
  <c r="B10" i="1"/>
  <c r="C10" i="1" s="1"/>
  <c r="E9" i="1"/>
  <c r="F9" i="1" s="1"/>
  <c r="B9" i="1"/>
  <c r="C9" i="1" s="1"/>
  <c r="E8" i="1"/>
  <c r="F8" i="1" s="1"/>
  <c r="C8" i="1"/>
  <c r="B8" i="1"/>
  <c r="E7" i="1"/>
  <c r="F7" i="1" s="1"/>
  <c r="C7" i="1"/>
  <c r="B7" i="1"/>
  <c r="E6" i="1"/>
  <c r="F6" i="1" s="1"/>
  <c r="B6" i="1"/>
  <c r="C6" i="1" s="1"/>
  <c r="E5" i="1"/>
  <c r="F5" i="1" s="1"/>
  <c r="B5" i="1"/>
  <c r="C5" i="1" s="1"/>
  <c r="F4" i="1"/>
  <c r="E4" i="1"/>
  <c r="B4" i="1"/>
  <c r="E3" i="1"/>
  <c r="B3" i="1"/>
  <c r="C4" i="1" s="1"/>
  <c r="G71" i="1"/>
  <c r="G70" i="1"/>
  <c r="G69" i="1"/>
  <c r="G67" i="1"/>
  <c r="G66" i="1"/>
  <c r="G65" i="1"/>
  <c r="G4" i="1"/>
  <c r="C65" i="1" l="1"/>
  <c r="C69" i="1" s="1"/>
  <c r="C67" i="1"/>
  <c r="C71" i="1" s="1"/>
  <c r="C66" i="1"/>
  <c r="C70" i="1" s="1"/>
  <c r="F66" i="1"/>
  <c r="F70" i="1" s="1"/>
  <c r="F65" i="1"/>
  <c r="F69" i="1" s="1"/>
  <c r="F67" i="1"/>
  <c r="F71" i="1" s="1"/>
</calcChain>
</file>

<file path=xl/sharedStrings.xml><?xml version="1.0" encoding="utf-8"?>
<sst xmlns="http://schemas.openxmlformats.org/spreadsheetml/2006/main" count="12" uniqueCount="11">
  <si>
    <t>MONTHLY AND ANNUAL MEANS AND VARIANCES</t>
  </si>
  <si>
    <t>Date</t>
  </si>
  <si>
    <t>WMT
price</t>
  </si>
  <si>
    <t>Continuous return</t>
  </si>
  <si>
    <t>TGT
price</t>
  </si>
  <si>
    <t>Monthly average</t>
  </si>
  <si>
    <t>Monthly variance</t>
  </si>
  <si>
    <t>Monthly standard
   deviation</t>
  </si>
  <si>
    <t>Annual average</t>
  </si>
  <si>
    <t>Annual variance</t>
  </si>
  <si>
    <t>Annual standard 
  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</si>
</sst>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15" fontId="0" fillId="0" borderId="0" xfId="0" applyNumberFormat="1" applyAlignment="1">
      <alignment horizontal="center"/>
    </xf>
    <xf numFmtId="2" fontId="0" fillId="0" borderId="0" xfId="0" applyNumberFormat="1" applyAlignment="1"/>
    <xf numFmtId="176" fontId="0" fillId="0" borderId="0" xfId="0" applyNumberFormat="1" applyAlignment="1">
      <alignment horizontal="right"/>
    </xf>
    <xf numFmtId="10" fontId="2" fillId="0" borderId="0" xfId="1" applyNumberFormat="1" applyAlignment="1"/>
    <xf numFmtId="176" fontId="0" fillId="0" borderId="0" xfId="0" applyNumberFormat="1" applyAlignment="1">
      <alignment horizontal="left"/>
    </xf>
    <xf numFmtId="176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0" xfId="0" applyFont="1" applyAlignment="1"/>
    <xf numFmtId="0" fontId="6" fillId="0" borderId="0" xfId="0" applyFont="1" applyAlignment="1"/>
    <xf numFmtId="0" fontId="5" fillId="0" borderId="0" xfId="0" applyFont="1" applyAlignment="1">
      <alignment horizontal="center"/>
    </xf>
    <xf numFmtId="10" fontId="0" fillId="0" borderId="0" xfId="0" applyNumberFormat="1" applyAlignment="1"/>
    <xf numFmtId="0" fontId="0" fillId="2" borderId="0" xfId="0" applyFill="1" applyAlignment="1"/>
    <xf numFmtId="10" fontId="2" fillId="2" borderId="0" xfId="1" applyNumberFormat="1" applyFill="1" applyAlignment="1"/>
    <xf numFmtId="0" fontId="0" fillId="2" borderId="0" xfId="0" applyFill="1" applyAlignment="1">
      <alignment horizontal="left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1</xdr:row>
      <xdr:rowOff>0</xdr:rowOff>
    </xdr:from>
    <xdr:to>
      <xdr:col>16</xdr:col>
      <xdr:colOff>586740</xdr:colOff>
      <xdr:row>31</xdr:row>
      <xdr:rowOff>114300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8821DF9-EEB0-2E10-635D-4BF4F841A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057900" y="219075"/>
          <a:ext cx="6067425" cy="5419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40-41"/>
      <sheetName val="Pages 240-41 (中文)"/>
      <sheetName val="Page 242"/>
      <sheetName val="Page 242 (中文)"/>
      <sheetName val="Page 243"/>
      <sheetName val="Page 243 (中文)"/>
      <sheetName val="Page 244"/>
      <sheetName val="Page 244 (中文)"/>
      <sheetName val="Page 245"/>
      <sheetName val="Page 245 (中文)"/>
      <sheetName val="Page 246"/>
      <sheetName val="Page 246 (中文)"/>
      <sheetName val="Pages 248-9"/>
      <sheetName val="Pages 248-9 (中文)"/>
      <sheetName val="Page 251"/>
      <sheetName val="Page 251 (中文)"/>
      <sheetName val="Page 256, top"/>
      <sheetName val="Page 256, top (中文)"/>
      <sheetName val="Page 256, bottom"/>
      <sheetName val="Page 256, bottom (中文)"/>
      <sheetName val="Page 258"/>
      <sheetName val="Page 258 (中文)"/>
      <sheetName val="Page 259"/>
      <sheetName val="Page 259 (中文)"/>
    </sheetNames>
    <sheetDataSet>
      <sheetData sheetId="0">
        <row r="4">
          <cell r="B4">
            <v>26.07</v>
          </cell>
          <cell r="C4">
            <v>37.4</v>
          </cell>
        </row>
        <row r="5">
          <cell r="B5">
            <v>22</v>
          </cell>
          <cell r="C5">
            <v>33.53</v>
          </cell>
        </row>
        <row r="6">
          <cell r="B6">
            <v>20.07</v>
          </cell>
          <cell r="C6">
            <v>30.73</v>
          </cell>
        </row>
        <row r="7">
          <cell r="B7">
            <v>20.02</v>
          </cell>
          <cell r="C7">
            <v>30.15</v>
          </cell>
        </row>
        <row r="8">
          <cell r="B8">
            <v>23.35</v>
          </cell>
          <cell r="C8">
            <v>36.380000000000003</v>
          </cell>
        </row>
        <row r="9">
          <cell r="B9">
            <v>24.79</v>
          </cell>
          <cell r="C9">
            <v>39.79</v>
          </cell>
        </row>
        <row r="10">
          <cell r="B10">
            <v>23.03</v>
          </cell>
          <cell r="C10">
            <v>43.04</v>
          </cell>
        </row>
        <row r="11">
          <cell r="B11">
            <v>18.09</v>
          </cell>
          <cell r="C11">
            <v>40.659999999999997</v>
          </cell>
        </row>
        <row r="12">
          <cell r="B12">
            <v>19.170000000000002</v>
          </cell>
          <cell r="C12">
            <v>41.85</v>
          </cell>
        </row>
        <row r="13">
          <cell r="B13">
            <v>20.25</v>
          </cell>
          <cell r="C13">
            <v>42.36</v>
          </cell>
        </row>
        <row r="14">
          <cell r="B14">
            <v>22.79</v>
          </cell>
          <cell r="C14">
            <v>40.29</v>
          </cell>
        </row>
        <row r="15">
          <cell r="B15">
            <v>20.52</v>
          </cell>
          <cell r="C15">
            <v>37.03</v>
          </cell>
        </row>
        <row r="16">
          <cell r="B16">
            <v>16.5</v>
          </cell>
          <cell r="C16">
            <v>32.409999999999997</v>
          </cell>
        </row>
        <row r="17">
          <cell r="B17">
            <v>16.27</v>
          </cell>
          <cell r="C17">
            <v>33.299999999999997</v>
          </cell>
        </row>
        <row r="18">
          <cell r="B18">
            <v>14.92</v>
          </cell>
          <cell r="C18">
            <v>28.74</v>
          </cell>
        </row>
        <row r="19">
          <cell r="B19">
            <v>18.010000000000002</v>
          </cell>
          <cell r="C19">
            <v>29.32</v>
          </cell>
        </row>
        <row r="20">
          <cell r="B20">
            <v>22.43</v>
          </cell>
          <cell r="C20">
            <v>33.92</v>
          </cell>
        </row>
        <row r="21">
          <cell r="B21">
            <v>21.75</v>
          </cell>
          <cell r="C21">
            <v>29.26</v>
          </cell>
        </row>
        <row r="22">
          <cell r="B22">
            <v>18.43</v>
          </cell>
          <cell r="C22">
            <v>27.51</v>
          </cell>
        </row>
        <row r="23">
          <cell r="B23">
            <v>18.87</v>
          </cell>
          <cell r="C23">
            <v>28</v>
          </cell>
        </row>
        <row r="24">
          <cell r="B24">
            <v>18.670000000000002</v>
          </cell>
          <cell r="C24">
            <v>28.6</v>
          </cell>
        </row>
        <row r="25">
          <cell r="B25">
            <v>16.32</v>
          </cell>
          <cell r="C25">
            <v>32.69</v>
          </cell>
        </row>
        <row r="26">
          <cell r="B26">
            <v>16.57</v>
          </cell>
          <cell r="C26">
            <v>35.869999999999997</v>
          </cell>
        </row>
        <row r="27">
          <cell r="B27">
            <v>16.12</v>
          </cell>
          <cell r="C27">
            <v>37.049999999999997</v>
          </cell>
        </row>
        <row r="28">
          <cell r="B28">
            <v>17.91</v>
          </cell>
          <cell r="C28">
            <v>37.520000000000003</v>
          </cell>
        </row>
        <row r="29">
          <cell r="B29">
            <v>20.45</v>
          </cell>
          <cell r="C29">
            <v>39.83</v>
          </cell>
        </row>
        <row r="30">
          <cell r="B30">
            <v>20.6</v>
          </cell>
          <cell r="C30">
            <v>36.909999999999997</v>
          </cell>
        </row>
        <row r="31">
          <cell r="B31">
            <v>22.92</v>
          </cell>
          <cell r="C31">
            <v>38.979999999999997</v>
          </cell>
        </row>
        <row r="32">
          <cell r="B32">
            <v>24.12</v>
          </cell>
          <cell r="C32">
            <v>38.049999999999997</v>
          </cell>
        </row>
        <row r="33">
          <cell r="B33">
            <v>25.47</v>
          </cell>
          <cell r="C33">
            <v>37.74</v>
          </cell>
        </row>
        <row r="34">
          <cell r="B34">
            <v>25.5</v>
          </cell>
          <cell r="C34">
            <v>37.31</v>
          </cell>
        </row>
        <row r="35">
          <cell r="B35">
            <v>30.06</v>
          </cell>
          <cell r="C35">
            <v>43.27</v>
          </cell>
        </row>
        <row r="36">
          <cell r="B36">
            <v>33.869999999999997</v>
          </cell>
          <cell r="C36">
            <v>44.34</v>
          </cell>
        </row>
        <row r="37">
          <cell r="B37">
            <v>33.1</v>
          </cell>
          <cell r="C37">
            <v>42.69</v>
          </cell>
        </row>
        <row r="38">
          <cell r="B38">
            <v>34.97</v>
          </cell>
          <cell r="C38">
            <v>44.08</v>
          </cell>
        </row>
        <row r="39">
          <cell r="B39">
            <v>36.909999999999997</v>
          </cell>
          <cell r="C39">
            <v>41.88</v>
          </cell>
        </row>
        <row r="40">
          <cell r="B40">
            <v>39.229999999999997</v>
          </cell>
          <cell r="C40">
            <v>42.99</v>
          </cell>
        </row>
        <row r="41">
          <cell r="B41">
            <v>37.58</v>
          </cell>
          <cell r="C41">
            <v>44.04</v>
          </cell>
        </row>
        <row r="42">
          <cell r="B42">
            <v>34.6</v>
          </cell>
          <cell r="C42">
            <v>44.7</v>
          </cell>
        </row>
        <row r="43">
          <cell r="B43">
            <v>34.04</v>
          </cell>
          <cell r="C43">
            <v>49.41</v>
          </cell>
        </row>
        <row r="44">
          <cell r="B44">
            <v>37.99</v>
          </cell>
          <cell r="C44">
            <v>50.68</v>
          </cell>
        </row>
        <row r="45">
          <cell r="B45">
            <v>40.74</v>
          </cell>
          <cell r="C45">
            <v>51.38</v>
          </cell>
        </row>
        <row r="46">
          <cell r="B46">
            <v>42.17</v>
          </cell>
          <cell r="C46">
            <v>50.23</v>
          </cell>
        </row>
        <row r="47">
          <cell r="B47">
            <v>43.92</v>
          </cell>
          <cell r="C47">
            <v>50.36</v>
          </cell>
        </row>
        <row r="48">
          <cell r="B48">
            <v>51.25</v>
          </cell>
          <cell r="C48">
            <v>49.57</v>
          </cell>
        </row>
        <row r="49">
          <cell r="B49">
            <v>46.92</v>
          </cell>
          <cell r="C49">
            <v>45.99</v>
          </cell>
        </row>
        <row r="50">
          <cell r="B50">
            <v>49.25</v>
          </cell>
          <cell r="C50">
            <v>53.3</v>
          </cell>
        </row>
        <row r="51">
          <cell r="B51">
            <v>52.04</v>
          </cell>
          <cell r="C51">
            <v>54</v>
          </cell>
        </row>
        <row r="52">
          <cell r="B52">
            <v>55.69</v>
          </cell>
          <cell r="C52">
            <v>58.31</v>
          </cell>
        </row>
        <row r="53">
          <cell r="B53">
            <v>48.24</v>
          </cell>
          <cell r="C53">
            <v>53.45</v>
          </cell>
        </row>
        <row r="54">
          <cell r="B54">
            <v>47.04</v>
          </cell>
          <cell r="C54">
            <v>51.64</v>
          </cell>
        </row>
        <row r="55">
          <cell r="B55">
            <v>50.93</v>
          </cell>
          <cell r="C55">
            <v>55.37</v>
          </cell>
        </row>
        <row r="56">
          <cell r="B56">
            <v>52.19</v>
          </cell>
          <cell r="C56">
            <v>53.31</v>
          </cell>
        </row>
        <row r="57">
          <cell r="B57">
            <v>55.31</v>
          </cell>
          <cell r="C57">
            <v>54.76</v>
          </cell>
        </row>
        <row r="58">
          <cell r="B58">
            <v>55.63</v>
          </cell>
          <cell r="C58">
            <v>54.54</v>
          </cell>
        </row>
        <row r="59">
          <cell r="B59">
            <v>58.46</v>
          </cell>
          <cell r="C59">
            <v>54.29</v>
          </cell>
        </row>
        <row r="60">
          <cell r="B60">
            <v>60.23</v>
          </cell>
          <cell r="C60">
            <v>51.9</v>
          </cell>
        </row>
        <row r="61">
          <cell r="B61">
            <v>65.459999999999994</v>
          </cell>
          <cell r="C61">
            <v>52.99</v>
          </cell>
        </row>
        <row r="62">
          <cell r="B62">
            <v>60.84</v>
          </cell>
          <cell r="C62">
            <v>48.92</v>
          </cell>
        </row>
        <row r="63">
          <cell r="B63">
            <v>67.510000000000005</v>
          </cell>
          <cell r="C63">
            <v>48.87</v>
          </cell>
        </row>
        <row r="64">
          <cell r="B64">
            <v>67.650000000000006</v>
          </cell>
          <cell r="C64">
            <v>49.17</v>
          </cell>
        </row>
      </sheetData>
      <sheetData sheetId="1"/>
      <sheetData sheetId="2"/>
      <sheetData sheetId="3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71"/>
  <sheetViews>
    <sheetView tabSelected="1" topLeftCell="A37" workbookViewId="0">
      <selection activeCell="J65" sqref="J65"/>
    </sheetView>
  </sheetViews>
  <sheetFormatPr defaultRowHeight="13.8" x14ac:dyDescent="0.25"/>
  <cols>
    <col min="1" max="1" width="16.5546875" style="5" customWidth="1"/>
    <col min="2" max="2" width="9.5546875" style="5" customWidth="1"/>
    <col min="3" max="3" width="12.33203125" style="5" customWidth="1"/>
    <col min="4" max="4" width="5.33203125" style="5" customWidth="1"/>
    <col min="5" max="5" width="9.88671875" style="5" customWidth="1"/>
    <col min="6" max="6" width="12.5546875" style="5" customWidth="1"/>
    <col min="7" max="7" width="22.109375" style="5" bestFit="1" customWidth="1"/>
    <col min="8" max="8" width="8.88671875" style="5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2"/>
    </row>
    <row r="2" spans="1:8" ht="26.4" x14ac:dyDescent="0.25">
      <c r="A2" s="3" t="s">
        <v>1</v>
      </c>
      <c r="B2" s="3" t="s">
        <v>2</v>
      </c>
      <c r="C2" s="3" t="s">
        <v>3</v>
      </c>
      <c r="D2" s="4"/>
      <c r="E2" s="3" t="s">
        <v>4</v>
      </c>
      <c r="F2" s="3" t="s">
        <v>3</v>
      </c>
      <c r="G2" s="4"/>
    </row>
    <row r="3" spans="1:8" x14ac:dyDescent="0.25">
      <c r="A3" s="6">
        <v>37077</v>
      </c>
      <c r="B3" s="7">
        <f>'[1]Pages 240-41'!B4</f>
        <v>26.07</v>
      </c>
      <c r="D3" s="8"/>
      <c r="E3" s="7">
        <f>'[1]Pages 240-41'!C4</f>
        <v>37.4</v>
      </c>
      <c r="F3" s="8"/>
    </row>
    <row r="4" spans="1:8" x14ac:dyDescent="0.25">
      <c r="A4" s="6">
        <v>37104</v>
      </c>
      <c r="B4" s="7">
        <f>'[1]Pages 240-41'!B5</f>
        <v>22</v>
      </c>
      <c r="C4" s="9">
        <f t="shared" ref="C4:C63" si="0">LN(B4/B3)</f>
        <v>-0.1697427745870945</v>
      </c>
      <c r="D4" s="8"/>
      <c r="E4" s="7">
        <f>'[1]Pages 240-41'!C5</f>
        <v>33.53</v>
      </c>
      <c r="F4" s="9">
        <f t="shared" ref="F4:F63" si="1">LN(E4/E3)</f>
        <v>-0.10923014394234899</v>
      </c>
      <c r="G4" s="10" t="str">
        <f ca="1">[2]!getformula(F4)</f>
        <v>&lt;--  =LN(E4/E3)</v>
      </c>
    </row>
    <row r="5" spans="1:8" x14ac:dyDescent="0.25">
      <c r="A5" s="6">
        <v>37138</v>
      </c>
      <c r="B5" s="7">
        <f>'[1]Pages 240-41'!B6</f>
        <v>20.07</v>
      </c>
      <c r="C5" s="9">
        <f t="shared" si="0"/>
        <v>-9.1816290550069124E-2</v>
      </c>
      <c r="D5" s="8"/>
      <c r="E5" s="7">
        <f>'[1]Pages 240-41'!C6</f>
        <v>30.73</v>
      </c>
      <c r="F5" s="9">
        <f t="shared" si="1"/>
        <v>-8.7201184335743878E-2</v>
      </c>
      <c r="G5" s="8"/>
    </row>
    <row r="6" spans="1:8" x14ac:dyDescent="0.25">
      <c r="A6" s="6">
        <v>37165</v>
      </c>
      <c r="B6" s="7">
        <f>'[1]Pages 240-41'!B7</f>
        <v>20.02</v>
      </c>
      <c r="C6" s="9">
        <f t="shared" si="0"/>
        <v>-2.4943889211722662E-3</v>
      </c>
      <c r="D6" s="8"/>
      <c r="E6" s="7">
        <f>'[1]Pages 240-41'!C7</f>
        <v>30.15</v>
      </c>
      <c r="F6" s="9">
        <f t="shared" si="1"/>
        <v>-1.9054452969198853E-2</v>
      </c>
      <c r="G6" s="11"/>
      <c r="H6" s="12"/>
    </row>
    <row r="7" spans="1:8" x14ac:dyDescent="0.25">
      <c r="A7" s="6">
        <v>37196</v>
      </c>
      <c r="B7" s="7">
        <f>'[1]Pages 240-41'!B8</f>
        <v>23.35</v>
      </c>
      <c r="C7" s="9">
        <f t="shared" si="0"/>
        <v>0.15386521022783195</v>
      </c>
      <c r="D7" s="8"/>
      <c r="E7" s="7">
        <f>'[1]Pages 240-41'!C8</f>
        <v>36.380000000000003</v>
      </c>
      <c r="F7" s="9">
        <f t="shared" si="1"/>
        <v>0.18783424991678188</v>
      </c>
      <c r="G7" s="12"/>
      <c r="H7" s="12"/>
    </row>
    <row r="8" spans="1:8" x14ac:dyDescent="0.25">
      <c r="A8" s="6">
        <v>37228</v>
      </c>
      <c r="B8" s="7">
        <f>'[1]Pages 240-41'!B9</f>
        <v>24.79</v>
      </c>
      <c r="C8" s="9">
        <f t="shared" si="0"/>
        <v>5.9843361932192626E-2</v>
      </c>
      <c r="D8" s="8"/>
      <c r="E8" s="7">
        <f>'[1]Pages 240-41'!C9</f>
        <v>39.79</v>
      </c>
      <c r="F8" s="9">
        <f t="shared" si="1"/>
        <v>8.9596451348861003E-2</v>
      </c>
      <c r="G8" s="8"/>
    </row>
    <row r="9" spans="1:8" x14ac:dyDescent="0.25">
      <c r="A9" s="6">
        <v>37258</v>
      </c>
      <c r="B9" s="7">
        <f>'[1]Pages 240-41'!B10</f>
        <v>23.03</v>
      </c>
      <c r="C9" s="9">
        <f t="shared" si="0"/>
        <v>-7.364263221450526E-2</v>
      </c>
      <c r="D9" s="8"/>
      <c r="E9" s="7">
        <f>'[1]Pages 240-41'!C10</f>
        <v>43.04</v>
      </c>
      <c r="F9" s="9">
        <f t="shared" si="1"/>
        <v>7.8514291414691684E-2</v>
      </c>
      <c r="G9" s="8"/>
    </row>
    <row r="10" spans="1:8" x14ac:dyDescent="0.25">
      <c r="A10" s="6">
        <v>37291</v>
      </c>
      <c r="B10" s="7">
        <f>'[1]Pages 240-41'!B11</f>
        <v>18.09</v>
      </c>
      <c r="C10" s="9">
        <f t="shared" si="0"/>
        <v>-0.24143841442539005</v>
      </c>
      <c r="D10" s="8"/>
      <c r="E10" s="7">
        <f>'[1]Pages 240-41'!C11</f>
        <v>40.659999999999997</v>
      </c>
      <c r="F10" s="9">
        <f t="shared" si="1"/>
        <v>-5.6885107653328486E-2</v>
      </c>
      <c r="G10" s="8"/>
    </row>
    <row r="11" spans="1:8" x14ac:dyDescent="0.25">
      <c r="A11" s="6">
        <v>37316</v>
      </c>
      <c r="B11" s="7">
        <f>'[1]Pages 240-41'!B12</f>
        <v>19.170000000000002</v>
      </c>
      <c r="C11" s="9">
        <f t="shared" si="0"/>
        <v>5.7987257650349525E-2</v>
      </c>
      <c r="D11" s="8"/>
      <c r="E11" s="7">
        <f>'[1]Pages 240-41'!C12</f>
        <v>41.85</v>
      </c>
      <c r="F11" s="9">
        <f t="shared" si="1"/>
        <v>2.8846988735283855E-2</v>
      </c>
      <c r="G11" s="8"/>
    </row>
    <row r="12" spans="1:8" x14ac:dyDescent="0.25">
      <c r="A12" s="6">
        <v>37347</v>
      </c>
      <c r="B12" s="7">
        <f>'[1]Pages 240-41'!B13</f>
        <v>20.25</v>
      </c>
      <c r="C12" s="9">
        <f t="shared" si="0"/>
        <v>5.4808236494994951E-2</v>
      </c>
      <c r="D12" s="8"/>
      <c r="E12" s="7">
        <f>'[1]Pages 240-41'!C13</f>
        <v>42.36</v>
      </c>
      <c r="F12" s="9">
        <f t="shared" si="1"/>
        <v>1.2112723797721256E-2</v>
      </c>
      <c r="G12" s="8"/>
    </row>
    <row r="13" spans="1:8" x14ac:dyDescent="0.25">
      <c r="A13" s="6">
        <v>37377</v>
      </c>
      <c r="B13" s="7">
        <f>'[1]Pages 240-41'!B14</f>
        <v>22.79</v>
      </c>
      <c r="C13" s="9">
        <f t="shared" si="0"/>
        <v>0.1181670497050447</v>
      </c>
      <c r="D13" s="8"/>
      <c r="E13" s="7">
        <f>'[1]Pages 240-41'!C14</f>
        <v>40.29</v>
      </c>
      <c r="F13" s="9">
        <f t="shared" si="1"/>
        <v>-5.0101221529949815E-2</v>
      </c>
      <c r="G13" s="8"/>
    </row>
    <row r="14" spans="1:8" x14ac:dyDescent="0.25">
      <c r="A14" s="6">
        <v>37410</v>
      </c>
      <c r="B14" s="7">
        <f>'[1]Pages 240-41'!B15</f>
        <v>20.52</v>
      </c>
      <c r="C14" s="9">
        <f t="shared" si="0"/>
        <v>-0.10492182295502411</v>
      </c>
      <c r="D14" s="8"/>
      <c r="E14" s="7">
        <f>'[1]Pages 240-41'!C15</f>
        <v>37.03</v>
      </c>
      <c r="F14" s="9">
        <f t="shared" si="1"/>
        <v>-8.4374904277734503E-2</v>
      </c>
      <c r="G14" s="8"/>
    </row>
    <row r="15" spans="1:8" x14ac:dyDescent="0.25">
      <c r="A15" s="6">
        <v>37438</v>
      </c>
      <c r="B15" s="7">
        <f>'[1]Pages 240-41'!B16</f>
        <v>16.5</v>
      </c>
      <c r="C15" s="9">
        <f t="shared" si="0"/>
        <v>-0.21803963939603388</v>
      </c>
      <c r="E15" s="7">
        <f>'[1]Pages 240-41'!C16</f>
        <v>32.409999999999997</v>
      </c>
      <c r="F15" s="9">
        <f t="shared" si="1"/>
        <v>-0.1332613777720654</v>
      </c>
    </row>
    <row r="16" spans="1:8" x14ac:dyDescent="0.25">
      <c r="A16" s="6">
        <v>37469</v>
      </c>
      <c r="B16" s="7">
        <f>'[1]Pages 240-41'!B17</f>
        <v>16.27</v>
      </c>
      <c r="C16" s="9">
        <f t="shared" si="0"/>
        <v>-1.4037459675588474E-2</v>
      </c>
      <c r="D16" s="13"/>
      <c r="E16" s="7">
        <f>'[1]Pages 240-41'!C17</f>
        <v>33.299999999999997</v>
      </c>
      <c r="F16" s="9">
        <f t="shared" si="1"/>
        <v>2.7090379832942213E-2</v>
      </c>
      <c r="G16" s="13"/>
    </row>
    <row r="17" spans="1:8" x14ac:dyDescent="0.25">
      <c r="A17" s="6">
        <v>37502</v>
      </c>
      <c r="B17" s="7">
        <f>'[1]Pages 240-41'!B18</f>
        <v>14.92</v>
      </c>
      <c r="C17" s="9">
        <f t="shared" si="0"/>
        <v>-8.6620326455331617E-2</v>
      </c>
      <c r="D17" s="13"/>
      <c r="E17" s="7">
        <f>'[1]Pages 240-41'!C18</f>
        <v>28.74</v>
      </c>
      <c r="F17" s="9">
        <f t="shared" si="1"/>
        <v>-0.14726751633551921</v>
      </c>
      <c r="G17" s="13"/>
    </row>
    <row r="18" spans="1:8" x14ac:dyDescent="0.25">
      <c r="A18" s="6">
        <v>37530</v>
      </c>
      <c r="B18" s="7">
        <f>'[1]Pages 240-41'!B19</f>
        <v>18.010000000000002</v>
      </c>
      <c r="C18" s="9">
        <f t="shared" si="0"/>
        <v>0.18822456441225008</v>
      </c>
      <c r="E18" s="7">
        <f>'[1]Pages 240-41'!C19</f>
        <v>29.32</v>
      </c>
      <c r="F18" s="9">
        <f t="shared" si="1"/>
        <v>1.9979996367571862E-2</v>
      </c>
    </row>
    <row r="19" spans="1:8" x14ac:dyDescent="0.25">
      <c r="A19" s="6">
        <v>37561</v>
      </c>
      <c r="B19" s="7">
        <f>'[1]Pages 240-41'!B20</f>
        <v>22.43</v>
      </c>
      <c r="C19" s="9">
        <f t="shared" si="0"/>
        <v>0.21947218934425206</v>
      </c>
      <c r="E19" s="7">
        <f>'[1]Pages 240-41'!C20</f>
        <v>33.92</v>
      </c>
      <c r="F19" s="9">
        <f t="shared" si="1"/>
        <v>0.14573493390525158</v>
      </c>
    </row>
    <row r="20" spans="1:8" x14ac:dyDescent="0.25">
      <c r="A20" s="6">
        <v>37592</v>
      </c>
      <c r="B20" s="7">
        <f>'[1]Pages 240-41'!B21</f>
        <v>21.75</v>
      </c>
      <c r="C20" s="9">
        <f t="shared" si="0"/>
        <v>-3.0785590997423853E-2</v>
      </c>
      <c r="E20" s="7">
        <f>'[1]Pages 240-41'!C21</f>
        <v>29.26</v>
      </c>
      <c r="F20" s="9">
        <f t="shared" si="1"/>
        <v>-0.14778341533172407</v>
      </c>
    </row>
    <row r="21" spans="1:8" x14ac:dyDescent="0.25">
      <c r="A21" s="6">
        <v>37623</v>
      </c>
      <c r="B21" s="7">
        <f>'[1]Pages 240-41'!B22</f>
        <v>18.43</v>
      </c>
      <c r="C21" s="9">
        <f t="shared" si="0"/>
        <v>-0.16563398585296116</v>
      </c>
      <c r="E21" s="7">
        <f>'[1]Pages 240-41'!C22</f>
        <v>27.51</v>
      </c>
      <c r="F21" s="9">
        <f t="shared" si="1"/>
        <v>-6.1671820655495112E-2</v>
      </c>
    </row>
    <row r="22" spans="1:8" x14ac:dyDescent="0.25">
      <c r="A22" s="6">
        <v>37655</v>
      </c>
      <c r="B22" s="7">
        <f>'[1]Pages 240-41'!B23</f>
        <v>18.87</v>
      </c>
      <c r="C22" s="9">
        <f t="shared" si="0"/>
        <v>2.3593587698727009E-2</v>
      </c>
      <c r="D22" s="14"/>
      <c r="E22" s="7">
        <f>'[1]Pages 240-41'!C23</f>
        <v>28</v>
      </c>
      <c r="F22" s="9">
        <f t="shared" si="1"/>
        <v>1.7654935238720745E-2</v>
      </c>
      <c r="G22" s="14"/>
    </row>
    <row r="23" spans="1:8" x14ac:dyDescent="0.25">
      <c r="A23" s="6">
        <v>37683</v>
      </c>
      <c r="B23" s="7">
        <f>'[1]Pages 240-41'!B24</f>
        <v>18.670000000000002</v>
      </c>
      <c r="C23" s="9">
        <f t="shared" si="0"/>
        <v>-1.0655401826827513E-2</v>
      </c>
      <c r="E23" s="7">
        <f>'[1]Pages 240-41'!C24</f>
        <v>28.6</v>
      </c>
      <c r="F23" s="9">
        <f t="shared" si="1"/>
        <v>2.1202207650603124E-2</v>
      </c>
      <c r="H23" s="14"/>
    </row>
    <row r="24" spans="1:8" x14ac:dyDescent="0.25">
      <c r="A24" s="6">
        <v>37712</v>
      </c>
      <c r="B24" s="7">
        <f>'[1]Pages 240-41'!B25</f>
        <v>16.32</v>
      </c>
      <c r="C24" s="9">
        <f t="shared" si="0"/>
        <v>-0.13452660801767038</v>
      </c>
      <c r="E24" s="7">
        <f>'[1]Pages 240-41'!C25</f>
        <v>32.69</v>
      </c>
      <c r="F24" s="9">
        <f t="shared" si="1"/>
        <v>0.13366250291031218</v>
      </c>
    </row>
    <row r="25" spans="1:8" x14ac:dyDescent="0.25">
      <c r="A25" s="6">
        <v>37742</v>
      </c>
      <c r="B25" s="7">
        <f>'[1]Pages 240-41'!B26</f>
        <v>16.57</v>
      </c>
      <c r="C25" s="9">
        <f t="shared" si="0"/>
        <v>1.5202481902510648E-2</v>
      </c>
      <c r="D25" s="15"/>
      <c r="E25" s="7">
        <f>'[1]Pages 240-41'!C26</f>
        <v>35.869999999999997</v>
      </c>
      <c r="F25" s="9">
        <f t="shared" si="1"/>
        <v>9.2832070808071959E-2</v>
      </c>
      <c r="G25" s="15"/>
    </row>
    <row r="26" spans="1:8" x14ac:dyDescent="0.25">
      <c r="A26" s="6">
        <v>37774</v>
      </c>
      <c r="B26" s="7">
        <f>'[1]Pages 240-41'!B27</f>
        <v>16.12</v>
      </c>
      <c r="C26" s="9">
        <f t="shared" si="0"/>
        <v>-2.7533094359989251E-2</v>
      </c>
      <c r="D26" s="16"/>
      <c r="E26" s="7">
        <f>'[1]Pages 240-41'!C27</f>
        <v>37.049999999999997</v>
      </c>
      <c r="F26" s="9">
        <f t="shared" si="1"/>
        <v>3.2367060197904772E-2</v>
      </c>
      <c r="G26" s="16"/>
    </row>
    <row r="27" spans="1:8" x14ac:dyDescent="0.25">
      <c r="A27" s="6">
        <v>37803</v>
      </c>
      <c r="B27" s="7">
        <f>'[1]Pages 240-41'!B28</f>
        <v>17.91</v>
      </c>
      <c r="C27" s="9">
        <f t="shared" si="0"/>
        <v>0.10529847899413819</v>
      </c>
      <c r="D27" s="16"/>
      <c r="E27" s="7">
        <f>'[1]Pages 240-41'!C28</f>
        <v>37.520000000000003</v>
      </c>
      <c r="F27" s="9">
        <f t="shared" si="1"/>
        <v>1.2605772395928172E-2</v>
      </c>
      <c r="G27" s="16"/>
    </row>
    <row r="28" spans="1:8" x14ac:dyDescent="0.25">
      <c r="A28" s="6">
        <v>37834</v>
      </c>
      <c r="B28" s="7">
        <f>'[1]Pages 240-41'!B29</f>
        <v>20.45</v>
      </c>
      <c r="C28" s="9">
        <f t="shared" si="0"/>
        <v>0.13262366641619031</v>
      </c>
      <c r="D28" s="16"/>
      <c r="E28" s="7">
        <f>'[1]Pages 240-41'!C29</f>
        <v>39.83</v>
      </c>
      <c r="F28" s="9">
        <f t="shared" si="1"/>
        <v>5.9746273055528709E-2</v>
      </c>
      <c r="G28" s="16"/>
    </row>
    <row r="29" spans="1:8" x14ac:dyDescent="0.25">
      <c r="A29" s="6">
        <v>37866</v>
      </c>
      <c r="B29" s="7">
        <f>'[1]Pages 240-41'!B30</f>
        <v>20.6</v>
      </c>
      <c r="C29" s="9">
        <f t="shared" si="0"/>
        <v>7.3081933067248427E-3</v>
      </c>
      <c r="D29" s="16"/>
      <c r="E29" s="7">
        <f>'[1]Pages 240-41'!C30</f>
        <v>36.909999999999997</v>
      </c>
      <c r="F29" s="9">
        <f t="shared" si="1"/>
        <v>-7.6137880151645715E-2</v>
      </c>
      <c r="G29" s="16"/>
    </row>
    <row r="30" spans="1:8" x14ac:dyDescent="0.25">
      <c r="A30" s="6">
        <v>37895</v>
      </c>
      <c r="B30" s="7">
        <f>'[1]Pages 240-41'!B31</f>
        <v>22.92</v>
      </c>
      <c r="C30" s="9">
        <f t="shared" si="0"/>
        <v>0.10671881605100342</v>
      </c>
      <c r="D30" s="16"/>
      <c r="E30" s="7">
        <f>'[1]Pages 240-41'!C31</f>
        <v>38.979999999999997</v>
      </c>
      <c r="F30" s="9">
        <f t="shared" si="1"/>
        <v>5.4566177037507539E-2</v>
      </c>
      <c r="G30" s="16"/>
    </row>
    <row r="31" spans="1:8" x14ac:dyDescent="0.25">
      <c r="A31" s="6">
        <v>37928</v>
      </c>
      <c r="B31" s="7">
        <f>'[1]Pages 240-41'!B32</f>
        <v>24.12</v>
      </c>
      <c r="C31" s="9">
        <f t="shared" si="0"/>
        <v>5.1031480012445826E-2</v>
      </c>
      <c r="D31" s="16"/>
      <c r="E31" s="7">
        <f>'[1]Pages 240-41'!C32</f>
        <v>38.049999999999997</v>
      </c>
      <c r="F31" s="9">
        <f t="shared" si="1"/>
        <v>-2.4147609771719931E-2</v>
      </c>
      <c r="G31" s="16"/>
    </row>
    <row r="32" spans="1:8" x14ac:dyDescent="0.25">
      <c r="A32" s="6">
        <v>37956</v>
      </c>
      <c r="B32" s="7">
        <f>'[1]Pages 240-41'!B33</f>
        <v>25.47</v>
      </c>
      <c r="C32" s="9">
        <f t="shared" si="0"/>
        <v>5.4459917132380839E-2</v>
      </c>
      <c r="D32" s="16"/>
      <c r="E32" s="7">
        <f>'[1]Pages 240-41'!C33</f>
        <v>37.74</v>
      </c>
      <c r="F32" s="9">
        <f t="shared" si="1"/>
        <v>-8.1805443672906073E-3</v>
      </c>
      <c r="G32" s="16"/>
    </row>
    <row r="33" spans="1:7" x14ac:dyDescent="0.25">
      <c r="A33" s="6">
        <v>37988</v>
      </c>
      <c r="B33" s="7">
        <f>'[1]Pages 240-41'!B34</f>
        <v>25.5</v>
      </c>
      <c r="C33" s="9">
        <f t="shared" si="0"/>
        <v>1.1771631730148311E-3</v>
      </c>
      <c r="D33" s="16"/>
      <c r="E33" s="7">
        <f>'[1]Pages 240-41'!C34</f>
        <v>37.31</v>
      </c>
      <c r="F33" s="9">
        <f t="shared" si="1"/>
        <v>-1.1459152707337649E-2</v>
      </c>
      <c r="G33" s="16"/>
    </row>
    <row r="34" spans="1:7" x14ac:dyDescent="0.25">
      <c r="A34" s="6">
        <v>38019</v>
      </c>
      <c r="B34" s="7">
        <f>'[1]Pages 240-41'!B35</f>
        <v>30.06</v>
      </c>
      <c r="C34" s="9">
        <f t="shared" si="0"/>
        <v>0.16451693216044788</v>
      </c>
      <c r="D34" s="16"/>
      <c r="E34" s="7">
        <f>'[1]Pages 240-41'!C35</f>
        <v>43.27</v>
      </c>
      <c r="F34" s="9">
        <f t="shared" si="1"/>
        <v>0.14819816700372693</v>
      </c>
      <c r="G34" s="16"/>
    </row>
    <row r="35" spans="1:7" x14ac:dyDescent="0.25">
      <c r="A35" s="6">
        <v>38047</v>
      </c>
      <c r="B35" s="7">
        <f>'[1]Pages 240-41'!B36</f>
        <v>33.869999999999997</v>
      </c>
      <c r="C35" s="9">
        <f t="shared" si="0"/>
        <v>0.11933428250485183</v>
      </c>
      <c r="D35" s="16"/>
      <c r="E35" s="7">
        <f>'[1]Pages 240-41'!C36</f>
        <v>44.34</v>
      </c>
      <c r="F35" s="9">
        <f t="shared" si="1"/>
        <v>2.4427649951372053E-2</v>
      </c>
      <c r="G35" s="16"/>
    </row>
    <row r="36" spans="1:7" x14ac:dyDescent="0.25">
      <c r="A36" s="6">
        <v>38078</v>
      </c>
      <c r="B36" s="7">
        <f>'[1]Pages 240-41'!B37</f>
        <v>33.1</v>
      </c>
      <c r="C36" s="9">
        <f t="shared" si="0"/>
        <v>-2.2996384446662962E-2</v>
      </c>
      <c r="D36" s="16"/>
      <c r="E36" s="7">
        <f>'[1]Pages 240-41'!C37</f>
        <v>42.69</v>
      </c>
      <c r="F36" s="9">
        <f t="shared" si="1"/>
        <v>-3.7922503418294888E-2</v>
      </c>
      <c r="G36" s="16"/>
    </row>
    <row r="37" spans="1:7" x14ac:dyDescent="0.25">
      <c r="A37" s="6">
        <v>38110</v>
      </c>
      <c r="B37" s="7">
        <f>'[1]Pages 240-41'!B38</f>
        <v>34.97</v>
      </c>
      <c r="C37" s="9">
        <f t="shared" si="0"/>
        <v>5.4957268692267136E-2</v>
      </c>
      <c r="D37" s="16"/>
      <c r="E37" s="7">
        <f>'[1]Pages 240-41'!C38</f>
        <v>44.08</v>
      </c>
      <c r="F37" s="9">
        <f t="shared" si="1"/>
        <v>3.2041464074788278E-2</v>
      </c>
      <c r="G37" s="16"/>
    </row>
    <row r="38" spans="1:7" x14ac:dyDescent="0.25">
      <c r="A38" s="6">
        <v>38139</v>
      </c>
      <c r="B38" s="7">
        <f>'[1]Pages 240-41'!B39</f>
        <v>36.909999999999997</v>
      </c>
      <c r="C38" s="9">
        <f t="shared" si="0"/>
        <v>5.399196596662259E-2</v>
      </c>
      <c r="D38" s="13"/>
      <c r="E38" s="7">
        <f>'[1]Pages 240-41'!C39</f>
        <v>41.88</v>
      </c>
      <c r="F38" s="9">
        <f t="shared" si="1"/>
        <v>-5.1197778842322808E-2</v>
      </c>
      <c r="G38" s="13"/>
    </row>
    <row r="39" spans="1:7" x14ac:dyDescent="0.25">
      <c r="A39" s="6">
        <v>38169</v>
      </c>
      <c r="B39" s="7">
        <f>'[1]Pages 240-41'!B40</f>
        <v>39.229999999999997</v>
      </c>
      <c r="C39" s="9">
        <f t="shared" si="0"/>
        <v>6.0959243179553993E-2</v>
      </c>
      <c r="D39" s="13"/>
      <c r="E39" s="7">
        <f>'[1]Pages 240-41'!C40</f>
        <v>42.99</v>
      </c>
      <c r="F39" s="9">
        <f t="shared" si="1"/>
        <v>2.6159144505854069E-2</v>
      </c>
      <c r="G39" s="13"/>
    </row>
    <row r="40" spans="1:7" x14ac:dyDescent="0.25">
      <c r="A40" s="6">
        <v>38201</v>
      </c>
      <c r="B40" s="7">
        <f>'[1]Pages 240-41'!B41</f>
        <v>37.58</v>
      </c>
      <c r="C40" s="9">
        <f t="shared" si="0"/>
        <v>-4.2969766236141883E-2</v>
      </c>
      <c r="D40" s="13"/>
      <c r="E40" s="7">
        <f>'[1]Pages 240-41'!C41</f>
        <v>44.04</v>
      </c>
      <c r="F40" s="9">
        <f t="shared" si="1"/>
        <v>2.4130781346289029E-2</v>
      </c>
      <c r="G40" s="13"/>
    </row>
    <row r="41" spans="1:7" x14ac:dyDescent="0.25">
      <c r="A41" s="6">
        <v>38231</v>
      </c>
      <c r="B41" s="7">
        <f>'[1]Pages 240-41'!B42</f>
        <v>34.6</v>
      </c>
      <c r="C41" s="9">
        <f t="shared" si="0"/>
        <v>-8.2618311921640597E-2</v>
      </c>
      <c r="E41" s="7">
        <f>'[1]Pages 240-41'!C42</f>
        <v>44.7</v>
      </c>
      <c r="F41" s="9">
        <f t="shared" si="1"/>
        <v>1.4875189765044098E-2</v>
      </c>
    </row>
    <row r="42" spans="1:7" x14ac:dyDescent="0.25">
      <c r="A42" s="6">
        <v>38261</v>
      </c>
      <c r="B42" s="7">
        <f>'[1]Pages 240-41'!B43</f>
        <v>34.04</v>
      </c>
      <c r="C42" s="9">
        <f t="shared" si="0"/>
        <v>-1.6317378358505292E-2</v>
      </c>
      <c r="E42" s="7">
        <f>'[1]Pages 240-41'!C43</f>
        <v>49.41</v>
      </c>
      <c r="F42" s="9">
        <f t="shared" si="1"/>
        <v>0.10017933123813529</v>
      </c>
    </row>
    <row r="43" spans="1:7" x14ac:dyDescent="0.25">
      <c r="A43" s="6">
        <v>38292</v>
      </c>
      <c r="B43" s="7">
        <f>'[1]Pages 240-41'!B44</f>
        <v>37.99</v>
      </c>
      <c r="C43" s="9">
        <f t="shared" si="0"/>
        <v>0.10978666349436092</v>
      </c>
      <c r="E43" s="7">
        <f>'[1]Pages 240-41'!C44</f>
        <v>50.68</v>
      </c>
      <c r="F43" s="9">
        <f t="shared" si="1"/>
        <v>2.5378522595279701E-2</v>
      </c>
    </row>
    <row r="44" spans="1:7" x14ac:dyDescent="0.25">
      <c r="A44" s="6">
        <v>38322</v>
      </c>
      <c r="B44" s="7">
        <f>'[1]Pages 240-41'!B45</f>
        <v>40.74</v>
      </c>
      <c r="C44" s="9">
        <f t="shared" si="0"/>
        <v>6.9887443599125451E-2</v>
      </c>
      <c r="E44" s="7">
        <f>'[1]Pages 240-41'!C45</f>
        <v>51.38</v>
      </c>
      <c r="F44" s="9">
        <f t="shared" si="1"/>
        <v>1.3717636228799344E-2</v>
      </c>
    </row>
    <row r="45" spans="1:7" x14ac:dyDescent="0.25">
      <c r="A45" s="6">
        <v>38355</v>
      </c>
      <c r="B45" s="7">
        <f>'[1]Pages 240-41'!B46</f>
        <v>42.17</v>
      </c>
      <c r="C45" s="9">
        <f t="shared" si="0"/>
        <v>3.4498656959808825E-2</v>
      </c>
      <c r="E45" s="7">
        <f>'[1]Pages 240-41'!C46</f>
        <v>50.23</v>
      </c>
      <c r="F45" s="9">
        <f t="shared" si="1"/>
        <v>-2.2636533919784308E-2</v>
      </c>
    </row>
    <row r="46" spans="1:7" x14ac:dyDescent="0.25">
      <c r="A46" s="6">
        <v>38384</v>
      </c>
      <c r="B46" s="7">
        <f>'[1]Pages 240-41'!B47</f>
        <v>43.92</v>
      </c>
      <c r="C46" s="9">
        <f t="shared" si="0"/>
        <v>4.0660729442806749E-2</v>
      </c>
      <c r="E46" s="7">
        <f>'[1]Pages 240-41'!C47</f>
        <v>50.36</v>
      </c>
      <c r="F46" s="9">
        <f t="shared" si="1"/>
        <v>2.5847514141931443E-3</v>
      </c>
    </row>
    <row r="47" spans="1:7" x14ac:dyDescent="0.25">
      <c r="A47" s="6">
        <v>38412</v>
      </c>
      <c r="B47" s="7">
        <f>'[1]Pages 240-41'!B48</f>
        <v>51.25</v>
      </c>
      <c r="C47" s="9">
        <f t="shared" si="0"/>
        <v>0.15434582081724227</v>
      </c>
      <c r="E47" s="7">
        <f>'[1]Pages 240-41'!C48</f>
        <v>49.57</v>
      </c>
      <c r="F47" s="9">
        <f t="shared" si="1"/>
        <v>-1.5811397143663853E-2</v>
      </c>
    </row>
    <row r="48" spans="1:7" x14ac:dyDescent="0.25">
      <c r="A48" s="6">
        <v>38443</v>
      </c>
      <c r="B48" s="7">
        <f>'[1]Pages 240-41'!B49</f>
        <v>46.92</v>
      </c>
      <c r="C48" s="9">
        <f t="shared" si="0"/>
        <v>-8.8271594233242809E-2</v>
      </c>
      <c r="E48" s="7">
        <f>'[1]Pages 240-41'!C49</f>
        <v>45.99</v>
      </c>
      <c r="F48" s="9">
        <f t="shared" si="1"/>
        <v>-7.4961830480650068E-2</v>
      </c>
    </row>
    <row r="49" spans="1:6" x14ac:dyDescent="0.25">
      <c r="A49" s="6">
        <v>38474</v>
      </c>
      <c r="B49" s="7">
        <f>'[1]Pages 240-41'!B50</f>
        <v>49.25</v>
      </c>
      <c r="C49" s="9">
        <f t="shared" si="0"/>
        <v>4.8465343832823096E-2</v>
      </c>
      <c r="E49" s="7">
        <f>'[1]Pages 240-41'!C50</f>
        <v>53.3</v>
      </c>
      <c r="F49" s="9">
        <f t="shared" si="1"/>
        <v>0.14751234961996626</v>
      </c>
    </row>
    <row r="50" spans="1:6" x14ac:dyDescent="0.25">
      <c r="A50" s="6">
        <v>38504</v>
      </c>
      <c r="B50" s="7">
        <f>'[1]Pages 240-41'!B51</f>
        <v>52.04</v>
      </c>
      <c r="C50" s="9">
        <f t="shared" si="0"/>
        <v>5.5103286026206656E-2</v>
      </c>
      <c r="E50" s="7">
        <f>'[1]Pages 240-41'!C51</f>
        <v>54</v>
      </c>
      <c r="F50" s="9">
        <f t="shared" si="1"/>
        <v>1.3047715392475675E-2</v>
      </c>
    </row>
    <row r="51" spans="1:6" x14ac:dyDescent="0.25">
      <c r="A51" s="6">
        <v>38534</v>
      </c>
      <c r="B51" s="7">
        <f>'[1]Pages 240-41'!B52</f>
        <v>55.69</v>
      </c>
      <c r="C51" s="9">
        <f t="shared" si="0"/>
        <v>6.7787943957272709E-2</v>
      </c>
      <c r="E51" s="7">
        <f>'[1]Pages 240-41'!C52</f>
        <v>58.31</v>
      </c>
      <c r="F51" s="9">
        <f t="shared" si="1"/>
        <v>7.6789558669790217E-2</v>
      </c>
    </row>
    <row r="52" spans="1:6" x14ac:dyDescent="0.25">
      <c r="A52" s="6">
        <v>38565</v>
      </c>
      <c r="B52" s="7">
        <f>'[1]Pages 240-41'!B53</f>
        <v>48.24</v>
      </c>
      <c r="C52" s="9">
        <f t="shared" si="0"/>
        <v>-0.14361204518264717</v>
      </c>
      <c r="E52" s="7">
        <f>'[1]Pages 240-41'!C53</f>
        <v>53.45</v>
      </c>
      <c r="F52" s="9">
        <f t="shared" si="1"/>
        <v>-8.7026967763010332E-2</v>
      </c>
    </row>
    <row r="53" spans="1:6" x14ac:dyDescent="0.25">
      <c r="A53" s="6">
        <v>38596</v>
      </c>
      <c r="B53" s="7">
        <f>'[1]Pages 240-41'!B54</f>
        <v>47.04</v>
      </c>
      <c r="C53" s="9">
        <f t="shared" si="0"/>
        <v>-2.5190248828558633E-2</v>
      </c>
      <c r="E53" s="7">
        <f>'[1]Pages 240-41'!C54</f>
        <v>51.64</v>
      </c>
      <c r="F53" s="9">
        <f t="shared" si="1"/>
        <v>-3.4450071492612498E-2</v>
      </c>
    </row>
    <row r="54" spans="1:6" x14ac:dyDescent="0.25">
      <c r="A54" s="6">
        <v>38628</v>
      </c>
      <c r="B54" s="7">
        <f>'[1]Pages 240-41'!B55</f>
        <v>50.93</v>
      </c>
      <c r="C54" s="9">
        <f t="shared" si="0"/>
        <v>7.9453837306141833E-2</v>
      </c>
      <c r="E54" s="7">
        <f>'[1]Pages 240-41'!C55</f>
        <v>55.37</v>
      </c>
      <c r="F54" s="9">
        <f t="shared" si="1"/>
        <v>6.9741364856433966E-2</v>
      </c>
    </row>
    <row r="55" spans="1:6" x14ac:dyDescent="0.25">
      <c r="A55" s="6">
        <v>38657</v>
      </c>
      <c r="B55" s="7">
        <f>'[1]Pages 240-41'!B56</f>
        <v>52.19</v>
      </c>
      <c r="C55" s="9">
        <f t="shared" si="0"/>
        <v>2.4438764758808677E-2</v>
      </c>
      <c r="E55" s="7">
        <f>'[1]Pages 240-41'!C56</f>
        <v>53.31</v>
      </c>
      <c r="F55" s="9">
        <f t="shared" si="1"/>
        <v>-3.7914000000206054E-2</v>
      </c>
    </row>
    <row r="56" spans="1:6" x14ac:dyDescent="0.25">
      <c r="A56" s="6">
        <v>38687</v>
      </c>
      <c r="B56" s="7">
        <f>'[1]Pages 240-41'!B57</f>
        <v>55.31</v>
      </c>
      <c r="C56" s="9">
        <f t="shared" si="0"/>
        <v>5.8062818351264943E-2</v>
      </c>
      <c r="E56" s="7">
        <f>'[1]Pages 240-41'!C57</f>
        <v>54.76</v>
      </c>
      <c r="F56" s="9">
        <f t="shared" si="1"/>
        <v>2.6836069585578326E-2</v>
      </c>
    </row>
    <row r="57" spans="1:6" x14ac:dyDescent="0.25">
      <c r="A57" s="6">
        <v>38720</v>
      </c>
      <c r="B57" s="7">
        <f>'[1]Pages 240-41'!B58</f>
        <v>55.63</v>
      </c>
      <c r="C57" s="9">
        <f t="shared" si="0"/>
        <v>5.7689000806151391E-3</v>
      </c>
      <c r="E57" s="7">
        <f>'[1]Pages 240-41'!C58</f>
        <v>54.54</v>
      </c>
      <c r="F57" s="9">
        <f t="shared" si="1"/>
        <v>-4.0256230028056436E-3</v>
      </c>
    </row>
    <row r="58" spans="1:6" x14ac:dyDescent="0.25">
      <c r="A58" s="6">
        <v>38749</v>
      </c>
      <c r="B58" s="7">
        <f>'[1]Pages 240-41'!B59</f>
        <v>58.46</v>
      </c>
      <c r="C58" s="9">
        <f t="shared" si="0"/>
        <v>4.9620135595898014E-2</v>
      </c>
      <c r="E58" s="7">
        <f>'[1]Pages 240-41'!C59</f>
        <v>54.29</v>
      </c>
      <c r="F58" s="9">
        <f t="shared" si="1"/>
        <v>-4.5943295000827229E-3</v>
      </c>
    </row>
    <row r="59" spans="1:6" x14ac:dyDescent="0.25">
      <c r="A59" s="6">
        <v>38777</v>
      </c>
      <c r="B59" s="7">
        <f>'[1]Pages 240-41'!B60</f>
        <v>60.23</v>
      </c>
      <c r="C59" s="9">
        <f t="shared" si="0"/>
        <v>2.9827807372529661E-2</v>
      </c>
      <c r="E59" s="7">
        <f>'[1]Pages 240-41'!C60</f>
        <v>51.9</v>
      </c>
      <c r="F59" s="9">
        <f t="shared" si="1"/>
        <v>-4.5021257745516831E-2</v>
      </c>
    </row>
    <row r="60" spans="1:6" x14ac:dyDescent="0.25">
      <c r="A60" s="6">
        <v>38810</v>
      </c>
      <c r="B60" s="7">
        <f>'[1]Pages 240-41'!B61</f>
        <v>65.459999999999994</v>
      </c>
      <c r="C60" s="9">
        <f t="shared" si="0"/>
        <v>8.3268702017404717E-2</v>
      </c>
      <c r="E60" s="7">
        <f>'[1]Pages 240-41'!C61</f>
        <v>52.99</v>
      </c>
      <c r="F60" s="9">
        <f t="shared" si="1"/>
        <v>2.0784426332827795E-2</v>
      </c>
    </row>
    <row r="61" spans="1:6" x14ac:dyDescent="0.25">
      <c r="A61" s="6">
        <v>38838</v>
      </c>
      <c r="B61" s="7">
        <f>'[1]Pages 240-41'!B62</f>
        <v>60.84</v>
      </c>
      <c r="C61" s="9">
        <f t="shared" si="0"/>
        <v>-7.319180168194224E-2</v>
      </c>
      <c r="E61" s="7">
        <f>'[1]Pages 240-41'!C62</f>
        <v>48.92</v>
      </c>
      <c r="F61" s="9">
        <f t="shared" si="1"/>
        <v>-7.9916905685699063E-2</v>
      </c>
    </row>
    <row r="62" spans="1:6" x14ac:dyDescent="0.25">
      <c r="A62" s="6">
        <v>38869</v>
      </c>
      <c r="B62" s="7">
        <f>'[1]Pages 240-41'!B63</f>
        <v>67.510000000000005</v>
      </c>
      <c r="C62" s="9">
        <f t="shared" si="0"/>
        <v>0.104028267662687</v>
      </c>
      <c r="E62" s="7">
        <f>'[1]Pages 240-41'!C63</f>
        <v>48.87</v>
      </c>
      <c r="F62" s="9">
        <f t="shared" si="1"/>
        <v>-1.0225995369082333E-3</v>
      </c>
    </row>
    <row r="63" spans="1:6" x14ac:dyDescent="0.25">
      <c r="A63" s="6">
        <v>38901</v>
      </c>
      <c r="B63" s="7">
        <f>'[1]Pages 240-41'!B64</f>
        <v>67.650000000000006</v>
      </c>
      <c r="C63" s="9">
        <f t="shared" si="0"/>
        <v>2.0716195630178448E-3</v>
      </c>
      <c r="E63" s="7">
        <f>'[1]Pages 240-41'!C64</f>
        <v>49.17</v>
      </c>
      <c r="F63" s="9">
        <f t="shared" si="1"/>
        <v>6.1199701417845396E-3</v>
      </c>
    </row>
    <row r="64" spans="1:6" x14ac:dyDescent="0.25">
      <c r="C64" s="9"/>
    </row>
    <row r="65" spans="1:7" x14ac:dyDescent="0.25">
      <c r="A65" s="17" t="s">
        <v>5</v>
      </c>
      <c r="C65" s="18">
        <f>AVERAGE(C4:C63)</f>
        <v>1.5892702111189778E-2</v>
      </c>
      <c r="F65" s="18">
        <f>AVERAGE(F4:F63)</f>
        <v>4.5602162833893595E-3</v>
      </c>
      <c r="G65" s="5" t="str">
        <f ca="1">[2]!getformula(F65)</f>
        <v>&lt;--  =AVERAGE(F4:F63)</v>
      </c>
    </row>
    <row r="66" spans="1:7" x14ac:dyDescent="0.25">
      <c r="A66" s="17" t="s">
        <v>6</v>
      </c>
      <c r="C66" s="18">
        <f>VARP(C4:C63)</f>
        <v>9.2819257511091227E-3</v>
      </c>
      <c r="F66" s="18">
        <f>VARP(F4:F63)</f>
        <v>5.165439976044758E-3</v>
      </c>
      <c r="G66" s="5" t="str">
        <f ca="1">[2]!getformula(F66)</f>
        <v>&lt;--  =VARP(F4:F63)</v>
      </c>
    </row>
    <row r="67" spans="1:7" ht="27.6" x14ac:dyDescent="0.25">
      <c r="A67" s="19" t="s">
        <v>7</v>
      </c>
      <c r="C67" s="18">
        <f>STDEVP(C4:C63)</f>
        <v>9.6342751419653372E-2</v>
      </c>
      <c r="F67" s="18">
        <f>STDEVP(F4:F63)</f>
        <v>7.1870995373966809E-2</v>
      </c>
      <c r="G67" s="5" t="str">
        <f ca="1">[2]!getformula(F67)</f>
        <v>&lt;--  =STDEVP(F4:F63)</v>
      </c>
    </row>
    <row r="69" spans="1:7" x14ac:dyDescent="0.25">
      <c r="A69" s="17" t="s">
        <v>8</v>
      </c>
      <c r="C69" s="18">
        <f>12*C65</f>
        <v>0.19071242533427735</v>
      </c>
      <c r="F69" s="18">
        <f>12*F65</f>
        <v>5.4722595400672314E-2</v>
      </c>
      <c r="G69" s="5" t="str">
        <f ca="1">[2]!getformula(F69)</f>
        <v>&lt;--  =12*F65</v>
      </c>
    </row>
    <row r="70" spans="1:7" x14ac:dyDescent="0.25">
      <c r="A70" s="17" t="s">
        <v>9</v>
      </c>
      <c r="C70" s="18">
        <f>12*C66</f>
        <v>0.11138310901330947</v>
      </c>
      <c r="F70" s="18">
        <f>12*F66</f>
        <v>6.1985279712537096E-2</v>
      </c>
      <c r="G70" s="5" t="str">
        <f ca="1">[2]!getformula(F70)</f>
        <v>&lt;--  =12*F66</v>
      </c>
    </row>
    <row r="71" spans="1:7" ht="27.6" x14ac:dyDescent="0.25">
      <c r="A71" s="19" t="s">
        <v>10</v>
      </c>
      <c r="C71" s="18">
        <f>SQRT(12)*C67</f>
        <v>0.33374108079963644</v>
      </c>
      <c r="F71" s="18">
        <f>SQRT(12)*F67</f>
        <v>0.24896843115651648</v>
      </c>
      <c r="G71" s="5" t="str">
        <f ca="1">[2]!getformula(F71)</f>
        <v>&lt;--  =SQRT(12)*F67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2024-10-28T07:28:42Z</dcterms:modified>
</cp:coreProperties>
</file>