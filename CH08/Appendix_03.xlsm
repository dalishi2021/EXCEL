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D7F397BB-69D6-4C31-B03E-C5F1D2294C6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3" i="1" l="1"/>
  <c r="H63" i="1" s="1"/>
  <c r="B63" i="1"/>
  <c r="D63" i="1" s="1"/>
  <c r="F62" i="1"/>
  <c r="H62" i="1" s="1"/>
  <c r="B62" i="1"/>
  <c r="D62" i="1" s="1"/>
  <c r="F61" i="1"/>
  <c r="B61" i="1"/>
  <c r="D61" i="1" s="1"/>
  <c r="F60" i="1"/>
  <c r="G61" i="1" s="1"/>
  <c r="D60" i="1"/>
  <c r="B60" i="1"/>
  <c r="C60" i="1" s="1"/>
  <c r="F59" i="1"/>
  <c r="H59" i="1" s="1"/>
  <c r="B59" i="1"/>
  <c r="D59" i="1" s="1"/>
  <c r="F58" i="1"/>
  <c r="H58" i="1" s="1"/>
  <c r="B58" i="1"/>
  <c r="C58" i="1" s="1"/>
  <c r="H57" i="1"/>
  <c r="G57" i="1"/>
  <c r="F57" i="1"/>
  <c r="B57" i="1"/>
  <c r="F56" i="1"/>
  <c r="G56" i="1" s="1"/>
  <c r="B56" i="1"/>
  <c r="D57" i="1" s="1"/>
  <c r="F55" i="1"/>
  <c r="H55" i="1" s="1"/>
  <c r="B55" i="1"/>
  <c r="D56" i="1" s="1"/>
  <c r="F54" i="1"/>
  <c r="H54" i="1" s="1"/>
  <c r="B54" i="1"/>
  <c r="D54" i="1" s="1"/>
  <c r="F53" i="1"/>
  <c r="B53" i="1"/>
  <c r="D53" i="1" s="1"/>
  <c r="F52" i="1"/>
  <c r="H53" i="1" s="1"/>
  <c r="D52" i="1"/>
  <c r="B52" i="1"/>
  <c r="C52" i="1" s="1"/>
  <c r="F51" i="1"/>
  <c r="H51" i="1" s="1"/>
  <c r="B51" i="1"/>
  <c r="C51" i="1" s="1"/>
  <c r="F50" i="1"/>
  <c r="H50" i="1" s="1"/>
  <c r="B50" i="1"/>
  <c r="C50" i="1" s="1"/>
  <c r="H49" i="1"/>
  <c r="G49" i="1"/>
  <c r="F49" i="1"/>
  <c r="B49" i="1"/>
  <c r="C49" i="1" s="1"/>
  <c r="F48" i="1"/>
  <c r="G48" i="1" s="1"/>
  <c r="B48" i="1"/>
  <c r="D49" i="1" s="1"/>
  <c r="F47" i="1"/>
  <c r="H47" i="1" s="1"/>
  <c r="B47" i="1"/>
  <c r="D48" i="1" s="1"/>
  <c r="F46" i="1"/>
  <c r="H46" i="1" s="1"/>
  <c r="B46" i="1"/>
  <c r="D46" i="1" s="1"/>
  <c r="F45" i="1"/>
  <c r="G46" i="1" s="1"/>
  <c r="B45" i="1"/>
  <c r="D45" i="1" s="1"/>
  <c r="F44" i="1"/>
  <c r="H45" i="1" s="1"/>
  <c r="D44" i="1"/>
  <c r="B44" i="1"/>
  <c r="C44" i="1" s="1"/>
  <c r="F43" i="1"/>
  <c r="H43" i="1" s="1"/>
  <c r="B43" i="1"/>
  <c r="D43" i="1" s="1"/>
  <c r="F42" i="1"/>
  <c r="H42" i="1" s="1"/>
  <c r="B42" i="1"/>
  <c r="C42" i="1" s="1"/>
  <c r="H41" i="1"/>
  <c r="G41" i="1"/>
  <c r="F41" i="1"/>
  <c r="B41" i="1"/>
  <c r="C41" i="1" s="1"/>
  <c r="F40" i="1"/>
  <c r="G40" i="1" s="1"/>
  <c r="B40" i="1"/>
  <c r="D41" i="1" s="1"/>
  <c r="F39" i="1"/>
  <c r="H39" i="1" s="1"/>
  <c r="B39" i="1"/>
  <c r="D40" i="1" s="1"/>
  <c r="F38" i="1"/>
  <c r="B38" i="1"/>
  <c r="D38" i="1" s="1"/>
  <c r="F37" i="1"/>
  <c r="H38" i="1" s="1"/>
  <c r="B37" i="1"/>
  <c r="D37" i="1" s="1"/>
  <c r="F36" i="1"/>
  <c r="H37" i="1" s="1"/>
  <c r="D36" i="1"/>
  <c r="B36" i="1"/>
  <c r="C36" i="1" s="1"/>
  <c r="F35" i="1"/>
  <c r="H35" i="1" s="1"/>
  <c r="B35" i="1"/>
  <c r="D35" i="1" s="1"/>
  <c r="F34" i="1"/>
  <c r="H34" i="1" s="1"/>
  <c r="B34" i="1"/>
  <c r="C34" i="1" s="1"/>
  <c r="H33" i="1"/>
  <c r="G33" i="1"/>
  <c r="F33" i="1"/>
  <c r="B33" i="1"/>
  <c r="C33" i="1" s="1"/>
  <c r="F32" i="1"/>
  <c r="G32" i="1" s="1"/>
  <c r="B32" i="1"/>
  <c r="D33" i="1" s="1"/>
  <c r="F31" i="1"/>
  <c r="H31" i="1" s="1"/>
  <c r="B31" i="1"/>
  <c r="D32" i="1" s="1"/>
  <c r="F30" i="1"/>
  <c r="B30" i="1"/>
  <c r="D30" i="1" s="1"/>
  <c r="F29" i="1"/>
  <c r="H30" i="1" s="1"/>
  <c r="B29" i="1"/>
  <c r="D29" i="1" s="1"/>
  <c r="F28" i="1"/>
  <c r="H29" i="1" s="1"/>
  <c r="D28" i="1"/>
  <c r="B28" i="1"/>
  <c r="C28" i="1" s="1"/>
  <c r="F27" i="1"/>
  <c r="H27" i="1" s="1"/>
  <c r="B27" i="1"/>
  <c r="D27" i="1" s="1"/>
  <c r="F26" i="1"/>
  <c r="H26" i="1" s="1"/>
  <c r="B26" i="1"/>
  <c r="C26" i="1" s="1"/>
  <c r="H25" i="1"/>
  <c r="G25" i="1"/>
  <c r="F25" i="1"/>
  <c r="D25" i="1"/>
  <c r="B25" i="1"/>
  <c r="C25" i="1" s="1"/>
  <c r="F24" i="1"/>
  <c r="G24" i="1" s="1"/>
  <c r="B24" i="1"/>
  <c r="F23" i="1"/>
  <c r="H23" i="1" s="1"/>
  <c r="B23" i="1"/>
  <c r="D24" i="1" s="1"/>
  <c r="G22" i="1"/>
  <c r="F22" i="1"/>
  <c r="B22" i="1"/>
  <c r="D22" i="1" s="1"/>
  <c r="F21" i="1"/>
  <c r="H22" i="1" s="1"/>
  <c r="B21" i="1"/>
  <c r="D21" i="1" s="1"/>
  <c r="F20" i="1"/>
  <c r="H21" i="1" s="1"/>
  <c r="D20" i="1"/>
  <c r="B20" i="1"/>
  <c r="C20" i="1" s="1"/>
  <c r="F19" i="1"/>
  <c r="H19" i="1" s="1"/>
  <c r="B19" i="1"/>
  <c r="D19" i="1" s="1"/>
  <c r="F18" i="1"/>
  <c r="H18" i="1" s="1"/>
  <c r="B18" i="1"/>
  <c r="C18" i="1" s="1"/>
  <c r="H17" i="1"/>
  <c r="G17" i="1"/>
  <c r="F17" i="1"/>
  <c r="D17" i="1"/>
  <c r="B17" i="1"/>
  <c r="C17" i="1" s="1"/>
  <c r="F16" i="1"/>
  <c r="G16" i="1" s="1"/>
  <c r="B16" i="1"/>
  <c r="F15" i="1"/>
  <c r="H15" i="1" s="1"/>
  <c r="B15" i="1"/>
  <c r="D16" i="1" s="1"/>
  <c r="G14" i="1"/>
  <c r="F14" i="1"/>
  <c r="B14" i="1"/>
  <c r="D14" i="1" s="1"/>
  <c r="F13" i="1"/>
  <c r="H14" i="1" s="1"/>
  <c r="B13" i="1"/>
  <c r="D13" i="1" s="1"/>
  <c r="F12" i="1"/>
  <c r="G13" i="1" s="1"/>
  <c r="D12" i="1"/>
  <c r="B12" i="1"/>
  <c r="C12" i="1" s="1"/>
  <c r="F11" i="1"/>
  <c r="H11" i="1" s="1"/>
  <c r="B11" i="1"/>
  <c r="D11" i="1" s="1"/>
  <c r="F10" i="1"/>
  <c r="H10" i="1" s="1"/>
  <c r="B10" i="1"/>
  <c r="D10" i="1" s="1"/>
  <c r="H9" i="1"/>
  <c r="G9" i="1"/>
  <c r="F9" i="1"/>
  <c r="D9" i="1"/>
  <c r="B9" i="1"/>
  <c r="C9" i="1" s="1"/>
  <c r="F8" i="1"/>
  <c r="G8" i="1" s="1"/>
  <c r="B8" i="1"/>
  <c r="F7" i="1"/>
  <c r="H7" i="1" s="1"/>
  <c r="B7" i="1"/>
  <c r="D8" i="1" s="1"/>
  <c r="H6" i="1"/>
  <c r="F6" i="1"/>
  <c r="G6" i="1" s="1"/>
  <c r="B6" i="1"/>
  <c r="C6" i="1" s="1"/>
  <c r="H5" i="1"/>
  <c r="F5" i="1"/>
  <c r="B5" i="1"/>
  <c r="D5" i="1" s="1"/>
  <c r="H4" i="1"/>
  <c r="G4" i="1"/>
  <c r="F4" i="1"/>
  <c r="G5" i="1" s="1"/>
  <c r="B4" i="1"/>
  <c r="C4" i="1" s="1"/>
  <c r="F3" i="1"/>
  <c r="B3" i="1"/>
  <c r="D4" i="1" s="1"/>
  <c r="I6" i="1"/>
  <c r="I66" i="1"/>
  <c r="I65" i="1"/>
  <c r="I4" i="1"/>
  <c r="C7" i="1" l="1"/>
  <c r="C39" i="1"/>
  <c r="C63" i="1"/>
  <c r="C10" i="1"/>
  <c r="H60" i="1"/>
  <c r="C5" i="1"/>
  <c r="C65" i="1" s="1"/>
  <c r="G7" i="1"/>
  <c r="G65" i="1" s="1"/>
  <c r="G15" i="1"/>
  <c r="D18" i="1"/>
  <c r="G23" i="1"/>
  <c r="D26" i="1"/>
  <c r="G31" i="1"/>
  <c r="D34" i="1"/>
  <c r="G39" i="1"/>
  <c r="D42" i="1"/>
  <c r="G47" i="1"/>
  <c r="D50" i="1"/>
  <c r="G55" i="1"/>
  <c r="D58" i="1"/>
  <c r="G63" i="1"/>
  <c r="C23" i="1"/>
  <c r="C31" i="1"/>
  <c r="C55" i="1"/>
  <c r="D7" i="1"/>
  <c r="D15" i="1"/>
  <c r="D23" i="1"/>
  <c r="D31" i="1"/>
  <c r="D39" i="1"/>
  <c r="D47" i="1"/>
  <c r="D55" i="1"/>
  <c r="H12" i="1"/>
  <c r="C13" i="1"/>
  <c r="C21" i="1"/>
  <c r="C29" i="1"/>
  <c r="C37" i="1"/>
  <c r="C45" i="1"/>
  <c r="C53" i="1"/>
  <c r="C61" i="1"/>
  <c r="C47" i="1"/>
  <c r="H36" i="1"/>
  <c r="H44" i="1"/>
  <c r="H52" i="1"/>
  <c r="G10" i="1"/>
  <c r="G18" i="1"/>
  <c r="G26" i="1"/>
  <c r="G34" i="1"/>
  <c r="G42" i="1"/>
  <c r="G50" i="1"/>
  <c r="G58" i="1"/>
  <c r="C15" i="1"/>
  <c r="G12" i="1"/>
  <c r="G20" i="1"/>
  <c r="G28" i="1"/>
  <c r="G36" i="1"/>
  <c r="G44" i="1"/>
  <c r="G52" i="1"/>
  <c r="G60" i="1"/>
  <c r="H20" i="1"/>
  <c r="G66" i="1" s="1"/>
  <c r="H28" i="1"/>
  <c r="C8" i="1"/>
  <c r="C16" i="1"/>
  <c r="C24" i="1"/>
  <c r="C32" i="1"/>
  <c r="C40" i="1"/>
  <c r="C48" i="1"/>
  <c r="C56" i="1"/>
  <c r="G21" i="1"/>
  <c r="G29" i="1"/>
  <c r="G37" i="1"/>
  <c r="G45" i="1"/>
  <c r="G53" i="1"/>
  <c r="C11" i="1"/>
  <c r="H13" i="1"/>
  <c r="H65" i="1" s="1"/>
  <c r="C19" i="1"/>
  <c r="C27" i="1"/>
  <c r="C35" i="1"/>
  <c r="H61" i="1"/>
  <c r="C43" i="1"/>
  <c r="D6" i="1"/>
  <c r="D66" i="1" s="1"/>
  <c r="H8" i="1"/>
  <c r="H66" i="1" s="1"/>
  <c r="C14" i="1"/>
  <c r="H16" i="1"/>
  <c r="C22" i="1"/>
  <c r="H24" i="1"/>
  <c r="C30" i="1"/>
  <c r="H32" i="1"/>
  <c r="C38" i="1"/>
  <c r="H40" i="1"/>
  <c r="C46" i="1"/>
  <c r="H48" i="1"/>
  <c r="C54" i="1"/>
  <c r="H56" i="1"/>
  <c r="C62" i="1"/>
  <c r="D51" i="1"/>
  <c r="G11" i="1"/>
  <c r="G19" i="1"/>
  <c r="G27" i="1"/>
  <c r="G35" i="1"/>
  <c r="G43" i="1"/>
  <c r="G51" i="1"/>
  <c r="G59" i="1"/>
  <c r="C59" i="1"/>
  <c r="C57" i="1"/>
  <c r="G30" i="1"/>
  <c r="G38" i="1"/>
  <c r="G54" i="1"/>
  <c r="G62" i="1"/>
  <c r="D65" i="1" l="1"/>
  <c r="C66" i="1"/>
</calcChain>
</file>

<file path=xl/sharedStrings.xml><?xml version="1.0" encoding="utf-8"?>
<sst xmlns="http://schemas.openxmlformats.org/spreadsheetml/2006/main" count="10" uniqueCount="8">
  <si>
    <t>COMPARING CONTINUOUS RETURNS TO DISCRETE RETURNS</t>
  </si>
  <si>
    <t>Date</t>
  </si>
  <si>
    <t>WMT
price</t>
  </si>
  <si>
    <t>Continuous return</t>
  </si>
  <si>
    <t>Discrete return</t>
  </si>
  <si>
    <t>TGT
price</t>
  </si>
  <si>
    <t>Monthly average</t>
  </si>
  <si>
    <t>Monthly standard 
  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</si>
</sst>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2" fontId="0" fillId="0" borderId="0" xfId="0" applyNumberFormat="1" applyAlignment="1"/>
    <xf numFmtId="176" fontId="2" fillId="0" borderId="0" xfId="1" applyNumberFormat="1" applyAlignment="1">
      <alignment horizontal="right"/>
    </xf>
    <xf numFmtId="176" fontId="0" fillId="0" borderId="0" xfId="0" applyNumberFormat="1" applyAlignment="1">
      <alignment horizontal="right"/>
    </xf>
    <xf numFmtId="10" fontId="2" fillId="0" borderId="0" xfId="1" applyNumberFormat="1" applyAlignment="1"/>
    <xf numFmtId="10" fontId="2" fillId="0" borderId="0" xfId="1" applyNumberFormat="1" applyAlignment="1">
      <alignment horizontal="right"/>
    </xf>
    <xf numFmtId="176" fontId="0" fillId="0" borderId="0" xfId="0" applyNumberFormat="1" applyAlignment="1">
      <alignment horizontal="left"/>
    </xf>
    <xf numFmtId="176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 vertical="center" wrapText="1"/>
    </xf>
    <xf numFmtId="0" fontId="5" fillId="0" borderId="0" xfId="0" applyFont="1" applyAlignment="1"/>
    <xf numFmtId="0" fontId="6" fillId="0" borderId="0" xfId="0" applyFont="1" applyAlignment="1"/>
    <xf numFmtId="0" fontId="5" fillId="0" borderId="0" xfId="0" applyFont="1" applyAlignment="1">
      <alignment horizontal="center"/>
    </xf>
    <xf numFmtId="10" fontId="0" fillId="0" borderId="0" xfId="0" applyNumberFormat="1" applyAlignment="1"/>
    <xf numFmtId="0" fontId="0" fillId="3" borderId="0" xfId="0" applyFill="1" applyAlignment="1"/>
    <xf numFmtId="10" fontId="2" fillId="3" borderId="0" xfId="1" applyNumberFormat="1" applyFill="1" applyAlignment="1"/>
    <xf numFmtId="0" fontId="0" fillId="3" borderId="0" xfId="0" applyFill="1" applyAlignment="1">
      <alignment horizontal="left" vertical="center" wrapText="1"/>
    </xf>
    <xf numFmtId="14" fontId="0" fillId="0" borderId="0" xfId="0" applyNumberFormat="1" applyAlignment="1">
      <alignment horizontal="center"/>
    </xf>
    <xf numFmtId="10" fontId="2" fillId="4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3</xdr:row>
      <xdr:rowOff>83820</xdr:rowOff>
    </xdr:from>
    <xdr:to>
      <xdr:col>8</xdr:col>
      <xdr:colOff>0</xdr:colOff>
      <xdr:row>5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EF8E1B8-32D7-4ADC-8500-AC9F48F9320B}"/>
            </a:ext>
          </a:extLst>
        </xdr:cNvPr>
        <xdr:cNvSpPr>
          <a:spLocks noChangeShapeType="1"/>
        </xdr:cNvSpPr>
      </xdr:nvSpPr>
      <xdr:spPr bwMode="auto">
        <a:xfrm flipH="1" flipV="1">
          <a:off x="5267325" y="809625"/>
          <a:ext cx="66675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533400</xdr:colOff>
      <xdr:row>4</xdr:row>
      <xdr:rowOff>66675</xdr:rowOff>
    </xdr:from>
    <xdr:to>
      <xdr:col>23</xdr:col>
      <xdr:colOff>91440</xdr:colOff>
      <xdr:row>33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0279DBF-2EA5-248B-F37A-EE30BCEE4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010525" y="962025"/>
          <a:ext cx="8096250" cy="4914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>
        <row r="4">
          <cell r="B4">
            <v>26.07</v>
          </cell>
          <cell r="C4">
            <v>37.4</v>
          </cell>
        </row>
        <row r="5">
          <cell r="B5">
            <v>22</v>
          </cell>
          <cell r="C5">
            <v>33.53</v>
          </cell>
        </row>
        <row r="6">
          <cell r="B6">
            <v>20.07</v>
          </cell>
          <cell r="C6">
            <v>30.73</v>
          </cell>
        </row>
        <row r="7">
          <cell r="B7">
            <v>20.02</v>
          </cell>
          <cell r="C7">
            <v>30.15</v>
          </cell>
        </row>
        <row r="8">
          <cell r="B8">
            <v>23.35</v>
          </cell>
          <cell r="C8">
            <v>36.380000000000003</v>
          </cell>
        </row>
        <row r="9">
          <cell r="B9">
            <v>24.79</v>
          </cell>
          <cell r="C9">
            <v>39.79</v>
          </cell>
        </row>
        <row r="10">
          <cell r="B10">
            <v>23.03</v>
          </cell>
          <cell r="C10">
            <v>43.04</v>
          </cell>
        </row>
        <row r="11">
          <cell r="B11">
            <v>18.09</v>
          </cell>
          <cell r="C11">
            <v>40.659999999999997</v>
          </cell>
        </row>
        <row r="12">
          <cell r="B12">
            <v>19.170000000000002</v>
          </cell>
          <cell r="C12">
            <v>41.85</v>
          </cell>
        </row>
        <row r="13">
          <cell r="B13">
            <v>20.25</v>
          </cell>
          <cell r="C13">
            <v>42.36</v>
          </cell>
        </row>
        <row r="14">
          <cell r="B14">
            <v>22.79</v>
          </cell>
          <cell r="C14">
            <v>40.29</v>
          </cell>
        </row>
        <row r="15">
          <cell r="B15">
            <v>20.52</v>
          </cell>
          <cell r="C15">
            <v>37.03</v>
          </cell>
        </row>
        <row r="16">
          <cell r="B16">
            <v>16.5</v>
          </cell>
          <cell r="C16">
            <v>32.409999999999997</v>
          </cell>
        </row>
        <row r="17">
          <cell r="B17">
            <v>16.27</v>
          </cell>
          <cell r="C17">
            <v>33.299999999999997</v>
          </cell>
        </row>
        <row r="18">
          <cell r="B18">
            <v>14.92</v>
          </cell>
          <cell r="C18">
            <v>28.74</v>
          </cell>
        </row>
        <row r="19">
          <cell r="B19">
            <v>18.010000000000002</v>
          </cell>
          <cell r="C19">
            <v>29.32</v>
          </cell>
        </row>
        <row r="20">
          <cell r="B20">
            <v>22.43</v>
          </cell>
          <cell r="C20">
            <v>33.92</v>
          </cell>
        </row>
        <row r="21">
          <cell r="B21">
            <v>21.75</v>
          </cell>
          <cell r="C21">
            <v>29.26</v>
          </cell>
        </row>
        <row r="22">
          <cell r="B22">
            <v>18.43</v>
          </cell>
          <cell r="C22">
            <v>27.51</v>
          </cell>
        </row>
        <row r="23">
          <cell r="B23">
            <v>18.87</v>
          </cell>
          <cell r="C23">
            <v>28</v>
          </cell>
        </row>
        <row r="24">
          <cell r="B24">
            <v>18.670000000000002</v>
          </cell>
          <cell r="C24">
            <v>28.6</v>
          </cell>
        </row>
        <row r="25">
          <cell r="B25">
            <v>16.32</v>
          </cell>
          <cell r="C25">
            <v>32.69</v>
          </cell>
        </row>
        <row r="26">
          <cell r="B26">
            <v>16.57</v>
          </cell>
          <cell r="C26">
            <v>35.869999999999997</v>
          </cell>
        </row>
        <row r="27">
          <cell r="B27">
            <v>16.12</v>
          </cell>
          <cell r="C27">
            <v>37.049999999999997</v>
          </cell>
        </row>
        <row r="28">
          <cell r="B28">
            <v>17.91</v>
          </cell>
          <cell r="C28">
            <v>37.520000000000003</v>
          </cell>
        </row>
        <row r="29">
          <cell r="B29">
            <v>20.45</v>
          </cell>
          <cell r="C29">
            <v>39.83</v>
          </cell>
        </row>
        <row r="30">
          <cell r="B30">
            <v>20.6</v>
          </cell>
          <cell r="C30">
            <v>36.909999999999997</v>
          </cell>
        </row>
        <row r="31">
          <cell r="B31">
            <v>22.92</v>
          </cell>
          <cell r="C31">
            <v>38.979999999999997</v>
          </cell>
        </row>
        <row r="32">
          <cell r="B32">
            <v>24.12</v>
          </cell>
          <cell r="C32">
            <v>38.049999999999997</v>
          </cell>
        </row>
        <row r="33">
          <cell r="B33">
            <v>25.47</v>
          </cell>
          <cell r="C33">
            <v>37.74</v>
          </cell>
        </row>
        <row r="34">
          <cell r="B34">
            <v>25.5</v>
          </cell>
          <cell r="C34">
            <v>37.31</v>
          </cell>
        </row>
        <row r="35">
          <cell r="B35">
            <v>30.06</v>
          </cell>
          <cell r="C35">
            <v>43.27</v>
          </cell>
        </row>
        <row r="36">
          <cell r="B36">
            <v>33.869999999999997</v>
          </cell>
          <cell r="C36">
            <v>44.34</v>
          </cell>
        </row>
        <row r="37">
          <cell r="B37">
            <v>33.1</v>
          </cell>
          <cell r="C37">
            <v>42.69</v>
          </cell>
        </row>
        <row r="38">
          <cell r="B38">
            <v>34.97</v>
          </cell>
          <cell r="C38">
            <v>44.08</v>
          </cell>
        </row>
        <row r="39">
          <cell r="B39">
            <v>36.909999999999997</v>
          </cell>
          <cell r="C39">
            <v>41.88</v>
          </cell>
        </row>
        <row r="40">
          <cell r="B40">
            <v>39.229999999999997</v>
          </cell>
          <cell r="C40">
            <v>42.99</v>
          </cell>
        </row>
        <row r="41">
          <cell r="B41">
            <v>37.58</v>
          </cell>
          <cell r="C41">
            <v>44.04</v>
          </cell>
        </row>
        <row r="42">
          <cell r="B42">
            <v>34.6</v>
          </cell>
          <cell r="C42">
            <v>44.7</v>
          </cell>
        </row>
        <row r="43">
          <cell r="B43">
            <v>34.04</v>
          </cell>
          <cell r="C43">
            <v>49.41</v>
          </cell>
        </row>
        <row r="44">
          <cell r="B44">
            <v>37.99</v>
          </cell>
          <cell r="C44">
            <v>50.68</v>
          </cell>
        </row>
        <row r="45">
          <cell r="B45">
            <v>40.74</v>
          </cell>
          <cell r="C45">
            <v>51.38</v>
          </cell>
        </row>
        <row r="46">
          <cell r="B46">
            <v>42.17</v>
          </cell>
          <cell r="C46">
            <v>50.23</v>
          </cell>
        </row>
        <row r="47">
          <cell r="B47">
            <v>43.92</v>
          </cell>
          <cell r="C47">
            <v>50.36</v>
          </cell>
        </row>
        <row r="48">
          <cell r="B48">
            <v>51.25</v>
          </cell>
          <cell r="C48">
            <v>49.57</v>
          </cell>
        </row>
        <row r="49">
          <cell r="B49">
            <v>46.92</v>
          </cell>
          <cell r="C49">
            <v>45.99</v>
          </cell>
        </row>
        <row r="50">
          <cell r="B50">
            <v>49.25</v>
          </cell>
          <cell r="C50">
            <v>53.3</v>
          </cell>
        </row>
        <row r="51">
          <cell r="B51">
            <v>52.04</v>
          </cell>
          <cell r="C51">
            <v>54</v>
          </cell>
        </row>
        <row r="52">
          <cell r="B52">
            <v>55.69</v>
          </cell>
          <cell r="C52">
            <v>58.31</v>
          </cell>
        </row>
        <row r="53">
          <cell r="B53">
            <v>48.24</v>
          </cell>
          <cell r="C53">
            <v>53.45</v>
          </cell>
        </row>
        <row r="54">
          <cell r="B54">
            <v>47.04</v>
          </cell>
          <cell r="C54">
            <v>51.64</v>
          </cell>
        </row>
        <row r="55">
          <cell r="B55">
            <v>50.93</v>
          </cell>
          <cell r="C55">
            <v>55.37</v>
          </cell>
        </row>
        <row r="56">
          <cell r="B56">
            <v>52.19</v>
          </cell>
          <cell r="C56">
            <v>53.31</v>
          </cell>
        </row>
        <row r="57">
          <cell r="B57">
            <v>55.31</v>
          </cell>
          <cell r="C57">
            <v>54.76</v>
          </cell>
        </row>
        <row r="58">
          <cell r="B58">
            <v>55.63</v>
          </cell>
          <cell r="C58">
            <v>54.54</v>
          </cell>
        </row>
        <row r="59">
          <cell r="B59">
            <v>58.46</v>
          </cell>
          <cell r="C59">
            <v>54.29</v>
          </cell>
        </row>
        <row r="60">
          <cell r="B60">
            <v>60.23</v>
          </cell>
          <cell r="C60">
            <v>51.9</v>
          </cell>
        </row>
        <row r="61">
          <cell r="B61">
            <v>65.459999999999994</v>
          </cell>
          <cell r="C61">
            <v>52.99</v>
          </cell>
        </row>
        <row r="62">
          <cell r="B62">
            <v>60.84</v>
          </cell>
          <cell r="C62">
            <v>48.92</v>
          </cell>
        </row>
        <row r="63">
          <cell r="B63">
            <v>67.510000000000005</v>
          </cell>
          <cell r="C63">
            <v>48.87</v>
          </cell>
        </row>
        <row r="64">
          <cell r="B64">
            <v>67.650000000000006</v>
          </cell>
          <cell r="C64">
            <v>49.17</v>
          </cell>
        </row>
      </sheetData>
      <sheetData sheetId="1"/>
      <sheetData sheetId="2"/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66"/>
  <sheetViews>
    <sheetView tabSelected="1" zoomScale="160" zoomScaleNormal="160" workbookViewId="0">
      <selection activeCell="I16" sqref="I16"/>
    </sheetView>
  </sheetViews>
  <sheetFormatPr defaultRowHeight="13.8" x14ac:dyDescent="0.25"/>
  <cols>
    <col min="1" max="1" width="16.5546875" style="5" customWidth="1"/>
    <col min="2" max="2" width="9.5546875" style="5" customWidth="1"/>
    <col min="3" max="3" width="12.33203125" style="5" customWidth="1"/>
    <col min="4" max="4" width="10.5546875" style="5" customWidth="1"/>
    <col min="5" max="5" width="5.33203125" style="5" customWidth="1"/>
    <col min="6" max="6" width="9.88671875" style="5" customWidth="1"/>
    <col min="7" max="7" width="12.5546875" style="5" customWidth="1"/>
    <col min="8" max="8" width="9.88671875" style="5" customWidth="1"/>
    <col min="9" max="9" width="22.44140625" style="5" bestFit="1" customWidth="1"/>
    <col min="10" max="10" width="8.88671875" style="5"/>
  </cols>
  <sheetData>
    <row r="1" spans="1:10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2"/>
    </row>
    <row r="2" spans="1:10" ht="26.4" x14ac:dyDescent="0.25">
      <c r="A2" s="3" t="s">
        <v>1</v>
      </c>
      <c r="B2" s="3" t="s">
        <v>2</v>
      </c>
      <c r="C2" s="3" t="s">
        <v>3</v>
      </c>
      <c r="D2" s="3" t="s">
        <v>4</v>
      </c>
      <c r="E2" s="4"/>
      <c r="F2" s="3" t="s">
        <v>5</v>
      </c>
      <c r="G2" s="3" t="s">
        <v>3</v>
      </c>
      <c r="H2" s="3" t="s">
        <v>4</v>
      </c>
      <c r="I2" s="4"/>
    </row>
    <row r="3" spans="1:10" x14ac:dyDescent="0.25">
      <c r="A3" s="22">
        <v>37077</v>
      </c>
      <c r="B3" s="6">
        <f>'[1]Pages 240-41'!B4</f>
        <v>26.07</v>
      </c>
      <c r="D3" s="7"/>
      <c r="E3" s="8"/>
      <c r="F3" s="6">
        <f>'[1]Pages 240-41'!C4</f>
        <v>37.4</v>
      </c>
      <c r="G3" s="8"/>
      <c r="H3" s="7"/>
    </row>
    <row r="4" spans="1:10" x14ac:dyDescent="0.25">
      <c r="A4" s="22">
        <v>37104</v>
      </c>
      <c r="B4" s="6">
        <f>'[1]Pages 240-41'!B5</f>
        <v>22</v>
      </c>
      <c r="C4" s="9">
        <f t="shared" ref="C4:C63" si="0">LN(B4/B3)</f>
        <v>-0.1697427745870945</v>
      </c>
      <c r="D4" s="10">
        <f>B4/B3-1</f>
        <v>-0.15611814345991559</v>
      </c>
      <c r="E4" s="8"/>
      <c r="F4" s="6">
        <f>'[1]Pages 240-41'!C5</f>
        <v>33.53</v>
      </c>
      <c r="G4" s="23">
        <f t="shared" ref="G4:G63" si="1">LN(F4/F3)</f>
        <v>-0.10923014394234899</v>
      </c>
      <c r="H4" s="10">
        <f>F4/F3-1</f>
        <v>-0.10347593582887693</v>
      </c>
      <c r="I4" s="11" t="str">
        <f ca="1">[2]!getformula(H4)</f>
        <v>&lt;--  =F4/F3-1</v>
      </c>
    </row>
    <row r="5" spans="1:10" x14ac:dyDescent="0.25">
      <c r="A5" s="22">
        <v>37138</v>
      </c>
      <c r="B5" s="6">
        <f>'[1]Pages 240-41'!B6</f>
        <v>20.07</v>
      </c>
      <c r="C5" s="9">
        <f t="shared" si="0"/>
        <v>-9.1816290550069124E-2</v>
      </c>
      <c r="D5" s="10">
        <f t="shared" ref="D5:D63" si="2">B5/B4-1</f>
        <v>-8.7727272727272765E-2</v>
      </c>
      <c r="E5" s="8"/>
      <c r="F5" s="6">
        <f>'[1]Pages 240-41'!C6</f>
        <v>30.73</v>
      </c>
      <c r="G5" s="9">
        <f t="shared" si="1"/>
        <v>-8.7201184335743878E-2</v>
      </c>
      <c r="H5" s="10">
        <f t="shared" ref="H5:H63" si="3">F5/F4-1</f>
        <v>-8.3507306889352817E-2</v>
      </c>
      <c r="I5" s="8"/>
    </row>
    <row r="6" spans="1:10" x14ac:dyDescent="0.25">
      <c r="A6" s="22">
        <v>37165</v>
      </c>
      <c r="B6" s="6">
        <f>'[1]Pages 240-41'!B7</f>
        <v>20.02</v>
      </c>
      <c r="C6" s="9">
        <f t="shared" si="0"/>
        <v>-2.4943889211722662E-3</v>
      </c>
      <c r="D6" s="10">
        <f t="shared" si="2"/>
        <v>-2.4912805181863673E-3</v>
      </c>
      <c r="E6" s="8"/>
      <c r="F6" s="6">
        <f>'[1]Pages 240-41'!C7</f>
        <v>30.15</v>
      </c>
      <c r="G6" s="9">
        <f t="shared" si="1"/>
        <v>-1.9054452969198853E-2</v>
      </c>
      <c r="H6" s="10">
        <f t="shared" si="3"/>
        <v>-1.8874064432151005E-2</v>
      </c>
      <c r="I6" s="12" t="str">
        <f ca="1">"Cell "&amp;CHAR(COLUMN(G4)+64)&amp;ROW(G4)&amp;" contains formula "&amp;[2]!ggetformula(G4)</f>
        <v>Cell G4 contains formula =LN(F4/F3)</v>
      </c>
      <c r="J6" s="13"/>
    </row>
    <row r="7" spans="1:10" x14ac:dyDescent="0.25">
      <c r="A7" s="22">
        <v>37196</v>
      </c>
      <c r="B7" s="6">
        <f>'[1]Pages 240-41'!B8</f>
        <v>23.35</v>
      </c>
      <c r="C7" s="9">
        <f t="shared" si="0"/>
        <v>0.15386521022783195</v>
      </c>
      <c r="D7" s="10">
        <f t="shared" si="2"/>
        <v>0.16633366633366653</v>
      </c>
      <c r="E7" s="8"/>
      <c r="F7" s="6">
        <f>'[1]Pages 240-41'!C8</f>
        <v>36.380000000000003</v>
      </c>
      <c r="G7" s="9">
        <f t="shared" si="1"/>
        <v>0.18783424991678188</v>
      </c>
      <c r="H7" s="10">
        <f t="shared" si="3"/>
        <v>0.20663349917081275</v>
      </c>
      <c r="I7" s="14"/>
      <c r="J7" s="13"/>
    </row>
    <row r="8" spans="1:10" x14ac:dyDescent="0.25">
      <c r="A8" s="22">
        <v>37228</v>
      </c>
      <c r="B8" s="6">
        <f>'[1]Pages 240-41'!B9</f>
        <v>24.79</v>
      </c>
      <c r="C8" s="9">
        <f t="shared" si="0"/>
        <v>5.9843361932192626E-2</v>
      </c>
      <c r="D8" s="10">
        <f t="shared" si="2"/>
        <v>6.1670235546038343E-2</v>
      </c>
      <c r="E8" s="8"/>
      <c r="F8" s="6">
        <f>'[1]Pages 240-41'!C9</f>
        <v>39.79</v>
      </c>
      <c r="G8" s="9">
        <f t="shared" si="1"/>
        <v>8.9596451348861003E-2</v>
      </c>
      <c r="H8" s="10">
        <f t="shared" si="3"/>
        <v>9.3732820230896019E-2</v>
      </c>
      <c r="I8" s="8"/>
    </row>
    <row r="9" spans="1:10" x14ac:dyDescent="0.25">
      <c r="A9" s="22">
        <v>37258</v>
      </c>
      <c r="B9" s="6">
        <f>'[1]Pages 240-41'!B10</f>
        <v>23.03</v>
      </c>
      <c r="C9" s="9">
        <f t="shared" si="0"/>
        <v>-7.364263221450526E-2</v>
      </c>
      <c r="D9" s="10">
        <f t="shared" si="2"/>
        <v>-7.0996369503832146E-2</v>
      </c>
      <c r="E9" s="8"/>
      <c r="F9" s="6">
        <f>'[1]Pages 240-41'!C10</f>
        <v>43.04</v>
      </c>
      <c r="G9" s="9">
        <f t="shared" si="1"/>
        <v>7.8514291414691684E-2</v>
      </c>
      <c r="H9" s="10">
        <f t="shared" si="3"/>
        <v>8.167881377230457E-2</v>
      </c>
      <c r="I9" s="8"/>
    </row>
    <row r="10" spans="1:10" x14ac:dyDescent="0.25">
      <c r="A10" s="22">
        <v>37291</v>
      </c>
      <c r="B10" s="6">
        <f>'[1]Pages 240-41'!B11</f>
        <v>18.09</v>
      </c>
      <c r="C10" s="9">
        <f t="shared" si="0"/>
        <v>-0.24143841442539005</v>
      </c>
      <c r="D10" s="10">
        <f t="shared" si="2"/>
        <v>-0.21450282240555796</v>
      </c>
      <c r="E10" s="8"/>
      <c r="F10" s="6">
        <f>'[1]Pages 240-41'!C11</f>
        <v>40.659999999999997</v>
      </c>
      <c r="G10" s="9">
        <f t="shared" si="1"/>
        <v>-5.6885107653328486E-2</v>
      </c>
      <c r="H10" s="10">
        <f t="shared" si="3"/>
        <v>-5.529739776951681E-2</v>
      </c>
      <c r="I10" s="8"/>
    </row>
    <row r="11" spans="1:10" x14ac:dyDescent="0.25">
      <c r="A11" s="22">
        <v>37316</v>
      </c>
      <c r="B11" s="6">
        <f>'[1]Pages 240-41'!B12</f>
        <v>19.170000000000002</v>
      </c>
      <c r="C11" s="9">
        <f t="shared" si="0"/>
        <v>5.7987257650349525E-2</v>
      </c>
      <c r="D11" s="10">
        <f t="shared" si="2"/>
        <v>5.9701492537313605E-2</v>
      </c>
      <c r="E11" s="8"/>
      <c r="F11" s="6">
        <f>'[1]Pages 240-41'!C12</f>
        <v>41.85</v>
      </c>
      <c r="G11" s="9">
        <f t="shared" si="1"/>
        <v>2.8846988735283855E-2</v>
      </c>
      <c r="H11" s="10">
        <f t="shared" si="3"/>
        <v>2.9267092966060115E-2</v>
      </c>
      <c r="I11" s="8"/>
    </row>
    <row r="12" spans="1:10" x14ac:dyDescent="0.25">
      <c r="A12" s="22">
        <v>37347</v>
      </c>
      <c r="B12" s="6">
        <f>'[1]Pages 240-41'!B13</f>
        <v>20.25</v>
      </c>
      <c r="C12" s="9">
        <f t="shared" si="0"/>
        <v>5.4808236494994951E-2</v>
      </c>
      <c r="D12" s="10">
        <f t="shared" si="2"/>
        <v>5.6338028169014009E-2</v>
      </c>
      <c r="E12" s="8"/>
      <c r="F12" s="6">
        <f>'[1]Pages 240-41'!C13</f>
        <v>42.36</v>
      </c>
      <c r="G12" s="9">
        <f t="shared" si="1"/>
        <v>1.2112723797721256E-2</v>
      </c>
      <c r="H12" s="10">
        <f t="shared" si="3"/>
        <v>1.2186379928315283E-2</v>
      </c>
      <c r="I12" s="8"/>
    </row>
    <row r="13" spans="1:10" x14ac:dyDescent="0.25">
      <c r="A13" s="22">
        <v>37377</v>
      </c>
      <c r="B13" s="6">
        <f>'[1]Pages 240-41'!B14</f>
        <v>22.79</v>
      </c>
      <c r="C13" s="9">
        <f t="shared" si="0"/>
        <v>0.1181670497050447</v>
      </c>
      <c r="D13" s="10">
        <f t="shared" si="2"/>
        <v>0.12543209876543204</v>
      </c>
      <c r="E13" s="8"/>
      <c r="F13" s="6">
        <f>'[1]Pages 240-41'!C14</f>
        <v>40.29</v>
      </c>
      <c r="G13" s="9">
        <f t="shared" si="1"/>
        <v>-5.0101221529949815E-2</v>
      </c>
      <c r="H13" s="10">
        <f t="shared" si="3"/>
        <v>-4.8866855524079322E-2</v>
      </c>
      <c r="I13" s="8"/>
    </row>
    <row r="14" spans="1:10" x14ac:dyDescent="0.25">
      <c r="A14" s="22">
        <v>37410</v>
      </c>
      <c r="B14" s="6">
        <f>'[1]Pages 240-41'!B15</f>
        <v>20.52</v>
      </c>
      <c r="C14" s="9">
        <f t="shared" si="0"/>
        <v>-0.10492182295502411</v>
      </c>
      <c r="D14" s="10">
        <f t="shared" si="2"/>
        <v>-9.9605089951733228E-2</v>
      </c>
      <c r="E14" s="8"/>
      <c r="F14" s="6">
        <f>'[1]Pages 240-41'!C15</f>
        <v>37.03</v>
      </c>
      <c r="G14" s="9">
        <f t="shared" si="1"/>
        <v>-8.4374904277734503E-2</v>
      </c>
      <c r="H14" s="10">
        <f t="shared" si="3"/>
        <v>-8.0913378009431547E-2</v>
      </c>
      <c r="I14" s="8"/>
    </row>
    <row r="15" spans="1:10" x14ac:dyDescent="0.25">
      <c r="A15" s="22">
        <v>37438</v>
      </c>
      <c r="B15" s="6">
        <f>'[1]Pages 240-41'!B16</f>
        <v>16.5</v>
      </c>
      <c r="C15" s="9">
        <f t="shared" si="0"/>
        <v>-0.21803963939603388</v>
      </c>
      <c r="D15" s="10">
        <f t="shared" si="2"/>
        <v>-0.19590643274853803</v>
      </c>
      <c r="F15" s="6">
        <f>'[1]Pages 240-41'!C16</f>
        <v>32.409999999999997</v>
      </c>
      <c r="G15" s="9">
        <f t="shared" si="1"/>
        <v>-0.1332613777720654</v>
      </c>
      <c r="H15" s="10">
        <f t="shared" si="3"/>
        <v>-0.12476370510396984</v>
      </c>
    </row>
    <row r="16" spans="1:10" x14ac:dyDescent="0.25">
      <c r="A16" s="22">
        <v>37469</v>
      </c>
      <c r="B16" s="6">
        <f>'[1]Pages 240-41'!B17</f>
        <v>16.27</v>
      </c>
      <c r="C16" s="9">
        <f t="shared" si="0"/>
        <v>-1.4037459675588474E-2</v>
      </c>
      <c r="D16" s="10">
        <f t="shared" si="2"/>
        <v>-1.3939393939393918E-2</v>
      </c>
      <c r="E16" s="15"/>
      <c r="F16" s="6">
        <f>'[1]Pages 240-41'!C17</f>
        <v>33.299999999999997</v>
      </c>
      <c r="G16" s="9">
        <f t="shared" si="1"/>
        <v>2.7090379832942213E-2</v>
      </c>
      <c r="H16" s="10">
        <f t="shared" si="3"/>
        <v>2.7460660290034022E-2</v>
      </c>
      <c r="I16" s="15"/>
    </row>
    <row r="17" spans="1:10" x14ac:dyDescent="0.25">
      <c r="A17" s="22">
        <v>37502</v>
      </c>
      <c r="B17" s="6">
        <f>'[1]Pages 240-41'!B18</f>
        <v>14.92</v>
      </c>
      <c r="C17" s="9">
        <f t="shared" si="0"/>
        <v>-8.6620326455331617E-2</v>
      </c>
      <c r="D17" s="10">
        <f t="shared" si="2"/>
        <v>-8.2974800245851243E-2</v>
      </c>
      <c r="E17" s="15"/>
      <c r="F17" s="6">
        <f>'[1]Pages 240-41'!C18</f>
        <v>28.74</v>
      </c>
      <c r="G17" s="9">
        <f t="shared" si="1"/>
        <v>-0.14726751633551921</v>
      </c>
      <c r="H17" s="10">
        <f t="shared" si="3"/>
        <v>-0.13693693693693687</v>
      </c>
      <c r="I17" s="15"/>
    </row>
    <row r="18" spans="1:10" x14ac:dyDescent="0.25">
      <c r="A18" s="22">
        <v>37530</v>
      </c>
      <c r="B18" s="6">
        <f>'[1]Pages 240-41'!B19</f>
        <v>18.010000000000002</v>
      </c>
      <c r="C18" s="9">
        <f t="shared" si="0"/>
        <v>0.18822456441225008</v>
      </c>
      <c r="D18" s="10">
        <f t="shared" si="2"/>
        <v>0.20710455764075086</v>
      </c>
      <c r="F18" s="6">
        <f>'[1]Pages 240-41'!C19</f>
        <v>29.32</v>
      </c>
      <c r="G18" s="9">
        <f t="shared" si="1"/>
        <v>1.9979996367571862E-2</v>
      </c>
      <c r="H18" s="10">
        <f t="shared" si="3"/>
        <v>2.0180932498260251E-2</v>
      </c>
    </row>
    <row r="19" spans="1:10" x14ac:dyDescent="0.25">
      <c r="A19" s="22">
        <v>37561</v>
      </c>
      <c r="B19" s="6">
        <f>'[1]Pages 240-41'!B20</f>
        <v>22.43</v>
      </c>
      <c r="C19" s="9">
        <f t="shared" si="0"/>
        <v>0.21947218934425206</v>
      </c>
      <c r="D19" s="10">
        <f t="shared" si="2"/>
        <v>0.24541921154913915</v>
      </c>
      <c r="F19" s="6">
        <f>'[1]Pages 240-41'!C20</f>
        <v>33.92</v>
      </c>
      <c r="G19" s="9">
        <f t="shared" si="1"/>
        <v>0.14573493390525158</v>
      </c>
      <c r="H19" s="10">
        <f t="shared" si="3"/>
        <v>0.15688949522510232</v>
      </c>
    </row>
    <row r="20" spans="1:10" x14ac:dyDescent="0.25">
      <c r="A20" s="22">
        <v>37592</v>
      </c>
      <c r="B20" s="6">
        <f>'[1]Pages 240-41'!B21</f>
        <v>21.75</v>
      </c>
      <c r="C20" s="9">
        <f t="shared" si="0"/>
        <v>-3.0785590997423853E-2</v>
      </c>
      <c r="D20" s="10">
        <f t="shared" si="2"/>
        <v>-3.0316540347748555E-2</v>
      </c>
      <c r="F20" s="6">
        <f>'[1]Pages 240-41'!C21</f>
        <v>29.26</v>
      </c>
      <c r="G20" s="9">
        <f t="shared" si="1"/>
        <v>-0.14778341533172407</v>
      </c>
      <c r="H20" s="10">
        <f t="shared" si="3"/>
        <v>-0.13738207547169812</v>
      </c>
    </row>
    <row r="21" spans="1:10" x14ac:dyDescent="0.25">
      <c r="A21" s="22">
        <v>37623</v>
      </c>
      <c r="B21" s="6">
        <f>'[1]Pages 240-41'!B22</f>
        <v>18.43</v>
      </c>
      <c r="C21" s="9">
        <f t="shared" si="0"/>
        <v>-0.16563398585296116</v>
      </c>
      <c r="D21" s="10">
        <f t="shared" si="2"/>
        <v>-0.1526436781609195</v>
      </c>
      <c r="F21" s="6">
        <f>'[1]Pages 240-41'!C22</f>
        <v>27.51</v>
      </c>
      <c r="G21" s="9">
        <f t="shared" si="1"/>
        <v>-6.1671820655495112E-2</v>
      </c>
      <c r="H21" s="10">
        <f t="shared" si="3"/>
        <v>-5.9808612440191422E-2</v>
      </c>
    </row>
    <row r="22" spans="1:10" x14ac:dyDescent="0.25">
      <c r="A22" s="22">
        <v>37655</v>
      </c>
      <c r="B22" s="6">
        <f>'[1]Pages 240-41'!B23</f>
        <v>18.87</v>
      </c>
      <c r="C22" s="9">
        <f t="shared" si="0"/>
        <v>2.3593587698727009E-2</v>
      </c>
      <c r="D22" s="10">
        <f t="shared" si="2"/>
        <v>2.3874118285404311E-2</v>
      </c>
      <c r="E22" s="16"/>
      <c r="F22" s="6">
        <f>'[1]Pages 240-41'!C23</f>
        <v>28</v>
      </c>
      <c r="G22" s="9">
        <f t="shared" si="1"/>
        <v>1.7654935238720745E-2</v>
      </c>
      <c r="H22" s="10">
        <f t="shared" si="3"/>
        <v>1.7811704834605591E-2</v>
      </c>
      <c r="I22" s="16"/>
    </row>
    <row r="23" spans="1:10" x14ac:dyDescent="0.25">
      <c r="A23" s="22">
        <v>37683</v>
      </c>
      <c r="B23" s="6">
        <f>'[1]Pages 240-41'!B24</f>
        <v>18.670000000000002</v>
      </c>
      <c r="C23" s="9">
        <f t="shared" si="0"/>
        <v>-1.0655401826827513E-2</v>
      </c>
      <c r="D23" s="10">
        <f t="shared" si="2"/>
        <v>-1.0598834128245804E-2</v>
      </c>
      <c r="F23" s="6">
        <f>'[1]Pages 240-41'!C24</f>
        <v>28.6</v>
      </c>
      <c r="G23" s="9">
        <f t="shared" si="1"/>
        <v>2.1202207650603124E-2</v>
      </c>
      <c r="H23" s="10">
        <f t="shared" si="3"/>
        <v>2.1428571428571574E-2</v>
      </c>
      <c r="J23" s="16"/>
    </row>
    <row r="24" spans="1:10" x14ac:dyDescent="0.25">
      <c r="A24" s="22">
        <v>37712</v>
      </c>
      <c r="B24" s="6">
        <f>'[1]Pages 240-41'!B25</f>
        <v>16.32</v>
      </c>
      <c r="C24" s="9">
        <f t="shared" si="0"/>
        <v>-0.13452660801767038</v>
      </c>
      <c r="D24" s="10">
        <f t="shared" si="2"/>
        <v>-0.12587038028923414</v>
      </c>
      <c r="F24" s="6">
        <f>'[1]Pages 240-41'!C25</f>
        <v>32.69</v>
      </c>
      <c r="G24" s="9">
        <f t="shared" si="1"/>
        <v>0.13366250291031218</v>
      </c>
      <c r="H24" s="10">
        <f t="shared" si="3"/>
        <v>0.14300699300699282</v>
      </c>
    </row>
    <row r="25" spans="1:10" x14ac:dyDescent="0.25">
      <c r="A25" s="22">
        <v>37742</v>
      </c>
      <c r="B25" s="6">
        <f>'[1]Pages 240-41'!B26</f>
        <v>16.57</v>
      </c>
      <c r="C25" s="9">
        <f t="shared" si="0"/>
        <v>1.5202481902510648E-2</v>
      </c>
      <c r="D25" s="10">
        <f t="shared" si="2"/>
        <v>1.5318627450980449E-2</v>
      </c>
      <c r="E25" s="17"/>
      <c r="F25" s="6">
        <f>'[1]Pages 240-41'!C26</f>
        <v>35.869999999999997</v>
      </c>
      <c r="G25" s="9">
        <f t="shared" si="1"/>
        <v>9.2832070808071959E-2</v>
      </c>
      <c r="H25" s="10">
        <f t="shared" si="3"/>
        <v>9.7277454879167946E-2</v>
      </c>
      <c r="I25" s="17"/>
    </row>
    <row r="26" spans="1:10" x14ac:dyDescent="0.25">
      <c r="A26" s="22">
        <v>37774</v>
      </c>
      <c r="B26" s="6">
        <f>'[1]Pages 240-41'!B27</f>
        <v>16.12</v>
      </c>
      <c r="C26" s="9">
        <f t="shared" si="0"/>
        <v>-2.7533094359989251E-2</v>
      </c>
      <c r="D26" s="10">
        <f t="shared" si="2"/>
        <v>-2.7157513578756731E-2</v>
      </c>
      <c r="E26" s="18"/>
      <c r="F26" s="6">
        <f>'[1]Pages 240-41'!C27</f>
        <v>37.049999999999997</v>
      </c>
      <c r="G26" s="9">
        <f t="shared" si="1"/>
        <v>3.2367060197904772E-2</v>
      </c>
      <c r="H26" s="10">
        <f t="shared" si="3"/>
        <v>3.2896570950655235E-2</v>
      </c>
      <c r="I26" s="18"/>
    </row>
    <row r="27" spans="1:10" x14ac:dyDescent="0.25">
      <c r="A27" s="22">
        <v>37803</v>
      </c>
      <c r="B27" s="6">
        <f>'[1]Pages 240-41'!B28</f>
        <v>17.91</v>
      </c>
      <c r="C27" s="9">
        <f t="shared" si="0"/>
        <v>0.10529847899413819</v>
      </c>
      <c r="D27" s="10">
        <f t="shared" si="2"/>
        <v>0.11104218362282881</v>
      </c>
      <c r="E27" s="18"/>
      <c r="F27" s="6">
        <f>'[1]Pages 240-41'!C28</f>
        <v>37.520000000000003</v>
      </c>
      <c r="G27" s="9">
        <f t="shared" si="1"/>
        <v>1.2605772395928172E-2</v>
      </c>
      <c r="H27" s="10">
        <f t="shared" si="3"/>
        <v>1.2685560053981249E-2</v>
      </c>
      <c r="I27" s="18"/>
    </row>
    <row r="28" spans="1:10" x14ac:dyDescent="0.25">
      <c r="A28" s="22">
        <v>37834</v>
      </c>
      <c r="B28" s="6">
        <f>'[1]Pages 240-41'!B29</f>
        <v>20.45</v>
      </c>
      <c r="C28" s="9">
        <f t="shared" si="0"/>
        <v>0.13262366641619031</v>
      </c>
      <c r="D28" s="10">
        <f t="shared" si="2"/>
        <v>0.14182021217197094</v>
      </c>
      <c r="E28" s="18"/>
      <c r="F28" s="6">
        <f>'[1]Pages 240-41'!C29</f>
        <v>39.83</v>
      </c>
      <c r="G28" s="9">
        <f t="shared" si="1"/>
        <v>5.9746273055528709E-2</v>
      </c>
      <c r="H28" s="10">
        <f t="shared" si="3"/>
        <v>6.1567164179104239E-2</v>
      </c>
      <c r="I28" s="18"/>
    </row>
    <row r="29" spans="1:10" x14ac:dyDescent="0.25">
      <c r="A29" s="22">
        <v>37866</v>
      </c>
      <c r="B29" s="6">
        <f>'[1]Pages 240-41'!B30</f>
        <v>20.6</v>
      </c>
      <c r="C29" s="9">
        <f t="shared" si="0"/>
        <v>7.3081933067248427E-3</v>
      </c>
      <c r="D29" s="10">
        <f t="shared" si="2"/>
        <v>7.3349633251835744E-3</v>
      </c>
      <c r="E29" s="18"/>
      <c r="F29" s="6">
        <f>'[1]Pages 240-41'!C30</f>
        <v>36.909999999999997</v>
      </c>
      <c r="G29" s="9">
        <f t="shared" si="1"/>
        <v>-7.6137880151645715E-2</v>
      </c>
      <c r="H29" s="10">
        <f t="shared" si="3"/>
        <v>-7.331157419030887E-2</v>
      </c>
      <c r="I29" s="18"/>
    </row>
    <row r="30" spans="1:10" x14ac:dyDescent="0.25">
      <c r="A30" s="22">
        <v>37895</v>
      </c>
      <c r="B30" s="6">
        <f>'[1]Pages 240-41'!B31</f>
        <v>22.92</v>
      </c>
      <c r="C30" s="9">
        <f t="shared" si="0"/>
        <v>0.10671881605100342</v>
      </c>
      <c r="D30" s="10">
        <f t="shared" si="2"/>
        <v>0.11262135922330097</v>
      </c>
      <c r="E30" s="18"/>
      <c r="F30" s="6">
        <f>'[1]Pages 240-41'!C31</f>
        <v>38.979999999999997</v>
      </c>
      <c r="G30" s="9">
        <f t="shared" si="1"/>
        <v>5.4566177037507539E-2</v>
      </c>
      <c r="H30" s="10">
        <f t="shared" si="3"/>
        <v>5.6082362503386607E-2</v>
      </c>
      <c r="I30" s="18"/>
    </row>
    <row r="31" spans="1:10" x14ac:dyDescent="0.25">
      <c r="A31" s="22">
        <v>37928</v>
      </c>
      <c r="B31" s="6">
        <f>'[1]Pages 240-41'!B32</f>
        <v>24.12</v>
      </c>
      <c r="C31" s="9">
        <f t="shared" si="0"/>
        <v>5.1031480012445826E-2</v>
      </c>
      <c r="D31" s="10">
        <f t="shared" si="2"/>
        <v>5.2356020942408321E-2</v>
      </c>
      <c r="E31" s="18"/>
      <c r="F31" s="6">
        <f>'[1]Pages 240-41'!C32</f>
        <v>38.049999999999997</v>
      </c>
      <c r="G31" s="9">
        <f t="shared" si="1"/>
        <v>-2.4147609771719931E-2</v>
      </c>
      <c r="H31" s="10">
        <f t="shared" si="3"/>
        <v>-2.3858388917393558E-2</v>
      </c>
      <c r="I31" s="18"/>
    </row>
    <row r="32" spans="1:10" x14ac:dyDescent="0.25">
      <c r="A32" s="22">
        <v>37956</v>
      </c>
      <c r="B32" s="6">
        <f>'[1]Pages 240-41'!B33</f>
        <v>25.47</v>
      </c>
      <c r="C32" s="9">
        <f t="shared" si="0"/>
        <v>5.4459917132380839E-2</v>
      </c>
      <c r="D32" s="10">
        <f t="shared" si="2"/>
        <v>5.5970149253731227E-2</v>
      </c>
      <c r="E32" s="18"/>
      <c r="F32" s="6">
        <f>'[1]Pages 240-41'!C33</f>
        <v>37.74</v>
      </c>
      <c r="G32" s="9">
        <f t="shared" si="1"/>
        <v>-8.1805443672906073E-3</v>
      </c>
      <c r="H32" s="10">
        <f t="shared" si="3"/>
        <v>-8.1471747700393449E-3</v>
      </c>
      <c r="I32" s="18"/>
    </row>
    <row r="33" spans="1:9" x14ac:dyDescent="0.25">
      <c r="A33" s="22">
        <v>37988</v>
      </c>
      <c r="B33" s="6">
        <f>'[1]Pages 240-41'!B34</f>
        <v>25.5</v>
      </c>
      <c r="C33" s="9">
        <f t="shared" si="0"/>
        <v>1.1771631730148311E-3</v>
      </c>
      <c r="D33" s="10">
        <f t="shared" si="2"/>
        <v>1.1778563015312216E-3</v>
      </c>
      <c r="E33" s="18"/>
      <c r="F33" s="6">
        <f>'[1]Pages 240-41'!C34</f>
        <v>37.31</v>
      </c>
      <c r="G33" s="9">
        <f t="shared" si="1"/>
        <v>-1.1459152707337649E-2</v>
      </c>
      <c r="H33" s="10">
        <f t="shared" si="3"/>
        <v>-1.1393746687864303E-2</v>
      </c>
      <c r="I33" s="18"/>
    </row>
    <row r="34" spans="1:9" x14ac:dyDescent="0.25">
      <c r="A34" s="22">
        <v>38019</v>
      </c>
      <c r="B34" s="6">
        <f>'[1]Pages 240-41'!B35</f>
        <v>30.06</v>
      </c>
      <c r="C34" s="9">
        <f t="shared" si="0"/>
        <v>0.16451693216044788</v>
      </c>
      <c r="D34" s="10">
        <f t="shared" si="2"/>
        <v>0.1788235294117646</v>
      </c>
      <c r="E34" s="18"/>
      <c r="F34" s="6">
        <f>'[1]Pages 240-41'!C35</f>
        <v>43.27</v>
      </c>
      <c r="G34" s="9">
        <f t="shared" si="1"/>
        <v>0.14819816700372693</v>
      </c>
      <c r="H34" s="10">
        <f t="shared" si="3"/>
        <v>0.15974269632806215</v>
      </c>
      <c r="I34" s="18"/>
    </row>
    <row r="35" spans="1:9" x14ac:dyDescent="0.25">
      <c r="A35" s="22">
        <v>38047</v>
      </c>
      <c r="B35" s="6">
        <f>'[1]Pages 240-41'!B36</f>
        <v>33.869999999999997</v>
      </c>
      <c r="C35" s="9">
        <f t="shared" si="0"/>
        <v>0.11933428250485183</v>
      </c>
      <c r="D35" s="10">
        <f t="shared" si="2"/>
        <v>0.12674650698602785</v>
      </c>
      <c r="E35" s="18"/>
      <c r="F35" s="6">
        <f>'[1]Pages 240-41'!C36</f>
        <v>44.34</v>
      </c>
      <c r="G35" s="9">
        <f t="shared" si="1"/>
        <v>2.4427649951372053E-2</v>
      </c>
      <c r="H35" s="10">
        <f t="shared" si="3"/>
        <v>2.4728449272013009E-2</v>
      </c>
      <c r="I35" s="18"/>
    </row>
    <row r="36" spans="1:9" x14ac:dyDescent="0.25">
      <c r="A36" s="22">
        <v>38078</v>
      </c>
      <c r="B36" s="6">
        <f>'[1]Pages 240-41'!B37</f>
        <v>33.1</v>
      </c>
      <c r="C36" s="9">
        <f t="shared" si="0"/>
        <v>-2.2996384446662962E-2</v>
      </c>
      <c r="D36" s="10">
        <f t="shared" si="2"/>
        <v>-2.2733982875701053E-2</v>
      </c>
      <c r="E36" s="18"/>
      <c r="F36" s="6">
        <f>'[1]Pages 240-41'!C37</f>
        <v>42.69</v>
      </c>
      <c r="G36" s="9">
        <f t="shared" si="1"/>
        <v>-3.7922503418294888E-2</v>
      </c>
      <c r="H36" s="10">
        <f t="shared" si="3"/>
        <v>-3.7212449255751179E-2</v>
      </c>
      <c r="I36" s="18"/>
    </row>
    <row r="37" spans="1:9" x14ac:dyDescent="0.25">
      <c r="A37" s="22">
        <v>38110</v>
      </c>
      <c r="B37" s="6">
        <f>'[1]Pages 240-41'!B38</f>
        <v>34.97</v>
      </c>
      <c r="C37" s="9">
        <f t="shared" si="0"/>
        <v>5.4957268692267136E-2</v>
      </c>
      <c r="D37" s="10">
        <f t="shared" si="2"/>
        <v>5.6495468277945493E-2</v>
      </c>
      <c r="E37" s="18"/>
      <c r="F37" s="6">
        <f>'[1]Pages 240-41'!C38</f>
        <v>44.08</v>
      </c>
      <c r="G37" s="9">
        <f t="shared" si="1"/>
        <v>3.2041464074788278E-2</v>
      </c>
      <c r="H37" s="10">
        <f t="shared" si="3"/>
        <v>3.2560318575778791E-2</v>
      </c>
      <c r="I37" s="18"/>
    </row>
    <row r="38" spans="1:9" x14ac:dyDescent="0.25">
      <c r="A38" s="22">
        <v>38139</v>
      </c>
      <c r="B38" s="6">
        <f>'[1]Pages 240-41'!B39</f>
        <v>36.909999999999997</v>
      </c>
      <c r="C38" s="9">
        <f t="shared" si="0"/>
        <v>5.399196596662259E-2</v>
      </c>
      <c r="D38" s="10">
        <f t="shared" si="2"/>
        <v>5.5476122390620386E-2</v>
      </c>
      <c r="E38" s="15"/>
      <c r="F38" s="6">
        <f>'[1]Pages 240-41'!C39</f>
        <v>41.88</v>
      </c>
      <c r="G38" s="9">
        <f t="shared" si="1"/>
        <v>-5.1197778842322808E-2</v>
      </c>
      <c r="H38" s="10">
        <f t="shared" si="3"/>
        <v>-4.9909255898366478E-2</v>
      </c>
      <c r="I38" s="15"/>
    </row>
    <row r="39" spans="1:9" x14ac:dyDescent="0.25">
      <c r="A39" s="22">
        <v>38169</v>
      </c>
      <c r="B39" s="6">
        <f>'[1]Pages 240-41'!B40</f>
        <v>39.229999999999997</v>
      </c>
      <c r="C39" s="9">
        <f t="shared" si="0"/>
        <v>6.0959243179553993E-2</v>
      </c>
      <c r="D39" s="10">
        <f t="shared" si="2"/>
        <v>6.2855594689785965E-2</v>
      </c>
      <c r="E39" s="15"/>
      <c r="F39" s="6">
        <f>'[1]Pages 240-41'!C40</f>
        <v>42.99</v>
      </c>
      <c r="G39" s="9">
        <f t="shared" si="1"/>
        <v>2.6159144505854069E-2</v>
      </c>
      <c r="H39" s="10">
        <f t="shared" si="3"/>
        <v>2.6504297994269344E-2</v>
      </c>
      <c r="I39" s="15"/>
    </row>
    <row r="40" spans="1:9" x14ac:dyDescent="0.25">
      <c r="A40" s="22">
        <v>38201</v>
      </c>
      <c r="B40" s="6">
        <f>'[1]Pages 240-41'!B41</f>
        <v>37.58</v>
      </c>
      <c r="C40" s="9">
        <f t="shared" si="0"/>
        <v>-4.2969766236141883E-2</v>
      </c>
      <c r="D40" s="10">
        <f t="shared" si="2"/>
        <v>-4.2059648228396584E-2</v>
      </c>
      <c r="E40" s="15"/>
      <c r="F40" s="6">
        <f>'[1]Pages 240-41'!C41</f>
        <v>44.04</v>
      </c>
      <c r="G40" s="9">
        <f t="shared" si="1"/>
        <v>2.4130781346289029E-2</v>
      </c>
      <c r="H40" s="10">
        <f t="shared" si="3"/>
        <v>2.4424284717376121E-2</v>
      </c>
      <c r="I40" s="15"/>
    </row>
    <row r="41" spans="1:9" x14ac:dyDescent="0.25">
      <c r="A41" s="22">
        <v>38231</v>
      </c>
      <c r="B41" s="6">
        <f>'[1]Pages 240-41'!B42</f>
        <v>34.6</v>
      </c>
      <c r="C41" s="9">
        <f t="shared" si="0"/>
        <v>-8.2618311921640597E-2</v>
      </c>
      <c r="D41" s="10">
        <f t="shared" si="2"/>
        <v>-7.9297498669504973E-2</v>
      </c>
      <c r="F41" s="6">
        <f>'[1]Pages 240-41'!C42</f>
        <v>44.7</v>
      </c>
      <c r="G41" s="9">
        <f t="shared" si="1"/>
        <v>1.4875189765044098E-2</v>
      </c>
      <c r="H41" s="10">
        <f t="shared" si="3"/>
        <v>1.4986376021798531E-2</v>
      </c>
    </row>
    <row r="42" spans="1:9" x14ac:dyDescent="0.25">
      <c r="A42" s="22">
        <v>38261</v>
      </c>
      <c r="B42" s="6">
        <f>'[1]Pages 240-41'!B43</f>
        <v>34.04</v>
      </c>
      <c r="C42" s="9">
        <f t="shared" si="0"/>
        <v>-1.6317378358505292E-2</v>
      </c>
      <c r="D42" s="10">
        <f t="shared" si="2"/>
        <v>-1.6184971098265999E-2</v>
      </c>
      <c r="F42" s="6">
        <f>'[1]Pages 240-41'!C43</f>
        <v>49.41</v>
      </c>
      <c r="G42" s="9">
        <f t="shared" si="1"/>
        <v>0.10017933123813529</v>
      </c>
      <c r="H42" s="10">
        <f t="shared" si="3"/>
        <v>0.10536912751677829</v>
      </c>
    </row>
    <row r="43" spans="1:9" x14ac:dyDescent="0.25">
      <c r="A43" s="22">
        <v>38292</v>
      </c>
      <c r="B43" s="6">
        <f>'[1]Pages 240-41'!B44</f>
        <v>37.99</v>
      </c>
      <c r="C43" s="9">
        <f t="shared" si="0"/>
        <v>0.10978666349436092</v>
      </c>
      <c r="D43" s="10">
        <f t="shared" si="2"/>
        <v>0.11603995299647485</v>
      </c>
      <c r="F43" s="6">
        <f>'[1]Pages 240-41'!C44</f>
        <v>50.68</v>
      </c>
      <c r="G43" s="9">
        <f t="shared" si="1"/>
        <v>2.5378522595279701E-2</v>
      </c>
      <c r="H43" s="10">
        <f t="shared" si="3"/>
        <v>2.5703298927342688E-2</v>
      </c>
    </row>
    <row r="44" spans="1:9" x14ac:dyDescent="0.25">
      <c r="A44" s="22">
        <v>38322</v>
      </c>
      <c r="B44" s="6">
        <f>'[1]Pages 240-41'!B45</f>
        <v>40.74</v>
      </c>
      <c r="C44" s="9">
        <f t="shared" si="0"/>
        <v>6.9887443599125451E-2</v>
      </c>
      <c r="D44" s="10">
        <f t="shared" si="2"/>
        <v>7.238747038694382E-2</v>
      </c>
      <c r="F44" s="6">
        <f>'[1]Pages 240-41'!C45</f>
        <v>51.38</v>
      </c>
      <c r="G44" s="9">
        <f t="shared" si="1"/>
        <v>1.3717636228799344E-2</v>
      </c>
      <c r="H44" s="10">
        <f t="shared" si="3"/>
        <v>1.3812154696132728E-2</v>
      </c>
    </row>
    <row r="45" spans="1:9" x14ac:dyDescent="0.25">
      <c r="A45" s="22">
        <v>38355</v>
      </c>
      <c r="B45" s="6">
        <f>'[1]Pages 240-41'!B46</f>
        <v>42.17</v>
      </c>
      <c r="C45" s="9">
        <f t="shared" si="0"/>
        <v>3.4498656959808825E-2</v>
      </c>
      <c r="D45" s="10">
        <f t="shared" si="2"/>
        <v>3.5100638193421796E-2</v>
      </c>
      <c r="F45" s="6">
        <f>'[1]Pages 240-41'!C46</f>
        <v>50.23</v>
      </c>
      <c r="G45" s="9">
        <f t="shared" si="1"/>
        <v>-2.2636533919784308E-2</v>
      </c>
      <c r="H45" s="10">
        <f t="shared" si="3"/>
        <v>-2.2382249902686002E-2</v>
      </c>
    </row>
    <row r="46" spans="1:9" x14ac:dyDescent="0.25">
      <c r="A46" s="22">
        <v>38384</v>
      </c>
      <c r="B46" s="6">
        <f>'[1]Pages 240-41'!B47</f>
        <v>43.92</v>
      </c>
      <c r="C46" s="9">
        <f t="shared" si="0"/>
        <v>4.0660729442806749E-2</v>
      </c>
      <c r="D46" s="10">
        <f t="shared" si="2"/>
        <v>4.1498695755276316E-2</v>
      </c>
      <c r="F46" s="6">
        <f>'[1]Pages 240-41'!C47</f>
        <v>50.36</v>
      </c>
      <c r="G46" s="9">
        <f t="shared" si="1"/>
        <v>2.5847514141931443E-3</v>
      </c>
      <c r="H46" s="10">
        <f t="shared" si="3"/>
        <v>2.5880947640852803E-3</v>
      </c>
    </row>
    <row r="47" spans="1:9" x14ac:dyDescent="0.25">
      <c r="A47" s="22">
        <v>38412</v>
      </c>
      <c r="B47" s="6">
        <f>'[1]Pages 240-41'!B48</f>
        <v>51.25</v>
      </c>
      <c r="C47" s="9">
        <f t="shared" si="0"/>
        <v>0.15434582081724227</v>
      </c>
      <c r="D47" s="10">
        <f t="shared" si="2"/>
        <v>0.1668943533697631</v>
      </c>
      <c r="F47" s="6">
        <f>'[1]Pages 240-41'!C48</f>
        <v>49.57</v>
      </c>
      <c r="G47" s="9">
        <f t="shared" si="1"/>
        <v>-1.5811397143663853E-2</v>
      </c>
      <c r="H47" s="10">
        <f t="shared" si="3"/>
        <v>-1.568705321683872E-2</v>
      </c>
    </row>
    <row r="48" spans="1:9" x14ac:dyDescent="0.25">
      <c r="A48" s="22">
        <v>38443</v>
      </c>
      <c r="B48" s="6">
        <f>'[1]Pages 240-41'!B49</f>
        <v>46.92</v>
      </c>
      <c r="C48" s="9">
        <f t="shared" si="0"/>
        <v>-8.8271594233242809E-2</v>
      </c>
      <c r="D48" s="10">
        <f t="shared" si="2"/>
        <v>-8.4487804878048745E-2</v>
      </c>
      <c r="F48" s="6">
        <f>'[1]Pages 240-41'!C49</f>
        <v>45.99</v>
      </c>
      <c r="G48" s="9">
        <f t="shared" si="1"/>
        <v>-7.4961830480650068E-2</v>
      </c>
      <c r="H48" s="10">
        <f t="shared" si="3"/>
        <v>-7.2221101472664917E-2</v>
      </c>
    </row>
    <row r="49" spans="1:8" x14ac:dyDescent="0.25">
      <c r="A49" s="22">
        <v>38474</v>
      </c>
      <c r="B49" s="6">
        <f>'[1]Pages 240-41'!B50</f>
        <v>49.25</v>
      </c>
      <c r="C49" s="9">
        <f t="shared" si="0"/>
        <v>4.8465343832823096E-2</v>
      </c>
      <c r="D49" s="10">
        <f t="shared" si="2"/>
        <v>4.9658994032395487E-2</v>
      </c>
      <c r="F49" s="6">
        <f>'[1]Pages 240-41'!C50</f>
        <v>53.3</v>
      </c>
      <c r="G49" s="9">
        <f t="shared" si="1"/>
        <v>0.14751234961996626</v>
      </c>
      <c r="H49" s="10">
        <f t="shared" si="3"/>
        <v>0.15894759730376151</v>
      </c>
    </row>
    <row r="50" spans="1:8" x14ac:dyDescent="0.25">
      <c r="A50" s="22">
        <v>38504</v>
      </c>
      <c r="B50" s="6">
        <f>'[1]Pages 240-41'!B51</f>
        <v>52.04</v>
      </c>
      <c r="C50" s="9">
        <f t="shared" si="0"/>
        <v>5.5103286026206656E-2</v>
      </c>
      <c r="D50" s="10">
        <f t="shared" si="2"/>
        <v>5.6649746192893424E-2</v>
      </c>
      <c r="F50" s="6">
        <f>'[1]Pages 240-41'!C51</f>
        <v>54</v>
      </c>
      <c r="G50" s="9">
        <f t="shared" si="1"/>
        <v>1.3047715392475675E-2</v>
      </c>
      <c r="H50" s="10">
        <f t="shared" si="3"/>
        <v>1.3133208255159623E-2</v>
      </c>
    </row>
    <row r="51" spans="1:8" x14ac:dyDescent="0.25">
      <c r="A51" s="22">
        <v>38534</v>
      </c>
      <c r="B51" s="6">
        <f>'[1]Pages 240-41'!B52</f>
        <v>55.69</v>
      </c>
      <c r="C51" s="9">
        <f t="shared" si="0"/>
        <v>6.7787943957272709E-2</v>
      </c>
      <c r="D51" s="10">
        <f t="shared" si="2"/>
        <v>7.0138355111452722E-2</v>
      </c>
      <c r="F51" s="6">
        <f>'[1]Pages 240-41'!C52</f>
        <v>58.31</v>
      </c>
      <c r="G51" s="9">
        <f t="shared" si="1"/>
        <v>7.6789558669790217E-2</v>
      </c>
      <c r="H51" s="10">
        <f t="shared" si="3"/>
        <v>7.9814814814814783E-2</v>
      </c>
    </row>
    <row r="52" spans="1:8" x14ac:dyDescent="0.25">
      <c r="A52" s="22">
        <v>38565</v>
      </c>
      <c r="B52" s="6">
        <f>'[1]Pages 240-41'!B53</f>
        <v>48.24</v>
      </c>
      <c r="C52" s="9">
        <f t="shared" si="0"/>
        <v>-0.14361204518264717</v>
      </c>
      <c r="D52" s="10">
        <f t="shared" si="2"/>
        <v>-0.13377626144729748</v>
      </c>
      <c r="F52" s="6">
        <f>'[1]Pages 240-41'!C53</f>
        <v>53.45</v>
      </c>
      <c r="G52" s="9">
        <f t="shared" si="1"/>
        <v>-8.7026967763010332E-2</v>
      </c>
      <c r="H52" s="10">
        <f t="shared" si="3"/>
        <v>-8.334762476419133E-2</v>
      </c>
    </row>
    <row r="53" spans="1:8" x14ac:dyDescent="0.25">
      <c r="A53" s="22">
        <v>38596</v>
      </c>
      <c r="B53" s="6">
        <f>'[1]Pages 240-41'!B54</f>
        <v>47.04</v>
      </c>
      <c r="C53" s="9">
        <f t="shared" si="0"/>
        <v>-2.5190248828558633E-2</v>
      </c>
      <c r="D53" s="10">
        <f t="shared" si="2"/>
        <v>-2.4875621890547372E-2</v>
      </c>
      <c r="F53" s="6">
        <f>'[1]Pages 240-41'!C54</f>
        <v>51.64</v>
      </c>
      <c r="G53" s="9">
        <f t="shared" si="1"/>
        <v>-3.4450071492612498E-2</v>
      </c>
      <c r="H53" s="10">
        <f t="shared" si="3"/>
        <v>-3.386342376052387E-2</v>
      </c>
    </row>
    <row r="54" spans="1:8" x14ac:dyDescent="0.25">
      <c r="A54" s="22">
        <v>38628</v>
      </c>
      <c r="B54" s="6">
        <f>'[1]Pages 240-41'!B55</f>
        <v>50.93</v>
      </c>
      <c r="C54" s="9">
        <f t="shared" si="0"/>
        <v>7.9453837306141833E-2</v>
      </c>
      <c r="D54" s="10">
        <f t="shared" si="2"/>
        <v>8.2695578231292588E-2</v>
      </c>
      <c r="F54" s="6">
        <f>'[1]Pages 240-41'!C55</f>
        <v>55.37</v>
      </c>
      <c r="G54" s="9">
        <f t="shared" si="1"/>
        <v>6.9741364856433966E-2</v>
      </c>
      <c r="H54" s="10">
        <f t="shared" si="3"/>
        <v>7.2230828814872083E-2</v>
      </c>
    </row>
    <row r="55" spans="1:8" x14ac:dyDescent="0.25">
      <c r="A55" s="22">
        <v>38657</v>
      </c>
      <c r="B55" s="6">
        <f>'[1]Pages 240-41'!B56</f>
        <v>52.19</v>
      </c>
      <c r="C55" s="9">
        <f t="shared" si="0"/>
        <v>2.4438764758808677E-2</v>
      </c>
      <c r="D55" s="10">
        <f t="shared" si="2"/>
        <v>2.4739838994698671E-2</v>
      </c>
      <c r="F55" s="6">
        <f>'[1]Pages 240-41'!C56</f>
        <v>53.31</v>
      </c>
      <c r="G55" s="9">
        <f t="shared" si="1"/>
        <v>-3.7914000000206054E-2</v>
      </c>
      <c r="H55" s="10">
        <f t="shared" si="3"/>
        <v>-3.7204262235867702E-2</v>
      </c>
    </row>
    <row r="56" spans="1:8" x14ac:dyDescent="0.25">
      <c r="A56" s="22">
        <v>38687</v>
      </c>
      <c r="B56" s="6">
        <f>'[1]Pages 240-41'!B57</f>
        <v>55.31</v>
      </c>
      <c r="C56" s="9">
        <f t="shared" si="0"/>
        <v>5.8062818351264943E-2</v>
      </c>
      <c r="D56" s="10">
        <f t="shared" si="2"/>
        <v>5.9781567350067233E-2</v>
      </c>
      <c r="F56" s="6">
        <f>'[1]Pages 240-41'!C57</f>
        <v>54.76</v>
      </c>
      <c r="G56" s="9">
        <f t="shared" si="1"/>
        <v>2.6836069585578326E-2</v>
      </c>
      <c r="H56" s="10">
        <f t="shared" si="3"/>
        <v>2.7199399737384944E-2</v>
      </c>
    </row>
    <row r="57" spans="1:8" x14ac:dyDescent="0.25">
      <c r="A57" s="22">
        <v>38720</v>
      </c>
      <c r="B57" s="6">
        <f>'[1]Pages 240-41'!B58</f>
        <v>55.63</v>
      </c>
      <c r="C57" s="9">
        <f t="shared" si="0"/>
        <v>5.7689000806151391E-3</v>
      </c>
      <c r="D57" s="10">
        <f t="shared" si="2"/>
        <v>5.7855722292532441E-3</v>
      </c>
      <c r="F57" s="6">
        <f>'[1]Pages 240-41'!C58</f>
        <v>54.54</v>
      </c>
      <c r="G57" s="9">
        <f t="shared" si="1"/>
        <v>-4.0256230028056436E-3</v>
      </c>
      <c r="H57" s="10">
        <f t="shared" si="3"/>
        <v>-4.0175310445580426E-3</v>
      </c>
    </row>
    <row r="58" spans="1:8" x14ac:dyDescent="0.25">
      <c r="A58" s="22">
        <v>38749</v>
      </c>
      <c r="B58" s="6">
        <f>'[1]Pages 240-41'!B59</f>
        <v>58.46</v>
      </c>
      <c r="C58" s="9">
        <f t="shared" si="0"/>
        <v>4.9620135595898014E-2</v>
      </c>
      <c r="D58" s="10">
        <f t="shared" si="2"/>
        <v>5.087183174546106E-2</v>
      </c>
      <c r="F58" s="6">
        <f>'[1]Pages 240-41'!C59</f>
        <v>54.29</v>
      </c>
      <c r="G58" s="9">
        <f t="shared" si="1"/>
        <v>-4.5943295000827229E-3</v>
      </c>
      <c r="H58" s="10">
        <f t="shared" si="3"/>
        <v>-4.5837917125045591E-3</v>
      </c>
    </row>
    <row r="59" spans="1:8" x14ac:dyDescent="0.25">
      <c r="A59" s="22">
        <v>38777</v>
      </c>
      <c r="B59" s="6">
        <f>'[1]Pages 240-41'!B60</f>
        <v>60.23</v>
      </c>
      <c r="C59" s="9">
        <f t="shared" si="0"/>
        <v>2.9827807372529661E-2</v>
      </c>
      <c r="D59" s="10">
        <f t="shared" si="2"/>
        <v>3.02771125555934E-2</v>
      </c>
      <c r="F59" s="6">
        <f>'[1]Pages 240-41'!C60</f>
        <v>51.9</v>
      </c>
      <c r="G59" s="9">
        <f t="shared" si="1"/>
        <v>-4.5021257745516831E-2</v>
      </c>
      <c r="H59" s="10">
        <f t="shared" si="3"/>
        <v>-4.4022840302081478E-2</v>
      </c>
    </row>
    <row r="60" spans="1:8" x14ac:dyDescent="0.25">
      <c r="A60" s="22">
        <v>38810</v>
      </c>
      <c r="B60" s="6">
        <f>'[1]Pages 240-41'!B61</f>
        <v>65.459999999999994</v>
      </c>
      <c r="C60" s="9">
        <f t="shared" si="0"/>
        <v>8.3268702017404717E-2</v>
      </c>
      <c r="D60" s="10">
        <f t="shared" si="2"/>
        <v>8.683380375228289E-2</v>
      </c>
      <c r="F60" s="6">
        <f>'[1]Pages 240-41'!C61</f>
        <v>52.99</v>
      </c>
      <c r="G60" s="9">
        <f t="shared" si="1"/>
        <v>2.0784426332827795E-2</v>
      </c>
      <c r="H60" s="10">
        <f t="shared" si="3"/>
        <v>2.1001926782273639E-2</v>
      </c>
    </row>
    <row r="61" spans="1:8" x14ac:dyDescent="0.25">
      <c r="A61" s="22">
        <v>38838</v>
      </c>
      <c r="B61" s="6">
        <f>'[1]Pages 240-41'!B62</f>
        <v>60.84</v>
      </c>
      <c r="C61" s="9">
        <f t="shared" si="0"/>
        <v>-7.319180168194224E-2</v>
      </c>
      <c r="D61" s="10">
        <f t="shared" si="2"/>
        <v>-7.0577451879009989E-2</v>
      </c>
      <c r="F61" s="6">
        <f>'[1]Pages 240-41'!C62</f>
        <v>48.92</v>
      </c>
      <c r="G61" s="9">
        <f t="shared" si="1"/>
        <v>-7.9916905685699063E-2</v>
      </c>
      <c r="H61" s="10">
        <f t="shared" si="3"/>
        <v>-7.6806944706548363E-2</v>
      </c>
    </row>
    <row r="62" spans="1:8" x14ac:dyDescent="0.25">
      <c r="A62" s="22">
        <v>38869</v>
      </c>
      <c r="B62" s="6">
        <f>'[1]Pages 240-41'!B63</f>
        <v>67.510000000000005</v>
      </c>
      <c r="C62" s="9">
        <f t="shared" si="0"/>
        <v>0.104028267662687</v>
      </c>
      <c r="D62" s="10">
        <f t="shared" si="2"/>
        <v>0.1096318211702827</v>
      </c>
      <c r="F62" s="6">
        <f>'[1]Pages 240-41'!C63</f>
        <v>48.87</v>
      </c>
      <c r="G62" s="9">
        <f t="shared" si="1"/>
        <v>-1.0225995369082333E-3</v>
      </c>
      <c r="H62" s="10">
        <f t="shared" si="3"/>
        <v>-1.0220768601799657E-3</v>
      </c>
    </row>
    <row r="63" spans="1:8" x14ac:dyDescent="0.25">
      <c r="A63" s="22">
        <v>38901</v>
      </c>
      <c r="B63" s="6">
        <f>'[1]Pages 240-41'!B64</f>
        <v>67.650000000000006</v>
      </c>
      <c r="C63" s="9">
        <f t="shared" si="0"/>
        <v>2.0716195630178448E-3</v>
      </c>
      <c r="D63" s="10">
        <f t="shared" si="2"/>
        <v>2.0737668493555628E-3</v>
      </c>
      <c r="F63" s="6">
        <f>'[1]Pages 240-41'!C64</f>
        <v>49.17</v>
      </c>
      <c r="G63" s="9">
        <f t="shared" si="1"/>
        <v>6.1199701417845396E-3</v>
      </c>
      <c r="H63" s="10">
        <f t="shared" si="3"/>
        <v>6.1387354205033606E-3</v>
      </c>
    </row>
    <row r="64" spans="1:8" x14ac:dyDescent="0.25">
      <c r="C64" s="9"/>
      <c r="D64" s="9"/>
    </row>
    <row r="65" spans="1:9" x14ac:dyDescent="0.25">
      <c r="A65" s="19" t="s">
        <v>6</v>
      </c>
      <c r="C65" s="20">
        <f>AVERAGE(C4:C63)</f>
        <v>1.5892702111189778E-2</v>
      </c>
      <c r="D65" s="20">
        <f>AVERAGE(D4:D63)</f>
        <v>2.0668821813663158E-2</v>
      </c>
      <c r="G65" s="20">
        <f>AVERAGE(G4:G63)</f>
        <v>4.5602162833893595E-3</v>
      </c>
      <c r="H65" s="20">
        <f>AVERAGE(H4:H63)</f>
        <v>7.1808987959347354E-3</v>
      </c>
      <c r="I65" s="5" t="str">
        <f ca="1">[2]!getformula(H65)</f>
        <v>&lt;--  =AVERAGE(H4:H63)</v>
      </c>
    </row>
    <row r="66" spans="1:9" ht="27.6" x14ac:dyDescent="0.25">
      <c r="A66" s="21" t="s">
        <v>7</v>
      </c>
      <c r="C66" s="20">
        <f>STDEVP(D4:D63)</f>
        <v>9.6149086349732599E-2</v>
      </c>
      <c r="D66" s="20">
        <f>STDEVP(D4:D63)</f>
        <v>9.6149086349732599E-2</v>
      </c>
      <c r="G66" s="20">
        <f>STDEVP(H4:H63)</f>
        <v>7.3002029976457272E-2</v>
      </c>
      <c r="H66" s="20">
        <f>STDEVP(H4:H63)</f>
        <v>7.3002029976457272E-2</v>
      </c>
      <c r="I66" s="5" t="str">
        <f ca="1">[2]!getformula(H66)</f>
        <v>&lt;--  =STDEVP(H4:H63)</v>
      </c>
    </row>
  </sheetData>
  <mergeCells count="2">
    <mergeCell ref="A1:I1"/>
    <mergeCell ref="I6:I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2024-10-28T07:27:28Z</dcterms:modified>
</cp:coreProperties>
</file>