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4AC6701E-7135-49A8-9132-CAC0A2AD7A4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D16" i="1" s="1"/>
  <c r="E6" i="1"/>
  <c r="D6" i="1"/>
  <c r="D5" i="1"/>
  <c r="E4" i="1"/>
  <c r="D4" i="1"/>
  <c r="B4" i="1"/>
  <c r="E5" i="1" s="1"/>
  <c r="F16" i="1"/>
  <c r="F15" i="1"/>
  <c r="F6" i="1"/>
  <c r="F3" i="1"/>
  <c r="E16" i="1" l="1"/>
  <c r="E15" i="1"/>
</calcChain>
</file>

<file path=xl/sharedStrings.xml><?xml version="1.0" encoding="utf-8"?>
<sst xmlns="http://schemas.openxmlformats.org/spreadsheetml/2006/main" count="8" uniqueCount="8">
  <si>
    <t>GENERAL MOTORS (GM) STOCK
ADJUSTING FOR DIVIDENDS</t>
  </si>
  <si>
    <t>Year</t>
  </si>
  <si>
    <t>Share
price at end year</t>
  </si>
  <si>
    <t>Dividend
per share</t>
  </si>
  <si>
    <t>Discretely
compounded return</t>
  </si>
  <si>
    <t>Continuously
compounded return</t>
  </si>
  <si>
    <t>Standard deviation of returns</t>
  </si>
  <si>
    <t>Arithmetic annual return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</si>
</sst>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%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4" fillId="0" borderId="0" xfId="0" applyFont="1" applyAlignment="1">
      <alignment horizontal="center" vertical="center" wrapText="1"/>
    </xf>
    <xf numFmtId="2" fontId="0" fillId="0" borderId="0" xfId="0" applyNumberFormat="1" applyAlignment="1"/>
    <xf numFmtId="176" fontId="0" fillId="0" borderId="0" xfId="0" applyNumberFormat="1" applyAlignment="1"/>
    <xf numFmtId="0" fontId="0" fillId="2" borderId="0" xfId="0" applyFill="1" applyAlignment="1">
      <alignment horizontal="center"/>
    </xf>
    <xf numFmtId="10" fontId="2" fillId="0" borderId="0" xfId="1" applyNumberFormat="1" applyAlignment="1"/>
    <xf numFmtId="0" fontId="4" fillId="0" borderId="0" xfId="0" applyFont="1" applyAlignment="1"/>
    <xf numFmtId="10" fontId="0" fillId="0" borderId="0" xfId="0" applyNumberFormat="1" applyAlignment="1"/>
    <xf numFmtId="177" fontId="2" fillId="0" borderId="0" xfId="1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2</xdr:row>
      <xdr:rowOff>45720</xdr:rowOff>
    </xdr:from>
    <xdr:to>
      <xdr:col>5</xdr:col>
      <xdr:colOff>7620</xdr:colOff>
      <xdr:row>3</xdr:row>
      <xdr:rowOff>53340</xdr:rowOff>
    </xdr:to>
    <xdr:sp macro="" textlink="">
      <xdr:nvSpPr>
        <xdr:cNvPr id="2" name="Line 6">
          <a:extLst>
            <a:ext uri="{FF2B5EF4-FFF2-40B4-BE49-F238E27FC236}">
              <a16:creationId xmlns:a16="http://schemas.microsoft.com/office/drawing/2014/main" id="{73068C13-6360-4474-9CA1-BC5915EE335E}"/>
            </a:ext>
          </a:extLst>
        </xdr:cNvPr>
        <xdr:cNvSpPr>
          <a:spLocks noChangeShapeType="1"/>
        </xdr:cNvSpPr>
      </xdr:nvSpPr>
      <xdr:spPr bwMode="auto">
        <a:xfrm flipH="1">
          <a:off x="2781300" y="1095375"/>
          <a:ext cx="9048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18"/>
  <sheetViews>
    <sheetView tabSelected="1" zoomScale="205" zoomScaleNormal="205" workbookViewId="0">
      <selection activeCell="E19" sqref="E19"/>
    </sheetView>
  </sheetViews>
  <sheetFormatPr defaultRowHeight="13.8" x14ac:dyDescent="0.25"/>
  <cols>
    <col min="1" max="3" width="8.88671875" style="2"/>
    <col min="4" max="4" width="13.6640625" style="2" customWidth="1"/>
    <col min="5" max="5" width="13.33203125" style="2" customWidth="1"/>
    <col min="6" max="6" width="22.5546875" style="2" customWidth="1"/>
    <col min="7" max="7" width="8.88671875" style="2"/>
  </cols>
  <sheetData>
    <row r="1" spans="1:6" ht="17.399999999999999" x14ac:dyDescent="0.25">
      <c r="A1" s="1" t="s">
        <v>0</v>
      </c>
      <c r="B1" s="1"/>
      <c r="C1" s="1"/>
      <c r="D1" s="1"/>
      <c r="E1" s="1"/>
      <c r="F1" s="1"/>
    </row>
    <row r="2" spans="1:6" ht="39.6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</row>
    <row r="3" spans="1:6" x14ac:dyDescent="0.25">
      <c r="A3" s="2">
        <v>1986</v>
      </c>
      <c r="B3" s="4">
        <v>33</v>
      </c>
      <c r="C3" s="4"/>
      <c r="E3" s="5"/>
      <c r="F3" s="6" t="str">
        <f ca="1">[1]!ggetformula(D4)</f>
        <v>=(B4+C4)/B3-1</v>
      </c>
    </row>
    <row r="4" spans="1:6" x14ac:dyDescent="0.25">
      <c r="A4" s="2">
        <v>1987</v>
      </c>
      <c r="B4" s="4">
        <f>30+11/16</f>
        <v>30.6875</v>
      </c>
      <c r="C4" s="4">
        <v>2.5</v>
      </c>
      <c r="D4" s="7">
        <f t="shared" ref="D4:D13" si="0">(B4+C4)/B3-1</f>
        <v>5.6818181818181213E-3</v>
      </c>
      <c r="E4" s="7">
        <f t="shared" ref="E4:E13" si="1">LN((C4+B4)/B3)</f>
        <v>5.6657375356772999E-3</v>
      </c>
    </row>
    <row r="5" spans="1:6" x14ac:dyDescent="0.25">
      <c r="A5" s="2">
        <v>1988</v>
      </c>
      <c r="B5" s="4">
        <v>41.75</v>
      </c>
      <c r="C5" s="4">
        <v>2.5</v>
      </c>
      <c r="D5" s="7">
        <f t="shared" si="0"/>
        <v>0.44195519348268841</v>
      </c>
      <c r="E5" s="7">
        <f t="shared" si="1"/>
        <v>0.3659999658991992</v>
      </c>
      <c r="F5" s="7"/>
    </row>
    <row r="6" spans="1:6" x14ac:dyDescent="0.25">
      <c r="A6" s="2">
        <v>1989</v>
      </c>
      <c r="B6" s="4">
        <v>42.25</v>
      </c>
      <c r="C6" s="4">
        <v>3</v>
      </c>
      <c r="D6" s="7">
        <f t="shared" si="0"/>
        <v>8.3832335329341312E-2</v>
      </c>
      <c r="E6" s="7">
        <f t="shared" si="1"/>
        <v>8.0503218849070635E-2</v>
      </c>
      <c r="F6" s="7" t="str">
        <f ca="1">[1]!getformula(E4)</f>
        <v>&lt;--  =LN((C4+B4)/B3)</v>
      </c>
    </row>
    <row r="7" spans="1:6" x14ac:dyDescent="0.25">
      <c r="A7" s="2">
        <v>1990</v>
      </c>
      <c r="B7" s="4">
        <v>34.375</v>
      </c>
      <c r="C7" s="4">
        <v>3</v>
      </c>
      <c r="D7" s="7">
        <f t="shared" si="0"/>
        <v>-0.11538461538461542</v>
      </c>
      <c r="E7" s="7">
        <f t="shared" si="1"/>
        <v>-0.12260232209233239</v>
      </c>
      <c r="F7" s="7"/>
    </row>
    <row r="8" spans="1:6" x14ac:dyDescent="0.25">
      <c r="A8" s="2">
        <v>1991</v>
      </c>
      <c r="B8" s="4">
        <v>28.875</v>
      </c>
      <c r="C8" s="4">
        <v>1.6</v>
      </c>
      <c r="D8" s="7">
        <f t="shared" si="0"/>
        <v>-0.11345454545454536</v>
      </c>
      <c r="E8" s="7">
        <f t="shared" si="1"/>
        <v>-0.12042288061940004</v>
      </c>
      <c r="F8" s="7"/>
    </row>
    <row r="9" spans="1:6" x14ac:dyDescent="0.25">
      <c r="A9" s="2">
        <v>1992</v>
      </c>
      <c r="B9" s="4">
        <v>32.25</v>
      </c>
      <c r="C9" s="4">
        <v>1.4</v>
      </c>
      <c r="D9" s="7">
        <f t="shared" si="0"/>
        <v>0.16536796536796539</v>
      </c>
      <c r="E9" s="7">
        <f t="shared" si="1"/>
        <v>0.1530368872487792</v>
      </c>
      <c r="F9" s="7"/>
    </row>
    <row r="10" spans="1:6" x14ac:dyDescent="0.25">
      <c r="A10" s="2">
        <v>1993</v>
      </c>
      <c r="B10" s="4">
        <v>54.875</v>
      </c>
      <c r="C10" s="4">
        <v>0.8</v>
      </c>
      <c r="D10" s="7">
        <f t="shared" si="0"/>
        <v>0.72635658914728674</v>
      </c>
      <c r="E10" s="7">
        <f t="shared" si="1"/>
        <v>0.54601316990164983</v>
      </c>
      <c r="F10" s="7"/>
    </row>
    <row r="11" spans="1:6" x14ac:dyDescent="0.25">
      <c r="A11" s="2">
        <v>1994</v>
      </c>
      <c r="B11" s="4">
        <v>42.125</v>
      </c>
      <c r="C11" s="4">
        <v>0.8</v>
      </c>
      <c r="D11" s="7">
        <f t="shared" si="0"/>
        <v>-0.21776765375854223</v>
      </c>
      <c r="E11" s="7">
        <f t="shared" si="1"/>
        <v>-0.2456034646117963</v>
      </c>
      <c r="F11" s="7"/>
    </row>
    <row r="12" spans="1:6" x14ac:dyDescent="0.25">
      <c r="A12" s="2">
        <v>1995</v>
      </c>
      <c r="B12" s="4">
        <v>52.875</v>
      </c>
      <c r="C12" s="4">
        <v>1.1000000000000001</v>
      </c>
      <c r="D12" s="7">
        <f t="shared" si="0"/>
        <v>0.28130563798219588</v>
      </c>
      <c r="E12" s="7">
        <f t="shared" si="1"/>
        <v>0.24787958772834529</v>
      </c>
      <c r="F12" s="7"/>
    </row>
    <row r="13" spans="1:6" x14ac:dyDescent="0.25">
      <c r="A13" s="2">
        <v>1996</v>
      </c>
      <c r="B13" s="4">
        <v>55.75</v>
      </c>
      <c r="C13" s="4">
        <v>1.6</v>
      </c>
      <c r="D13" s="7">
        <f t="shared" si="0"/>
        <v>8.463356973995273E-2</v>
      </c>
      <c r="E13" s="7">
        <f t="shared" si="1"/>
        <v>8.124220620893767E-2</v>
      </c>
      <c r="F13" s="7"/>
    </row>
    <row r="15" spans="1:6" x14ac:dyDescent="0.25">
      <c r="A15" s="8" t="s">
        <v>7</v>
      </c>
      <c r="D15" s="9">
        <f>AVERAGE(D4:D13)</f>
        <v>0.13425262946335456</v>
      </c>
      <c r="E15" s="9">
        <f>AVERAGE(E4:E13)</f>
        <v>9.9171210604813029E-2</v>
      </c>
      <c r="F15" s="2" t="str">
        <f ca="1">[1]!getformula(E15)</f>
        <v>&lt;--  =AVERAGE(E4:E13)</v>
      </c>
    </row>
    <row r="16" spans="1:6" x14ac:dyDescent="0.25">
      <c r="A16" s="8" t="s">
        <v>6</v>
      </c>
      <c r="D16" s="7">
        <f>STDEVP(D4:D13)</f>
        <v>0.27147583822562688</v>
      </c>
      <c r="E16" s="7">
        <f>STDEVP(E4:E13)</f>
        <v>0.2283788238371052</v>
      </c>
      <c r="F16" s="2" t="str">
        <f ca="1">[1]!getformula(E16)</f>
        <v>&lt;--  =STDEVP(E4:E13)</v>
      </c>
    </row>
    <row r="17" spans="4:5" x14ac:dyDescent="0.25">
      <c r="D17" s="10"/>
      <c r="E17" s="10"/>
    </row>
    <row r="18" spans="4:5" x14ac:dyDescent="0.25">
      <c r="D18" s="10"/>
      <c r="E18" s="10"/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2024-10-28T06:51:02Z</dcterms:modified>
</cp:coreProperties>
</file>