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D4FC8490-2918-4469-9973-3FFA257CF97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Sheet2" sheetId="2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9" i="1" l="1"/>
  <c r="J70" i="1"/>
  <c r="J68" i="1"/>
  <c r="J66" i="1"/>
  <c r="J65" i="1"/>
  <c r="G66" i="1"/>
  <c r="G65" i="1"/>
  <c r="C66" i="1"/>
  <c r="C65" i="1"/>
  <c r="F63" i="1"/>
  <c r="G63" i="1" s="1"/>
  <c r="B63" i="1"/>
  <c r="C63" i="1" s="1"/>
  <c r="F62" i="1"/>
  <c r="G62" i="1" s="1"/>
  <c r="B62" i="1"/>
  <c r="C62" i="1" s="1"/>
  <c r="F61" i="1"/>
  <c r="G61" i="1" s="1"/>
  <c r="C61" i="1"/>
  <c r="B61" i="1"/>
  <c r="F60" i="1"/>
  <c r="C60" i="1"/>
  <c r="B60" i="1"/>
  <c r="F59" i="1"/>
  <c r="G60" i="1" s="1"/>
  <c r="C59" i="1"/>
  <c r="B59" i="1"/>
  <c r="F58" i="1"/>
  <c r="G58" i="1" s="1"/>
  <c r="C58" i="1"/>
  <c r="B58" i="1"/>
  <c r="F57" i="1"/>
  <c r="G57" i="1" s="1"/>
  <c r="C57" i="1"/>
  <c r="B57" i="1"/>
  <c r="G56" i="1"/>
  <c r="F56" i="1"/>
  <c r="B56" i="1"/>
  <c r="C56" i="1" s="1"/>
  <c r="G55" i="1"/>
  <c r="F55" i="1"/>
  <c r="C55" i="1"/>
  <c r="B55" i="1"/>
  <c r="G54" i="1"/>
  <c r="F54" i="1"/>
  <c r="B54" i="1"/>
  <c r="G53" i="1"/>
  <c r="F53" i="1"/>
  <c r="B53" i="1"/>
  <c r="C54" i="1" s="1"/>
  <c r="G52" i="1"/>
  <c r="F52" i="1"/>
  <c r="B52" i="1"/>
  <c r="C52" i="1" s="1"/>
  <c r="F51" i="1"/>
  <c r="G51" i="1" s="1"/>
  <c r="B51" i="1"/>
  <c r="C51" i="1" s="1"/>
  <c r="G50" i="1"/>
  <c r="F50" i="1"/>
  <c r="B50" i="1"/>
  <c r="C50" i="1" s="1"/>
  <c r="F49" i="1"/>
  <c r="G49" i="1" s="1"/>
  <c r="B49" i="1"/>
  <c r="F48" i="1"/>
  <c r="G48" i="1" s="1"/>
  <c r="B48" i="1"/>
  <c r="C49" i="1" s="1"/>
  <c r="F47" i="1"/>
  <c r="G47" i="1" s="1"/>
  <c r="B47" i="1"/>
  <c r="C47" i="1" s="1"/>
  <c r="F46" i="1"/>
  <c r="G46" i="1" s="1"/>
  <c r="B46" i="1"/>
  <c r="C46" i="1" s="1"/>
  <c r="F45" i="1"/>
  <c r="G45" i="1" s="1"/>
  <c r="C45" i="1"/>
  <c r="B45" i="1"/>
  <c r="F44" i="1"/>
  <c r="C44" i="1"/>
  <c r="B44" i="1"/>
  <c r="F43" i="1"/>
  <c r="G44" i="1" s="1"/>
  <c r="C43" i="1"/>
  <c r="B43" i="1"/>
  <c r="F42" i="1"/>
  <c r="G42" i="1" s="1"/>
  <c r="C42" i="1"/>
  <c r="B42" i="1"/>
  <c r="F41" i="1"/>
  <c r="G41" i="1" s="1"/>
  <c r="C41" i="1"/>
  <c r="B41" i="1"/>
  <c r="G40" i="1"/>
  <c r="F40" i="1"/>
  <c r="B40" i="1"/>
  <c r="C40" i="1" s="1"/>
  <c r="G39" i="1"/>
  <c r="F39" i="1"/>
  <c r="C39" i="1"/>
  <c r="B39" i="1"/>
  <c r="G38" i="1"/>
  <c r="F38" i="1"/>
  <c r="B38" i="1"/>
  <c r="G37" i="1"/>
  <c r="F37" i="1"/>
  <c r="B37" i="1"/>
  <c r="C38" i="1" s="1"/>
  <c r="G36" i="1"/>
  <c r="F36" i="1"/>
  <c r="B36" i="1"/>
  <c r="C36" i="1" s="1"/>
  <c r="F35" i="1"/>
  <c r="G35" i="1" s="1"/>
  <c r="B35" i="1"/>
  <c r="C35" i="1" s="1"/>
  <c r="G34" i="1"/>
  <c r="F34" i="1"/>
  <c r="B34" i="1"/>
  <c r="C34" i="1" s="1"/>
  <c r="F33" i="1"/>
  <c r="B33" i="1"/>
  <c r="F32" i="1"/>
  <c r="G33" i="1" s="1"/>
  <c r="B32" i="1"/>
  <c r="C33" i="1" s="1"/>
  <c r="F31" i="1"/>
  <c r="G31" i="1" s="1"/>
  <c r="B31" i="1"/>
  <c r="C31" i="1" s="1"/>
  <c r="F30" i="1"/>
  <c r="G30" i="1" s="1"/>
  <c r="B30" i="1"/>
  <c r="C30" i="1" s="1"/>
  <c r="F29" i="1"/>
  <c r="G29" i="1" s="1"/>
  <c r="C29" i="1"/>
  <c r="B29" i="1"/>
  <c r="F28" i="1"/>
  <c r="C28" i="1"/>
  <c r="B28" i="1"/>
  <c r="F27" i="1"/>
  <c r="G28" i="1" s="1"/>
  <c r="C27" i="1"/>
  <c r="B27" i="1"/>
  <c r="F26" i="1"/>
  <c r="G26" i="1" s="1"/>
  <c r="C26" i="1"/>
  <c r="B26" i="1"/>
  <c r="F25" i="1"/>
  <c r="G25" i="1" s="1"/>
  <c r="C25" i="1"/>
  <c r="B25" i="1"/>
  <c r="G24" i="1"/>
  <c r="F24" i="1"/>
  <c r="B24" i="1"/>
  <c r="C24" i="1" s="1"/>
  <c r="G23" i="1"/>
  <c r="F23" i="1"/>
  <c r="C23" i="1"/>
  <c r="B23" i="1"/>
  <c r="G22" i="1"/>
  <c r="F22" i="1"/>
  <c r="B22" i="1"/>
  <c r="G21" i="1"/>
  <c r="F21" i="1"/>
  <c r="B21" i="1"/>
  <c r="C22" i="1" s="1"/>
  <c r="G20" i="1"/>
  <c r="F20" i="1"/>
  <c r="B20" i="1"/>
  <c r="C20" i="1" s="1"/>
  <c r="F19" i="1"/>
  <c r="G19" i="1" s="1"/>
  <c r="B19" i="1"/>
  <c r="C19" i="1" s="1"/>
  <c r="G18" i="1"/>
  <c r="F18" i="1"/>
  <c r="B18" i="1"/>
  <c r="C18" i="1" s="1"/>
  <c r="F17" i="1"/>
  <c r="B17" i="1"/>
  <c r="F16" i="1"/>
  <c r="G17" i="1" s="1"/>
  <c r="B16" i="1"/>
  <c r="C17" i="1" s="1"/>
  <c r="F15" i="1"/>
  <c r="G15" i="1" s="1"/>
  <c r="B15" i="1"/>
  <c r="F14" i="1"/>
  <c r="G14" i="1" s="1"/>
  <c r="B14" i="1"/>
  <c r="C15" i="1" s="1"/>
  <c r="F13" i="1"/>
  <c r="G13" i="1" s="1"/>
  <c r="C13" i="1"/>
  <c r="B13" i="1"/>
  <c r="F12" i="1"/>
  <c r="C12" i="1"/>
  <c r="B12" i="1"/>
  <c r="F11" i="1"/>
  <c r="G12" i="1" s="1"/>
  <c r="C11" i="1"/>
  <c r="B11" i="1"/>
  <c r="F10" i="1"/>
  <c r="C10" i="1"/>
  <c r="B10" i="1"/>
  <c r="F9" i="1"/>
  <c r="G10" i="1" s="1"/>
  <c r="C9" i="1"/>
  <c r="B9" i="1"/>
  <c r="G8" i="1"/>
  <c r="F8" i="1"/>
  <c r="B8" i="1"/>
  <c r="C8" i="1" s="1"/>
  <c r="G7" i="1"/>
  <c r="F7" i="1"/>
  <c r="C7" i="1"/>
  <c r="B7" i="1"/>
  <c r="G6" i="1"/>
  <c r="F6" i="1"/>
  <c r="B6" i="1"/>
  <c r="G5" i="1"/>
  <c r="F5" i="1"/>
  <c r="B5" i="1"/>
  <c r="C6" i="1" s="1"/>
  <c r="G4" i="1"/>
  <c r="F4" i="1"/>
  <c r="B4" i="1"/>
  <c r="F3" i="1"/>
  <c r="B3" i="1"/>
  <c r="C4" i="1" s="1"/>
  <c r="E4" i="1"/>
  <c r="K70" i="1"/>
  <c r="K69" i="1"/>
  <c r="K68" i="1"/>
  <c r="K66" i="1"/>
  <c r="K65" i="1"/>
  <c r="D66" i="1"/>
  <c r="D65" i="1"/>
  <c r="K4" i="1"/>
  <c r="I4" i="1"/>
  <c r="G11" i="1" l="1"/>
  <c r="C16" i="1"/>
  <c r="G27" i="1"/>
  <c r="C32" i="1"/>
  <c r="G43" i="1"/>
  <c r="C48" i="1"/>
  <c r="G59" i="1"/>
  <c r="G9" i="1"/>
  <c r="C14" i="1"/>
  <c r="C5" i="1"/>
  <c r="G16" i="1"/>
  <c r="C21" i="1"/>
  <c r="G32" i="1"/>
  <c r="C37" i="1"/>
  <c r="C53" i="1"/>
  <c r="D32" i="1" l="1"/>
  <c r="D21" i="1"/>
  <c r="D53" i="1"/>
  <c r="H53" i="1" l="1"/>
  <c r="H37" i="1"/>
  <c r="H21" i="1"/>
  <c r="H5" i="1"/>
  <c r="H13" i="1"/>
  <c r="H38" i="1"/>
  <c r="H51" i="1"/>
  <c r="H19" i="1"/>
  <c r="H20" i="1"/>
  <c r="H44" i="1"/>
  <c r="H56" i="1"/>
  <c r="H46" i="1"/>
  <c r="H24" i="1"/>
  <c r="H31" i="1"/>
  <c r="H55" i="1"/>
  <c r="H45" i="1"/>
  <c r="H26" i="1"/>
  <c r="H52" i="1"/>
  <c r="H42" i="1"/>
  <c r="H8" i="1"/>
  <c r="H50" i="1"/>
  <c r="H17" i="1"/>
  <c r="H57" i="1"/>
  <c r="H22" i="1"/>
  <c r="H63" i="1"/>
  <c r="H58" i="1"/>
  <c r="H10" i="1"/>
  <c r="H28" i="1"/>
  <c r="H15" i="1"/>
  <c r="H39" i="1"/>
  <c r="H35" i="1"/>
  <c r="H62" i="1"/>
  <c r="H40" i="1"/>
  <c r="H29" i="1"/>
  <c r="H7" i="1"/>
  <c r="H25" i="1"/>
  <c r="H34" i="1"/>
  <c r="H36" i="1"/>
  <c r="H49" i="1"/>
  <c r="H61" i="1"/>
  <c r="H41" i="1"/>
  <c r="H30" i="1"/>
  <c r="H47" i="1"/>
  <c r="H48" i="1"/>
  <c r="H4" i="1"/>
  <c r="H6" i="1"/>
  <c r="H18" i="1"/>
  <c r="H54" i="1"/>
  <c r="H23" i="1"/>
  <c r="H14" i="1"/>
  <c r="H12" i="1"/>
  <c r="H60" i="1"/>
  <c r="H33" i="1"/>
  <c r="J21" i="1"/>
  <c r="J53" i="1"/>
  <c r="D42" i="1"/>
  <c r="J42" i="1" s="1"/>
  <c r="D26" i="1"/>
  <c r="J26" i="1" s="1"/>
  <c r="D10" i="1"/>
  <c r="D28" i="1"/>
  <c r="D36" i="1"/>
  <c r="J36" i="1" s="1"/>
  <c r="D13" i="1"/>
  <c r="J13" i="1" s="1"/>
  <c r="D35" i="1"/>
  <c r="D25" i="1"/>
  <c r="J25" i="1" s="1"/>
  <c r="D62" i="1"/>
  <c r="J62" i="1" s="1"/>
  <c r="D58" i="1"/>
  <c r="D30" i="1"/>
  <c r="D31" i="1"/>
  <c r="D55" i="1"/>
  <c r="D56" i="1"/>
  <c r="D47" i="1"/>
  <c r="D38" i="1"/>
  <c r="J38" i="1" s="1"/>
  <c r="D24" i="1"/>
  <c r="D49" i="1"/>
  <c r="D15" i="1"/>
  <c r="D61" i="1"/>
  <c r="D59" i="1"/>
  <c r="D8" i="1"/>
  <c r="J8" i="1" s="1"/>
  <c r="D22" i="1"/>
  <c r="J22" i="1" s="1"/>
  <c r="D11" i="1"/>
  <c r="J11" i="1" s="1"/>
  <c r="D7" i="1"/>
  <c r="D33" i="1"/>
  <c r="D18" i="1"/>
  <c r="D12" i="1"/>
  <c r="J12" i="1" s="1"/>
  <c r="D4" i="1"/>
  <c r="D43" i="1"/>
  <c r="D39" i="1"/>
  <c r="D52" i="1"/>
  <c r="J52" i="1" s="1"/>
  <c r="D19" i="1"/>
  <c r="J19" i="1" s="1"/>
  <c r="D50" i="1"/>
  <c r="J50" i="1" s="1"/>
  <c r="D44" i="1"/>
  <c r="D51" i="1"/>
  <c r="J51" i="1" s="1"/>
  <c r="D46" i="1"/>
  <c r="J46" i="1" s="1"/>
  <c r="D20" i="1"/>
  <c r="D41" i="1"/>
  <c r="D40" i="1"/>
  <c r="J40" i="1" s="1"/>
  <c r="D54" i="1"/>
  <c r="J54" i="1" s="1"/>
  <c r="D23" i="1"/>
  <c r="J23" i="1" s="1"/>
  <c r="D60" i="1"/>
  <c r="D6" i="1"/>
  <c r="D45" i="1"/>
  <c r="D9" i="1"/>
  <c r="D34" i="1"/>
  <c r="J34" i="1" s="1"/>
  <c r="D17" i="1"/>
  <c r="J17" i="1" s="1"/>
  <c r="D57" i="1"/>
  <c r="D27" i="1"/>
  <c r="D63" i="1"/>
  <c r="D29" i="1"/>
  <c r="J29" i="1" s="1"/>
  <c r="H11" i="1"/>
  <c r="H27" i="1"/>
  <c r="H9" i="1"/>
  <c r="D16" i="1"/>
  <c r="J16" i="1" s="1"/>
  <c r="H43" i="1"/>
  <c r="D14" i="1"/>
  <c r="D48" i="1"/>
  <c r="H32" i="1"/>
  <c r="J32" i="1" s="1"/>
  <c r="D5" i="1"/>
  <c r="J5" i="1" s="1"/>
  <c r="H59" i="1"/>
  <c r="D37" i="1"/>
  <c r="J37" i="1" s="1"/>
  <c r="H16" i="1"/>
  <c r="J41" i="1" l="1"/>
  <c r="J20" i="1"/>
  <c r="J61" i="1"/>
  <c r="J45" i="1"/>
  <c r="J44" i="1"/>
  <c r="J59" i="1"/>
  <c r="J63" i="1"/>
  <c r="J10" i="1"/>
  <c r="J49" i="1"/>
  <c r="J57" i="1"/>
  <c r="J43" i="1"/>
  <c r="J60" i="1"/>
  <c r="J35" i="1"/>
  <c r="J28" i="1"/>
  <c r="J15" i="1"/>
  <c r="J27" i="1"/>
  <c r="J24" i="1"/>
  <c r="J39" i="1"/>
  <c r="J47" i="1"/>
  <c r="J9" i="1"/>
  <c r="J56" i="1"/>
  <c r="J4" i="1"/>
  <c r="J55" i="1"/>
  <c r="J6" i="1"/>
  <c r="J31" i="1"/>
  <c r="J48" i="1"/>
  <c r="J18" i="1"/>
  <c r="J30" i="1"/>
  <c r="J14" i="1"/>
  <c r="J33" i="1"/>
  <c r="J58" i="1"/>
  <c r="J7" i="1"/>
</calcChain>
</file>

<file path=xl/sharedStrings.xml><?xml version="1.0" encoding="utf-8"?>
<sst xmlns="http://schemas.openxmlformats.org/spreadsheetml/2006/main" count="17" uniqueCount="11">
  <si>
    <t>Date</t>
  </si>
  <si>
    <t>WMT</t>
  </si>
  <si>
    <t>Return</t>
  </si>
  <si>
    <t>Return minus
mean</t>
  </si>
  <si>
    <t>TGT</t>
  </si>
  <si>
    <t>Product</t>
  </si>
  <si>
    <t>Average</t>
  </si>
  <si>
    <t>Covariance</t>
  </si>
  <si>
    <t>Standard deviation</t>
  </si>
  <si>
    <t>Correlation</t>
  </si>
  <si>
    <t>COMPUTING THE COVARIANCE FOR WALMART (WMT) AND TARGET (TGT)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</si>
</sst>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/>
    <xf numFmtId="2" fontId="0" fillId="0" borderId="0" xfId="0" applyNumberFormat="1" applyAlignment="1"/>
    <xf numFmtId="176" fontId="2" fillId="0" borderId="0" xfId="1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/>
    <xf numFmtId="10" fontId="0" fillId="0" borderId="0" xfId="1" applyNumberFormat="1" applyFont="1" applyAlignment="1"/>
    <xf numFmtId="10" fontId="2" fillId="0" borderId="0" xfId="1" applyNumberFormat="1" applyAlignment="1">
      <alignment horizontal="right"/>
    </xf>
    <xf numFmtId="176" fontId="0" fillId="0" borderId="0" xfId="0" applyNumberFormat="1" applyAlignment="1"/>
    <xf numFmtId="0" fontId="4" fillId="0" borderId="0" xfId="0" applyFont="1" applyAlignment="1"/>
    <xf numFmtId="0" fontId="5" fillId="0" borderId="0" xfId="0" applyFont="1" applyAlignment="1"/>
    <xf numFmtId="10" fontId="0" fillId="0" borderId="0" xfId="0" applyNumberFormat="1" applyAlignment="1"/>
    <xf numFmtId="10" fontId="2" fillId="0" borderId="0" xfId="1" applyNumberFormat="1" applyAlignment="1"/>
    <xf numFmtId="176" fontId="0" fillId="2" borderId="0" xfId="0" applyNumberFormat="1" applyFill="1" applyAlignment="1"/>
    <xf numFmtId="14" fontId="0" fillId="0" borderId="0" xfId="0" applyNumberFormat="1" applyAlignment="1">
      <alignment horizontal="center"/>
    </xf>
    <xf numFmtId="0" fontId="4" fillId="3" borderId="0" xfId="0" applyFont="1" applyFill="1" applyAlignment="1">
      <alignment horizontal="center" wrapText="1"/>
    </xf>
    <xf numFmtId="0" fontId="6" fillId="0" borderId="0" xfId="0" applyFont="1" applyAlignment="1"/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247650</xdr:colOff>
      <xdr:row>1</xdr:row>
      <xdr:rowOff>247650</xdr:rowOff>
    </xdr:from>
    <xdr:to>
      <xdr:col>27</xdr:col>
      <xdr:colOff>434340</xdr:colOff>
      <xdr:row>30</xdr:row>
      <xdr:rowOff>20955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F6A7F63-87F7-03E0-E15A-630A11C48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82225" y="466725"/>
          <a:ext cx="9944100" cy="508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>
        <row r="4">
          <cell r="B4">
            <v>26.07</v>
          </cell>
          <cell r="C4">
            <v>37.4</v>
          </cell>
        </row>
        <row r="5">
          <cell r="B5">
            <v>22</v>
          </cell>
          <cell r="C5">
            <v>33.53</v>
          </cell>
        </row>
        <row r="6">
          <cell r="B6">
            <v>20.07</v>
          </cell>
          <cell r="C6">
            <v>30.73</v>
          </cell>
        </row>
        <row r="7">
          <cell r="B7">
            <v>20.02</v>
          </cell>
          <cell r="C7">
            <v>30.15</v>
          </cell>
        </row>
        <row r="8">
          <cell r="B8">
            <v>23.35</v>
          </cell>
          <cell r="C8">
            <v>36.380000000000003</v>
          </cell>
        </row>
        <row r="9">
          <cell r="B9">
            <v>24.79</v>
          </cell>
          <cell r="C9">
            <v>39.79</v>
          </cell>
        </row>
        <row r="10">
          <cell r="B10">
            <v>23.03</v>
          </cell>
          <cell r="C10">
            <v>43.04</v>
          </cell>
        </row>
        <row r="11">
          <cell r="B11">
            <v>18.09</v>
          </cell>
          <cell r="C11">
            <v>40.659999999999997</v>
          </cell>
        </row>
        <row r="12">
          <cell r="B12">
            <v>19.170000000000002</v>
          </cell>
          <cell r="C12">
            <v>41.85</v>
          </cell>
        </row>
        <row r="13">
          <cell r="B13">
            <v>20.25</v>
          </cell>
          <cell r="C13">
            <v>42.36</v>
          </cell>
        </row>
        <row r="14">
          <cell r="B14">
            <v>22.79</v>
          </cell>
          <cell r="C14">
            <v>40.29</v>
          </cell>
        </row>
        <row r="15">
          <cell r="B15">
            <v>20.52</v>
          </cell>
          <cell r="C15">
            <v>37.03</v>
          </cell>
        </row>
        <row r="16">
          <cell r="B16">
            <v>16.5</v>
          </cell>
          <cell r="C16">
            <v>32.409999999999997</v>
          </cell>
        </row>
        <row r="17">
          <cell r="B17">
            <v>16.27</v>
          </cell>
          <cell r="C17">
            <v>33.299999999999997</v>
          </cell>
        </row>
        <row r="18">
          <cell r="B18">
            <v>14.92</v>
          </cell>
          <cell r="C18">
            <v>28.74</v>
          </cell>
        </row>
        <row r="19">
          <cell r="B19">
            <v>18.010000000000002</v>
          </cell>
          <cell r="C19">
            <v>29.32</v>
          </cell>
        </row>
        <row r="20">
          <cell r="B20">
            <v>22.43</v>
          </cell>
          <cell r="C20">
            <v>33.92</v>
          </cell>
        </row>
        <row r="21">
          <cell r="B21">
            <v>21.75</v>
          </cell>
          <cell r="C21">
            <v>29.26</v>
          </cell>
        </row>
        <row r="22">
          <cell r="B22">
            <v>18.43</v>
          </cell>
          <cell r="C22">
            <v>27.51</v>
          </cell>
        </row>
        <row r="23">
          <cell r="B23">
            <v>18.87</v>
          </cell>
          <cell r="C23">
            <v>28</v>
          </cell>
        </row>
        <row r="24">
          <cell r="B24">
            <v>18.670000000000002</v>
          </cell>
          <cell r="C24">
            <v>28.6</v>
          </cell>
        </row>
        <row r="25">
          <cell r="B25">
            <v>16.32</v>
          </cell>
          <cell r="C25">
            <v>32.69</v>
          </cell>
        </row>
        <row r="26">
          <cell r="B26">
            <v>16.57</v>
          </cell>
          <cell r="C26">
            <v>35.869999999999997</v>
          </cell>
        </row>
        <row r="27">
          <cell r="B27">
            <v>16.12</v>
          </cell>
          <cell r="C27">
            <v>37.049999999999997</v>
          </cell>
        </row>
        <row r="28">
          <cell r="B28">
            <v>17.91</v>
          </cell>
          <cell r="C28">
            <v>37.520000000000003</v>
          </cell>
        </row>
        <row r="29">
          <cell r="B29">
            <v>20.45</v>
          </cell>
          <cell r="C29">
            <v>39.83</v>
          </cell>
        </row>
        <row r="30">
          <cell r="B30">
            <v>20.6</v>
          </cell>
          <cell r="C30">
            <v>36.909999999999997</v>
          </cell>
        </row>
        <row r="31">
          <cell r="B31">
            <v>22.92</v>
          </cell>
          <cell r="C31">
            <v>38.979999999999997</v>
          </cell>
        </row>
        <row r="32">
          <cell r="B32">
            <v>24.12</v>
          </cell>
          <cell r="C32">
            <v>38.049999999999997</v>
          </cell>
        </row>
        <row r="33">
          <cell r="B33">
            <v>25.47</v>
          </cell>
          <cell r="C33">
            <v>37.74</v>
          </cell>
        </row>
        <row r="34">
          <cell r="B34">
            <v>25.5</v>
          </cell>
          <cell r="C34">
            <v>37.31</v>
          </cell>
        </row>
        <row r="35">
          <cell r="B35">
            <v>30.06</v>
          </cell>
          <cell r="C35">
            <v>43.27</v>
          </cell>
        </row>
        <row r="36">
          <cell r="B36">
            <v>33.869999999999997</v>
          </cell>
          <cell r="C36">
            <v>44.34</v>
          </cell>
        </row>
        <row r="37">
          <cell r="B37">
            <v>33.1</v>
          </cell>
          <cell r="C37">
            <v>42.69</v>
          </cell>
        </row>
        <row r="38">
          <cell r="B38">
            <v>34.97</v>
          </cell>
          <cell r="C38">
            <v>44.08</v>
          </cell>
        </row>
        <row r="39">
          <cell r="B39">
            <v>36.909999999999997</v>
          </cell>
          <cell r="C39">
            <v>41.88</v>
          </cell>
        </row>
        <row r="40">
          <cell r="B40">
            <v>39.229999999999997</v>
          </cell>
          <cell r="C40">
            <v>42.99</v>
          </cell>
        </row>
        <row r="41">
          <cell r="B41">
            <v>37.58</v>
          </cell>
          <cell r="C41">
            <v>44.04</v>
          </cell>
        </row>
        <row r="42">
          <cell r="B42">
            <v>34.6</v>
          </cell>
          <cell r="C42">
            <v>44.7</v>
          </cell>
        </row>
        <row r="43">
          <cell r="B43">
            <v>34.04</v>
          </cell>
          <cell r="C43">
            <v>49.41</v>
          </cell>
        </row>
        <row r="44">
          <cell r="B44">
            <v>37.99</v>
          </cell>
          <cell r="C44">
            <v>50.68</v>
          </cell>
        </row>
        <row r="45">
          <cell r="B45">
            <v>40.74</v>
          </cell>
          <cell r="C45">
            <v>51.38</v>
          </cell>
        </row>
        <row r="46">
          <cell r="B46">
            <v>42.17</v>
          </cell>
          <cell r="C46">
            <v>50.23</v>
          </cell>
        </row>
        <row r="47">
          <cell r="B47">
            <v>43.92</v>
          </cell>
          <cell r="C47">
            <v>50.36</v>
          </cell>
        </row>
        <row r="48">
          <cell r="B48">
            <v>51.25</v>
          </cell>
          <cell r="C48">
            <v>49.57</v>
          </cell>
        </row>
        <row r="49">
          <cell r="B49">
            <v>46.92</v>
          </cell>
          <cell r="C49">
            <v>45.99</v>
          </cell>
        </row>
        <row r="50">
          <cell r="B50">
            <v>49.25</v>
          </cell>
          <cell r="C50">
            <v>53.3</v>
          </cell>
        </row>
        <row r="51">
          <cell r="B51">
            <v>52.04</v>
          </cell>
          <cell r="C51">
            <v>54</v>
          </cell>
        </row>
        <row r="52">
          <cell r="B52">
            <v>55.69</v>
          </cell>
          <cell r="C52">
            <v>58.31</v>
          </cell>
        </row>
        <row r="53">
          <cell r="B53">
            <v>48.24</v>
          </cell>
          <cell r="C53">
            <v>53.45</v>
          </cell>
        </row>
        <row r="54">
          <cell r="B54">
            <v>47.04</v>
          </cell>
          <cell r="C54">
            <v>51.64</v>
          </cell>
        </row>
        <row r="55">
          <cell r="B55">
            <v>50.93</v>
          </cell>
          <cell r="C55">
            <v>55.37</v>
          </cell>
        </row>
        <row r="56">
          <cell r="B56">
            <v>52.19</v>
          </cell>
          <cell r="C56">
            <v>53.31</v>
          </cell>
        </row>
        <row r="57">
          <cell r="B57">
            <v>55.31</v>
          </cell>
          <cell r="C57">
            <v>54.76</v>
          </cell>
        </row>
        <row r="58">
          <cell r="B58">
            <v>55.63</v>
          </cell>
          <cell r="C58">
            <v>54.54</v>
          </cell>
        </row>
        <row r="59">
          <cell r="B59">
            <v>58.46</v>
          </cell>
          <cell r="C59">
            <v>54.29</v>
          </cell>
        </row>
        <row r="60">
          <cell r="B60">
            <v>60.23</v>
          </cell>
          <cell r="C60">
            <v>51.9</v>
          </cell>
        </row>
        <row r="61">
          <cell r="B61">
            <v>65.459999999999994</v>
          </cell>
          <cell r="C61">
            <v>52.99</v>
          </cell>
        </row>
        <row r="62">
          <cell r="B62">
            <v>60.84</v>
          </cell>
          <cell r="C62">
            <v>48.92</v>
          </cell>
        </row>
        <row r="63">
          <cell r="B63">
            <v>67.510000000000005</v>
          </cell>
          <cell r="C63">
            <v>48.87</v>
          </cell>
        </row>
        <row r="64">
          <cell r="B64">
            <v>67.650000000000006</v>
          </cell>
          <cell r="C64">
            <v>49.17</v>
          </cell>
        </row>
      </sheetData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70"/>
  <sheetViews>
    <sheetView tabSelected="1" topLeftCell="A37" zoomScale="130" zoomScaleNormal="130" workbookViewId="0">
      <selection activeCell="L54" sqref="L54"/>
    </sheetView>
  </sheetViews>
  <sheetFormatPr defaultRowHeight="13.8" x14ac:dyDescent="0.25"/>
  <cols>
    <col min="1" max="1" width="12.88671875" style="3" customWidth="1"/>
    <col min="2" max="2" width="9.5546875" style="3" customWidth="1"/>
    <col min="3" max="3" width="9.88671875" style="3" customWidth="1"/>
    <col min="4" max="4" width="10.5546875" style="3" customWidth="1"/>
    <col min="5" max="5" width="11.88671875" style="3" customWidth="1"/>
    <col min="6" max="6" width="9.88671875" style="3" customWidth="1"/>
    <col min="7" max="7" width="10.109375" style="3" customWidth="1"/>
    <col min="8" max="8" width="9.88671875" style="3" customWidth="1"/>
    <col min="9" max="9" width="14.6640625" style="3" customWidth="1"/>
    <col min="10" max="10" width="11.109375" style="3" customWidth="1"/>
    <col min="11" max="11" width="41" style="3" bestFit="1" customWidth="1"/>
  </cols>
  <sheetData>
    <row r="1" spans="1:11" ht="17.399999999999999" x14ac:dyDescent="0.3">
      <c r="A1" s="1" t="s">
        <v>10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39.6" x14ac:dyDescent="0.25">
      <c r="A2" s="2" t="s">
        <v>0</v>
      </c>
      <c r="B2" s="2" t="s">
        <v>1</v>
      </c>
      <c r="C2" s="2" t="s">
        <v>2</v>
      </c>
      <c r="D2" s="17" t="s">
        <v>3</v>
      </c>
      <c r="F2" s="2" t="s">
        <v>4</v>
      </c>
      <c r="G2" s="2" t="s">
        <v>2</v>
      </c>
      <c r="H2" s="17" t="s">
        <v>3</v>
      </c>
      <c r="J2" s="2" t="s">
        <v>5</v>
      </c>
    </row>
    <row r="3" spans="1:11" x14ac:dyDescent="0.25">
      <c r="A3" s="16">
        <v>37077</v>
      </c>
      <c r="B3" s="4">
        <f>'[1]Pages 240-41'!B4</f>
        <v>26.07</v>
      </c>
      <c r="D3" s="5"/>
      <c r="E3" s="6"/>
      <c r="F3" s="4">
        <f>'[1]Pages 240-41'!C4</f>
        <v>37.4</v>
      </c>
      <c r="G3" s="6"/>
      <c r="H3" s="5"/>
      <c r="J3" s="7"/>
    </row>
    <row r="4" spans="1:11" x14ac:dyDescent="0.25">
      <c r="A4" s="16">
        <v>37104</v>
      </c>
      <c r="B4" s="4">
        <f>'[1]Pages 240-41'!B5</f>
        <v>22</v>
      </c>
      <c r="C4" s="8">
        <f>LN(B4/B3)</f>
        <v>-0.1697427745870945</v>
      </c>
      <c r="D4" s="9">
        <f>C4-$C$65</f>
        <v>-0.18563547669828429</v>
      </c>
      <c r="E4" s="6" t="str">
        <f ca="1">[2]!getformula(D4)</f>
        <v>&lt;--  =C4-$C$65</v>
      </c>
      <c r="F4" s="4">
        <f>'[1]Pages 240-41'!C5</f>
        <v>33.53</v>
      </c>
      <c r="G4" s="8">
        <f>LN(F4/F3)</f>
        <v>-0.10923014394234899</v>
      </c>
      <c r="H4" s="9">
        <f>G4-$G$65</f>
        <v>-0.11379036022573835</v>
      </c>
      <c r="I4" s="6" t="str">
        <f ca="1">[2]!getformula(H4)</f>
        <v>&lt;--  =G4-$G$65</v>
      </c>
      <c r="J4" s="10">
        <f>D4*H4</f>
        <v>2.1123527764174428E-2</v>
      </c>
      <c r="K4" s="3" t="str">
        <f ca="1">[2]!getformula(J4)</f>
        <v>&lt;--  =D4*H4</v>
      </c>
    </row>
    <row r="5" spans="1:11" x14ac:dyDescent="0.25">
      <c r="A5" s="16">
        <v>37138</v>
      </c>
      <c r="B5" s="4">
        <f>'[1]Pages 240-41'!B6</f>
        <v>20.07</v>
      </c>
      <c r="C5" s="8">
        <f t="shared" ref="C5:C63" si="0">LN(B5/B4)</f>
        <v>-9.1816290550069124E-2</v>
      </c>
      <c r="D5" s="9">
        <f t="shared" ref="D5:D63" si="1">C5-$C$65</f>
        <v>-0.1077089926612589</v>
      </c>
      <c r="E5" s="6"/>
      <c r="F5" s="4">
        <f>'[1]Pages 240-41'!C6</f>
        <v>30.73</v>
      </c>
      <c r="G5" s="8">
        <f t="shared" ref="G5:G63" si="2">LN(F5/F4)</f>
        <v>-8.7201184335743878E-2</v>
      </c>
      <c r="H5" s="9">
        <f t="shared" ref="H5:H63" si="3">G5-$G$65</f>
        <v>-9.1761400619133238E-2</v>
      </c>
      <c r="I5" s="6"/>
      <c r="J5" s="10">
        <f t="shared" ref="J5:J63" si="4">D5*H5</f>
        <v>9.8835280258730597E-3</v>
      </c>
    </row>
    <row r="6" spans="1:11" x14ac:dyDescent="0.25">
      <c r="A6" s="16">
        <v>37165</v>
      </c>
      <c r="B6" s="4">
        <f>'[1]Pages 240-41'!B7</f>
        <v>20.02</v>
      </c>
      <c r="C6" s="8">
        <f t="shared" si="0"/>
        <v>-2.4943889211722662E-3</v>
      </c>
      <c r="D6" s="9">
        <f t="shared" si="1"/>
        <v>-1.8387091032362045E-2</v>
      </c>
      <c r="E6" s="6"/>
      <c r="F6" s="4">
        <f>'[1]Pages 240-41'!C7</f>
        <v>30.15</v>
      </c>
      <c r="G6" s="8">
        <f t="shared" si="2"/>
        <v>-1.9054452969198853E-2</v>
      </c>
      <c r="H6" s="9">
        <f t="shared" si="3"/>
        <v>-2.3614669252588212E-2</v>
      </c>
      <c r="I6" s="6"/>
      <c r="J6" s="10">
        <f t="shared" si="4"/>
        <v>4.3420507324646045E-4</v>
      </c>
    </row>
    <row r="7" spans="1:11" x14ac:dyDescent="0.25">
      <c r="A7" s="16">
        <v>37196</v>
      </c>
      <c r="B7" s="4">
        <f>'[1]Pages 240-41'!B8</f>
        <v>23.35</v>
      </c>
      <c r="C7" s="8">
        <f t="shared" si="0"/>
        <v>0.15386521022783195</v>
      </c>
      <c r="D7" s="9">
        <f t="shared" si="1"/>
        <v>0.13797250811664216</v>
      </c>
      <c r="E7" s="6"/>
      <c r="F7" s="4">
        <f>'[1]Pages 240-41'!C8</f>
        <v>36.380000000000003</v>
      </c>
      <c r="G7" s="8">
        <f t="shared" si="2"/>
        <v>0.18783424991678188</v>
      </c>
      <c r="H7" s="9">
        <f t="shared" si="3"/>
        <v>0.18327403363339251</v>
      </c>
      <c r="I7" s="6"/>
      <c r="J7" s="10">
        <f t="shared" si="4"/>
        <v>2.5286778093052995E-2</v>
      </c>
    </row>
    <row r="8" spans="1:11" x14ac:dyDescent="0.25">
      <c r="A8" s="16">
        <v>37228</v>
      </c>
      <c r="B8" s="4">
        <f>'[1]Pages 240-41'!B9</f>
        <v>24.79</v>
      </c>
      <c r="C8" s="8">
        <f t="shared" si="0"/>
        <v>5.9843361932192626E-2</v>
      </c>
      <c r="D8" s="9">
        <f t="shared" si="1"/>
        <v>4.3950659821002852E-2</v>
      </c>
      <c r="E8" s="6"/>
      <c r="F8" s="4">
        <f>'[1]Pages 240-41'!C9</f>
        <v>39.79</v>
      </c>
      <c r="G8" s="8">
        <f t="shared" si="2"/>
        <v>8.9596451348861003E-2</v>
      </c>
      <c r="H8" s="9">
        <f t="shared" si="3"/>
        <v>8.5036235065471644E-2</v>
      </c>
      <c r="I8" s="6"/>
      <c r="J8" s="10">
        <f t="shared" si="4"/>
        <v>3.7373986398213785E-3</v>
      </c>
    </row>
    <row r="9" spans="1:11" x14ac:dyDescent="0.25">
      <c r="A9" s="16">
        <v>37258</v>
      </c>
      <c r="B9" s="4">
        <f>'[1]Pages 240-41'!B10</f>
        <v>23.03</v>
      </c>
      <c r="C9" s="8">
        <f t="shared" si="0"/>
        <v>-7.364263221450526E-2</v>
      </c>
      <c r="D9" s="9">
        <f t="shared" si="1"/>
        <v>-8.9535334325695035E-2</v>
      </c>
      <c r="E9" s="6"/>
      <c r="F9" s="4">
        <f>'[1]Pages 240-41'!C10</f>
        <v>43.04</v>
      </c>
      <c r="G9" s="8">
        <f t="shared" si="2"/>
        <v>7.8514291414691684E-2</v>
      </c>
      <c r="H9" s="9">
        <f t="shared" si="3"/>
        <v>7.3954075131302324E-2</v>
      </c>
      <c r="I9" s="6"/>
      <c r="J9" s="10">
        <f t="shared" si="4"/>
        <v>-6.6215028416287229E-3</v>
      </c>
    </row>
    <row r="10" spans="1:11" x14ac:dyDescent="0.25">
      <c r="A10" s="16">
        <v>37291</v>
      </c>
      <c r="B10" s="4">
        <f>'[1]Pages 240-41'!B11</f>
        <v>18.09</v>
      </c>
      <c r="C10" s="8">
        <f t="shared" si="0"/>
        <v>-0.24143841442539005</v>
      </c>
      <c r="D10" s="9">
        <f t="shared" si="1"/>
        <v>-0.25733111653657981</v>
      </c>
      <c r="E10" s="6"/>
      <c r="F10" s="4">
        <f>'[1]Pages 240-41'!C11</f>
        <v>40.659999999999997</v>
      </c>
      <c r="G10" s="8">
        <f t="shared" si="2"/>
        <v>-5.6885107653328486E-2</v>
      </c>
      <c r="H10" s="9">
        <f t="shared" si="3"/>
        <v>-6.1445323936717845E-2</v>
      </c>
      <c r="I10" s="6"/>
      <c r="J10" s="10">
        <f t="shared" si="4"/>
        <v>1.5811793814587437E-2</v>
      </c>
    </row>
    <row r="11" spans="1:11" x14ac:dyDescent="0.25">
      <c r="A11" s="16">
        <v>37316</v>
      </c>
      <c r="B11" s="4">
        <f>'[1]Pages 240-41'!B12</f>
        <v>19.170000000000002</v>
      </c>
      <c r="C11" s="8">
        <f t="shared" si="0"/>
        <v>5.7987257650349525E-2</v>
      </c>
      <c r="D11" s="9">
        <f t="shared" si="1"/>
        <v>4.209455553915975E-2</v>
      </c>
      <c r="E11" s="6"/>
      <c r="F11" s="4">
        <f>'[1]Pages 240-41'!C12</f>
        <v>41.85</v>
      </c>
      <c r="G11" s="8">
        <f t="shared" si="2"/>
        <v>2.8846988735283855E-2</v>
      </c>
      <c r="H11" s="9">
        <f t="shared" si="3"/>
        <v>2.4286772451894496E-2</v>
      </c>
      <c r="I11" s="6"/>
      <c r="J11" s="10">
        <f t="shared" si="4"/>
        <v>1.0223408918432078E-3</v>
      </c>
    </row>
    <row r="12" spans="1:11" x14ac:dyDescent="0.25">
      <c r="A12" s="16">
        <v>37347</v>
      </c>
      <c r="B12" s="4">
        <f>'[1]Pages 240-41'!B13</f>
        <v>20.25</v>
      </c>
      <c r="C12" s="8">
        <f t="shared" si="0"/>
        <v>5.4808236494994951E-2</v>
      </c>
      <c r="D12" s="9">
        <f t="shared" si="1"/>
        <v>3.891553438380517E-2</v>
      </c>
      <c r="E12" s="6"/>
      <c r="F12" s="4">
        <f>'[1]Pages 240-41'!C13</f>
        <v>42.36</v>
      </c>
      <c r="G12" s="8">
        <f t="shared" si="2"/>
        <v>1.2112723797721256E-2</v>
      </c>
      <c r="H12" s="9">
        <f t="shared" si="3"/>
        <v>7.5525075143318965E-3</v>
      </c>
      <c r="I12" s="6"/>
      <c r="J12" s="10">
        <f t="shared" si="4"/>
        <v>2.9390986585792981E-4</v>
      </c>
    </row>
    <row r="13" spans="1:11" x14ac:dyDescent="0.25">
      <c r="A13" s="16">
        <v>37377</v>
      </c>
      <c r="B13" s="4">
        <f>'[1]Pages 240-41'!B14</f>
        <v>22.79</v>
      </c>
      <c r="C13" s="8">
        <f t="shared" si="0"/>
        <v>0.1181670497050447</v>
      </c>
      <c r="D13" s="9">
        <f t="shared" si="1"/>
        <v>0.10227434759385493</v>
      </c>
      <c r="E13" s="6"/>
      <c r="F13" s="4">
        <f>'[1]Pages 240-41'!C14</f>
        <v>40.29</v>
      </c>
      <c r="G13" s="8">
        <f t="shared" si="2"/>
        <v>-5.0101221529949815E-2</v>
      </c>
      <c r="H13" s="9">
        <f t="shared" si="3"/>
        <v>-5.4661437813339174E-2</v>
      </c>
      <c r="I13" s="6"/>
      <c r="J13" s="10">
        <f t="shared" si="4"/>
        <v>-5.5904628909013362E-3</v>
      </c>
    </row>
    <row r="14" spans="1:11" x14ac:dyDescent="0.25">
      <c r="A14" s="16">
        <v>37410</v>
      </c>
      <c r="B14" s="4">
        <f>'[1]Pages 240-41'!B15</f>
        <v>20.52</v>
      </c>
      <c r="C14" s="8">
        <f t="shared" si="0"/>
        <v>-0.10492182295502411</v>
      </c>
      <c r="D14" s="9">
        <f t="shared" si="1"/>
        <v>-0.12081452506621389</v>
      </c>
      <c r="E14" s="6"/>
      <c r="F14" s="4">
        <f>'[1]Pages 240-41'!C15</f>
        <v>37.03</v>
      </c>
      <c r="G14" s="8">
        <f t="shared" si="2"/>
        <v>-8.4374904277734503E-2</v>
      </c>
      <c r="H14" s="9">
        <f t="shared" si="3"/>
        <v>-8.8935120561123862E-2</v>
      </c>
      <c r="I14" s="6"/>
      <c r="J14" s="10">
        <f t="shared" si="4"/>
        <v>1.0744654352298653E-2</v>
      </c>
    </row>
    <row r="15" spans="1:11" x14ac:dyDescent="0.25">
      <c r="A15" s="16">
        <v>37438</v>
      </c>
      <c r="B15" s="4">
        <f>'[1]Pages 240-41'!B16</f>
        <v>16.5</v>
      </c>
      <c r="C15" s="8">
        <f t="shared" si="0"/>
        <v>-0.21803963939603388</v>
      </c>
      <c r="D15" s="9">
        <f t="shared" si="1"/>
        <v>-0.23393234150722367</v>
      </c>
      <c r="F15" s="4">
        <f>'[1]Pages 240-41'!C16</f>
        <v>32.409999999999997</v>
      </c>
      <c r="G15" s="8">
        <f t="shared" si="2"/>
        <v>-0.1332613777720654</v>
      </c>
      <c r="H15" s="9">
        <f t="shared" si="3"/>
        <v>-0.13782159405545474</v>
      </c>
      <c r="J15" s="10">
        <f t="shared" si="4"/>
        <v>3.2240928207650586E-2</v>
      </c>
    </row>
    <row r="16" spans="1:11" x14ac:dyDescent="0.25">
      <c r="A16" s="16">
        <v>37469</v>
      </c>
      <c r="B16" s="4">
        <f>'[1]Pages 240-41'!B17</f>
        <v>16.27</v>
      </c>
      <c r="C16" s="8">
        <f t="shared" si="0"/>
        <v>-1.4037459675588474E-2</v>
      </c>
      <c r="D16" s="9">
        <f t="shared" si="1"/>
        <v>-2.993016178677825E-2</v>
      </c>
      <c r="E16" s="11"/>
      <c r="F16" s="4">
        <f>'[1]Pages 240-41'!C17</f>
        <v>33.299999999999997</v>
      </c>
      <c r="G16" s="8">
        <f t="shared" si="2"/>
        <v>2.7090379832942213E-2</v>
      </c>
      <c r="H16" s="9">
        <f t="shared" si="3"/>
        <v>2.2530163549552853E-2</v>
      </c>
      <c r="I16" s="11"/>
      <c r="J16" s="10">
        <f t="shared" si="4"/>
        <v>-6.74331440120691E-4</v>
      </c>
    </row>
    <row r="17" spans="1:11" x14ac:dyDescent="0.25">
      <c r="A17" s="16">
        <v>37502</v>
      </c>
      <c r="B17" s="4">
        <f>'[1]Pages 240-41'!B18</f>
        <v>14.92</v>
      </c>
      <c r="C17" s="8">
        <f t="shared" si="0"/>
        <v>-8.6620326455331617E-2</v>
      </c>
      <c r="D17" s="9">
        <f t="shared" si="1"/>
        <v>-0.10251302856652139</v>
      </c>
      <c r="E17" s="11"/>
      <c r="F17" s="4">
        <f>'[1]Pages 240-41'!C18</f>
        <v>28.74</v>
      </c>
      <c r="G17" s="8">
        <f t="shared" si="2"/>
        <v>-0.14726751633551921</v>
      </c>
      <c r="H17" s="9">
        <f t="shared" si="3"/>
        <v>-0.15182773261890858</v>
      </c>
      <c r="I17" s="11"/>
      <c r="J17" s="10">
        <f t="shared" si="4"/>
        <v>1.5564320691152347E-2</v>
      </c>
    </row>
    <row r="18" spans="1:11" x14ac:dyDescent="0.25">
      <c r="A18" s="16">
        <v>37530</v>
      </c>
      <c r="B18" s="4">
        <f>'[1]Pages 240-41'!B19</f>
        <v>18.010000000000002</v>
      </c>
      <c r="C18" s="8">
        <f t="shared" si="0"/>
        <v>0.18822456441225008</v>
      </c>
      <c r="D18" s="9">
        <f t="shared" si="1"/>
        <v>0.17233186230106029</v>
      </c>
      <c r="F18" s="4">
        <f>'[1]Pages 240-41'!C19</f>
        <v>29.32</v>
      </c>
      <c r="G18" s="8">
        <f t="shared" si="2"/>
        <v>1.9979996367571862E-2</v>
      </c>
      <c r="H18" s="9">
        <f t="shared" si="3"/>
        <v>1.5419780084182502E-2</v>
      </c>
      <c r="J18" s="10">
        <f t="shared" si="4"/>
        <v>2.6573194181799707E-3</v>
      </c>
    </row>
    <row r="19" spans="1:11" x14ac:dyDescent="0.25">
      <c r="A19" s="16">
        <v>37561</v>
      </c>
      <c r="B19" s="4">
        <f>'[1]Pages 240-41'!B20</f>
        <v>22.43</v>
      </c>
      <c r="C19" s="8">
        <f t="shared" si="0"/>
        <v>0.21947218934425206</v>
      </c>
      <c r="D19" s="9">
        <f t="shared" si="1"/>
        <v>0.20357948723306227</v>
      </c>
      <c r="F19" s="4">
        <f>'[1]Pages 240-41'!C20</f>
        <v>33.92</v>
      </c>
      <c r="G19" s="8">
        <f t="shared" si="2"/>
        <v>0.14573493390525158</v>
      </c>
      <c r="H19" s="9">
        <f t="shared" si="3"/>
        <v>0.14117471762186223</v>
      </c>
      <c r="J19" s="10">
        <f t="shared" si="4"/>
        <v>2.8740276623731072E-2</v>
      </c>
    </row>
    <row r="20" spans="1:11" x14ac:dyDescent="0.25">
      <c r="A20" s="16">
        <v>37592</v>
      </c>
      <c r="B20" s="4">
        <f>'[1]Pages 240-41'!B21</f>
        <v>21.75</v>
      </c>
      <c r="C20" s="8">
        <f t="shared" si="0"/>
        <v>-3.0785590997423853E-2</v>
      </c>
      <c r="D20" s="9">
        <f t="shared" si="1"/>
        <v>-4.6678293108613628E-2</v>
      </c>
      <c r="F20" s="4">
        <f>'[1]Pages 240-41'!C21</f>
        <v>29.26</v>
      </c>
      <c r="G20" s="8">
        <f t="shared" si="2"/>
        <v>-0.14778341533172407</v>
      </c>
      <c r="H20" s="9">
        <f t="shared" si="3"/>
        <v>-0.15234363161511344</v>
      </c>
      <c r="J20" s="10">
        <f t="shared" si="4"/>
        <v>7.111140689760923E-3</v>
      </c>
    </row>
    <row r="21" spans="1:11" x14ac:dyDescent="0.25">
      <c r="A21" s="16">
        <v>37623</v>
      </c>
      <c r="B21" s="4">
        <f>'[1]Pages 240-41'!B22</f>
        <v>18.43</v>
      </c>
      <c r="C21" s="8">
        <f t="shared" si="0"/>
        <v>-0.16563398585296116</v>
      </c>
      <c r="D21" s="9">
        <f t="shared" si="1"/>
        <v>-0.18152668796415095</v>
      </c>
      <c r="F21" s="4">
        <f>'[1]Pages 240-41'!C22</f>
        <v>27.51</v>
      </c>
      <c r="G21" s="8">
        <f t="shared" si="2"/>
        <v>-6.1671820655495112E-2</v>
      </c>
      <c r="H21" s="9">
        <f t="shared" si="3"/>
        <v>-6.6232036938884464E-2</v>
      </c>
      <c r="J21" s="10">
        <f t="shared" si="4"/>
        <v>1.2022882302634999E-2</v>
      </c>
    </row>
    <row r="22" spans="1:11" x14ac:dyDescent="0.25">
      <c r="A22" s="16">
        <v>37655</v>
      </c>
      <c r="B22" s="4">
        <f>'[1]Pages 240-41'!B23</f>
        <v>18.87</v>
      </c>
      <c r="C22" s="8">
        <f t="shared" si="0"/>
        <v>2.3593587698727009E-2</v>
      </c>
      <c r="D22" s="9">
        <f t="shared" si="1"/>
        <v>7.7008855875372317E-3</v>
      </c>
      <c r="E22" s="12"/>
      <c r="F22" s="4">
        <f>'[1]Pages 240-41'!C23</f>
        <v>28</v>
      </c>
      <c r="G22" s="8">
        <f t="shared" si="2"/>
        <v>1.7654935238720745E-2</v>
      </c>
      <c r="H22" s="9">
        <f t="shared" si="3"/>
        <v>1.3094718955331385E-2</v>
      </c>
      <c r="I22" s="12"/>
      <c r="J22" s="10">
        <f t="shared" si="4"/>
        <v>1.0084093247596206E-4</v>
      </c>
    </row>
    <row r="23" spans="1:11" x14ac:dyDescent="0.25">
      <c r="A23" s="16">
        <v>37683</v>
      </c>
      <c r="B23" s="4">
        <f>'[1]Pages 240-41'!B24</f>
        <v>18.670000000000002</v>
      </c>
      <c r="C23" s="8">
        <f t="shared" si="0"/>
        <v>-1.0655401826827513E-2</v>
      </c>
      <c r="D23" s="9">
        <f t="shared" si="1"/>
        <v>-2.6548103938017292E-2</v>
      </c>
      <c r="F23" s="4">
        <f>'[1]Pages 240-41'!C24</f>
        <v>28.6</v>
      </c>
      <c r="G23" s="8">
        <f t="shared" si="2"/>
        <v>2.1202207650603124E-2</v>
      </c>
      <c r="H23" s="9">
        <f t="shared" si="3"/>
        <v>1.6641991367213765E-2</v>
      </c>
      <c r="J23" s="10">
        <f t="shared" si="4"/>
        <v>-4.4181331655237751E-4</v>
      </c>
      <c r="K23" s="12"/>
    </row>
    <row r="24" spans="1:11" x14ac:dyDescent="0.25">
      <c r="A24" s="16">
        <v>37712</v>
      </c>
      <c r="B24" s="4">
        <f>'[1]Pages 240-41'!B25</f>
        <v>16.32</v>
      </c>
      <c r="C24" s="8">
        <f t="shared" si="0"/>
        <v>-0.13452660801767038</v>
      </c>
      <c r="D24" s="9">
        <f t="shared" si="1"/>
        <v>-0.15041931012886017</v>
      </c>
      <c r="F24" s="4">
        <f>'[1]Pages 240-41'!C25</f>
        <v>32.69</v>
      </c>
      <c r="G24" s="8">
        <f t="shared" si="2"/>
        <v>0.13366250291031218</v>
      </c>
      <c r="H24" s="9">
        <f t="shared" si="3"/>
        <v>0.1291022866269228</v>
      </c>
      <c r="J24" s="10">
        <f t="shared" si="4"/>
        <v>-1.9419476890480097E-2</v>
      </c>
    </row>
    <row r="25" spans="1:11" x14ac:dyDescent="0.25">
      <c r="A25" s="16">
        <v>37742</v>
      </c>
      <c r="B25" s="4">
        <f>'[1]Pages 240-41'!B26</f>
        <v>16.57</v>
      </c>
      <c r="C25" s="8">
        <f t="shared" si="0"/>
        <v>1.5202481902510648E-2</v>
      </c>
      <c r="D25" s="9">
        <f t="shared" si="1"/>
        <v>-6.902202086791296E-4</v>
      </c>
      <c r="E25" s="2"/>
      <c r="F25" s="4">
        <f>'[1]Pages 240-41'!C26</f>
        <v>35.869999999999997</v>
      </c>
      <c r="G25" s="8">
        <f t="shared" si="2"/>
        <v>9.2832070808071959E-2</v>
      </c>
      <c r="H25" s="9">
        <f t="shared" si="3"/>
        <v>8.82718545246826E-2</v>
      </c>
      <c r="I25" s="2"/>
      <c r="J25" s="10">
        <f t="shared" si="4"/>
        <v>-6.0927017850520197E-5</v>
      </c>
    </row>
    <row r="26" spans="1:11" x14ac:dyDescent="0.25">
      <c r="A26" s="16">
        <v>37774</v>
      </c>
      <c r="B26" s="4">
        <f>'[1]Pages 240-41'!B27</f>
        <v>16.12</v>
      </c>
      <c r="C26" s="8">
        <f t="shared" si="0"/>
        <v>-2.7533094359989251E-2</v>
      </c>
      <c r="D26" s="9">
        <f t="shared" si="1"/>
        <v>-4.3425796471179029E-2</v>
      </c>
      <c r="E26" s="13"/>
      <c r="F26" s="4">
        <f>'[1]Pages 240-41'!C27</f>
        <v>37.049999999999997</v>
      </c>
      <c r="G26" s="8">
        <f t="shared" si="2"/>
        <v>3.2367060197904772E-2</v>
      </c>
      <c r="H26" s="9">
        <f t="shared" si="3"/>
        <v>2.7806843914515413E-2</v>
      </c>
      <c r="I26" s="13"/>
      <c r="J26" s="10">
        <f t="shared" si="4"/>
        <v>-1.2075343443375894E-3</v>
      </c>
    </row>
    <row r="27" spans="1:11" x14ac:dyDescent="0.25">
      <c r="A27" s="16">
        <v>37803</v>
      </c>
      <c r="B27" s="4">
        <f>'[1]Pages 240-41'!B28</f>
        <v>17.91</v>
      </c>
      <c r="C27" s="8">
        <f t="shared" si="0"/>
        <v>0.10529847899413819</v>
      </c>
      <c r="D27" s="9">
        <f t="shared" si="1"/>
        <v>8.9405776882948415E-2</v>
      </c>
      <c r="E27" s="13"/>
      <c r="F27" s="4">
        <f>'[1]Pages 240-41'!C28</f>
        <v>37.520000000000003</v>
      </c>
      <c r="G27" s="8">
        <f t="shared" si="2"/>
        <v>1.2605772395928172E-2</v>
      </c>
      <c r="H27" s="9">
        <f t="shared" si="3"/>
        <v>8.0455561125388122E-3</v>
      </c>
      <c r="I27" s="13"/>
      <c r="J27" s="10">
        <f t="shared" si="4"/>
        <v>7.1931919469688682E-4</v>
      </c>
    </row>
    <row r="28" spans="1:11" x14ac:dyDescent="0.25">
      <c r="A28" s="16">
        <v>37834</v>
      </c>
      <c r="B28" s="4">
        <f>'[1]Pages 240-41'!B29</f>
        <v>20.45</v>
      </c>
      <c r="C28" s="8">
        <f t="shared" si="0"/>
        <v>0.13262366641619031</v>
      </c>
      <c r="D28" s="9">
        <f t="shared" si="1"/>
        <v>0.11673096430500053</v>
      </c>
      <c r="E28" s="13"/>
      <c r="F28" s="4">
        <f>'[1]Pages 240-41'!C29</f>
        <v>39.83</v>
      </c>
      <c r="G28" s="8">
        <f t="shared" si="2"/>
        <v>5.9746273055528709E-2</v>
      </c>
      <c r="H28" s="9">
        <f t="shared" si="3"/>
        <v>5.518605677213935E-2</v>
      </c>
      <c r="I28" s="13"/>
      <c r="J28" s="10">
        <f t="shared" si="4"/>
        <v>6.4419216232023315E-3</v>
      </c>
    </row>
    <row r="29" spans="1:11" x14ac:dyDescent="0.25">
      <c r="A29" s="16">
        <v>37866</v>
      </c>
      <c r="B29" s="4">
        <f>'[1]Pages 240-41'!B30</f>
        <v>20.6</v>
      </c>
      <c r="C29" s="8">
        <f t="shared" si="0"/>
        <v>7.3081933067248427E-3</v>
      </c>
      <c r="D29" s="9">
        <f t="shared" si="1"/>
        <v>-8.584508804464935E-3</v>
      </c>
      <c r="E29" s="13"/>
      <c r="F29" s="4">
        <f>'[1]Pages 240-41'!C30</f>
        <v>36.909999999999997</v>
      </c>
      <c r="G29" s="8">
        <f t="shared" si="2"/>
        <v>-7.6137880151645715E-2</v>
      </c>
      <c r="H29" s="9">
        <f t="shared" si="3"/>
        <v>-8.0698096435035074E-2</v>
      </c>
      <c r="I29" s="13"/>
      <c r="J29" s="10">
        <f t="shared" si="4"/>
        <v>6.9275351935011895E-4</v>
      </c>
    </row>
    <row r="30" spans="1:11" x14ac:dyDescent="0.25">
      <c r="A30" s="16">
        <v>37895</v>
      </c>
      <c r="B30" s="4">
        <f>'[1]Pages 240-41'!B31</f>
        <v>22.92</v>
      </c>
      <c r="C30" s="8">
        <f t="shared" si="0"/>
        <v>0.10671881605100342</v>
      </c>
      <c r="D30" s="9">
        <f t="shared" si="1"/>
        <v>9.0826113939813644E-2</v>
      </c>
      <c r="E30" s="13"/>
      <c r="F30" s="4">
        <f>'[1]Pages 240-41'!C31</f>
        <v>38.979999999999997</v>
      </c>
      <c r="G30" s="8">
        <f t="shared" si="2"/>
        <v>5.4566177037507539E-2</v>
      </c>
      <c r="H30" s="9">
        <f t="shared" si="3"/>
        <v>5.000596075411818E-2</v>
      </c>
      <c r="I30" s="13"/>
      <c r="J30" s="10">
        <f t="shared" si="4"/>
        <v>4.5418470891233874E-3</v>
      </c>
    </row>
    <row r="31" spans="1:11" x14ac:dyDescent="0.25">
      <c r="A31" s="16">
        <v>37928</v>
      </c>
      <c r="B31" s="4">
        <f>'[1]Pages 240-41'!B32</f>
        <v>24.12</v>
      </c>
      <c r="C31" s="8">
        <f t="shared" si="0"/>
        <v>5.1031480012445826E-2</v>
      </c>
      <c r="D31" s="9">
        <f t="shared" si="1"/>
        <v>3.5138777901256052E-2</v>
      </c>
      <c r="E31" s="13"/>
      <c r="F31" s="4">
        <f>'[1]Pages 240-41'!C32</f>
        <v>38.049999999999997</v>
      </c>
      <c r="G31" s="8">
        <f t="shared" si="2"/>
        <v>-2.4147609771719931E-2</v>
      </c>
      <c r="H31" s="9">
        <f t="shared" si="3"/>
        <v>-2.8707826055109291E-2</v>
      </c>
      <c r="I31" s="13"/>
      <c r="J31" s="10">
        <f t="shared" si="4"/>
        <v>-1.008757923778377E-3</v>
      </c>
    </row>
    <row r="32" spans="1:11" x14ac:dyDescent="0.25">
      <c r="A32" s="16">
        <v>37956</v>
      </c>
      <c r="B32" s="4">
        <f>'[1]Pages 240-41'!B33</f>
        <v>25.47</v>
      </c>
      <c r="C32" s="8">
        <f t="shared" si="0"/>
        <v>5.4459917132380839E-2</v>
      </c>
      <c r="D32" s="9">
        <f t="shared" si="1"/>
        <v>3.8567215021191065E-2</v>
      </c>
      <c r="E32" s="13"/>
      <c r="F32" s="4">
        <f>'[1]Pages 240-41'!C33</f>
        <v>37.74</v>
      </c>
      <c r="G32" s="8">
        <f t="shared" si="2"/>
        <v>-8.1805443672906073E-3</v>
      </c>
      <c r="H32" s="9">
        <f t="shared" si="3"/>
        <v>-1.2740760650679967E-2</v>
      </c>
      <c r="I32" s="13"/>
      <c r="J32" s="10">
        <f t="shared" si="4"/>
        <v>-4.913756555483045E-4</v>
      </c>
    </row>
    <row r="33" spans="1:10" x14ac:dyDescent="0.25">
      <c r="A33" s="16">
        <v>37988</v>
      </c>
      <c r="B33" s="4">
        <f>'[1]Pages 240-41'!B34</f>
        <v>25.5</v>
      </c>
      <c r="C33" s="8">
        <f t="shared" si="0"/>
        <v>1.1771631730148311E-3</v>
      </c>
      <c r="D33" s="9">
        <f t="shared" si="1"/>
        <v>-1.4715538938174946E-2</v>
      </c>
      <c r="E33" s="13"/>
      <c r="F33" s="4">
        <f>'[1]Pages 240-41'!C34</f>
        <v>37.31</v>
      </c>
      <c r="G33" s="8">
        <f t="shared" si="2"/>
        <v>-1.1459152707337649E-2</v>
      </c>
      <c r="H33" s="9">
        <f t="shared" si="3"/>
        <v>-1.6019368990727006E-2</v>
      </c>
      <c r="I33" s="13"/>
      <c r="J33" s="10">
        <f t="shared" si="4"/>
        <v>2.3573364814803556E-4</v>
      </c>
    </row>
    <row r="34" spans="1:10" x14ac:dyDescent="0.25">
      <c r="A34" s="16">
        <v>38019</v>
      </c>
      <c r="B34" s="4">
        <f>'[1]Pages 240-41'!B35</f>
        <v>30.06</v>
      </c>
      <c r="C34" s="8">
        <f t="shared" si="0"/>
        <v>0.16451693216044788</v>
      </c>
      <c r="D34" s="9">
        <f t="shared" si="1"/>
        <v>0.14862423004925809</v>
      </c>
      <c r="E34" s="13"/>
      <c r="F34" s="4">
        <f>'[1]Pages 240-41'!C35</f>
        <v>43.27</v>
      </c>
      <c r="G34" s="8">
        <f t="shared" si="2"/>
        <v>0.14819816700372693</v>
      </c>
      <c r="H34" s="9">
        <f t="shared" si="3"/>
        <v>0.14363795072033758</v>
      </c>
      <c r="I34" s="13"/>
      <c r="J34" s="10">
        <f t="shared" si="4"/>
        <v>2.1348079831663449E-2</v>
      </c>
    </row>
    <row r="35" spans="1:10" x14ac:dyDescent="0.25">
      <c r="A35" s="16">
        <v>38047</v>
      </c>
      <c r="B35" s="4">
        <f>'[1]Pages 240-41'!B36</f>
        <v>33.869999999999997</v>
      </c>
      <c r="C35" s="8">
        <f t="shared" si="0"/>
        <v>0.11933428250485183</v>
      </c>
      <c r="D35" s="9">
        <f t="shared" si="1"/>
        <v>0.10344158039366205</v>
      </c>
      <c r="E35" s="13"/>
      <c r="F35" s="4">
        <f>'[1]Pages 240-41'!C36</f>
        <v>44.34</v>
      </c>
      <c r="G35" s="8">
        <f t="shared" si="2"/>
        <v>2.4427649951372053E-2</v>
      </c>
      <c r="H35" s="9">
        <f t="shared" si="3"/>
        <v>1.9867433667982694E-2</v>
      </c>
      <c r="I35" s="13"/>
      <c r="J35" s="10">
        <f t="shared" si="4"/>
        <v>2.0551187369823799E-3</v>
      </c>
    </row>
    <row r="36" spans="1:10" x14ac:dyDescent="0.25">
      <c r="A36" s="16">
        <v>38078</v>
      </c>
      <c r="B36" s="4">
        <f>'[1]Pages 240-41'!B37</f>
        <v>33.1</v>
      </c>
      <c r="C36" s="8">
        <f t="shared" si="0"/>
        <v>-2.2996384446662962E-2</v>
      </c>
      <c r="D36" s="9">
        <f t="shared" si="1"/>
        <v>-3.8889086557852739E-2</v>
      </c>
      <c r="E36" s="13"/>
      <c r="F36" s="4">
        <f>'[1]Pages 240-41'!C37</f>
        <v>42.69</v>
      </c>
      <c r="G36" s="8">
        <f t="shared" si="2"/>
        <v>-3.7922503418294888E-2</v>
      </c>
      <c r="H36" s="9">
        <f t="shared" si="3"/>
        <v>-4.2482719701684248E-2</v>
      </c>
      <c r="I36" s="13"/>
      <c r="J36" s="10">
        <f t="shared" si="4"/>
        <v>1.6521141636917946E-3</v>
      </c>
    </row>
    <row r="37" spans="1:10" x14ac:dyDescent="0.25">
      <c r="A37" s="16">
        <v>38110</v>
      </c>
      <c r="B37" s="4">
        <f>'[1]Pages 240-41'!B38</f>
        <v>34.97</v>
      </c>
      <c r="C37" s="8">
        <f t="shared" si="0"/>
        <v>5.4957268692267136E-2</v>
      </c>
      <c r="D37" s="9">
        <f t="shared" si="1"/>
        <v>3.9064566581077362E-2</v>
      </c>
      <c r="E37" s="13"/>
      <c r="F37" s="4">
        <f>'[1]Pages 240-41'!C38</f>
        <v>44.08</v>
      </c>
      <c r="G37" s="8">
        <f t="shared" si="2"/>
        <v>3.2041464074788278E-2</v>
      </c>
      <c r="H37" s="9">
        <f t="shared" si="3"/>
        <v>2.7481247791398919E-2</v>
      </c>
      <c r="I37" s="13"/>
      <c r="J37" s="10">
        <f t="shared" si="4"/>
        <v>1.0735430340781883E-3</v>
      </c>
    </row>
    <row r="38" spans="1:10" x14ac:dyDescent="0.25">
      <c r="A38" s="16">
        <v>38139</v>
      </c>
      <c r="B38" s="4">
        <f>'[1]Pages 240-41'!B39</f>
        <v>36.909999999999997</v>
      </c>
      <c r="C38" s="8">
        <f t="shared" si="0"/>
        <v>5.399196596662259E-2</v>
      </c>
      <c r="D38" s="9">
        <f t="shared" si="1"/>
        <v>3.8099263855432816E-2</v>
      </c>
      <c r="E38" s="11"/>
      <c r="F38" s="4">
        <f>'[1]Pages 240-41'!C39</f>
        <v>41.88</v>
      </c>
      <c r="G38" s="8">
        <f t="shared" si="2"/>
        <v>-5.1197778842322808E-2</v>
      </c>
      <c r="H38" s="9">
        <f t="shared" si="3"/>
        <v>-5.5757995125712168E-2</v>
      </c>
      <c r="I38" s="11"/>
      <c r="J38" s="10">
        <f t="shared" si="4"/>
        <v>-2.1243385683444448E-3</v>
      </c>
    </row>
    <row r="39" spans="1:10" x14ac:dyDescent="0.25">
      <c r="A39" s="16">
        <v>38169</v>
      </c>
      <c r="B39" s="4">
        <f>'[1]Pages 240-41'!B40</f>
        <v>39.229999999999997</v>
      </c>
      <c r="C39" s="8">
        <f t="shared" si="0"/>
        <v>6.0959243179553993E-2</v>
      </c>
      <c r="D39" s="9">
        <f t="shared" si="1"/>
        <v>4.5066541068364219E-2</v>
      </c>
      <c r="E39" s="11"/>
      <c r="F39" s="4">
        <f>'[1]Pages 240-41'!C40</f>
        <v>42.99</v>
      </c>
      <c r="G39" s="8">
        <f t="shared" si="2"/>
        <v>2.6159144505854069E-2</v>
      </c>
      <c r="H39" s="9">
        <f t="shared" si="3"/>
        <v>2.159892822246471E-2</v>
      </c>
      <c r="I39" s="11"/>
      <c r="J39" s="10">
        <f t="shared" si="4"/>
        <v>9.7338898577035678E-4</v>
      </c>
    </row>
    <row r="40" spans="1:10" x14ac:dyDescent="0.25">
      <c r="A40" s="16">
        <v>38201</v>
      </c>
      <c r="B40" s="4">
        <f>'[1]Pages 240-41'!B41</f>
        <v>37.58</v>
      </c>
      <c r="C40" s="8">
        <f t="shared" si="0"/>
        <v>-4.2969766236141883E-2</v>
      </c>
      <c r="D40" s="9">
        <f t="shared" si="1"/>
        <v>-5.8862468347331665E-2</v>
      </c>
      <c r="E40" s="11"/>
      <c r="F40" s="4">
        <f>'[1]Pages 240-41'!C41</f>
        <v>44.04</v>
      </c>
      <c r="G40" s="8">
        <f t="shared" si="2"/>
        <v>2.4130781346289029E-2</v>
      </c>
      <c r="H40" s="9">
        <f t="shared" si="3"/>
        <v>1.957056506289967E-2</v>
      </c>
      <c r="I40" s="11"/>
      <c r="J40" s="10">
        <f t="shared" si="4"/>
        <v>-1.1519717665543266E-3</v>
      </c>
    </row>
    <row r="41" spans="1:10" x14ac:dyDescent="0.25">
      <c r="A41" s="16">
        <v>38231</v>
      </c>
      <c r="B41" s="4">
        <f>'[1]Pages 240-41'!B42</f>
        <v>34.6</v>
      </c>
      <c r="C41" s="8">
        <f t="shared" si="0"/>
        <v>-8.2618311921640597E-2</v>
      </c>
      <c r="D41" s="9">
        <f t="shared" si="1"/>
        <v>-9.8511014032830371E-2</v>
      </c>
      <c r="F41" s="4">
        <f>'[1]Pages 240-41'!C42</f>
        <v>44.7</v>
      </c>
      <c r="G41" s="8">
        <f t="shared" si="2"/>
        <v>1.4875189765044098E-2</v>
      </c>
      <c r="H41" s="9">
        <f t="shared" si="3"/>
        <v>1.0314973481654739E-2</v>
      </c>
      <c r="J41" s="10">
        <f t="shared" si="4"/>
        <v>-1.0161384973995631E-3</v>
      </c>
    </row>
    <row r="42" spans="1:10" x14ac:dyDescent="0.25">
      <c r="A42" s="16">
        <v>38261</v>
      </c>
      <c r="B42" s="4">
        <f>'[1]Pages 240-41'!B43</f>
        <v>34.04</v>
      </c>
      <c r="C42" s="8">
        <f t="shared" si="0"/>
        <v>-1.6317378358505292E-2</v>
      </c>
      <c r="D42" s="9">
        <f t="shared" si="1"/>
        <v>-3.221008046969507E-2</v>
      </c>
      <c r="F42" s="4">
        <f>'[1]Pages 240-41'!C43</f>
        <v>49.41</v>
      </c>
      <c r="G42" s="8">
        <f t="shared" si="2"/>
        <v>0.10017933123813529</v>
      </c>
      <c r="H42" s="9">
        <f t="shared" si="3"/>
        <v>9.5619114954745926E-2</v>
      </c>
      <c r="J42" s="10">
        <f t="shared" si="4"/>
        <v>-3.0798993871333897E-3</v>
      </c>
    </row>
    <row r="43" spans="1:10" x14ac:dyDescent="0.25">
      <c r="A43" s="16">
        <v>38292</v>
      </c>
      <c r="B43" s="4">
        <f>'[1]Pages 240-41'!B44</f>
        <v>37.99</v>
      </c>
      <c r="C43" s="8">
        <f t="shared" si="0"/>
        <v>0.10978666349436092</v>
      </c>
      <c r="D43" s="9">
        <f t="shared" si="1"/>
        <v>9.3893961383171146E-2</v>
      </c>
      <c r="F43" s="4">
        <f>'[1]Pages 240-41'!C44</f>
        <v>50.68</v>
      </c>
      <c r="G43" s="8">
        <f t="shared" si="2"/>
        <v>2.5378522595279701E-2</v>
      </c>
      <c r="H43" s="9">
        <f t="shared" si="3"/>
        <v>2.0818306311890342E-2</v>
      </c>
      <c r="J43" s="10">
        <f t="shared" si="4"/>
        <v>1.9547132489116598E-3</v>
      </c>
    </row>
    <row r="44" spans="1:10" x14ac:dyDescent="0.25">
      <c r="A44" s="16">
        <v>38322</v>
      </c>
      <c r="B44" s="4">
        <f>'[1]Pages 240-41'!B45</f>
        <v>40.74</v>
      </c>
      <c r="C44" s="8">
        <f t="shared" si="0"/>
        <v>6.9887443599125451E-2</v>
      </c>
      <c r="D44" s="9">
        <f t="shared" si="1"/>
        <v>5.3994741487935677E-2</v>
      </c>
      <c r="F44" s="4">
        <f>'[1]Pages 240-41'!C45</f>
        <v>51.38</v>
      </c>
      <c r="G44" s="8">
        <f t="shared" si="2"/>
        <v>1.3717636228799344E-2</v>
      </c>
      <c r="H44" s="9">
        <f t="shared" si="3"/>
        <v>9.1574199454099846E-3</v>
      </c>
      <c r="J44" s="10">
        <f t="shared" si="4"/>
        <v>4.9445252264887821E-4</v>
      </c>
    </row>
    <row r="45" spans="1:10" x14ac:dyDescent="0.25">
      <c r="A45" s="16">
        <v>38355</v>
      </c>
      <c r="B45" s="4">
        <f>'[1]Pages 240-41'!B46</f>
        <v>42.17</v>
      </c>
      <c r="C45" s="8">
        <f t="shared" si="0"/>
        <v>3.4498656959808825E-2</v>
      </c>
      <c r="D45" s="9">
        <f t="shared" si="1"/>
        <v>1.8605954848619047E-2</v>
      </c>
      <c r="F45" s="4">
        <f>'[1]Pages 240-41'!C46</f>
        <v>50.23</v>
      </c>
      <c r="G45" s="8">
        <f t="shared" si="2"/>
        <v>-2.2636533919784308E-2</v>
      </c>
      <c r="H45" s="9">
        <f t="shared" si="3"/>
        <v>-2.7196750203173668E-2</v>
      </c>
      <c r="J45" s="10">
        <f t="shared" si="4"/>
        <v>-5.0602150630942012E-4</v>
      </c>
    </row>
    <row r="46" spans="1:10" x14ac:dyDescent="0.25">
      <c r="A46" s="16">
        <v>38384</v>
      </c>
      <c r="B46" s="4">
        <f>'[1]Pages 240-41'!B47</f>
        <v>43.92</v>
      </c>
      <c r="C46" s="8">
        <f t="shared" si="0"/>
        <v>4.0660729442806749E-2</v>
      </c>
      <c r="D46" s="9">
        <f t="shared" si="1"/>
        <v>2.4768027331616971E-2</v>
      </c>
      <c r="F46" s="4">
        <f>'[1]Pages 240-41'!C47</f>
        <v>50.36</v>
      </c>
      <c r="G46" s="8">
        <f t="shared" si="2"/>
        <v>2.5847514141931443E-3</v>
      </c>
      <c r="H46" s="9">
        <f t="shared" si="3"/>
        <v>-1.9754648691962151E-3</v>
      </c>
      <c r="J46" s="10">
        <f t="shared" si="4"/>
        <v>-4.8928367872901002E-5</v>
      </c>
    </row>
    <row r="47" spans="1:10" x14ac:dyDescent="0.25">
      <c r="A47" s="16">
        <v>38412</v>
      </c>
      <c r="B47" s="4">
        <f>'[1]Pages 240-41'!B48</f>
        <v>51.25</v>
      </c>
      <c r="C47" s="8">
        <f t="shared" si="0"/>
        <v>0.15434582081724227</v>
      </c>
      <c r="D47" s="9">
        <f t="shared" si="1"/>
        <v>0.13845311870605248</v>
      </c>
      <c r="F47" s="4">
        <f>'[1]Pages 240-41'!C48</f>
        <v>49.57</v>
      </c>
      <c r="G47" s="8">
        <f t="shared" si="2"/>
        <v>-1.5811397143663853E-2</v>
      </c>
      <c r="H47" s="9">
        <f t="shared" si="3"/>
        <v>-2.0371613427053212E-2</v>
      </c>
      <c r="J47" s="10">
        <f t="shared" si="4"/>
        <v>-2.8205134120496112E-3</v>
      </c>
    </row>
    <row r="48" spans="1:10" x14ac:dyDescent="0.25">
      <c r="A48" s="16">
        <v>38443</v>
      </c>
      <c r="B48" s="4">
        <f>'[1]Pages 240-41'!B49</f>
        <v>46.92</v>
      </c>
      <c r="C48" s="8">
        <f t="shared" si="0"/>
        <v>-8.8271594233242809E-2</v>
      </c>
      <c r="D48" s="9">
        <f t="shared" si="1"/>
        <v>-0.10416429634443258</v>
      </c>
      <c r="F48" s="4">
        <f>'[1]Pages 240-41'!C49</f>
        <v>45.99</v>
      </c>
      <c r="G48" s="8">
        <f t="shared" si="2"/>
        <v>-7.4961830480650068E-2</v>
      </c>
      <c r="H48" s="9">
        <f t="shared" si="3"/>
        <v>-7.9522046764039428E-2</v>
      </c>
      <c r="J48" s="10">
        <f t="shared" si="4"/>
        <v>8.283358045045229E-3</v>
      </c>
    </row>
    <row r="49" spans="1:10" x14ac:dyDescent="0.25">
      <c r="A49" s="16">
        <v>38474</v>
      </c>
      <c r="B49" s="4">
        <f>'[1]Pages 240-41'!B50</f>
        <v>49.25</v>
      </c>
      <c r="C49" s="8">
        <f t="shared" si="0"/>
        <v>4.8465343832823096E-2</v>
      </c>
      <c r="D49" s="9">
        <f t="shared" si="1"/>
        <v>3.2572641721633322E-2</v>
      </c>
      <c r="F49" s="4">
        <f>'[1]Pages 240-41'!C50</f>
        <v>53.3</v>
      </c>
      <c r="G49" s="8">
        <f t="shared" si="2"/>
        <v>0.14751234961996626</v>
      </c>
      <c r="H49" s="9">
        <f t="shared" si="3"/>
        <v>0.14295213333657691</v>
      </c>
      <c r="J49" s="10">
        <f t="shared" si="4"/>
        <v>4.6563286225154744E-3</v>
      </c>
    </row>
    <row r="50" spans="1:10" x14ac:dyDescent="0.25">
      <c r="A50" s="16">
        <v>38504</v>
      </c>
      <c r="B50" s="4">
        <f>'[1]Pages 240-41'!B51</f>
        <v>52.04</v>
      </c>
      <c r="C50" s="8">
        <f t="shared" si="0"/>
        <v>5.5103286026206656E-2</v>
      </c>
      <c r="D50" s="9">
        <f t="shared" si="1"/>
        <v>3.9210583915016875E-2</v>
      </c>
      <c r="F50" s="4">
        <f>'[1]Pages 240-41'!C51</f>
        <v>54</v>
      </c>
      <c r="G50" s="8">
        <f t="shared" si="2"/>
        <v>1.3047715392475675E-2</v>
      </c>
      <c r="H50" s="9">
        <f t="shared" si="3"/>
        <v>8.4874991090863154E-3</v>
      </c>
      <c r="J50" s="10">
        <f t="shared" si="4"/>
        <v>3.3279979604545996E-4</v>
      </c>
    </row>
    <row r="51" spans="1:10" x14ac:dyDescent="0.25">
      <c r="A51" s="16">
        <v>38534</v>
      </c>
      <c r="B51" s="4">
        <f>'[1]Pages 240-41'!B52</f>
        <v>55.69</v>
      </c>
      <c r="C51" s="8">
        <f t="shared" si="0"/>
        <v>6.7787943957272709E-2</v>
      </c>
      <c r="D51" s="9">
        <f t="shared" si="1"/>
        <v>5.1895241846082935E-2</v>
      </c>
      <c r="F51" s="4">
        <f>'[1]Pages 240-41'!C52</f>
        <v>58.31</v>
      </c>
      <c r="G51" s="8">
        <f t="shared" si="2"/>
        <v>7.6789558669790217E-2</v>
      </c>
      <c r="H51" s="9">
        <f t="shared" si="3"/>
        <v>7.2229342386400858E-2</v>
      </c>
      <c r="J51" s="10">
        <f t="shared" si="4"/>
        <v>3.7483591915258014E-3</v>
      </c>
    </row>
    <row r="52" spans="1:10" x14ac:dyDescent="0.25">
      <c r="A52" s="16">
        <v>38565</v>
      </c>
      <c r="B52" s="4">
        <f>'[1]Pages 240-41'!B53</f>
        <v>48.24</v>
      </c>
      <c r="C52" s="8">
        <f t="shared" si="0"/>
        <v>-0.14361204518264717</v>
      </c>
      <c r="D52" s="9">
        <f t="shared" si="1"/>
        <v>-0.15950474729383696</v>
      </c>
      <c r="F52" s="4">
        <f>'[1]Pages 240-41'!C53</f>
        <v>53.45</v>
      </c>
      <c r="G52" s="8">
        <f t="shared" si="2"/>
        <v>-8.7026967763010332E-2</v>
      </c>
      <c r="H52" s="9">
        <f t="shared" si="3"/>
        <v>-9.1587184046399692E-2</v>
      </c>
      <c r="J52" s="10">
        <f t="shared" si="4"/>
        <v>1.4608590646675119E-2</v>
      </c>
    </row>
    <row r="53" spans="1:10" x14ac:dyDescent="0.25">
      <c r="A53" s="16">
        <v>38596</v>
      </c>
      <c r="B53" s="4">
        <f>'[1]Pages 240-41'!B54</f>
        <v>47.04</v>
      </c>
      <c r="C53" s="8">
        <f t="shared" si="0"/>
        <v>-2.5190248828558633E-2</v>
      </c>
      <c r="D53" s="9">
        <f t="shared" si="1"/>
        <v>-4.1082950939748411E-2</v>
      </c>
      <c r="F53" s="4">
        <f>'[1]Pages 240-41'!C54</f>
        <v>51.64</v>
      </c>
      <c r="G53" s="8">
        <f t="shared" si="2"/>
        <v>-3.4450071492612498E-2</v>
      </c>
      <c r="H53" s="9">
        <f t="shared" si="3"/>
        <v>-3.9010287776001858E-2</v>
      </c>
      <c r="J53" s="10">
        <f t="shared" si="4"/>
        <v>1.6026577388469515E-3</v>
      </c>
    </row>
    <row r="54" spans="1:10" x14ac:dyDescent="0.25">
      <c r="A54" s="16">
        <v>38628</v>
      </c>
      <c r="B54" s="4">
        <f>'[1]Pages 240-41'!B55</f>
        <v>50.93</v>
      </c>
      <c r="C54" s="8">
        <f t="shared" si="0"/>
        <v>7.9453837306141833E-2</v>
      </c>
      <c r="D54" s="9">
        <f t="shared" si="1"/>
        <v>6.3561135194952059E-2</v>
      </c>
      <c r="F54" s="4">
        <f>'[1]Pages 240-41'!C55</f>
        <v>55.37</v>
      </c>
      <c r="G54" s="8">
        <f t="shared" si="2"/>
        <v>6.9741364856433966E-2</v>
      </c>
      <c r="H54" s="9">
        <f t="shared" si="3"/>
        <v>6.5181148573044606E-2</v>
      </c>
      <c r="J54" s="10">
        <f t="shared" si="4"/>
        <v>4.142987796613545E-3</v>
      </c>
    </row>
    <row r="55" spans="1:10" x14ac:dyDescent="0.25">
      <c r="A55" s="16">
        <v>38657</v>
      </c>
      <c r="B55" s="4">
        <f>'[1]Pages 240-41'!B56</f>
        <v>52.19</v>
      </c>
      <c r="C55" s="8">
        <f t="shared" si="0"/>
        <v>2.4438764758808677E-2</v>
      </c>
      <c r="D55" s="9">
        <f t="shared" si="1"/>
        <v>8.5460626476188996E-3</v>
      </c>
      <c r="F55" s="4">
        <f>'[1]Pages 240-41'!C56</f>
        <v>53.31</v>
      </c>
      <c r="G55" s="8">
        <f t="shared" si="2"/>
        <v>-3.7914000000206054E-2</v>
      </c>
      <c r="H55" s="9">
        <f t="shared" si="3"/>
        <v>-4.2474216283595413E-2</v>
      </c>
      <c r="J55" s="10">
        <f t="shared" si="4"/>
        <v>-3.6298731326812119E-4</v>
      </c>
    </row>
    <row r="56" spans="1:10" x14ac:dyDescent="0.25">
      <c r="A56" s="16">
        <v>38687</v>
      </c>
      <c r="B56" s="4">
        <f>'[1]Pages 240-41'!B57</f>
        <v>55.31</v>
      </c>
      <c r="C56" s="8">
        <f t="shared" si="0"/>
        <v>5.8062818351264943E-2</v>
      </c>
      <c r="D56" s="9">
        <f t="shared" si="1"/>
        <v>4.2170116240075162E-2</v>
      </c>
      <c r="F56" s="4">
        <f>'[1]Pages 240-41'!C57</f>
        <v>54.76</v>
      </c>
      <c r="G56" s="8">
        <f t="shared" si="2"/>
        <v>2.6836069585578326E-2</v>
      </c>
      <c r="H56" s="9">
        <f t="shared" si="3"/>
        <v>2.2275853302188967E-2</v>
      </c>
      <c r="J56" s="10">
        <f t="shared" si="4"/>
        <v>9.3937532310017086E-4</v>
      </c>
    </row>
    <row r="57" spans="1:10" x14ac:dyDescent="0.25">
      <c r="A57" s="16">
        <v>38720</v>
      </c>
      <c r="B57" s="4">
        <f>'[1]Pages 240-41'!B58</f>
        <v>55.63</v>
      </c>
      <c r="C57" s="8">
        <f t="shared" si="0"/>
        <v>5.7689000806151391E-3</v>
      </c>
      <c r="D57" s="9">
        <f t="shared" si="1"/>
        <v>-1.0123802030574638E-2</v>
      </c>
      <c r="F57" s="4">
        <f>'[1]Pages 240-41'!C58</f>
        <v>54.54</v>
      </c>
      <c r="G57" s="8">
        <f t="shared" si="2"/>
        <v>-4.0256230028056436E-3</v>
      </c>
      <c r="H57" s="9">
        <f t="shared" si="3"/>
        <v>-8.5858392861950031E-3</v>
      </c>
      <c r="J57" s="10">
        <f t="shared" si="4"/>
        <v>8.6921337199768477E-5</v>
      </c>
    </row>
    <row r="58" spans="1:10" x14ac:dyDescent="0.25">
      <c r="A58" s="16">
        <v>38749</v>
      </c>
      <c r="B58" s="4">
        <f>'[1]Pages 240-41'!B59</f>
        <v>58.46</v>
      </c>
      <c r="C58" s="8">
        <f t="shared" si="0"/>
        <v>4.9620135595898014E-2</v>
      </c>
      <c r="D58" s="9">
        <f t="shared" si="1"/>
        <v>3.3727433484708233E-2</v>
      </c>
      <c r="F58" s="4">
        <f>'[1]Pages 240-41'!C59</f>
        <v>54.29</v>
      </c>
      <c r="G58" s="8">
        <f t="shared" si="2"/>
        <v>-4.5943295000827229E-3</v>
      </c>
      <c r="H58" s="9">
        <f t="shared" si="3"/>
        <v>-9.1545457834720824E-3</v>
      </c>
      <c r="J58" s="10">
        <f t="shared" si="4"/>
        <v>-3.0875933399477089E-4</v>
      </c>
    </row>
    <row r="59" spans="1:10" x14ac:dyDescent="0.25">
      <c r="A59" s="16">
        <v>38777</v>
      </c>
      <c r="B59" s="4">
        <f>'[1]Pages 240-41'!B60</f>
        <v>60.23</v>
      </c>
      <c r="C59" s="8">
        <f t="shared" si="0"/>
        <v>2.9827807372529661E-2</v>
      </c>
      <c r="D59" s="9">
        <f t="shared" si="1"/>
        <v>1.3935105261339883E-2</v>
      </c>
      <c r="F59" s="4">
        <f>'[1]Pages 240-41'!C60</f>
        <v>51.9</v>
      </c>
      <c r="G59" s="8">
        <f t="shared" si="2"/>
        <v>-4.5021257745516831E-2</v>
      </c>
      <c r="H59" s="9">
        <f t="shared" si="3"/>
        <v>-4.958147402890619E-2</v>
      </c>
      <c r="J59" s="10">
        <f t="shared" si="4"/>
        <v>-6.9092305960519749E-4</v>
      </c>
    </row>
    <row r="60" spans="1:10" x14ac:dyDescent="0.25">
      <c r="A60" s="16">
        <v>38810</v>
      </c>
      <c r="B60" s="4">
        <f>'[1]Pages 240-41'!B61</f>
        <v>65.459999999999994</v>
      </c>
      <c r="C60" s="8">
        <f t="shared" si="0"/>
        <v>8.3268702017404717E-2</v>
      </c>
      <c r="D60" s="9">
        <f t="shared" si="1"/>
        <v>6.7375999906214942E-2</v>
      </c>
      <c r="F60" s="4">
        <f>'[1]Pages 240-41'!C61</f>
        <v>52.99</v>
      </c>
      <c r="G60" s="8">
        <f t="shared" si="2"/>
        <v>2.0784426332827795E-2</v>
      </c>
      <c r="H60" s="9">
        <f t="shared" si="3"/>
        <v>1.6224210049438435E-2</v>
      </c>
      <c r="J60" s="10">
        <f t="shared" si="4"/>
        <v>1.0931223747693754E-3</v>
      </c>
    </row>
    <row r="61" spans="1:10" x14ac:dyDescent="0.25">
      <c r="A61" s="16">
        <v>38838</v>
      </c>
      <c r="B61" s="4">
        <f>'[1]Pages 240-41'!B62</f>
        <v>60.84</v>
      </c>
      <c r="C61" s="8">
        <f t="shared" si="0"/>
        <v>-7.319180168194224E-2</v>
      </c>
      <c r="D61" s="9">
        <f t="shared" si="1"/>
        <v>-8.9084503793132014E-2</v>
      </c>
      <c r="F61" s="4">
        <f>'[1]Pages 240-41'!C62</f>
        <v>48.92</v>
      </c>
      <c r="G61" s="8">
        <f t="shared" si="2"/>
        <v>-7.9916905685699063E-2</v>
      </c>
      <c r="H61" s="9">
        <f t="shared" si="3"/>
        <v>-8.4477121969088423E-2</v>
      </c>
      <c r="J61" s="10">
        <f t="shared" si="4"/>
        <v>7.5256024924881338E-3</v>
      </c>
    </row>
    <row r="62" spans="1:10" x14ac:dyDescent="0.25">
      <c r="A62" s="16">
        <v>38869</v>
      </c>
      <c r="B62" s="4">
        <f>'[1]Pages 240-41'!B63</f>
        <v>67.510000000000005</v>
      </c>
      <c r="C62" s="8">
        <f t="shared" si="0"/>
        <v>0.104028267662687</v>
      </c>
      <c r="D62" s="9">
        <f t="shared" si="1"/>
        <v>8.8135565551497222E-2</v>
      </c>
      <c r="F62" s="4">
        <f>'[1]Pages 240-41'!C63</f>
        <v>48.87</v>
      </c>
      <c r="G62" s="8">
        <f t="shared" si="2"/>
        <v>-1.0225995369082333E-3</v>
      </c>
      <c r="H62" s="9">
        <f t="shared" si="3"/>
        <v>-5.5828158202975925E-3</v>
      </c>
      <c r="J62" s="10">
        <f t="shared" si="4"/>
        <v>-4.9204462969177417E-4</v>
      </c>
    </row>
    <row r="63" spans="1:10" x14ac:dyDescent="0.25">
      <c r="A63" s="16">
        <v>38901</v>
      </c>
      <c r="B63" s="4">
        <f>'[1]Pages 240-41'!B64</f>
        <v>67.650000000000006</v>
      </c>
      <c r="C63" s="8">
        <f t="shared" si="0"/>
        <v>2.0716195630178448E-3</v>
      </c>
      <c r="D63" s="9">
        <f t="shared" si="1"/>
        <v>-1.3821082548171933E-2</v>
      </c>
      <c r="F63" s="4">
        <f>'[1]Pages 240-41'!C64</f>
        <v>49.17</v>
      </c>
      <c r="G63" s="8">
        <f t="shared" si="2"/>
        <v>6.1199701417845396E-3</v>
      </c>
      <c r="H63" s="9">
        <f t="shared" si="3"/>
        <v>1.5597538583951801E-3</v>
      </c>
      <c r="J63" s="10">
        <f t="shared" si="4"/>
        <v>-2.155748683170946E-5</v>
      </c>
    </row>
    <row r="64" spans="1:10" x14ac:dyDescent="0.25">
      <c r="C64" s="14"/>
      <c r="D64" s="14"/>
      <c r="J64" s="10"/>
    </row>
    <row r="65" spans="1:11" x14ac:dyDescent="0.25">
      <c r="A65" s="3" t="s">
        <v>6</v>
      </c>
      <c r="C65" s="14">
        <f>AVERAGE(C4:C63)</f>
        <v>1.5892702111189778E-2</v>
      </c>
      <c r="D65" s="3" t="str">
        <f ca="1">[2]!getformula(C65)</f>
        <v>&lt;--  =AVERAGE(C4:C63)</v>
      </c>
      <c r="G65" s="14">
        <f>AVERAGE(G4:G63)</f>
        <v>4.5602162833893595E-3</v>
      </c>
      <c r="I65" s="3" t="s">
        <v>7</v>
      </c>
      <c r="J65" s="15">
        <f>AVERAGE(J4:J63)</f>
        <v>3.7973111449863444E-3</v>
      </c>
      <c r="K65" s="3" t="str">
        <f ca="1">[2]!getformula(J65)</f>
        <v>&lt;--  =AVERAGE(J4:J63)</v>
      </c>
    </row>
    <row r="66" spans="1:11" x14ac:dyDescent="0.25">
      <c r="A66" s="3" t="s">
        <v>8</v>
      </c>
      <c r="C66" s="14">
        <f>_xlfn.STDEV.P(C4:C63)</f>
        <v>9.6342751419653372E-2</v>
      </c>
      <c r="D66" s="3" t="str">
        <f ca="1">[2]!getformula(C66)</f>
        <v>&lt;--  =STDEV.P(C4:C63)</v>
      </c>
      <c r="G66" s="14">
        <f>_xlfn.STDEV.P(G4:G63)</f>
        <v>7.1870995373966809E-2</v>
      </c>
      <c r="J66" s="15">
        <f>_xlfn.COVARIANCE.P(C4:C63,G4:G63)</f>
        <v>3.7973111449863444E-3</v>
      </c>
      <c r="K66" s="18" t="str">
        <f ca="1">[2]!getformula(J66)</f>
        <v>&lt;--  =COVARIANCE.P(C4:C63,G4:G63)</v>
      </c>
    </row>
    <row r="67" spans="1:11" x14ac:dyDescent="0.25">
      <c r="J67" s="10"/>
    </row>
    <row r="68" spans="1:11" x14ac:dyDescent="0.25">
      <c r="I68" s="3" t="s">
        <v>9</v>
      </c>
      <c r="J68" s="15">
        <f>J65/(C66*G66)</f>
        <v>0.54840761832959894</v>
      </c>
      <c r="K68" s="3" t="str">
        <f ca="1">[2]!getformula(J68)</f>
        <v>&lt;--  =J65/(C66*G66)</v>
      </c>
    </row>
    <row r="69" spans="1:11" x14ac:dyDescent="0.25">
      <c r="J69" s="15">
        <f>J65/(_xlfn.STDEV.P(C4:C63)*_xlfn.STDEV.P(G4:G63))</f>
        <v>0.54840761832959894</v>
      </c>
      <c r="K69" s="3" t="str">
        <f ca="1">[2]!getformula(J69)</f>
        <v>&lt;--  =J65/(STDEV.P(C4:C63)*STDEV.P(G4:G63))</v>
      </c>
    </row>
    <row r="70" spans="1:11" x14ac:dyDescent="0.25">
      <c r="J70" s="15">
        <f>CORREL(C4:C63,G4:G63)</f>
        <v>0.54840761832959894</v>
      </c>
      <c r="K70" s="3" t="str">
        <f ca="1">[2]!getformula(J70)</f>
        <v>&lt;--  =CORREL(C4:C63,G4:G63)</v>
      </c>
    </row>
  </sheetData>
  <mergeCells count="1">
    <mergeCell ref="A1:K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91170-1AE9-435F-87E2-2C95B12162EC}">
  <dimension ref="E4:F66"/>
  <sheetViews>
    <sheetView topLeftCell="A7" workbookViewId="0">
      <selection activeCell="K23" sqref="K23"/>
    </sheetView>
  </sheetViews>
  <sheetFormatPr defaultRowHeight="13.8" x14ac:dyDescent="0.25"/>
  <sheetData>
    <row r="4" spans="5:6" x14ac:dyDescent="0.25">
      <c r="E4" s="2" t="s">
        <v>1</v>
      </c>
      <c r="F4" s="2" t="s">
        <v>4</v>
      </c>
    </row>
    <row r="5" spans="5:6" x14ac:dyDescent="0.25">
      <c r="E5" s="19" t="s">
        <v>2</v>
      </c>
      <c r="F5" s="19" t="s">
        <v>2</v>
      </c>
    </row>
    <row r="7" spans="5:6" x14ac:dyDescent="0.25">
      <c r="E7">
        <v>-0.1697427745870945</v>
      </c>
      <c r="F7">
        <v>-0.10923014394234899</v>
      </c>
    </row>
    <row r="8" spans="5:6" x14ac:dyDescent="0.25">
      <c r="E8">
        <v>-9.1816290550069124E-2</v>
      </c>
      <c r="F8">
        <v>-8.7201184335743878E-2</v>
      </c>
    </row>
    <row r="9" spans="5:6" x14ac:dyDescent="0.25">
      <c r="E9">
        <v>-2.4943889211722662E-3</v>
      </c>
      <c r="F9">
        <v>-1.9054452969198853E-2</v>
      </c>
    </row>
    <row r="10" spans="5:6" x14ac:dyDescent="0.25">
      <c r="E10">
        <v>0.15386521022783195</v>
      </c>
      <c r="F10">
        <v>0.18783424991678188</v>
      </c>
    </row>
    <row r="11" spans="5:6" x14ac:dyDescent="0.25">
      <c r="E11">
        <v>5.9843361932192626E-2</v>
      </c>
      <c r="F11">
        <v>8.9596451348861003E-2</v>
      </c>
    </row>
    <row r="12" spans="5:6" x14ac:dyDescent="0.25">
      <c r="E12">
        <v>-7.364263221450526E-2</v>
      </c>
      <c r="F12">
        <v>7.8514291414691684E-2</v>
      </c>
    </row>
    <row r="13" spans="5:6" x14ac:dyDescent="0.25">
      <c r="E13">
        <v>-0.24143841442539005</v>
      </c>
      <c r="F13">
        <v>-5.6885107653328486E-2</v>
      </c>
    </row>
    <row r="14" spans="5:6" x14ac:dyDescent="0.25">
      <c r="E14">
        <v>5.7987257650349525E-2</v>
      </c>
      <c r="F14">
        <v>2.8846988735283855E-2</v>
      </c>
    </row>
    <row r="15" spans="5:6" x14ac:dyDescent="0.25">
      <c r="E15">
        <v>5.4808236494994951E-2</v>
      </c>
      <c r="F15">
        <v>1.2112723797721256E-2</v>
      </c>
    </row>
    <row r="16" spans="5:6" x14ac:dyDescent="0.25">
      <c r="E16">
        <v>0.1181670497050447</v>
      </c>
      <c r="F16">
        <v>-5.0101221529949815E-2</v>
      </c>
    </row>
    <row r="17" spans="5:6" x14ac:dyDescent="0.25">
      <c r="E17">
        <v>-0.10492182295502411</v>
      </c>
      <c r="F17">
        <v>-8.4374904277734503E-2</v>
      </c>
    </row>
    <row r="18" spans="5:6" x14ac:dyDescent="0.25">
      <c r="E18">
        <v>-0.21803963939603388</v>
      </c>
      <c r="F18">
        <v>-0.1332613777720654</v>
      </c>
    </row>
    <row r="19" spans="5:6" x14ac:dyDescent="0.25">
      <c r="E19">
        <v>-1.4037459675588474E-2</v>
      </c>
      <c r="F19">
        <v>2.7090379832942213E-2</v>
      </c>
    </row>
    <row r="20" spans="5:6" x14ac:dyDescent="0.25">
      <c r="E20">
        <v>-8.6620326455331617E-2</v>
      </c>
      <c r="F20">
        <v>-0.14726751633551921</v>
      </c>
    </row>
    <row r="21" spans="5:6" x14ac:dyDescent="0.25">
      <c r="E21">
        <v>0.18822456441225008</v>
      </c>
      <c r="F21">
        <v>1.9979996367571862E-2</v>
      </c>
    </row>
    <row r="22" spans="5:6" x14ac:dyDescent="0.25">
      <c r="E22">
        <v>0.21947218934425206</v>
      </c>
      <c r="F22">
        <v>0.14573493390525158</v>
      </c>
    </row>
    <row r="23" spans="5:6" x14ac:dyDescent="0.25">
      <c r="E23">
        <v>-3.0785590997423853E-2</v>
      </c>
      <c r="F23">
        <v>-0.14778341533172407</v>
      </c>
    </row>
    <row r="24" spans="5:6" x14ac:dyDescent="0.25">
      <c r="E24">
        <v>-0.16563398585296116</v>
      </c>
      <c r="F24">
        <v>-6.1671820655495112E-2</v>
      </c>
    </row>
    <row r="25" spans="5:6" x14ac:dyDescent="0.25">
      <c r="E25">
        <v>2.3593587698727009E-2</v>
      </c>
      <c r="F25">
        <v>1.7654935238720745E-2</v>
      </c>
    </row>
    <row r="26" spans="5:6" x14ac:dyDescent="0.25">
      <c r="E26">
        <v>-1.0655401826827513E-2</v>
      </c>
      <c r="F26">
        <v>2.1202207650603124E-2</v>
      </c>
    </row>
    <row r="27" spans="5:6" x14ac:dyDescent="0.25">
      <c r="E27">
        <v>-0.13452660801767038</v>
      </c>
      <c r="F27">
        <v>0.13366250291031218</v>
      </c>
    </row>
    <row r="28" spans="5:6" x14ac:dyDescent="0.25">
      <c r="E28">
        <v>1.5202481902510648E-2</v>
      </c>
      <c r="F28">
        <v>9.2832070808071959E-2</v>
      </c>
    </row>
    <row r="29" spans="5:6" x14ac:dyDescent="0.25">
      <c r="E29">
        <v>-2.7533094359989251E-2</v>
      </c>
      <c r="F29">
        <v>3.2367060197904772E-2</v>
      </c>
    </row>
    <row r="30" spans="5:6" x14ac:dyDescent="0.25">
      <c r="E30">
        <v>0.10529847899413819</v>
      </c>
      <c r="F30">
        <v>1.2605772395928172E-2</v>
      </c>
    </row>
    <row r="31" spans="5:6" x14ac:dyDescent="0.25">
      <c r="E31">
        <v>0.13262366641619031</v>
      </c>
      <c r="F31">
        <v>5.9746273055528709E-2</v>
      </c>
    </row>
    <row r="32" spans="5:6" x14ac:dyDescent="0.25">
      <c r="E32">
        <v>7.3081933067248427E-3</v>
      </c>
      <c r="F32">
        <v>-7.6137880151645715E-2</v>
      </c>
    </row>
    <row r="33" spans="5:6" x14ac:dyDescent="0.25">
      <c r="E33">
        <v>0.10671881605100342</v>
      </c>
      <c r="F33">
        <v>5.4566177037507539E-2</v>
      </c>
    </row>
    <row r="34" spans="5:6" x14ac:dyDescent="0.25">
      <c r="E34">
        <v>5.1031480012445826E-2</v>
      </c>
      <c r="F34">
        <v>-2.4147609771719931E-2</v>
      </c>
    </row>
    <row r="35" spans="5:6" x14ac:dyDescent="0.25">
      <c r="E35">
        <v>5.4459917132380839E-2</v>
      </c>
      <c r="F35">
        <v>-8.1805443672906073E-3</v>
      </c>
    </row>
    <row r="36" spans="5:6" x14ac:dyDescent="0.25">
      <c r="E36">
        <v>1.1771631730148311E-3</v>
      </c>
      <c r="F36">
        <v>-1.1459152707337649E-2</v>
      </c>
    </row>
    <row r="37" spans="5:6" x14ac:dyDescent="0.25">
      <c r="E37">
        <v>0.16451693216044788</v>
      </c>
      <c r="F37">
        <v>0.14819816700372693</v>
      </c>
    </row>
    <row r="38" spans="5:6" x14ac:dyDescent="0.25">
      <c r="E38">
        <v>0.11933428250485183</v>
      </c>
      <c r="F38">
        <v>2.4427649951372053E-2</v>
      </c>
    </row>
    <row r="39" spans="5:6" x14ac:dyDescent="0.25">
      <c r="E39">
        <v>-2.2996384446662962E-2</v>
      </c>
      <c r="F39">
        <v>-3.7922503418294888E-2</v>
      </c>
    </row>
    <row r="40" spans="5:6" x14ac:dyDescent="0.25">
      <c r="E40">
        <v>5.4957268692267136E-2</v>
      </c>
      <c r="F40">
        <v>3.2041464074788278E-2</v>
      </c>
    </row>
    <row r="41" spans="5:6" x14ac:dyDescent="0.25">
      <c r="E41">
        <v>5.399196596662259E-2</v>
      </c>
      <c r="F41">
        <v>-5.1197778842322808E-2</v>
      </c>
    </row>
    <row r="42" spans="5:6" x14ac:dyDescent="0.25">
      <c r="E42">
        <v>6.0959243179553993E-2</v>
      </c>
      <c r="F42">
        <v>2.6159144505854069E-2</v>
      </c>
    </row>
    <row r="43" spans="5:6" x14ac:dyDescent="0.25">
      <c r="E43">
        <v>-4.2969766236141883E-2</v>
      </c>
      <c r="F43">
        <v>2.4130781346289029E-2</v>
      </c>
    </row>
    <row r="44" spans="5:6" x14ac:dyDescent="0.25">
      <c r="E44">
        <v>-8.2618311921640597E-2</v>
      </c>
      <c r="F44">
        <v>1.4875189765044098E-2</v>
      </c>
    </row>
    <row r="45" spans="5:6" x14ac:dyDescent="0.25">
      <c r="E45">
        <v>-1.6317378358505292E-2</v>
      </c>
      <c r="F45">
        <v>0.10017933123813529</v>
      </c>
    </row>
    <row r="46" spans="5:6" x14ac:dyDescent="0.25">
      <c r="E46">
        <v>0.10978666349436092</v>
      </c>
      <c r="F46">
        <v>2.5378522595279701E-2</v>
      </c>
    </row>
    <row r="47" spans="5:6" x14ac:dyDescent="0.25">
      <c r="E47">
        <v>6.9887443599125451E-2</v>
      </c>
      <c r="F47">
        <v>1.3717636228799344E-2</v>
      </c>
    </row>
    <row r="48" spans="5:6" x14ac:dyDescent="0.25">
      <c r="E48">
        <v>3.4498656959808825E-2</v>
      </c>
      <c r="F48">
        <v>-2.2636533919784308E-2</v>
      </c>
    </row>
    <row r="49" spans="5:6" x14ac:dyDescent="0.25">
      <c r="E49">
        <v>4.0660729442806749E-2</v>
      </c>
      <c r="F49">
        <v>2.5847514141931443E-3</v>
      </c>
    </row>
    <row r="50" spans="5:6" x14ac:dyDescent="0.25">
      <c r="E50">
        <v>0.15434582081724227</v>
      </c>
      <c r="F50">
        <v>-1.5811397143663853E-2</v>
      </c>
    </row>
    <row r="51" spans="5:6" x14ac:dyDescent="0.25">
      <c r="E51">
        <v>-8.8271594233242809E-2</v>
      </c>
      <c r="F51">
        <v>-7.4961830480650068E-2</v>
      </c>
    </row>
    <row r="52" spans="5:6" x14ac:dyDescent="0.25">
      <c r="E52">
        <v>4.8465343832823096E-2</v>
      </c>
      <c r="F52">
        <v>0.14751234961996626</v>
      </c>
    </row>
    <row r="53" spans="5:6" x14ac:dyDescent="0.25">
      <c r="E53">
        <v>5.5103286026206656E-2</v>
      </c>
      <c r="F53">
        <v>1.3047715392475675E-2</v>
      </c>
    </row>
    <row r="54" spans="5:6" x14ac:dyDescent="0.25">
      <c r="E54">
        <v>6.7787943957272709E-2</v>
      </c>
      <c r="F54">
        <v>7.6789558669790217E-2</v>
      </c>
    </row>
    <row r="55" spans="5:6" x14ac:dyDescent="0.25">
      <c r="E55">
        <v>-0.14361204518264717</v>
      </c>
      <c r="F55">
        <v>-8.7026967763010332E-2</v>
      </c>
    </row>
    <row r="56" spans="5:6" x14ac:dyDescent="0.25">
      <c r="E56">
        <v>-2.5190248828558633E-2</v>
      </c>
      <c r="F56">
        <v>-3.4450071492612498E-2</v>
      </c>
    </row>
    <row r="57" spans="5:6" x14ac:dyDescent="0.25">
      <c r="E57">
        <v>7.9453837306141833E-2</v>
      </c>
      <c r="F57">
        <v>6.9741364856433966E-2</v>
      </c>
    </row>
    <row r="58" spans="5:6" x14ac:dyDescent="0.25">
      <c r="E58">
        <v>2.4438764758808677E-2</v>
      </c>
      <c r="F58">
        <v>-3.7914000000206054E-2</v>
      </c>
    </row>
    <row r="59" spans="5:6" x14ac:dyDescent="0.25">
      <c r="E59">
        <v>5.8062818351264943E-2</v>
      </c>
      <c r="F59">
        <v>2.6836069585578326E-2</v>
      </c>
    </row>
    <row r="60" spans="5:6" x14ac:dyDescent="0.25">
      <c r="E60">
        <v>5.7689000806151391E-3</v>
      </c>
      <c r="F60">
        <v>-4.0256230028056436E-3</v>
      </c>
    </row>
    <row r="61" spans="5:6" x14ac:dyDescent="0.25">
      <c r="E61">
        <v>4.9620135595898014E-2</v>
      </c>
      <c r="F61">
        <v>-4.5943295000827229E-3</v>
      </c>
    </row>
    <row r="62" spans="5:6" x14ac:dyDescent="0.25">
      <c r="E62">
        <v>2.9827807372529661E-2</v>
      </c>
      <c r="F62">
        <v>-4.5021257745516831E-2</v>
      </c>
    </row>
    <row r="63" spans="5:6" x14ac:dyDescent="0.25">
      <c r="E63">
        <v>8.3268702017404717E-2</v>
      </c>
      <c r="F63">
        <v>2.0784426332827795E-2</v>
      </c>
    </row>
    <row r="64" spans="5:6" x14ac:dyDescent="0.25">
      <c r="E64">
        <v>-7.319180168194224E-2</v>
      </c>
      <c r="F64">
        <v>-7.9916905685699063E-2</v>
      </c>
    </row>
    <row r="65" spans="5:6" x14ac:dyDescent="0.25">
      <c r="E65">
        <v>0.104028267662687</v>
      </c>
      <c r="F65">
        <v>-1.0225995369082333E-3</v>
      </c>
    </row>
    <row r="66" spans="5:6" x14ac:dyDescent="0.25">
      <c r="E66">
        <v>2.0716195630178448E-3</v>
      </c>
      <c r="F66">
        <v>6.1199701417845396E-3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2024-10-24T07:11:35Z</dcterms:modified>
</cp:coreProperties>
</file>