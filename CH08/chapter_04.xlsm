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87F14233-D66D-473D-B79B-697A8B6278E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I8" i="1"/>
  <c r="I9" i="1" s="1"/>
  <c r="H9" i="1"/>
  <c r="H8" i="1"/>
  <c r="H17" i="1" s="1"/>
  <c r="I7" i="1"/>
  <c r="H7" i="1"/>
  <c r="H14" i="1" s="1"/>
  <c r="C65" i="1"/>
  <c r="B65" i="1"/>
  <c r="D65" i="1" s="1"/>
  <c r="C64" i="1"/>
  <c r="B64" i="1"/>
  <c r="D64" i="1" s="1"/>
  <c r="D63" i="1"/>
  <c r="C63" i="1"/>
  <c r="B63" i="1"/>
  <c r="C62" i="1"/>
  <c r="B62" i="1"/>
  <c r="D62" i="1" s="1"/>
  <c r="C61" i="1"/>
  <c r="B61" i="1"/>
  <c r="C60" i="1"/>
  <c r="B60" i="1"/>
  <c r="D60" i="1" s="1"/>
  <c r="C59" i="1"/>
  <c r="B59" i="1"/>
  <c r="D59" i="1" s="1"/>
  <c r="D58" i="1"/>
  <c r="C58" i="1"/>
  <c r="B58" i="1"/>
  <c r="D57" i="1"/>
  <c r="C57" i="1"/>
  <c r="B57" i="1"/>
  <c r="C56" i="1"/>
  <c r="B56" i="1"/>
  <c r="C55" i="1"/>
  <c r="B55" i="1"/>
  <c r="D55" i="1" s="1"/>
  <c r="C54" i="1"/>
  <c r="B54" i="1"/>
  <c r="D54" i="1" s="1"/>
  <c r="C53" i="1"/>
  <c r="D53" i="1" s="1"/>
  <c r="B53" i="1"/>
  <c r="D52" i="1"/>
  <c r="C52" i="1"/>
  <c r="B52" i="1"/>
  <c r="C51" i="1"/>
  <c r="B51" i="1"/>
  <c r="C50" i="1"/>
  <c r="B50" i="1"/>
  <c r="D50" i="1" s="1"/>
  <c r="C49" i="1"/>
  <c r="B49" i="1"/>
  <c r="D49" i="1" s="1"/>
  <c r="C48" i="1"/>
  <c r="B48" i="1"/>
  <c r="D48" i="1" s="1"/>
  <c r="D47" i="1"/>
  <c r="C47" i="1"/>
  <c r="B47" i="1"/>
  <c r="C46" i="1"/>
  <c r="B46" i="1"/>
  <c r="D46" i="1" s="1"/>
  <c r="C45" i="1"/>
  <c r="B45" i="1"/>
  <c r="C44" i="1"/>
  <c r="B44" i="1"/>
  <c r="D44" i="1" s="1"/>
  <c r="C43" i="1"/>
  <c r="B43" i="1"/>
  <c r="D43" i="1" s="1"/>
  <c r="D42" i="1"/>
  <c r="C42" i="1"/>
  <c r="B42" i="1"/>
  <c r="D41" i="1"/>
  <c r="C41" i="1"/>
  <c r="B41" i="1"/>
  <c r="C40" i="1"/>
  <c r="B40" i="1"/>
  <c r="C39" i="1"/>
  <c r="B39" i="1"/>
  <c r="D39" i="1" s="1"/>
  <c r="C38" i="1"/>
  <c r="B38" i="1"/>
  <c r="D38" i="1" s="1"/>
  <c r="C37" i="1"/>
  <c r="D37" i="1" s="1"/>
  <c r="B37" i="1"/>
  <c r="D36" i="1"/>
  <c r="C36" i="1"/>
  <c r="B36" i="1"/>
  <c r="C35" i="1"/>
  <c r="B35" i="1"/>
  <c r="D35" i="1" s="1"/>
  <c r="C34" i="1"/>
  <c r="B34" i="1"/>
  <c r="D34" i="1" s="1"/>
  <c r="C33" i="1"/>
  <c r="B33" i="1"/>
  <c r="D33" i="1" s="1"/>
  <c r="C32" i="1"/>
  <c r="B32" i="1"/>
  <c r="D32" i="1" s="1"/>
  <c r="D31" i="1"/>
  <c r="C31" i="1"/>
  <c r="B31" i="1"/>
  <c r="C30" i="1"/>
  <c r="B30" i="1"/>
  <c r="D30" i="1" s="1"/>
  <c r="C29" i="1"/>
  <c r="B29" i="1"/>
  <c r="C28" i="1"/>
  <c r="B28" i="1"/>
  <c r="D28" i="1" s="1"/>
  <c r="C27" i="1"/>
  <c r="B27" i="1"/>
  <c r="D27" i="1" s="1"/>
  <c r="D26" i="1"/>
  <c r="C26" i="1"/>
  <c r="B26" i="1"/>
  <c r="D25" i="1"/>
  <c r="C25" i="1"/>
  <c r="B25" i="1"/>
  <c r="C24" i="1"/>
  <c r="B24" i="1"/>
  <c r="C23" i="1"/>
  <c r="B23" i="1"/>
  <c r="D23" i="1" s="1"/>
  <c r="C22" i="1"/>
  <c r="B22" i="1"/>
  <c r="D22" i="1" s="1"/>
  <c r="C21" i="1"/>
  <c r="D21" i="1" s="1"/>
  <c r="B21" i="1"/>
  <c r="D20" i="1"/>
  <c r="C20" i="1"/>
  <c r="B20" i="1"/>
  <c r="C19" i="1"/>
  <c r="B19" i="1"/>
  <c r="C18" i="1"/>
  <c r="B18" i="1"/>
  <c r="D18" i="1" s="1"/>
  <c r="C17" i="1"/>
  <c r="D17" i="1" s="1"/>
  <c r="B17" i="1"/>
  <c r="C16" i="1"/>
  <c r="B16" i="1"/>
  <c r="D16" i="1" s="1"/>
  <c r="C15" i="1"/>
  <c r="B15" i="1"/>
  <c r="C14" i="1"/>
  <c r="B14" i="1"/>
  <c r="D14" i="1" s="1"/>
  <c r="D13" i="1"/>
  <c r="C13" i="1"/>
  <c r="B13" i="1"/>
  <c r="C12" i="1"/>
  <c r="B12" i="1"/>
  <c r="D12" i="1" s="1"/>
  <c r="C11" i="1"/>
  <c r="B11" i="1"/>
  <c r="C10" i="1"/>
  <c r="B10" i="1"/>
  <c r="D10" i="1" s="1"/>
  <c r="D9" i="1"/>
  <c r="C9" i="1"/>
  <c r="B9" i="1"/>
  <c r="C8" i="1"/>
  <c r="B8" i="1"/>
  <c r="D8" i="1" s="1"/>
  <c r="C7" i="1"/>
  <c r="D7" i="1" s="1"/>
  <c r="B7" i="1"/>
  <c r="D6" i="1"/>
  <c r="C6" i="1"/>
  <c r="B6" i="1"/>
  <c r="B3" i="1"/>
  <c r="D51" i="1" s="1"/>
  <c r="J10" i="1"/>
  <c r="I13" i="1"/>
  <c r="I17" i="1"/>
  <c r="J9" i="1"/>
  <c r="I16" i="1"/>
  <c r="I14" i="1"/>
  <c r="I19" i="1"/>
  <c r="E7" i="1"/>
  <c r="J7" i="1"/>
  <c r="J8" i="1"/>
  <c r="E6" i="1"/>
  <c r="C3" i="1"/>
  <c r="D11" i="1" l="1"/>
  <c r="H19" i="1" s="1"/>
  <c r="D15" i="1"/>
  <c r="D19" i="1"/>
  <c r="D29" i="1"/>
  <c r="D45" i="1"/>
  <c r="D61" i="1"/>
  <c r="D24" i="1"/>
  <c r="H16" i="1" s="1"/>
  <c r="D40" i="1"/>
  <c r="D56" i="1"/>
  <c r="H13" i="1" l="1"/>
</calcChain>
</file>

<file path=xl/sharedStrings.xml><?xml version="1.0" encoding="utf-8"?>
<sst xmlns="http://schemas.openxmlformats.org/spreadsheetml/2006/main" count="16" uniqueCount="16">
  <si>
    <t>Proportion of WMT</t>
  </si>
  <si>
    <t>Proportion of TGT</t>
  </si>
  <si>
    <t>WMT
return</t>
  </si>
  <si>
    <t>TGT
return</t>
  </si>
  <si>
    <t>Portfolio
return</t>
  </si>
  <si>
    <t>Asset returns</t>
  </si>
  <si>
    <t>WMT</t>
  </si>
  <si>
    <t>TGT</t>
  </si>
  <si>
    <t xml:space="preserve">     Mean return</t>
  </si>
  <si>
    <t xml:space="preserve">     Variance</t>
  </si>
  <si>
    <t xml:space="preserve">     Standard deviation</t>
  </si>
  <si>
    <t xml:space="preserve">     Covariance</t>
  </si>
  <si>
    <t>Portfolio mean return</t>
  </si>
  <si>
    <t>Portfolio return variance</t>
  </si>
  <si>
    <t>Portfolio return standard deviation</t>
  </si>
  <si>
    <t>CALCULATING THE MEAN AND STANDARD DEVIATION OF A PORTFOLIO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</si>
</sst>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 applyAlignment="1">
      <alignment horizontal="center" wrapText="1"/>
    </xf>
    <xf numFmtId="10" fontId="0" fillId="0" borderId="0" xfId="0" applyNumberFormat="1" applyAlignment="1"/>
    <xf numFmtId="10" fontId="0" fillId="0" borderId="0" xfId="1" applyNumberFormat="1" applyFont="1" applyAlignment="1"/>
    <xf numFmtId="176" fontId="0" fillId="0" borderId="0" xfId="0" applyNumberFormat="1" applyAlignment="1"/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13573</xdr:colOff>
      <xdr:row>1</xdr:row>
      <xdr:rowOff>80487</xdr:rowOff>
    </xdr:from>
    <xdr:to>
      <xdr:col>27</xdr:col>
      <xdr:colOff>306943</xdr:colOff>
      <xdr:row>67</xdr:row>
      <xdr:rowOff>51912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AC64412-448D-62E4-EA9B-D4C100861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657761" y="300753"/>
          <a:ext cx="10008870" cy="115264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>
        <row r="5">
          <cell r="E5">
            <v>-0.1697427745870945</v>
          </cell>
          <cell r="F5">
            <v>-0.10923014394234899</v>
          </cell>
        </row>
        <row r="6">
          <cell r="E6">
            <v>-9.1816290550069124E-2</v>
          </cell>
          <cell r="F6">
            <v>-8.7201184335743878E-2</v>
          </cell>
        </row>
        <row r="7">
          <cell r="E7">
            <v>-2.4943889211722662E-3</v>
          </cell>
          <cell r="F7">
            <v>-1.9054452969198853E-2</v>
          </cell>
        </row>
        <row r="8">
          <cell r="E8">
            <v>0.15386521022783195</v>
          </cell>
          <cell r="F8">
            <v>0.18783424991678188</v>
          </cell>
        </row>
        <row r="9">
          <cell r="E9">
            <v>5.9843361932192626E-2</v>
          </cell>
          <cell r="F9">
            <v>8.9596451348861003E-2</v>
          </cell>
        </row>
        <row r="10">
          <cell r="E10">
            <v>-7.364263221450526E-2</v>
          </cell>
          <cell r="F10">
            <v>7.8514291414691684E-2</v>
          </cell>
        </row>
        <row r="11">
          <cell r="E11">
            <v>-0.24143841442539005</v>
          </cell>
          <cell r="F11">
            <v>-5.6885107653328486E-2</v>
          </cell>
        </row>
        <row r="12">
          <cell r="E12">
            <v>5.7987257650349525E-2</v>
          </cell>
          <cell r="F12">
            <v>2.8846988735283855E-2</v>
          </cell>
        </row>
        <row r="13">
          <cell r="E13">
            <v>5.4808236494994951E-2</v>
          </cell>
          <cell r="F13">
            <v>1.2112723797721256E-2</v>
          </cell>
        </row>
        <row r="14">
          <cell r="E14">
            <v>0.1181670497050447</v>
          </cell>
          <cell r="F14">
            <v>-5.0101221529949815E-2</v>
          </cell>
        </row>
        <row r="15">
          <cell r="E15">
            <v>-0.10492182295502411</v>
          </cell>
          <cell r="F15">
            <v>-8.4374904277734503E-2</v>
          </cell>
        </row>
        <row r="16">
          <cell r="E16">
            <v>-0.21803963939603388</v>
          </cell>
          <cell r="F16">
            <v>-0.1332613777720654</v>
          </cell>
        </row>
        <row r="17">
          <cell r="E17">
            <v>-1.4037459675588474E-2</v>
          </cell>
          <cell r="F17">
            <v>2.7090379832942213E-2</v>
          </cell>
        </row>
        <row r="18">
          <cell r="E18">
            <v>-8.6620326455331617E-2</v>
          </cell>
          <cell r="F18">
            <v>-0.14726751633551921</v>
          </cell>
        </row>
        <row r="19">
          <cell r="E19">
            <v>0.18822456441225008</v>
          </cell>
          <cell r="F19">
            <v>1.9979996367571862E-2</v>
          </cell>
        </row>
        <row r="20">
          <cell r="E20">
            <v>0.21947218934425206</v>
          </cell>
          <cell r="F20">
            <v>0.14573493390525158</v>
          </cell>
        </row>
        <row r="21">
          <cell r="E21">
            <v>-3.0785590997423853E-2</v>
          </cell>
          <cell r="F21">
            <v>-0.14778341533172407</v>
          </cell>
        </row>
        <row r="22">
          <cell r="E22">
            <v>-0.16563398585296116</v>
          </cell>
          <cell r="F22">
            <v>-6.1671820655495112E-2</v>
          </cell>
        </row>
        <row r="23">
          <cell r="E23">
            <v>2.3593587698727009E-2</v>
          </cell>
          <cell r="F23">
            <v>1.7654935238720745E-2</v>
          </cell>
        </row>
        <row r="24">
          <cell r="E24">
            <v>-1.0655401826827513E-2</v>
          </cell>
          <cell r="F24">
            <v>2.1202207650603124E-2</v>
          </cell>
        </row>
        <row r="25">
          <cell r="E25">
            <v>-0.13452660801767038</v>
          </cell>
          <cell r="F25">
            <v>0.13366250291031218</v>
          </cell>
        </row>
        <row r="26">
          <cell r="E26">
            <v>1.5202481902510648E-2</v>
          </cell>
          <cell r="F26">
            <v>9.2832070808071959E-2</v>
          </cell>
        </row>
        <row r="27">
          <cell r="E27">
            <v>-2.7533094359989251E-2</v>
          </cell>
          <cell r="F27">
            <v>3.2367060197904772E-2</v>
          </cell>
        </row>
        <row r="28">
          <cell r="E28">
            <v>0.10529847899413819</v>
          </cell>
          <cell r="F28">
            <v>1.2605772395928172E-2</v>
          </cell>
        </row>
        <row r="29">
          <cell r="E29">
            <v>0.13262366641619031</v>
          </cell>
          <cell r="F29">
            <v>5.9746273055528709E-2</v>
          </cell>
        </row>
        <row r="30">
          <cell r="E30">
            <v>7.3081933067248427E-3</v>
          </cell>
          <cell r="F30">
            <v>-7.6137880151645715E-2</v>
          </cell>
        </row>
        <row r="31">
          <cell r="E31">
            <v>0.10671881605100342</v>
          </cell>
          <cell r="F31">
            <v>5.4566177037507539E-2</v>
          </cell>
        </row>
        <row r="32">
          <cell r="E32">
            <v>5.1031480012445826E-2</v>
          </cell>
          <cell r="F32">
            <v>-2.4147609771719931E-2</v>
          </cell>
        </row>
        <row r="33">
          <cell r="E33">
            <v>5.4459917132380839E-2</v>
          </cell>
          <cell r="F33">
            <v>-8.1805443672906073E-3</v>
          </cell>
        </row>
        <row r="34">
          <cell r="E34">
            <v>1.1771631730148311E-3</v>
          </cell>
          <cell r="F34">
            <v>-1.1459152707337649E-2</v>
          </cell>
        </row>
        <row r="35">
          <cell r="E35">
            <v>0.16451693216044788</v>
          </cell>
          <cell r="F35">
            <v>0.14819816700372693</v>
          </cell>
        </row>
        <row r="36">
          <cell r="E36">
            <v>0.11933428250485183</v>
          </cell>
          <cell r="F36">
            <v>2.4427649951372053E-2</v>
          </cell>
        </row>
        <row r="37">
          <cell r="E37">
            <v>-2.2996384446662962E-2</v>
          </cell>
          <cell r="F37">
            <v>-3.7922503418294888E-2</v>
          </cell>
        </row>
        <row r="38">
          <cell r="E38">
            <v>5.4957268692267136E-2</v>
          </cell>
          <cell r="F38">
            <v>3.2041464074788278E-2</v>
          </cell>
        </row>
        <row r="39">
          <cell r="E39">
            <v>5.399196596662259E-2</v>
          </cell>
          <cell r="F39">
            <v>-5.1197778842322808E-2</v>
          </cell>
        </row>
        <row r="40">
          <cell r="E40">
            <v>6.0959243179553993E-2</v>
          </cell>
          <cell r="F40">
            <v>2.6159144505854069E-2</v>
          </cell>
        </row>
        <row r="41">
          <cell r="E41">
            <v>-4.2969766236141883E-2</v>
          </cell>
          <cell r="F41">
            <v>2.4130781346289029E-2</v>
          </cell>
        </row>
        <row r="42">
          <cell r="E42">
            <v>-8.2618311921640597E-2</v>
          </cell>
          <cell r="F42">
            <v>1.4875189765044098E-2</v>
          </cell>
        </row>
        <row r="43">
          <cell r="E43">
            <v>-1.6317378358505292E-2</v>
          </cell>
          <cell r="F43">
            <v>0.10017933123813529</v>
          </cell>
        </row>
        <row r="44">
          <cell r="E44">
            <v>0.10978666349436092</v>
          </cell>
          <cell r="F44">
            <v>2.5378522595279701E-2</v>
          </cell>
        </row>
        <row r="45">
          <cell r="E45">
            <v>6.9887443599125451E-2</v>
          </cell>
          <cell r="F45">
            <v>1.3717636228799344E-2</v>
          </cell>
        </row>
        <row r="46">
          <cell r="E46">
            <v>3.4498656959808825E-2</v>
          </cell>
          <cell r="F46">
            <v>-2.2636533919784308E-2</v>
          </cell>
        </row>
        <row r="47">
          <cell r="E47">
            <v>4.0660729442806749E-2</v>
          </cell>
          <cell r="F47">
            <v>2.5847514141931443E-3</v>
          </cell>
        </row>
        <row r="48">
          <cell r="E48">
            <v>0.15434582081724227</v>
          </cell>
          <cell r="F48">
            <v>-1.5811397143663853E-2</v>
          </cell>
        </row>
        <row r="49">
          <cell r="E49">
            <v>-8.8271594233242809E-2</v>
          </cell>
          <cell r="F49">
            <v>-7.4961830480650068E-2</v>
          </cell>
        </row>
        <row r="50">
          <cell r="E50">
            <v>4.8465343832823096E-2</v>
          </cell>
          <cell r="F50">
            <v>0.14751234961996626</v>
          </cell>
        </row>
        <row r="51">
          <cell r="E51">
            <v>5.5103286026206656E-2</v>
          </cell>
          <cell r="F51">
            <v>1.3047715392475675E-2</v>
          </cell>
        </row>
        <row r="52">
          <cell r="E52">
            <v>6.7787943957272709E-2</v>
          </cell>
          <cell r="F52">
            <v>7.6789558669790217E-2</v>
          </cell>
        </row>
        <row r="53">
          <cell r="E53">
            <v>-0.14361204518264717</v>
          </cell>
          <cell r="F53">
            <v>-8.7026967763010332E-2</v>
          </cell>
        </row>
        <row r="54">
          <cell r="E54">
            <v>-2.5190248828558633E-2</v>
          </cell>
          <cell r="F54">
            <v>-3.4450071492612498E-2</v>
          </cell>
        </row>
        <row r="55">
          <cell r="E55">
            <v>7.9453837306141833E-2</v>
          </cell>
          <cell r="F55">
            <v>6.9741364856433966E-2</v>
          </cell>
        </row>
        <row r="56">
          <cell r="E56">
            <v>2.4438764758808677E-2</v>
          </cell>
          <cell r="F56">
            <v>-3.7914000000206054E-2</v>
          </cell>
        </row>
        <row r="57">
          <cell r="E57">
            <v>5.8062818351264943E-2</v>
          </cell>
          <cell r="F57">
            <v>2.6836069585578326E-2</v>
          </cell>
        </row>
        <row r="58">
          <cell r="E58">
            <v>5.7689000806151391E-3</v>
          </cell>
          <cell r="F58">
            <v>-4.0256230028056436E-3</v>
          </cell>
        </row>
        <row r="59">
          <cell r="E59">
            <v>4.9620135595898014E-2</v>
          </cell>
          <cell r="F59">
            <v>-4.5943295000827229E-3</v>
          </cell>
        </row>
        <row r="60">
          <cell r="E60">
            <v>2.9827807372529661E-2</v>
          </cell>
          <cell r="F60">
            <v>-4.5021257745516831E-2</v>
          </cell>
        </row>
        <row r="61">
          <cell r="E61">
            <v>8.3268702017404717E-2</v>
          </cell>
          <cell r="F61">
            <v>2.0784426332827795E-2</v>
          </cell>
        </row>
        <row r="62">
          <cell r="E62">
            <v>-7.319180168194224E-2</v>
          </cell>
          <cell r="F62">
            <v>-7.9916905685699063E-2</v>
          </cell>
        </row>
        <row r="63">
          <cell r="E63">
            <v>0.104028267662687</v>
          </cell>
          <cell r="F63">
            <v>-1.0225995369082333E-3</v>
          </cell>
        </row>
        <row r="64">
          <cell r="E64">
            <v>2.0716195630178448E-3</v>
          </cell>
          <cell r="F64">
            <v>6.1199701417845396E-3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65"/>
  <sheetViews>
    <sheetView tabSelected="1" topLeftCell="A5" zoomScale="160" zoomScaleNormal="160" workbookViewId="0">
      <selection activeCell="H16" sqref="H16"/>
    </sheetView>
  </sheetViews>
  <sheetFormatPr defaultRowHeight="13.8" x14ac:dyDescent="0.25"/>
  <cols>
    <col min="1" max="1" width="17.33203125" style="1" customWidth="1"/>
    <col min="2" max="4" width="8.88671875" style="1"/>
    <col min="5" max="5" width="21" style="1" bestFit="1" customWidth="1"/>
    <col min="6" max="6" width="7.44140625" style="1" customWidth="1"/>
    <col min="7" max="7" width="29" style="1" bestFit="1" customWidth="1"/>
    <col min="8" max="8" width="8.88671875" style="1"/>
    <col min="9" max="9" width="10" style="1" customWidth="1"/>
    <col min="10" max="10" width="26.109375" style="1" bestFit="1" customWidth="1"/>
  </cols>
  <sheetData>
    <row r="1" spans="1:10" ht="17.399999999999999" x14ac:dyDescent="0.3">
      <c r="A1" s="7" t="s">
        <v>15</v>
      </c>
      <c r="B1" s="7"/>
      <c r="C1" s="7"/>
      <c r="D1" s="7"/>
      <c r="E1" s="7"/>
      <c r="F1" s="7"/>
      <c r="G1" s="7"/>
      <c r="H1" s="7"/>
      <c r="I1" s="7"/>
      <c r="J1" s="7"/>
    </row>
    <row r="2" spans="1:10" x14ac:dyDescent="0.25">
      <c r="A2" s="1" t="s">
        <v>0</v>
      </c>
      <c r="B2" s="1">
        <v>0.5</v>
      </c>
    </row>
    <row r="3" spans="1:10" x14ac:dyDescent="0.25">
      <c r="A3" s="1" t="s">
        <v>1</v>
      </c>
      <c r="B3" s="1">
        <f>1-B2</f>
        <v>0.5</v>
      </c>
      <c r="C3" s="1" t="str">
        <f ca="1">[1]!getformula(B3)</f>
        <v>&lt;--  =1-B2</v>
      </c>
    </row>
    <row r="5" spans="1:10" ht="26.4" x14ac:dyDescent="0.25">
      <c r="B5" s="2" t="s">
        <v>2</v>
      </c>
      <c r="C5" s="2" t="s">
        <v>3</v>
      </c>
      <c r="D5" s="2" t="s">
        <v>4</v>
      </c>
      <c r="E5" s="2"/>
      <c r="F5" s="2"/>
    </row>
    <row r="6" spans="1:10" x14ac:dyDescent="0.25">
      <c r="A6" s="6">
        <v>37104</v>
      </c>
      <c r="B6" s="3">
        <f>'[2]Pages 240-41'!E5</f>
        <v>-0.1697427745870945</v>
      </c>
      <c r="C6" s="3">
        <f>'[2]Pages 240-41'!F5</f>
        <v>-0.10923014394234899</v>
      </c>
      <c r="D6" s="4">
        <f>$B$2*B6+$B$3*C6</f>
        <v>-0.13948645926472175</v>
      </c>
      <c r="E6" s="1" t="str">
        <f ca="1">[1]!getformula(D6)</f>
        <v>&lt;--  =$B$2*B6+$B$3*C6</v>
      </c>
      <c r="G6" s="1" t="s">
        <v>5</v>
      </c>
      <c r="H6" s="1" t="s">
        <v>6</v>
      </c>
      <c r="I6" s="1" t="s">
        <v>7</v>
      </c>
    </row>
    <row r="7" spans="1:10" x14ac:dyDescent="0.25">
      <c r="A7" s="6">
        <v>37138</v>
      </c>
      <c r="B7" s="3">
        <f>'[2]Pages 240-41'!E6</f>
        <v>-9.1816290550069124E-2</v>
      </c>
      <c r="C7" s="3">
        <f>'[2]Pages 240-41'!F6</f>
        <v>-8.7201184335743878E-2</v>
      </c>
      <c r="D7" s="4">
        <f t="shared" ref="D7:D65" si="0">$B$2*B7+$B$3*C7</f>
        <v>-8.9508737442906494E-2</v>
      </c>
      <c r="E7" s="1" t="str">
        <f ca="1">[1]!getformula(D7)</f>
        <v>&lt;--  =$B$2*B7+$B$3*C7</v>
      </c>
      <c r="G7" s="1" t="s">
        <v>8</v>
      </c>
      <c r="H7" s="3">
        <f>AVERAGE(B6:B65)</f>
        <v>1.5892702111189778E-2</v>
      </c>
      <c r="I7" s="3">
        <f>AVERAGE(C6:C65)</f>
        <v>4.5602162833893595E-3</v>
      </c>
      <c r="J7" s="1" t="str">
        <f ca="1">[1]!getformula(I7)</f>
        <v>&lt;--  =AVERAGE(C6:C65)</v>
      </c>
    </row>
    <row r="8" spans="1:10" x14ac:dyDescent="0.25">
      <c r="A8" s="6">
        <v>37165</v>
      </c>
      <c r="B8" s="3">
        <f>'[2]Pages 240-41'!E7</f>
        <v>-2.4943889211722662E-3</v>
      </c>
      <c r="C8" s="3">
        <f>'[2]Pages 240-41'!F7</f>
        <v>-1.9054452969198853E-2</v>
      </c>
      <c r="D8" s="4">
        <f t="shared" si="0"/>
        <v>-1.077442094518556E-2</v>
      </c>
      <c r="G8" s="1" t="s">
        <v>9</v>
      </c>
      <c r="H8" s="5">
        <f>_xlfn.VAR.P(B6:B65)</f>
        <v>9.2819257511091227E-3</v>
      </c>
      <c r="I8" s="5">
        <f>_xlfn.VAR.P(C6:C65)</f>
        <v>5.165439976044758E-3</v>
      </c>
      <c r="J8" s="1" t="str">
        <f ca="1">[1]!getformula(I8)</f>
        <v>&lt;--  =VAR.P(C6:C65)</v>
      </c>
    </row>
    <row r="9" spans="1:10" x14ac:dyDescent="0.25">
      <c r="A9" s="6">
        <v>37196</v>
      </c>
      <c r="B9" s="3">
        <f>'[2]Pages 240-41'!E8</f>
        <v>0.15386521022783195</v>
      </c>
      <c r="C9" s="3">
        <f>'[2]Pages 240-41'!F8</f>
        <v>0.18783424991678188</v>
      </c>
      <c r="D9" s="4">
        <f t="shared" si="0"/>
        <v>0.17084973007230692</v>
      </c>
      <c r="G9" s="1" t="s">
        <v>10</v>
      </c>
      <c r="H9" s="3">
        <f>SQRT(H8)</f>
        <v>9.6342751419653372E-2</v>
      </c>
      <c r="I9" s="3">
        <f>SQRT(I8)</f>
        <v>7.1870995373966809E-2</v>
      </c>
      <c r="J9" s="1" t="str">
        <f ca="1">[1]!getformula(I9)</f>
        <v>&lt;--  =SQRT(I8)</v>
      </c>
    </row>
    <row r="10" spans="1:10" x14ac:dyDescent="0.25">
      <c r="A10" s="6">
        <v>37228</v>
      </c>
      <c r="B10" s="3">
        <f>'[2]Pages 240-41'!E9</f>
        <v>5.9843361932192626E-2</v>
      </c>
      <c r="C10" s="3">
        <f>'[2]Pages 240-41'!F9</f>
        <v>8.9596451348861003E-2</v>
      </c>
      <c r="D10" s="4">
        <f t="shared" si="0"/>
        <v>7.4719906640526815E-2</v>
      </c>
      <c r="G10" s="1" t="s">
        <v>11</v>
      </c>
      <c r="H10" s="5">
        <f>_xlfn.COVARIANCE.P(B6:B65,C6:C65)</f>
        <v>3.7973111449863444E-3</v>
      </c>
      <c r="J10" s="1" t="str">
        <f ca="1">[1]!getformula(H10)</f>
        <v>&lt;--  =COVARIANCE.P(B6:B65,C6:C65)</v>
      </c>
    </row>
    <row r="11" spans="1:10" x14ac:dyDescent="0.25">
      <c r="A11" s="6">
        <v>37258</v>
      </c>
      <c r="B11" s="3">
        <f>'[2]Pages 240-41'!E10</f>
        <v>-7.364263221450526E-2</v>
      </c>
      <c r="C11" s="3">
        <f>'[2]Pages 240-41'!F10</f>
        <v>7.8514291414691684E-2</v>
      </c>
      <c r="D11" s="4">
        <f t="shared" si="0"/>
        <v>2.4358296000932117E-3</v>
      </c>
    </row>
    <row r="12" spans="1:10" x14ac:dyDescent="0.25">
      <c r="A12" s="6">
        <v>37291</v>
      </c>
      <c r="B12" s="3">
        <f>'[2]Pages 240-41'!E11</f>
        <v>-0.24143841442539005</v>
      </c>
      <c r="C12" s="3">
        <f>'[2]Pages 240-41'!F11</f>
        <v>-5.6885107653328486E-2</v>
      </c>
      <c r="D12" s="4">
        <f t="shared" si="0"/>
        <v>-0.14916176103935927</v>
      </c>
      <c r="G12" s="1" t="s">
        <v>12</v>
      </c>
    </row>
    <row r="13" spans="1:10" x14ac:dyDescent="0.25">
      <c r="A13" s="6">
        <v>37316</v>
      </c>
      <c r="B13" s="3">
        <f>'[2]Pages 240-41'!E12</f>
        <v>5.7987257650349525E-2</v>
      </c>
      <c r="C13" s="3">
        <f>'[2]Pages 240-41'!F12</f>
        <v>2.8846988735283855E-2</v>
      </c>
      <c r="D13" s="4">
        <f t="shared" si="0"/>
        <v>4.3417123192816688E-2</v>
      </c>
      <c r="H13" s="3">
        <f>AVERAGE(D6:D65)</f>
        <v>1.0226459197289569E-2</v>
      </c>
      <c r="I13" s="1" t="str">
        <f ca="1">[1]!getformula(H13)</f>
        <v>&lt;--  =AVERAGE(D6:D65)</v>
      </c>
    </row>
    <row r="14" spans="1:10" x14ac:dyDescent="0.25">
      <c r="A14" s="6">
        <v>37347</v>
      </c>
      <c r="B14" s="3">
        <f>'[2]Pages 240-41'!E13</f>
        <v>5.4808236494994951E-2</v>
      </c>
      <c r="C14" s="3">
        <f>'[2]Pages 240-41'!F13</f>
        <v>1.2112723797721256E-2</v>
      </c>
      <c r="D14" s="4">
        <f t="shared" si="0"/>
        <v>3.3460480146358107E-2</v>
      </c>
      <c r="H14" s="4">
        <f>H7*$B$2+I7*$B$3</f>
        <v>1.0226459197289569E-2</v>
      </c>
      <c r="I14" s="1" t="str">
        <f ca="1">[1]!getformula(H14)</f>
        <v>&lt;--  =H7*$B$2+I7*$B$3</v>
      </c>
    </row>
    <row r="15" spans="1:10" x14ac:dyDescent="0.25">
      <c r="A15" s="6">
        <v>37377</v>
      </c>
      <c r="B15" s="3">
        <f>'[2]Pages 240-41'!E14</f>
        <v>0.1181670497050447</v>
      </c>
      <c r="C15" s="3">
        <f>'[2]Pages 240-41'!F14</f>
        <v>-5.0101221529949815E-2</v>
      </c>
      <c r="D15" s="4">
        <f t="shared" si="0"/>
        <v>3.4032914087547439E-2</v>
      </c>
      <c r="G15" s="1" t="s">
        <v>13</v>
      </c>
    </row>
    <row r="16" spans="1:10" x14ac:dyDescent="0.25">
      <c r="A16" s="6">
        <v>37410</v>
      </c>
      <c r="B16" s="3">
        <f>'[2]Pages 240-41'!E15</f>
        <v>-0.10492182295502411</v>
      </c>
      <c r="C16" s="3">
        <f>'[2]Pages 240-41'!F15</f>
        <v>-8.4374904277734503E-2</v>
      </c>
      <c r="D16" s="4">
        <f t="shared" si="0"/>
        <v>-9.4648363616379308E-2</v>
      </c>
      <c r="H16" s="5">
        <f>_xlfn.VAR.P(D6:D65)</f>
        <v>5.5104970042816432E-3</v>
      </c>
      <c r="I16" s="1" t="str">
        <f ca="1">[1]!getformula(H16)</f>
        <v>&lt;--  =VAR.P(D6:D65)</v>
      </c>
    </row>
    <row r="17" spans="1:9" x14ac:dyDescent="0.25">
      <c r="A17" s="6">
        <v>37438</v>
      </c>
      <c r="B17" s="3">
        <f>'[2]Pages 240-41'!E16</f>
        <v>-0.21803963939603388</v>
      </c>
      <c r="C17" s="3">
        <f>'[2]Pages 240-41'!F16</f>
        <v>-0.1332613777720654</v>
      </c>
      <c r="D17" s="4">
        <f t="shared" si="0"/>
        <v>-0.17565050858404962</v>
      </c>
      <c r="H17" s="5">
        <f>H8*B2^2+I8*(1-B2)^2+2*B2*(1-B2)*H10</f>
        <v>5.5104970042816424E-3</v>
      </c>
      <c r="I17" s="1" t="str">
        <f ca="1">[1]!getformula(H17)</f>
        <v>&lt;--  =H8*B2^2+I8*(1-B2)^2+2*B2*(1-B2)*H10</v>
      </c>
    </row>
    <row r="18" spans="1:9" x14ac:dyDescent="0.25">
      <c r="A18" s="6">
        <v>37469</v>
      </c>
      <c r="B18" s="3">
        <f>'[2]Pages 240-41'!E17</f>
        <v>-1.4037459675588474E-2</v>
      </c>
      <c r="C18" s="3">
        <f>'[2]Pages 240-41'!F17</f>
        <v>2.7090379832942213E-2</v>
      </c>
      <c r="D18" s="4">
        <f t="shared" si="0"/>
        <v>6.5264600786768693E-3</v>
      </c>
    </row>
    <row r="19" spans="1:9" x14ac:dyDescent="0.25">
      <c r="A19" s="6">
        <v>37502</v>
      </c>
      <c r="B19" s="3">
        <f>'[2]Pages 240-41'!E18</f>
        <v>-8.6620326455331617E-2</v>
      </c>
      <c r="C19" s="3">
        <f>'[2]Pages 240-41'!F18</f>
        <v>-0.14726751633551921</v>
      </c>
      <c r="D19" s="4">
        <f t="shared" si="0"/>
        <v>-0.11694392139542542</v>
      </c>
      <c r="G19" s="1" t="s">
        <v>14</v>
      </c>
      <c r="H19" s="4">
        <f>_xlfn.STDEV.P(D6:D65)</f>
        <v>7.4232721924240685E-2</v>
      </c>
      <c r="I19" s="1" t="str">
        <f ca="1">[1]!getformula(H19)</f>
        <v>&lt;--  =STDEV.P(D6:D65)</v>
      </c>
    </row>
    <row r="20" spans="1:9" x14ac:dyDescent="0.25">
      <c r="A20" s="6">
        <v>37530</v>
      </c>
      <c r="B20" s="3">
        <f>'[2]Pages 240-41'!E19</f>
        <v>0.18822456441225008</v>
      </c>
      <c r="C20" s="3">
        <f>'[2]Pages 240-41'!F19</f>
        <v>1.9979996367571862E-2</v>
      </c>
      <c r="D20" s="4">
        <f t="shared" si="0"/>
        <v>0.10410228038991097</v>
      </c>
    </row>
    <row r="21" spans="1:9" x14ac:dyDescent="0.25">
      <c r="A21" s="6">
        <v>37561</v>
      </c>
      <c r="B21" s="3">
        <f>'[2]Pages 240-41'!E20</f>
        <v>0.21947218934425206</v>
      </c>
      <c r="C21" s="3">
        <f>'[2]Pages 240-41'!F20</f>
        <v>0.14573493390525158</v>
      </c>
      <c r="D21" s="4">
        <f t="shared" si="0"/>
        <v>0.18260356162475183</v>
      </c>
    </row>
    <row r="22" spans="1:9" x14ac:dyDescent="0.25">
      <c r="A22" s="6">
        <v>37592</v>
      </c>
      <c r="B22" s="3">
        <f>'[2]Pages 240-41'!E21</f>
        <v>-3.0785590997423853E-2</v>
      </c>
      <c r="C22" s="3">
        <f>'[2]Pages 240-41'!F21</f>
        <v>-0.14778341533172407</v>
      </c>
      <c r="D22" s="4">
        <f t="shared" si="0"/>
        <v>-8.9284503164573953E-2</v>
      </c>
    </row>
    <row r="23" spans="1:9" x14ac:dyDescent="0.25">
      <c r="A23" s="6">
        <v>37623</v>
      </c>
      <c r="B23" s="3">
        <f>'[2]Pages 240-41'!E22</f>
        <v>-0.16563398585296116</v>
      </c>
      <c r="C23" s="3">
        <f>'[2]Pages 240-41'!F22</f>
        <v>-6.1671820655495112E-2</v>
      </c>
      <c r="D23" s="4">
        <f t="shared" si="0"/>
        <v>-0.11365290325422814</v>
      </c>
    </row>
    <row r="24" spans="1:9" x14ac:dyDescent="0.25">
      <c r="A24" s="6">
        <v>37655</v>
      </c>
      <c r="B24" s="3">
        <f>'[2]Pages 240-41'!E23</f>
        <v>2.3593587698727009E-2</v>
      </c>
      <c r="C24" s="3">
        <f>'[2]Pages 240-41'!F23</f>
        <v>1.7654935238720745E-2</v>
      </c>
      <c r="D24" s="4">
        <f t="shared" si="0"/>
        <v>2.0624261468723877E-2</v>
      </c>
    </row>
    <row r="25" spans="1:9" x14ac:dyDescent="0.25">
      <c r="A25" s="6">
        <v>37683</v>
      </c>
      <c r="B25" s="3">
        <f>'[2]Pages 240-41'!E24</f>
        <v>-1.0655401826827513E-2</v>
      </c>
      <c r="C25" s="3">
        <f>'[2]Pages 240-41'!F24</f>
        <v>2.1202207650603124E-2</v>
      </c>
      <c r="D25" s="4">
        <f t="shared" si="0"/>
        <v>5.2734029118878057E-3</v>
      </c>
    </row>
    <row r="26" spans="1:9" x14ac:dyDescent="0.25">
      <c r="A26" s="6">
        <v>37712</v>
      </c>
      <c r="B26" s="3">
        <f>'[2]Pages 240-41'!E25</f>
        <v>-0.13452660801767038</v>
      </c>
      <c r="C26" s="3">
        <f>'[2]Pages 240-41'!F25</f>
        <v>0.13366250291031218</v>
      </c>
      <c r="D26" s="4">
        <f t="shared" si="0"/>
        <v>-4.3205255367910478E-4</v>
      </c>
    </row>
    <row r="27" spans="1:9" x14ac:dyDescent="0.25">
      <c r="A27" s="6">
        <v>37742</v>
      </c>
      <c r="B27" s="3">
        <f>'[2]Pages 240-41'!E26</f>
        <v>1.5202481902510648E-2</v>
      </c>
      <c r="C27" s="3">
        <f>'[2]Pages 240-41'!F26</f>
        <v>9.2832070808071959E-2</v>
      </c>
      <c r="D27" s="4">
        <f t="shared" si="0"/>
        <v>5.4017276355291306E-2</v>
      </c>
    </row>
    <row r="28" spans="1:9" x14ac:dyDescent="0.25">
      <c r="A28" s="6">
        <v>37774</v>
      </c>
      <c r="B28" s="3">
        <f>'[2]Pages 240-41'!E27</f>
        <v>-2.7533094359989251E-2</v>
      </c>
      <c r="C28" s="3">
        <f>'[2]Pages 240-41'!F27</f>
        <v>3.2367060197904772E-2</v>
      </c>
      <c r="D28" s="4">
        <f t="shared" si="0"/>
        <v>2.4169829189577604E-3</v>
      </c>
    </row>
    <row r="29" spans="1:9" x14ac:dyDescent="0.25">
      <c r="A29" s="6">
        <v>37803</v>
      </c>
      <c r="B29" s="3">
        <f>'[2]Pages 240-41'!E28</f>
        <v>0.10529847899413819</v>
      </c>
      <c r="C29" s="3">
        <f>'[2]Pages 240-41'!F28</f>
        <v>1.2605772395928172E-2</v>
      </c>
      <c r="D29" s="4">
        <f t="shared" si="0"/>
        <v>5.8952125695033178E-2</v>
      </c>
    </row>
    <row r="30" spans="1:9" x14ac:dyDescent="0.25">
      <c r="A30" s="6">
        <v>37834</v>
      </c>
      <c r="B30" s="3">
        <f>'[2]Pages 240-41'!E29</f>
        <v>0.13262366641619031</v>
      </c>
      <c r="C30" s="3">
        <f>'[2]Pages 240-41'!F29</f>
        <v>5.9746273055528709E-2</v>
      </c>
      <c r="D30" s="4">
        <f t="shared" si="0"/>
        <v>9.6184969735859507E-2</v>
      </c>
    </row>
    <row r="31" spans="1:9" x14ac:dyDescent="0.25">
      <c r="A31" s="6">
        <v>37866</v>
      </c>
      <c r="B31" s="3">
        <f>'[2]Pages 240-41'!E30</f>
        <v>7.3081933067248427E-3</v>
      </c>
      <c r="C31" s="3">
        <f>'[2]Pages 240-41'!F30</f>
        <v>-7.6137880151645715E-2</v>
      </c>
      <c r="D31" s="4">
        <f t="shared" si="0"/>
        <v>-3.4414843422460435E-2</v>
      </c>
    </row>
    <row r="32" spans="1:9" x14ac:dyDescent="0.25">
      <c r="A32" s="6">
        <v>37895</v>
      </c>
      <c r="B32" s="3">
        <f>'[2]Pages 240-41'!E31</f>
        <v>0.10671881605100342</v>
      </c>
      <c r="C32" s="3">
        <f>'[2]Pages 240-41'!F31</f>
        <v>5.4566177037507539E-2</v>
      </c>
      <c r="D32" s="4">
        <f t="shared" si="0"/>
        <v>8.0642496544255482E-2</v>
      </c>
    </row>
    <row r="33" spans="1:4" x14ac:dyDescent="0.25">
      <c r="A33" s="6">
        <v>37928</v>
      </c>
      <c r="B33" s="3">
        <f>'[2]Pages 240-41'!E32</f>
        <v>5.1031480012445826E-2</v>
      </c>
      <c r="C33" s="3">
        <f>'[2]Pages 240-41'!F32</f>
        <v>-2.4147609771719931E-2</v>
      </c>
      <c r="D33" s="4">
        <f t="shared" si="0"/>
        <v>1.3441935120362947E-2</v>
      </c>
    </row>
    <row r="34" spans="1:4" x14ac:dyDescent="0.25">
      <c r="A34" s="6">
        <v>37956</v>
      </c>
      <c r="B34" s="3">
        <f>'[2]Pages 240-41'!E33</f>
        <v>5.4459917132380839E-2</v>
      </c>
      <c r="C34" s="3">
        <f>'[2]Pages 240-41'!F33</f>
        <v>-8.1805443672906073E-3</v>
      </c>
      <c r="D34" s="4">
        <f t="shared" si="0"/>
        <v>2.3139686382545117E-2</v>
      </c>
    </row>
    <row r="35" spans="1:4" x14ac:dyDescent="0.25">
      <c r="A35" s="6">
        <v>37988</v>
      </c>
      <c r="B35" s="3">
        <f>'[2]Pages 240-41'!E34</f>
        <v>1.1771631730148311E-3</v>
      </c>
      <c r="C35" s="3">
        <f>'[2]Pages 240-41'!F34</f>
        <v>-1.1459152707337649E-2</v>
      </c>
      <c r="D35" s="4">
        <f t="shared" si="0"/>
        <v>-5.1409947671614085E-3</v>
      </c>
    </row>
    <row r="36" spans="1:4" x14ac:dyDescent="0.25">
      <c r="A36" s="6">
        <v>38019</v>
      </c>
      <c r="B36" s="3">
        <f>'[2]Pages 240-41'!E35</f>
        <v>0.16451693216044788</v>
      </c>
      <c r="C36" s="3">
        <f>'[2]Pages 240-41'!F35</f>
        <v>0.14819816700372693</v>
      </c>
      <c r="D36" s="4">
        <f t="shared" si="0"/>
        <v>0.15635754958208742</v>
      </c>
    </row>
    <row r="37" spans="1:4" x14ac:dyDescent="0.25">
      <c r="A37" s="6">
        <v>38047</v>
      </c>
      <c r="B37" s="3">
        <f>'[2]Pages 240-41'!E36</f>
        <v>0.11933428250485183</v>
      </c>
      <c r="C37" s="3">
        <f>'[2]Pages 240-41'!F36</f>
        <v>2.4427649951372053E-2</v>
      </c>
      <c r="D37" s="4">
        <f t="shared" si="0"/>
        <v>7.1880966228111937E-2</v>
      </c>
    </row>
    <row r="38" spans="1:4" x14ac:dyDescent="0.25">
      <c r="A38" s="6">
        <v>38078</v>
      </c>
      <c r="B38" s="3">
        <f>'[2]Pages 240-41'!E37</f>
        <v>-2.2996384446662962E-2</v>
      </c>
      <c r="C38" s="3">
        <f>'[2]Pages 240-41'!F37</f>
        <v>-3.7922503418294888E-2</v>
      </c>
      <c r="D38" s="4">
        <f t="shared" si="0"/>
        <v>-3.0459443932478923E-2</v>
      </c>
    </row>
    <row r="39" spans="1:4" x14ac:dyDescent="0.25">
      <c r="A39" s="6">
        <v>38110</v>
      </c>
      <c r="B39" s="3">
        <f>'[2]Pages 240-41'!E38</f>
        <v>5.4957268692267136E-2</v>
      </c>
      <c r="C39" s="3">
        <f>'[2]Pages 240-41'!F38</f>
        <v>3.2041464074788278E-2</v>
      </c>
      <c r="D39" s="4">
        <f t="shared" si="0"/>
        <v>4.3499366383527707E-2</v>
      </c>
    </row>
    <row r="40" spans="1:4" x14ac:dyDescent="0.25">
      <c r="A40" s="6">
        <v>38139</v>
      </c>
      <c r="B40" s="3">
        <f>'[2]Pages 240-41'!E39</f>
        <v>5.399196596662259E-2</v>
      </c>
      <c r="C40" s="3">
        <f>'[2]Pages 240-41'!F39</f>
        <v>-5.1197778842322808E-2</v>
      </c>
      <c r="D40" s="4">
        <f t="shared" si="0"/>
        <v>1.3970935621498912E-3</v>
      </c>
    </row>
    <row r="41" spans="1:4" x14ac:dyDescent="0.25">
      <c r="A41" s="6">
        <v>38169</v>
      </c>
      <c r="B41" s="3">
        <f>'[2]Pages 240-41'!E40</f>
        <v>6.0959243179553993E-2</v>
      </c>
      <c r="C41" s="3">
        <f>'[2]Pages 240-41'!F40</f>
        <v>2.6159144505854069E-2</v>
      </c>
      <c r="D41" s="4">
        <f t="shared" si="0"/>
        <v>4.3559193842704028E-2</v>
      </c>
    </row>
    <row r="42" spans="1:4" x14ac:dyDescent="0.25">
      <c r="A42" s="6">
        <v>38201</v>
      </c>
      <c r="B42" s="3">
        <f>'[2]Pages 240-41'!E41</f>
        <v>-4.2969766236141883E-2</v>
      </c>
      <c r="C42" s="3">
        <f>'[2]Pages 240-41'!F41</f>
        <v>2.4130781346289029E-2</v>
      </c>
      <c r="D42" s="4">
        <f t="shared" si="0"/>
        <v>-9.4194924449264271E-3</v>
      </c>
    </row>
    <row r="43" spans="1:4" x14ac:dyDescent="0.25">
      <c r="A43" s="6">
        <v>38231</v>
      </c>
      <c r="B43" s="3">
        <f>'[2]Pages 240-41'!E42</f>
        <v>-8.2618311921640597E-2</v>
      </c>
      <c r="C43" s="3">
        <f>'[2]Pages 240-41'!F42</f>
        <v>1.4875189765044098E-2</v>
      </c>
      <c r="D43" s="4">
        <f t="shared" si="0"/>
        <v>-3.3871561078298251E-2</v>
      </c>
    </row>
    <row r="44" spans="1:4" x14ac:dyDescent="0.25">
      <c r="A44" s="6">
        <v>38261</v>
      </c>
      <c r="B44" s="3">
        <f>'[2]Pages 240-41'!E43</f>
        <v>-1.6317378358505292E-2</v>
      </c>
      <c r="C44" s="3">
        <f>'[2]Pages 240-41'!F43</f>
        <v>0.10017933123813529</v>
      </c>
      <c r="D44" s="4">
        <f t="shared" si="0"/>
        <v>4.1930976439814999E-2</v>
      </c>
    </row>
    <row r="45" spans="1:4" x14ac:dyDescent="0.25">
      <c r="A45" s="6">
        <v>38292</v>
      </c>
      <c r="B45" s="3">
        <f>'[2]Pages 240-41'!E44</f>
        <v>0.10978666349436092</v>
      </c>
      <c r="C45" s="3">
        <f>'[2]Pages 240-41'!F44</f>
        <v>2.5378522595279701E-2</v>
      </c>
      <c r="D45" s="4">
        <f t="shared" si="0"/>
        <v>6.758259304482031E-2</v>
      </c>
    </row>
    <row r="46" spans="1:4" x14ac:dyDescent="0.25">
      <c r="A46" s="6">
        <v>38322</v>
      </c>
      <c r="B46" s="3">
        <f>'[2]Pages 240-41'!E45</f>
        <v>6.9887443599125451E-2</v>
      </c>
      <c r="C46" s="3">
        <f>'[2]Pages 240-41'!F45</f>
        <v>1.3717636228799344E-2</v>
      </c>
      <c r="D46" s="4">
        <f t="shared" si="0"/>
        <v>4.1802539913962398E-2</v>
      </c>
    </row>
    <row r="47" spans="1:4" x14ac:dyDescent="0.25">
      <c r="A47" s="6">
        <v>38355</v>
      </c>
      <c r="B47" s="3">
        <f>'[2]Pages 240-41'!E46</f>
        <v>3.4498656959808825E-2</v>
      </c>
      <c r="C47" s="3">
        <f>'[2]Pages 240-41'!F46</f>
        <v>-2.2636533919784308E-2</v>
      </c>
      <c r="D47" s="4">
        <f t="shared" si="0"/>
        <v>5.9310615200122586E-3</v>
      </c>
    </row>
    <row r="48" spans="1:4" x14ac:dyDescent="0.25">
      <c r="A48" s="6">
        <v>38384</v>
      </c>
      <c r="B48" s="3">
        <f>'[2]Pages 240-41'!E47</f>
        <v>4.0660729442806749E-2</v>
      </c>
      <c r="C48" s="3">
        <f>'[2]Pages 240-41'!F47</f>
        <v>2.5847514141931443E-3</v>
      </c>
      <c r="D48" s="4">
        <f t="shared" si="0"/>
        <v>2.1622740428499945E-2</v>
      </c>
    </row>
    <row r="49" spans="1:4" x14ac:dyDescent="0.25">
      <c r="A49" s="6">
        <v>38412</v>
      </c>
      <c r="B49" s="3">
        <f>'[2]Pages 240-41'!E48</f>
        <v>0.15434582081724227</v>
      </c>
      <c r="C49" s="3">
        <f>'[2]Pages 240-41'!F48</f>
        <v>-1.5811397143663853E-2</v>
      </c>
      <c r="D49" s="4">
        <f t="shared" si="0"/>
        <v>6.9267211836789203E-2</v>
      </c>
    </row>
    <row r="50" spans="1:4" x14ac:dyDescent="0.25">
      <c r="A50" s="6">
        <v>38443</v>
      </c>
      <c r="B50" s="3">
        <f>'[2]Pages 240-41'!E49</f>
        <v>-8.8271594233242809E-2</v>
      </c>
      <c r="C50" s="3">
        <f>'[2]Pages 240-41'!F49</f>
        <v>-7.4961830480650068E-2</v>
      </c>
      <c r="D50" s="4">
        <f t="shared" si="0"/>
        <v>-8.1616712356946439E-2</v>
      </c>
    </row>
    <row r="51" spans="1:4" x14ac:dyDescent="0.25">
      <c r="A51" s="6">
        <v>38474</v>
      </c>
      <c r="B51" s="3">
        <f>'[2]Pages 240-41'!E50</f>
        <v>4.8465343832823096E-2</v>
      </c>
      <c r="C51" s="3">
        <f>'[2]Pages 240-41'!F50</f>
        <v>0.14751234961996626</v>
      </c>
      <c r="D51" s="4">
        <f t="shared" si="0"/>
        <v>9.7988846726394685E-2</v>
      </c>
    </row>
    <row r="52" spans="1:4" x14ac:dyDescent="0.25">
      <c r="A52" s="6">
        <v>38504</v>
      </c>
      <c r="B52" s="3">
        <f>'[2]Pages 240-41'!E51</f>
        <v>5.5103286026206656E-2</v>
      </c>
      <c r="C52" s="3">
        <f>'[2]Pages 240-41'!F51</f>
        <v>1.3047715392475675E-2</v>
      </c>
      <c r="D52" s="4">
        <f t="shared" si="0"/>
        <v>3.4075500709341164E-2</v>
      </c>
    </row>
    <row r="53" spans="1:4" x14ac:dyDescent="0.25">
      <c r="A53" s="6">
        <v>38534</v>
      </c>
      <c r="B53" s="3">
        <f>'[2]Pages 240-41'!E52</f>
        <v>6.7787943957272709E-2</v>
      </c>
      <c r="C53" s="3">
        <f>'[2]Pages 240-41'!F52</f>
        <v>7.6789558669790217E-2</v>
      </c>
      <c r="D53" s="4">
        <f t="shared" si="0"/>
        <v>7.2288751313531463E-2</v>
      </c>
    </row>
    <row r="54" spans="1:4" x14ac:dyDescent="0.25">
      <c r="A54" s="6">
        <v>38565</v>
      </c>
      <c r="B54" s="3">
        <f>'[2]Pages 240-41'!E53</f>
        <v>-0.14361204518264717</v>
      </c>
      <c r="C54" s="3">
        <f>'[2]Pages 240-41'!F53</f>
        <v>-8.7026967763010332E-2</v>
      </c>
      <c r="D54" s="4">
        <f t="shared" si="0"/>
        <v>-0.11531950647282875</v>
      </c>
    </row>
    <row r="55" spans="1:4" x14ac:dyDescent="0.25">
      <c r="A55" s="6">
        <v>38596</v>
      </c>
      <c r="B55" s="3">
        <f>'[2]Pages 240-41'!E54</f>
        <v>-2.5190248828558633E-2</v>
      </c>
      <c r="C55" s="3">
        <f>'[2]Pages 240-41'!F54</f>
        <v>-3.4450071492612498E-2</v>
      </c>
      <c r="D55" s="4">
        <f t="shared" si="0"/>
        <v>-2.9820160160585564E-2</v>
      </c>
    </row>
    <row r="56" spans="1:4" x14ac:dyDescent="0.25">
      <c r="A56" s="6">
        <v>38628</v>
      </c>
      <c r="B56" s="3">
        <f>'[2]Pages 240-41'!E55</f>
        <v>7.9453837306141833E-2</v>
      </c>
      <c r="C56" s="3">
        <f>'[2]Pages 240-41'!F55</f>
        <v>6.9741364856433966E-2</v>
      </c>
      <c r="D56" s="4">
        <f t="shared" si="0"/>
        <v>7.4597601081287906E-2</v>
      </c>
    </row>
    <row r="57" spans="1:4" x14ac:dyDescent="0.25">
      <c r="A57" s="6">
        <v>38657</v>
      </c>
      <c r="B57" s="3">
        <f>'[2]Pages 240-41'!E56</f>
        <v>2.4438764758808677E-2</v>
      </c>
      <c r="C57" s="3">
        <f>'[2]Pages 240-41'!F56</f>
        <v>-3.7914000000206054E-2</v>
      </c>
      <c r="D57" s="4">
        <f t="shared" si="0"/>
        <v>-6.7376176206986882E-3</v>
      </c>
    </row>
    <row r="58" spans="1:4" x14ac:dyDescent="0.25">
      <c r="A58" s="6">
        <v>38687</v>
      </c>
      <c r="B58" s="3">
        <f>'[2]Pages 240-41'!E57</f>
        <v>5.8062818351264943E-2</v>
      </c>
      <c r="C58" s="3">
        <f>'[2]Pages 240-41'!F57</f>
        <v>2.6836069585578326E-2</v>
      </c>
      <c r="D58" s="4">
        <f t="shared" si="0"/>
        <v>4.2449443968421638E-2</v>
      </c>
    </row>
    <row r="59" spans="1:4" x14ac:dyDescent="0.25">
      <c r="A59" s="6">
        <v>38720</v>
      </c>
      <c r="B59" s="3">
        <f>'[2]Pages 240-41'!E58</f>
        <v>5.7689000806151391E-3</v>
      </c>
      <c r="C59" s="3">
        <f>'[2]Pages 240-41'!F58</f>
        <v>-4.0256230028056436E-3</v>
      </c>
      <c r="D59" s="4">
        <f t="shared" si="0"/>
        <v>8.7163853890474775E-4</v>
      </c>
    </row>
    <row r="60" spans="1:4" x14ac:dyDescent="0.25">
      <c r="A60" s="6">
        <v>38749</v>
      </c>
      <c r="B60" s="3">
        <f>'[2]Pages 240-41'!E59</f>
        <v>4.9620135595898014E-2</v>
      </c>
      <c r="C60" s="3">
        <f>'[2]Pages 240-41'!F59</f>
        <v>-4.5943295000827229E-3</v>
      </c>
      <c r="D60" s="4">
        <f t="shared" si="0"/>
        <v>2.2512903047907644E-2</v>
      </c>
    </row>
    <row r="61" spans="1:4" x14ac:dyDescent="0.25">
      <c r="A61" s="6">
        <v>38777</v>
      </c>
      <c r="B61" s="3">
        <f>'[2]Pages 240-41'!E60</f>
        <v>2.9827807372529661E-2</v>
      </c>
      <c r="C61" s="3">
        <f>'[2]Pages 240-41'!F60</f>
        <v>-4.5021257745516831E-2</v>
      </c>
      <c r="D61" s="4">
        <f t="shared" si="0"/>
        <v>-7.5967251864935848E-3</v>
      </c>
    </row>
    <row r="62" spans="1:4" x14ac:dyDescent="0.25">
      <c r="A62" s="6">
        <v>38810</v>
      </c>
      <c r="B62" s="3">
        <f>'[2]Pages 240-41'!E61</f>
        <v>8.3268702017404717E-2</v>
      </c>
      <c r="C62" s="3">
        <f>'[2]Pages 240-41'!F61</f>
        <v>2.0784426332827795E-2</v>
      </c>
      <c r="D62" s="4">
        <f t="shared" si="0"/>
        <v>5.2026564175116252E-2</v>
      </c>
    </row>
    <row r="63" spans="1:4" x14ac:dyDescent="0.25">
      <c r="A63" s="6">
        <v>38838</v>
      </c>
      <c r="B63" s="3">
        <f>'[2]Pages 240-41'!E62</f>
        <v>-7.319180168194224E-2</v>
      </c>
      <c r="C63" s="3">
        <f>'[2]Pages 240-41'!F62</f>
        <v>-7.9916905685699063E-2</v>
      </c>
      <c r="D63" s="4">
        <f t="shared" si="0"/>
        <v>-7.6554353683820658E-2</v>
      </c>
    </row>
    <row r="64" spans="1:4" x14ac:dyDescent="0.25">
      <c r="A64" s="6">
        <v>38869</v>
      </c>
      <c r="B64" s="3">
        <f>'[2]Pages 240-41'!E63</f>
        <v>0.104028267662687</v>
      </c>
      <c r="C64" s="3">
        <f>'[2]Pages 240-41'!F63</f>
        <v>-1.0225995369082333E-3</v>
      </c>
      <c r="D64" s="4">
        <f t="shared" si="0"/>
        <v>5.1502834062889379E-2</v>
      </c>
    </row>
    <row r="65" spans="1:4" x14ac:dyDescent="0.25">
      <c r="A65" s="6">
        <v>38901</v>
      </c>
      <c r="B65" s="3">
        <f>'[2]Pages 240-41'!E64</f>
        <v>2.0716195630178448E-3</v>
      </c>
      <c r="C65" s="3">
        <f>'[2]Pages 240-41'!F64</f>
        <v>6.1199701417845396E-3</v>
      </c>
      <c r="D65" s="4">
        <f t="shared" si="0"/>
        <v>4.095794852401192E-3</v>
      </c>
    </row>
  </sheetData>
  <mergeCells count="1">
    <mergeCell ref="A1:J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2024-10-24T09:21:06Z</dcterms:modified>
</cp:coreProperties>
</file>