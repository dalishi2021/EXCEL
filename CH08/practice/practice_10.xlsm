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8E374734-557A-450F-B3AF-1AAB6DF4545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0" i="1" a="1"/>
  <c r="B10" i="1" s="1"/>
  <c r="B27" i="1"/>
  <c r="B25" i="1"/>
  <c r="B24" i="1"/>
  <c r="B28" i="1" s="1"/>
  <c r="B22" i="1"/>
  <c r="B15" i="1"/>
  <c r="B8" i="1"/>
  <c r="C28" i="1"/>
  <c r="C27" i="1"/>
  <c r="C25" i="1"/>
  <c r="C24" i="1"/>
  <c r="C22" i="1"/>
  <c r="C15" i="1"/>
  <c r="C11" i="1"/>
  <c r="C10" i="1"/>
  <c r="C8" i="1"/>
</calcChain>
</file>

<file path=xl/sharedStrings.xml><?xml version="1.0" encoding="utf-8"?>
<sst xmlns="http://schemas.openxmlformats.org/spreadsheetml/2006/main" count="22" uniqueCount="12">
  <si>
    <t>Mean return</t>
  </si>
  <si>
    <t>Standard deviation of return</t>
  </si>
  <si>
    <t>Stock 1</t>
  </si>
  <si>
    <t>Stock 2</t>
  </si>
  <si>
    <r>
      <t>Covariance(r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,r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</si>
  <si>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Proportion of stock 1</t>
  </si>
  <si>
    <t>Proportion of stock 2</t>
  </si>
  <si>
    <t>Expected portfolio return</t>
  </si>
  <si>
    <t>Standard deviation of portfolio return</t>
  </si>
  <si>
    <t>Answer</t>
  </si>
  <si>
    <t>Target portfolio return</t>
  </si>
  <si>
    <r>
      <t>Correlation(r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,r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</si>
</sst>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  <xf numFmtId="10" fontId="0" fillId="0" borderId="0" xfId="1" applyNumberFormat="1" applyFont="1" applyAlignment="1"/>
    <xf numFmtId="0" fontId="3" fillId="2" borderId="0" xfId="0" applyFont="1" applyFill="1" applyAlignment="1"/>
    <xf numFmtId="0" fontId="0" fillId="2" borderId="0" xfId="0" applyFill="1" applyAlignment="1"/>
    <xf numFmtId="177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533400</xdr:colOff>
      <xdr:row>1</xdr:row>
      <xdr:rowOff>30480</xdr:rowOff>
    </xdr:from>
    <xdr:to>
      <xdr:col>18</xdr:col>
      <xdr:colOff>129540</xdr:colOff>
      <xdr:row>30</xdr:row>
      <xdr:rowOff>97155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0214D1A-5765-D8D6-7A91-A927DA55F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46720" y="533400"/>
          <a:ext cx="6309360" cy="55549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8"/>
  <sheetViews>
    <sheetView tabSelected="1" zoomScale="160" zoomScaleNormal="160" workbookViewId="0">
      <selection activeCell="D18" sqref="D18"/>
    </sheetView>
  </sheetViews>
  <sheetFormatPr defaultRowHeight="13.8" x14ac:dyDescent="0.25"/>
  <cols>
    <col min="1" max="1" width="31.109375" style="3" bestFit="1" customWidth="1"/>
    <col min="2" max="2" width="8.88671875" style="3"/>
    <col min="3" max="3" width="10.44140625" style="3" customWidth="1"/>
    <col min="4" max="4" width="32.44140625" style="3" customWidth="1"/>
    <col min="5" max="5" width="8.88671875" style="3"/>
  </cols>
  <sheetData>
    <row r="1" spans="1:5" ht="39.6" x14ac:dyDescent="0.25">
      <c r="A1" s="1"/>
      <c r="B1" s="2" t="s">
        <v>0</v>
      </c>
      <c r="C1" s="2" t="s">
        <v>1</v>
      </c>
      <c r="D1" s="1"/>
      <c r="E1" s="1"/>
    </row>
    <row r="2" spans="1:5" x14ac:dyDescent="0.25">
      <c r="A2" s="3" t="s">
        <v>2</v>
      </c>
      <c r="B2" s="4">
        <v>0.12</v>
      </c>
      <c r="C2" s="4">
        <v>0.35</v>
      </c>
    </row>
    <row r="3" spans="1:5" x14ac:dyDescent="0.25">
      <c r="A3" s="3" t="s">
        <v>3</v>
      </c>
      <c r="B3" s="4">
        <v>0.18</v>
      </c>
      <c r="C3" s="4">
        <v>0.5</v>
      </c>
    </row>
    <row r="5" spans="1:5" ht="15.6" x14ac:dyDescent="0.35">
      <c r="A5" s="3" t="s">
        <v>4</v>
      </c>
      <c r="B5" s="5">
        <v>8.3500000000000005E-2</v>
      </c>
    </row>
    <row r="7" spans="1:5" x14ac:dyDescent="0.25">
      <c r="A7" s="3" t="s">
        <v>5</v>
      </c>
      <c r="B7" s="3">
        <v>0.25</v>
      </c>
    </row>
    <row r="8" spans="1:5" x14ac:dyDescent="0.25">
      <c r="A8" s="3" t="s">
        <v>6</v>
      </c>
      <c r="B8" s="3">
        <f>1-B7</f>
        <v>0.75</v>
      </c>
      <c r="C8" s="3" t="str">
        <f ca="1">[2]!getformula(B8)</f>
        <v>&lt;--  =1-B7</v>
      </c>
    </row>
    <row r="10" spans="1:5" x14ac:dyDescent="0.25">
      <c r="A10" s="3" t="s">
        <v>7</v>
      </c>
      <c r="B10" s="6">
        <f t="array" ref="B10">MMULT(TRANSPOSE(B7:B8),B2:B3)</f>
        <v>0.16500000000000001</v>
      </c>
      <c r="C10" s="3" t="str">
        <f ca="1">[2]!getformula(B10)</f>
        <v>&lt;--  {=MMULT(TRANSPOSE(B7:B8),B2:B3)}</v>
      </c>
    </row>
    <row r="11" spans="1:5" x14ac:dyDescent="0.25">
      <c r="A11" s="3" t="s">
        <v>8</v>
      </c>
      <c r="B11" s="6">
        <f>SQRT(B7^2*C2+B8^2*C3+2*B7*B8*B5)</f>
        <v>0.57830571499856376</v>
      </c>
      <c r="C11" s="3" t="str">
        <f ca="1">[2]!getformula(B11)</f>
        <v>&lt;--  =SQRT(B7^2*C2+B8^2*C3+2*B7*B8*B5)</v>
      </c>
    </row>
    <row r="13" spans="1:5" x14ac:dyDescent="0.25">
      <c r="A13" s="7" t="s">
        <v>9</v>
      </c>
    </row>
    <row r="14" spans="1:5" x14ac:dyDescent="0.25">
      <c r="A14" s="3" t="s">
        <v>10</v>
      </c>
      <c r="B14" s="4">
        <v>0.14000000000000001</v>
      </c>
    </row>
    <row r="15" spans="1:5" x14ac:dyDescent="0.25">
      <c r="A15" s="8" t="s">
        <v>5</v>
      </c>
      <c r="B15" s="8">
        <f>(B14-B3)/(B2-B3)</f>
        <v>0.66666666666666641</v>
      </c>
      <c r="C15" s="3" t="str">
        <f ca="1">[2]!getformula(B15)</f>
        <v>&lt;--  =(B14-B3)/(B2-B3)</v>
      </c>
    </row>
    <row r="17" spans="1:4" ht="39.6" x14ac:dyDescent="0.25">
      <c r="A17" s="1"/>
      <c r="B17" s="2" t="s">
        <v>0</v>
      </c>
      <c r="C17" s="2" t="s">
        <v>1</v>
      </c>
      <c r="D17" s="1"/>
    </row>
    <row r="18" spans="1:4" x14ac:dyDescent="0.25">
      <c r="A18" s="3" t="s">
        <v>2</v>
      </c>
      <c r="B18" s="4">
        <v>0.12</v>
      </c>
      <c r="C18" s="4">
        <v>0.35</v>
      </c>
    </row>
    <row r="19" spans="1:4" x14ac:dyDescent="0.25">
      <c r="A19" s="3" t="s">
        <v>3</v>
      </c>
      <c r="B19" s="4">
        <v>0.18</v>
      </c>
      <c r="C19" s="4">
        <v>0.5</v>
      </c>
    </row>
    <row r="21" spans="1:4" ht="15.6" x14ac:dyDescent="0.35">
      <c r="A21" s="3" t="s">
        <v>4</v>
      </c>
      <c r="B21" s="5">
        <v>8.3500000000000005E-2</v>
      </c>
    </row>
    <row r="22" spans="1:4" ht="15.6" x14ac:dyDescent="0.35">
      <c r="A22" s="3" t="s">
        <v>11</v>
      </c>
      <c r="B22" s="5">
        <f>B21/(C18*C19)</f>
        <v>0.4771428571428572</v>
      </c>
      <c r="C22" s="3" t="str">
        <f ca="1">[2]!getformula(B22)</f>
        <v>&lt;--  =B21/(C18*C19)</v>
      </c>
    </row>
    <row r="24" spans="1:4" x14ac:dyDescent="0.25">
      <c r="A24" s="3" t="s">
        <v>5</v>
      </c>
      <c r="B24" s="9">
        <f>B15</f>
        <v>0.66666666666666641</v>
      </c>
      <c r="C24" s="3" t="str">
        <f ca="1">[2]!getformula(B24)</f>
        <v>&lt;--  =B15</v>
      </c>
    </row>
    <row r="25" spans="1:4" x14ac:dyDescent="0.25">
      <c r="A25" s="3" t="s">
        <v>6</v>
      </c>
      <c r="B25" s="9">
        <f>1-B24</f>
        <v>0.33333333333333359</v>
      </c>
      <c r="C25" s="3" t="str">
        <f ca="1">[2]!getformula(B25)</f>
        <v>&lt;--  =1-B24</v>
      </c>
    </row>
    <row r="27" spans="1:4" x14ac:dyDescent="0.25">
      <c r="A27" s="3" t="s">
        <v>7</v>
      </c>
      <c r="B27" s="6">
        <f>B24*B18+B25*B19</f>
        <v>0.14000000000000001</v>
      </c>
      <c r="C27" s="3" t="str">
        <f ca="1">[2]!getformula(B27)</f>
        <v>&lt;--  =B24*B18+B25*B19</v>
      </c>
    </row>
    <row r="28" spans="1:4" x14ac:dyDescent="0.25">
      <c r="A28" s="3" t="s">
        <v>8</v>
      </c>
      <c r="B28" s="6">
        <f>SQRT(B24^2*C18^2+B25^2*C19^2+2*B24*B25*B21)</f>
        <v>0.34544657088084307</v>
      </c>
      <c r="C28" s="3" t="str">
        <f ca="1">[2]!getformula(B28)</f>
        <v>&lt;--  =SQRT(B24^2*C18^2+B25^2*C19^2+2*B24*B25*B21)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2024-10-28T06:32:58Z</dcterms:modified>
</cp:coreProperties>
</file>