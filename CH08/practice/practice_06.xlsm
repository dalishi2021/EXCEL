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04FBAFBB-CB59-4C94-9A04-690B0E4ACEF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B9" i="1"/>
  <c r="B8" i="1"/>
  <c r="B19" i="1"/>
  <c r="B18" i="1"/>
  <c r="B13" i="1"/>
  <c r="B12" i="1"/>
  <c r="B14" i="1"/>
  <c r="D141" i="1"/>
  <c r="C141" i="1"/>
  <c r="B141" i="1"/>
  <c r="A141" i="1"/>
  <c r="D140" i="1"/>
  <c r="C140" i="1"/>
  <c r="B140" i="1"/>
  <c r="A140" i="1"/>
  <c r="D139" i="1"/>
  <c r="C139" i="1"/>
  <c r="B139" i="1"/>
  <c r="A139" i="1"/>
  <c r="D138" i="1"/>
  <c r="C138" i="1"/>
  <c r="B138" i="1"/>
  <c r="A138" i="1"/>
  <c r="D137" i="1"/>
  <c r="C137" i="1"/>
  <c r="B137" i="1"/>
  <c r="A137" i="1"/>
  <c r="D136" i="1"/>
  <c r="C136" i="1"/>
  <c r="B136" i="1"/>
  <c r="A136" i="1"/>
  <c r="D135" i="1"/>
  <c r="C135" i="1"/>
  <c r="B135" i="1"/>
  <c r="A135" i="1"/>
  <c r="D134" i="1"/>
  <c r="C134" i="1"/>
  <c r="B134" i="1"/>
  <c r="A134" i="1"/>
  <c r="D133" i="1"/>
  <c r="C133" i="1"/>
  <c r="B133" i="1"/>
  <c r="A133" i="1"/>
  <c r="D132" i="1"/>
  <c r="C132" i="1"/>
  <c r="B132" i="1"/>
  <c r="A132" i="1"/>
  <c r="D131" i="1"/>
  <c r="C131" i="1"/>
  <c r="B131" i="1"/>
  <c r="A131" i="1"/>
  <c r="D130" i="1"/>
  <c r="C130" i="1"/>
  <c r="B130" i="1"/>
  <c r="A130" i="1"/>
  <c r="D129" i="1"/>
  <c r="C129" i="1"/>
  <c r="B129" i="1"/>
  <c r="A129" i="1"/>
  <c r="D128" i="1"/>
  <c r="C128" i="1"/>
  <c r="B128" i="1"/>
  <c r="A128" i="1"/>
  <c r="D127" i="1"/>
  <c r="C127" i="1"/>
  <c r="B127" i="1"/>
  <c r="A127" i="1"/>
  <c r="D126" i="1"/>
  <c r="C126" i="1"/>
  <c r="B126" i="1"/>
  <c r="A126" i="1"/>
  <c r="D125" i="1"/>
  <c r="C125" i="1"/>
  <c r="B125" i="1"/>
  <c r="A125" i="1"/>
  <c r="D124" i="1"/>
  <c r="C124" i="1"/>
  <c r="B124" i="1"/>
  <c r="A124" i="1"/>
  <c r="D123" i="1"/>
  <c r="C123" i="1"/>
  <c r="B123" i="1"/>
  <c r="A123" i="1"/>
  <c r="D122" i="1"/>
  <c r="C122" i="1"/>
  <c r="B122" i="1"/>
  <c r="A122" i="1"/>
  <c r="D121" i="1"/>
  <c r="C121" i="1"/>
  <c r="B121" i="1"/>
  <c r="A121" i="1"/>
  <c r="D120" i="1"/>
  <c r="C120" i="1"/>
  <c r="B120" i="1"/>
  <c r="A120" i="1"/>
  <c r="D119" i="1"/>
  <c r="C119" i="1"/>
  <c r="B119" i="1"/>
  <c r="A119" i="1"/>
  <c r="D118" i="1"/>
  <c r="C118" i="1"/>
  <c r="B118" i="1"/>
  <c r="A118" i="1"/>
  <c r="D117" i="1"/>
  <c r="C117" i="1"/>
  <c r="B117" i="1"/>
  <c r="A117" i="1"/>
  <c r="D116" i="1"/>
  <c r="C116" i="1"/>
  <c r="B116" i="1"/>
  <c r="A116" i="1"/>
  <c r="D115" i="1"/>
  <c r="C115" i="1"/>
  <c r="B115" i="1"/>
  <c r="A115" i="1"/>
  <c r="D114" i="1"/>
  <c r="C114" i="1"/>
  <c r="B114" i="1"/>
  <c r="A114" i="1"/>
  <c r="D113" i="1"/>
  <c r="C113" i="1"/>
  <c r="B113" i="1"/>
  <c r="A113" i="1"/>
  <c r="D112" i="1"/>
  <c r="C112" i="1"/>
  <c r="B112" i="1"/>
  <c r="A112" i="1"/>
  <c r="D111" i="1"/>
  <c r="C111" i="1"/>
  <c r="B111" i="1"/>
  <c r="A111" i="1"/>
  <c r="D110" i="1"/>
  <c r="C110" i="1"/>
  <c r="B110" i="1"/>
  <c r="A110" i="1"/>
  <c r="D109" i="1"/>
  <c r="C109" i="1"/>
  <c r="B109" i="1"/>
  <c r="A109" i="1"/>
  <c r="D108" i="1"/>
  <c r="C108" i="1"/>
  <c r="B108" i="1"/>
  <c r="A108" i="1"/>
  <c r="D107" i="1"/>
  <c r="C107" i="1"/>
  <c r="B107" i="1"/>
  <c r="A107" i="1"/>
  <c r="D106" i="1"/>
  <c r="C106" i="1"/>
  <c r="B106" i="1"/>
  <c r="A106" i="1"/>
  <c r="D105" i="1"/>
  <c r="C105" i="1"/>
  <c r="B105" i="1"/>
  <c r="A105" i="1"/>
  <c r="D104" i="1"/>
  <c r="C104" i="1"/>
  <c r="B104" i="1"/>
  <c r="A104" i="1"/>
  <c r="D103" i="1"/>
  <c r="C103" i="1"/>
  <c r="B103" i="1"/>
  <c r="A103" i="1"/>
  <c r="D102" i="1"/>
  <c r="C102" i="1"/>
  <c r="B102" i="1"/>
  <c r="A102" i="1"/>
  <c r="D101" i="1"/>
  <c r="C101" i="1"/>
  <c r="B101" i="1"/>
  <c r="A101" i="1"/>
  <c r="D100" i="1"/>
  <c r="C100" i="1"/>
  <c r="B100" i="1"/>
  <c r="A100" i="1"/>
  <c r="D99" i="1"/>
  <c r="C99" i="1"/>
  <c r="B99" i="1"/>
  <c r="A99" i="1"/>
  <c r="D98" i="1"/>
  <c r="C98" i="1"/>
  <c r="B98" i="1"/>
  <c r="A98" i="1"/>
  <c r="D97" i="1"/>
  <c r="C97" i="1"/>
  <c r="B97" i="1"/>
  <c r="A97" i="1"/>
  <c r="D96" i="1"/>
  <c r="C96" i="1"/>
  <c r="B96" i="1"/>
  <c r="A96" i="1"/>
  <c r="D95" i="1"/>
  <c r="C95" i="1"/>
  <c r="B95" i="1"/>
  <c r="A95" i="1"/>
  <c r="D94" i="1"/>
  <c r="C94" i="1"/>
  <c r="B94" i="1"/>
  <c r="A94" i="1"/>
  <c r="D93" i="1"/>
  <c r="C93" i="1"/>
  <c r="B93" i="1"/>
  <c r="A93" i="1"/>
  <c r="D92" i="1"/>
  <c r="C92" i="1"/>
  <c r="B92" i="1"/>
  <c r="A92" i="1"/>
  <c r="D91" i="1"/>
  <c r="C91" i="1"/>
  <c r="B91" i="1"/>
  <c r="A91" i="1"/>
  <c r="D90" i="1"/>
  <c r="C90" i="1"/>
  <c r="B90" i="1"/>
  <c r="A90" i="1"/>
  <c r="D89" i="1"/>
  <c r="C89" i="1"/>
  <c r="B89" i="1"/>
  <c r="A89" i="1"/>
  <c r="D88" i="1"/>
  <c r="C88" i="1"/>
  <c r="B88" i="1"/>
  <c r="A88" i="1"/>
  <c r="D87" i="1"/>
  <c r="C87" i="1"/>
  <c r="B87" i="1"/>
  <c r="A87" i="1"/>
  <c r="D86" i="1"/>
  <c r="C86" i="1"/>
  <c r="B86" i="1"/>
  <c r="A86" i="1"/>
  <c r="D85" i="1"/>
  <c r="C85" i="1"/>
  <c r="B85" i="1"/>
  <c r="A85" i="1"/>
  <c r="D84" i="1"/>
  <c r="C84" i="1"/>
  <c r="B84" i="1"/>
  <c r="A84" i="1"/>
  <c r="D83" i="1"/>
  <c r="C83" i="1"/>
  <c r="B83" i="1"/>
  <c r="A83" i="1"/>
  <c r="D82" i="1"/>
  <c r="C82" i="1"/>
  <c r="B82" i="1"/>
  <c r="A82" i="1"/>
  <c r="D81" i="1"/>
  <c r="C81" i="1"/>
  <c r="B81" i="1"/>
  <c r="A81" i="1"/>
  <c r="D80" i="1"/>
  <c r="C80" i="1"/>
  <c r="B80" i="1"/>
  <c r="A80" i="1"/>
  <c r="D79" i="1"/>
  <c r="C79" i="1"/>
  <c r="B79" i="1"/>
  <c r="A79" i="1"/>
  <c r="D78" i="1"/>
  <c r="C78" i="1"/>
  <c r="B78" i="1"/>
  <c r="A78" i="1"/>
  <c r="D77" i="1"/>
  <c r="C77" i="1"/>
  <c r="B77" i="1"/>
  <c r="A77" i="1"/>
  <c r="D76" i="1"/>
  <c r="C76" i="1"/>
  <c r="B76" i="1"/>
  <c r="A76" i="1"/>
  <c r="D75" i="1"/>
  <c r="C75" i="1"/>
  <c r="B75" i="1"/>
  <c r="A75" i="1"/>
  <c r="D74" i="1"/>
  <c r="C74" i="1"/>
  <c r="B74" i="1"/>
  <c r="A74" i="1"/>
  <c r="D73" i="1"/>
  <c r="C73" i="1"/>
  <c r="B73" i="1"/>
  <c r="A73" i="1"/>
  <c r="D72" i="1"/>
  <c r="C72" i="1"/>
  <c r="B72" i="1"/>
  <c r="A72" i="1"/>
  <c r="D71" i="1"/>
  <c r="C71" i="1"/>
  <c r="B71" i="1"/>
  <c r="A71" i="1"/>
  <c r="D70" i="1"/>
  <c r="C70" i="1"/>
  <c r="B70" i="1"/>
  <c r="A70" i="1"/>
  <c r="D69" i="1"/>
  <c r="C69" i="1"/>
  <c r="B69" i="1"/>
  <c r="A69" i="1"/>
  <c r="D68" i="1"/>
  <c r="C68" i="1"/>
  <c r="B68" i="1"/>
  <c r="A68" i="1"/>
  <c r="D67" i="1"/>
  <c r="C67" i="1"/>
  <c r="B67" i="1"/>
  <c r="A67" i="1"/>
  <c r="D66" i="1"/>
  <c r="C66" i="1"/>
  <c r="B66" i="1"/>
  <c r="A66" i="1"/>
  <c r="D65" i="1"/>
  <c r="C65" i="1"/>
  <c r="B65" i="1"/>
  <c r="A65" i="1"/>
  <c r="D64" i="1"/>
  <c r="C64" i="1"/>
  <c r="B64" i="1"/>
  <c r="A64" i="1"/>
  <c r="D63" i="1"/>
  <c r="C63" i="1"/>
  <c r="B63" i="1"/>
  <c r="A63" i="1"/>
  <c r="D62" i="1"/>
  <c r="C62" i="1"/>
  <c r="B62" i="1"/>
  <c r="A62" i="1"/>
  <c r="D61" i="1"/>
  <c r="C61" i="1"/>
  <c r="B61" i="1"/>
  <c r="A61" i="1"/>
  <c r="D60" i="1"/>
  <c r="C60" i="1"/>
  <c r="B60" i="1"/>
  <c r="A60" i="1"/>
  <c r="D59" i="1"/>
  <c r="C59" i="1"/>
  <c r="B59" i="1"/>
  <c r="A59" i="1"/>
  <c r="D58" i="1"/>
  <c r="C58" i="1"/>
  <c r="B58" i="1"/>
  <c r="A58" i="1"/>
  <c r="D57" i="1"/>
  <c r="C57" i="1"/>
  <c r="B57" i="1"/>
  <c r="A57" i="1"/>
  <c r="D56" i="1"/>
  <c r="C56" i="1"/>
  <c r="B56" i="1"/>
  <c r="A56" i="1"/>
  <c r="D55" i="1"/>
  <c r="C55" i="1"/>
  <c r="B55" i="1"/>
  <c r="A55" i="1"/>
  <c r="D54" i="1"/>
  <c r="C54" i="1"/>
  <c r="B54" i="1"/>
  <c r="A54" i="1"/>
  <c r="D53" i="1"/>
  <c r="C53" i="1"/>
  <c r="B53" i="1"/>
  <c r="A53" i="1"/>
  <c r="D52" i="1"/>
  <c r="C52" i="1"/>
  <c r="B52" i="1"/>
  <c r="A52" i="1"/>
  <c r="D51" i="1"/>
  <c r="C51" i="1"/>
  <c r="B51" i="1"/>
  <c r="A51" i="1"/>
  <c r="D50" i="1"/>
  <c r="C50" i="1"/>
  <c r="B50" i="1"/>
  <c r="A50" i="1"/>
  <c r="D49" i="1"/>
  <c r="C49" i="1"/>
  <c r="B49" i="1"/>
  <c r="A49" i="1"/>
  <c r="D48" i="1"/>
  <c r="C48" i="1"/>
  <c r="B48" i="1"/>
  <c r="A48" i="1"/>
  <c r="D47" i="1"/>
  <c r="C47" i="1"/>
  <c r="B47" i="1"/>
  <c r="A47" i="1"/>
  <c r="D46" i="1"/>
  <c r="C46" i="1"/>
  <c r="B46" i="1"/>
  <c r="A46" i="1"/>
  <c r="D45" i="1"/>
  <c r="C45" i="1"/>
  <c r="B45" i="1"/>
  <c r="A45" i="1"/>
  <c r="D44" i="1"/>
  <c r="C44" i="1"/>
  <c r="B44" i="1"/>
  <c r="A44" i="1"/>
  <c r="D43" i="1"/>
  <c r="C43" i="1"/>
  <c r="B43" i="1"/>
  <c r="A43" i="1"/>
  <c r="D42" i="1"/>
  <c r="C42" i="1"/>
  <c r="B42" i="1"/>
  <c r="A42" i="1"/>
  <c r="D41" i="1"/>
  <c r="C41" i="1"/>
  <c r="B41" i="1"/>
  <c r="A41" i="1"/>
  <c r="D40" i="1"/>
  <c r="C40" i="1"/>
  <c r="B40" i="1"/>
  <c r="A40" i="1"/>
  <c r="D39" i="1"/>
  <c r="C39" i="1"/>
  <c r="B39" i="1"/>
  <c r="A39" i="1"/>
  <c r="D38" i="1"/>
  <c r="C38" i="1"/>
  <c r="B38" i="1"/>
  <c r="A38" i="1"/>
  <c r="D37" i="1"/>
  <c r="C37" i="1"/>
  <c r="B37" i="1"/>
  <c r="A37" i="1"/>
  <c r="D36" i="1"/>
  <c r="C36" i="1"/>
  <c r="B36" i="1"/>
  <c r="A36" i="1"/>
  <c r="D35" i="1"/>
  <c r="C35" i="1"/>
  <c r="B35" i="1"/>
  <c r="A35" i="1"/>
  <c r="D34" i="1"/>
  <c r="C34" i="1"/>
  <c r="B34" i="1"/>
  <c r="A34" i="1"/>
  <c r="D33" i="1"/>
  <c r="C33" i="1"/>
  <c r="B33" i="1"/>
  <c r="A33" i="1"/>
  <c r="D32" i="1"/>
  <c r="C32" i="1"/>
  <c r="B32" i="1"/>
  <c r="A32" i="1"/>
  <c r="D31" i="1"/>
  <c r="C31" i="1"/>
  <c r="B31" i="1"/>
  <c r="A31" i="1"/>
  <c r="D30" i="1"/>
  <c r="C30" i="1"/>
  <c r="B30" i="1"/>
  <c r="A30" i="1"/>
  <c r="D29" i="1"/>
  <c r="C29" i="1"/>
  <c r="B29" i="1"/>
  <c r="A29" i="1"/>
  <c r="D28" i="1"/>
  <c r="C28" i="1"/>
  <c r="B28" i="1"/>
  <c r="A28" i="1"/>
  <c r="D27" i="1"/>
  <c r="C27" i="1"/>
  <c r="B27" i="1"/>
  <c r="A27" i="1"/>
  <c r="D26" i="1"/>
  <c r="C26" i="1"/>
  <c r="B26" i="1"/>
  <c r="A26" i="1"/>
  <c r="D25" i="1"/>
  <c r="D3" i="1" s="1"/>
  <c r="C25" i="1"/>
  <c r="B25" i="1"/>
  <c r="A25" i="1"/>
  <c r="D24" i="1"/>
  <c r="C24" i="1"/>
  <c r="B24" i="1"/>
  <c r="A24" i="1"/>
  <c r="D23" i="1"/>
  <c r="C23" i="1"/>
  <c r="B23" i="1"/>
  <c r="A23" i="1"/>
  <c r="D22" i="1"/>
  <c r="D9" i="1" s="1"/>
  <c r="C22" i="1"/>
  <c r="D8" i="1" s="1"/>
  <c r="B22" i="1"/>
  <c r="C7" i="1" s="1"/>
  <c r="A22" i="1"/>
  <c r="C18" i="1"/>
  <c r="C14" i="1"/>
  <c r="C19" i="1"/>
  <c r="C17" i="1"/>
  <c r="C16" i="1"/>
  <c r="E4" i="1"/>
  <c r="E3" i="1"/>
  <c r="B3" i="1" l="1"/>
  <c r="C3" i="1"/>
  <c r="B16" i="1" s="1" a="1"/>
  <c r="B16" i="1" s="1"/>
  <c r="B4" i="1"/>
  <c r="D4" i="1"/>
  <c r="C4" i="1"/>
  <c r="B7" i="1"/>
  <c r="B17" i="1" s="1" a="1"/>
  <c r="B17" i="1" s="1"/>
  <c r="D7" i="1"/>
  <c r="C8" i="1"/>
</calcChain>
</file>

<file path=xl/sharedStrings.xml><?xml version="1.0" encoding="utf-8"?>
<sst xmlns="http://schemas.openxmlformats.org/spreadsheetml/2006/main" count="24" uniqueCount="10">
  <si>
    <t>GENERAL ELECTRIC (GE), HOME DEPOT (HD), PROCTOR &amp; GAMBLE (PG)</t>
  </si>
  <si>
    <t>GE</t>
  </si>
  <si>
    <t>HD</t>
  </si>
  <si>
    <t>PG</t>
  </si>
  <si>
    <t>Mean</t>
  </si>
  <si>
    <t>Sigma</t>
  </si>
  <si>
    <t>Variance-
covariance</t>
  </si>
  <si>
    <t>Portfolio proportions</t>
  </si>
  <si>
    <t>Variance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</si>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</sst>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9" formatCode="0.0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0" fontId="0" fillId="0" borderId="0" xfId="0" applyAlignment="1">
      <alignment horizontal="center" vertical="center"/>
    </xf>
    <xf numFmtId="0" fontId="5" fillId="0" borderId="0" xfId="0" applyFont="1" applyAlignment="1"/>
    <xf numFmtId="176" fontId="0" fillId="0" borderId="0" xfId="0" applyNumberFormat="1" applyAlignment="1"/>
    <xf numFmtId="0" fontId="5" fillId="0" borderId="0" xfId="0" applyFont="1" applyAlignment="1">
      <alignment horizontal="center"/>
    </xf>
    <xf numFmtId="10" fontId="0" fillId="0" borderId="0" xfId="1" applyNumberFormat="1" applyFont="1" applyAlignment="1"/>
    <xf numFmtId="14" fontId="0" fillId="0" borderId="0" xfId="0" applyNumberFormat="1" applyAlignment="1"/>
    <xf numFmtId="0" fontId="3" fillId="0" borderId="0" xfId="0" applyFont="1" applyAlignment="1"/>
    <xf numFmtId="0" fontId="0" fillId="2" borderId="0" xfId="0" applyFill="1" applyAlignment="1"/>
    <xf numFmtId="0" fontId="0" fillId="2" borderId="0" xfId="0" applyFill="1" applyAlignment="1">
      <alignment horizontal="center" vertical="center" wrapText="1"/>
    </xf>
    <xf numFmtId="179" fontId="3" fillId="0" borderId="0" xfId="0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336947</xdr:colOff>
      <xdr:row>1</xdr:row>
      <xdr:rowOff>19050</xdr:rowOff>
    </xdr:from>
    <xdr:to>
      <xdr:col>17</xdr:col>
      <xdr:colOff>323613</xdr:colOff>
      <xdr:row>141</xdr:row>
      <xdr:rowOff>57150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AB0CB45-C347-433E-A093-7E7F668DB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94697" y="191691"/>
          <a:ext cx="6679406" cy="24376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>
        <row r="3">
          <cell r="K3">
            <v>18.97</v>
          </cell>
          <cell r="M3">
            <v>15.37</v>
          </cell>
          <cell r="AA3">
            <v>31.62</v>
          </cell>
        </row>
        <row r="4">
          <cell r="A4">
            <v>35643</v>
          </cell>
          <cell r="K4">
            <v>16.93</v>
          </cell>
          <cell r="M4">
            <v>14.56</v>
          </cell>
          <cell r="AA4">
            <v>27.67</v>
          </cell>
        </row>
        <row r="5">
          <cell r="A5">
            <v>35675</v>
          </cell>
          <cell r="K5">
            <v>18.489999999999998</v>
          </cell>
          <cell r="M5">
            <v>16.100000000000001</v>
          </cell>
          <cell r="AA5">
            <v>28.71</v>
          </cell>
        </row>
        <row r="6">
          <cell r="A6">
            <v>35704</v>
          </cell>
          <cell r="K6">
            <v>17.55</v>
          </cell>
          <cell r="M6">
            <v>17.22</v>
          </cell>
          <cell r="AA6">
            <v>28.36</v>
          </cell>
        </row>
        <row r="7">
          <cell r="A7">
            <v>35737</v>
          </cell>
          <cell r="K7">
            <v>20.059999999999999</v>
          </cell>
          <cell r="M7">
            <v>17.32</v>
          </cell>
          <cell r="AA7">
            <v>31.78</v>
          </cell>
        </row>
        <row r="8">
          <cell r="A8">
            <v>35765</v>
          </cell>
          <cell r="K8">
            <v>20.010000000000002</v>
          </cell>
          <cell r="M8">
            <v>18.2</v>
          </cell>
          <cell r="AA8">
            <v>33.29</v>
          </cell>
        </row>
        <row r="9">
          <cell r="A9">
            <v>35797</v>
          </cell>
          <cell r="K9">
            <v>21.14</v>
          </cell>
          <cell r="M9">
            <v>18.7</v>
          </cell>
          <cell r="AA9">
            <v>32.79</v>
          </cell>
        </row>
        <row r="10">
          <cell r="A10">
            <v>35828</v>
          </cell>
          <cell r="K10">
            <v>21.21</v>
          </cell>
          <cell r="M10">
            <v>19.75</v>
          </cell>
          <cell r="AA10">
            <v>35.51</v>
          </cell>
        </row>
        <row r="11">
          <cell r="A11">
            <v>35856</v>
          </cell>
          <cell r="K11">
            <v>23.6</v>
          </cell>
          <cell r="M11">
            <v>20.92</v>
          </cell>
          <cell r="AA11">
            <v>35.299999999999997</v>
          </cell>
        </row>
        <row r="12">
          <cell r="A12">
            <v>35886</v>
          </cell>
          <cell r="K12">
            <v>23.33</v>
          </cell>
          <cell r="M12">
            <v>21.56</v>
          </cell>
          <cell r="AA12">
            <v>34.49</v>
          </cell>
        </row>
        <row r="13">
          <cell r="A13">
            <v>35916</v>
          </cell>
          <cell r="K13">
            <v>22.83</v>
          </cell>
          <cell r="M13">
            <v>24.31</v>
          </cell>
          <cell r="AA13">
            <v>35.200000000000003</v>
          </cell>
        </row>
        <row r="14">
          <cell r="A14">
            <v>35947</v>
          </cell>
          <cell r="K14">
            <v>24.88</v>
          </cell>
          <cell r="M14">
            <v>25.72</v>
          </cell>
          <cell r="AA14">
            <v>38.22</v>
          </cell>
        </row>
        <row r="15">
          <cell r="A15">
            <v>35977</v>
          </cell>
          <cell r="K15">
            <v>24.57</v>
          </cell>
          <cell r="M15">
            <v>25.93</v>
          </cell>
          <cell r="AA15">
            <v>33.42</v>
          </cell>
        </row>
        <row r="16">
          <cell r="A16">
            <v>36010</v>
          </cell>
          <cell r="K16">
            <v>21.98</v>
          </cell>
          <cell r="M16">
            <v>23.61</v>
          </cell>
          <cell r="AA16">
            <v>32.21</v>
          </cell>
        </row>
        <row r="17">
          <cell r="A17">
            <v>36039</v>
          </cell>
          <cell r="K17">
            <v>21.94</v>
          </cell>
          <cell r="M17">
            <v>24.48</v>
          </cell>
          <cell r="AA17">
            <v>29.95</v>
          </cell>
        </row>
        <row r="18">
          <cell r="A18">
            <v>36069</v>
          </cell>
          <cell r="K18">
            <v>24.13</v>
          </cell>
          <cell r="M18">
            <v>27</v>
          </cell>
          <cell r="AA18">
            <v>37.47</v>
          </cell>
        </row>
        <row r="19">
          <cell r="A19">
            <v>36101</v>
          </cell>
          <cell r="K19">
            <v>24.92</v>
          </cell>
          <cell r="M19">
            <v>30.83</v>
          </cell>
          <cell r="AA19">
            <v>37.020000000000003</v>
          </cell>
        </row>
        <row r="20">
          <cell r="A20">
            <v>36130</v>
          </cell>
          <cell r="K20">
            <v>28.22</v>
          </cell>
          <cell r="M20">
            <v>37.94</v>
          </cell>
          <cell r="AA20">
            <v>38.58</v>
          </cell>
        </row>
        <row r="21">
          <cell r="A21">
            <v>36164</v>
          </cell>
          <cell r="K21">
            <v>29.02</v>
          </cell>
          <cell r="M21">
            <v>37.520000000000003</v>
          </cell>
          <cell r="AA21">
            <v>38.520000000000003</v>
          </cell>
        </row>
        <row r="22">
          <cell r="A22">
            <v>36192</v>
          </cell>
          <cell r="K22">
            <v>27.75</v>
          </cell>
          <cell r="M22">
            <v>37.01</v>
          </cell>
          <cell r="AA22">
            <v>37.94</v>
          </cell>
        </row>
        <row r="23">
          <cell r="A23">
            <v>36220</v>
          </cell>
          <cell r="K23">
            <v>30.72</v>
          </cell>
          <cell r="M23">
            <v>38.619999999999997</v>
          </cell>
          <cell r="AA23">
            <v>41.52</v>
          </cell>
        </row>
        <row r="24">
          <cell r="A24">
            <v>36251</v>
          </cell>
          <cell r="K24">
            <v>29.26</v>
          </cell>
          <cell r="M24">
            <v>37.07</v>
          </cell>
          <cell r="AA24">
            <v>39.89</v>
          </cell>
        </row>
        <row r="25">
          <cell r="A25">
            <v>36283</v>
          </cell>
          <cell r="K25">
            <v>28.24</v>
          </cell>
          <cell r="M25">
            <v>35.090000000000003</v>
          </cell>
          <cell r="AA25">
            <v>39.700000000000003</v>
          </cell>
        </row>
        <row r="26">
          <cell r="A26">
            <v>36312</v>
          </cell>
          <cell r="K26">
            <v>31.38</v>
          </cell>
          <cell r="M26">
            <v>40.01</v>
          </cell>
          <cell r="AA26">
            <v>37.47</v>
          </cell>
        </row>
        <row r="27">
          <cell r="A27">
            <v>36342</v>
          </cell>
          <cell r="K27">
            <v>30.36</v>
          </cell>
          <cell r="M27">
            <v>39.619999999999997</v>
          </cell>
          <cell r="AA27">
            <v>38.64</v>
          </cell>
        </row>
        <row r="28">
          <cell r="A28">
            <v>36374</v>
          </cell>
          <cell r="K28">
            <v>31.28</v>
          </cell>
          <cell r="M28">
            <v>38.21</v>
          </cell>
          <cell r="AA28">
            <v>42.35</v>
          </cell>
        </row>
        <row r="29">
          <cell r="A29">
            <v>36404</v>
          </cell>
          <cell r="K29">
            <v>33.119999999999997</v>
          </cell>
          <cell r="M29">
            <v>42.63</v>
          </cell>
          <cell r="AA29">
            <v>40</v>
          </cell>
        </row>
        <row r="30">
          <cell r="A30">
            <v>36434</v>
          </cell>
          <cell r="K30">
            <v>37.85</v>
          </cell>
          <cell r="M30">
            <v>47.06</v>
          </cell>
          <cell r="AA30">
            <v>44.89</v>
          </cell>
        </row>
        <row r="31">
          <cell r="A31">
            <v>36465</v>
          </cell>
          <cell r="K31">
            <v>36.35</v>
          </cell>
          <cell r="M31">
            <v>49.23</v>
          </cell>
          <cell r="AA31">
            <v>46.23</v>
          </cell>
        </row>
        <row r="32">
          <cell r="A32">
            <v>36495</v>
          </cell>
          <cell r="K32">
            <v>43.34</v>
          </cell>
          <cell r="M32">
            <v>64.11</v>
          </cell>
          <cell r="AA32">
            <v>46.9</v>
          </cell>
        </row>
        <row r="33">
          <cell r="A33">
            <v>36528</v>
          </cell>
          <cell r="K33">
            <v>37.53</v>
          </cell>
          <cell r="M33">
            <v>52.81</v>
          </cell>
          <cell r="AA33">
            <v>43.38</v>
          </cell>
        </row>
        <row r="34">
          <cell r="A34">
            <v>36557</v>
          </cell>
          <cell r="K34">
            <v>37.08</v>
          </cell>
          <cell r="M34">
            <v>53.62</v>
          </cell>
          <cell r="AA34">
            <v>37.72</v>
          </cell>
        </row>
        <row r="35">
          <cell r="A35">
            <v>36586</v>
          </cell>
          <cell r="K35">
            <v>43.72</v>
          </cell>
          <cell r="M35">
            <v>60.19</v>
          </cell>
          <cell r="AA35">
            <v>24.36</v>
          </cell>
        </row>
        <row r="36">
          <cell r="A36">
            <v>36619</v>
          </cell>
          <cell r="K36">
            <v>44.17</v>
          </cell>
          <cell r="M36">
            <v>52.73</v>
          </cell>
          <cell r="AA36">
            <v>25.77</v>
          </cell>
        </row>
        <row r="37">
          <cell r="A37">
            <v>36647</v>
          </cell>
          <cell r="K37">
            <v>44.35</v>
          </cell>
          <cell r="M37">
            <v>45.73</v>
          </cell>
          <cell r="AA37">
            <v>28.68</v>
          </cell>
        </row>
        <row r="38">
          <cell r="A38">
            <v>36678</v>
          </cell>
          <cell r="K38">
            <v>44.66</v>
          </cell>
          <cell r="M38">
            <v>46.65</v>
          </cell>
          <cell r="AA38">
            <v>24.47</v>
          </cell>
        </row>
        <row r="39">
          <cell r="A39">
            <v>36710</v>
          </cell>
          <cell r="K39">
            <v>43.67</v>
          </cell>
          <cell r="M39">
            <v>48.34</v>
          </cell>
          <cell r="AA39">
            <v>24.73</v>
          </cell>
        </row>
        <row r="40">
          <cell r="A40">
            <v>36739</v>
          </cell>
          <cell r="K40">
            <v>49.54</v>
          </cell>
          <cell r="M40">
            <v>44.93</v>
          </cell>
          <cell r="AA40">
            <v>26.83</v>
          </cell>
        </row>
        <row r="41">
          <cell r="A41">
            <v>36770</v>
          </cell>
          <cell r="K41">
            <v>48.96</v>
          </cell>
          <cell r="M41">
            <v>49.49</v>
          </cell>
          <cell r="AA41">
            <v>29.07</v>
          </cell>
        </row>
        <row r="42">
          <cell r="A42">
            <v>36801</v>
          </cell>
          <cell r="K42">
            <v>46.42</v>
          </cell>
          <cell r="M42">
            <v>40.200000000000003</v>
          </cell>
          <cell r="AA42">
            <v>31.14</v>
          </cell>
        </row>
        <row r="43">
          <cell r="A43">
            <v>36831</v>
          </cell>
          <cell r="K43">
            <v>41.97</v>
          </cell>
          <cell r="M43">
            <v>36.67</v>
          </cell>
          <cell r="AA43">
            <v>32.64</v>
          </cell>
        </row>
        <row r="44">
          <cell r="A44">
            <v>36861</v>
          </cell>
          <cell r="K44">
            <v>40.729999999999997</v>
          </cell>
          <cell r="M44">
            <v>42.76</v>
          </cell>
          <cell r="AA44">
            <v>34.200000000000003</v>
          </cell>
        </row>
        <row r="45">
          <cell r="A45">
            <v>36893</v>
          </cell>
          <cell r="K45">
            <v>39.07</v>
          </cell>
          <cell r="M45">
            <v>45.1</v>
          </cell>
          <cell r="AA45">
            <v>31.47</v>
          </cell>
        </row>
        <row r="46">
          <cell r="A46">
            <v>36923</v>
          </cell>
          <cell r="K46">
            <v>39.51</v>
          </cell>
          <cell r="M46">
            <v>39.770000000000003</v>
          </cell>
          <cell r="AA46">
            <v>30.88</v>
          </cell>
        </row>
        <row r="47">
          <cell r="A47">
            <v>36951</v>
          </cell>
          <cell r="K47">
            <v>35.69</v>
          </cell>
          <cell r="M47">
            <v>40.369999999999997</v>
          </cell>
          <cell r="AA47">
            <v>27.42</v>
          </cell>
        </row>
        <row r="48">
          <cell r="A48">
            <v>36983</v>
          </cell>
          <cell r="K48">
            <v>41.38</v>
          </cell>
          <cell r="M48">
            <v>44.12</v>
          </cell>
          <cell r="AA48">
            <v>26.47</v>
          </cell>
        </row>
        <row r="49">
          <cell r="A49">
            <v>37012</v>
          </cell>
          <cell r="K49">
            <v>41.78</v>
          </cell>
          <cell r="M49">
            <v>46.17</v>
          </cell>
          <cell r="AA49">
            <v>28.31</v>
          </cell>
        </row>
        <row r="50">
          <cell r="A50">
            <v>37043</v>
          </cell>
          <cell r="K50">
            <v>41.78</v>
          </cell>
          <cell r="M50">
            <v>44.28</v>
          </cell>
          <cell r="AA50">
            <v>28.12</v>
          </cell>
        </row>
        <row r="51">
          <cell r="A51">
            <v>37074</v>
          </cell>
          <cell r="K51">
            <v>37.21</v>
          </cell>
          <cell r="M51">
            <v>47.22</v>
          </cell>
          <cell r="AA51">
            <v>31.47</v>
          </cell>
        </row>
        <row r="52">
          <cell r="A52">
            <v>37104</v>
          </cell>
          <cell r="K52">
            <v>34.99</v>
          </cell>
          <cell r="M52">
            <v>43.11</v>
          </cell>
          <cell r="AA52">
            <v>32.86</v>
          </cell>
        </row>
        <row r="53">
          <cell r="A53">
            <v>37138</v>
          </cell>
          <cell r="K53">
            <v>31.97</v>
          </cell>
          <cell r="M53">
            <v>36</v>
          </cell>
          <cell r="AA53">
            <v>32.26</v>
          </cell>
        </row>
        <row r="54">
          <cell r="A54">
            <v>37165</v>
          </cell>
          <cell r="K54">
            <v>31.29</v>
          </cell>
          <cell r="M54">
            <v>35.869999999999997</v>
          </cell>
          <cell r="AA54">
            <v>32.869999999999997</v>
          </cell>
        </row>
        <row r="55">
          <cell r="A55">
            <v>37196</v>
          </cell>
          <cell r="K55">
            <v>33.090000000000003</v>
          </cell>
          <cell r="M55">
            <v>43.82</v>
          </cell>
          <cell r="AA55">
            <v>34.51</v>
          </cell>
        </row>
        <row r="56">
          <cell r="A56">
            <v>37228</v>
          </cell>
          <cell r="K56">
            <v>34.6</v>
          </cell>
          <cell r="M56">
            <v>47.91</v>
          </cell>
          <cell r="AA56">
            <v>35.26</v>
          </cell>
        </row>
        <row r="57">
          <cell r="A57">
            <v>37258</v>
          </cell>
          <cell r="K57">
            <v>32.07</v>
          </cell>
          <cell r="M57">
            <v>47.05</v>
          </cell>
          <cell r="AA57">
            <v>36.57</v>
          </cell>
        </row>
        <row r="58">
          <cell r="A58">
            <v>37288</v>
          </cell>
          <cell r="K58">
            <v>33.39</v>
          </cell>
          <cell r="M58">
            <v>46.96</v>
          </cell>
          <cell r="AA58">
            <v>37.96</v>
          </cell>
        </row>
        <row r="59">
          <cell r="A59">
            <v>37316</v>
          </cell>
          <cell r="K59">
            <v>32.43</v>
          </cell>
          <cell r="M59">
            <v>45.71</v>
          </cell>
          <cell r="AA59">
            <v>40.33</v>
          </cell>
        </row>
        <row r="60">
          <cell r="A60">
            <v>37347</v>
          </cell>
          <cell r="K60">
            <v>27.36</v>
          </cell>
          <cell r="M60">
            <v>43.6</v>
          </cell>
          <cell r="AA60">
            <v>40.58</v>
          </cell>
        </row>
        <row r="61">
          <cell r="A61">
            <v>37377</v>
          </cell>
          <cell r="K61">
            <v>27.01</v>
          </cell>
          <cell r="M61">
            <v>39.200000000000003</v>
          </cell>
          <cell r="AA61">
            <v>40.26</v>
          </cell>
        </row>
        <row r="62">
          <cell r="A62">
            <v>37410</v>
          </cell>
          <cell r="K62">
            <v>25.35</v>
          </cell>
          <cell r="M62">
            <v>34.58</v>
          </cell>
          <cell r="AA62">
            <v>40.46</v>
          </cell>
        </row>
        <row r="63">
          <cell r="A63">
            <v>37438</v>
          </cell>
          <cell r="K63">
            <v>28.1</v>
          </cell>
          <cell r="M63">
            <v>29.07</v>
          </cell>
          <cell r="AA63">
            <v>40.520000000000003</v>
          </cell>
        </row>
        <row r="64">
          <cell r="A64">
            <v>37469</v>
          </cell>
          <cell r="K64">
            <v>26.31</v>
          </cell>
          <cell r="M64">
            <v>31</v>
          </cell>
          <cell r="AA64">
            <v>40.369999999999997</v>
          </cell>
        </row>
        <row r="65">
          <cell r="A65">
            <v>37502</v>
          </cell>
          <cell r="K65">
            <v>21.66</v>
          </cell>
          <cell r="M65">
            <v>24.61</v>
          </cell>
          <cell r="AA65">
            <v>40.700000000000003</v>
          </cell>
        </row>
        <row r="66">
          <cell r="A66">
            <v>37530</v>
          </cell>
          <cell r="K66">
            <v>22.19</v>
          </cell>
          <cell r="M66">
            <v>27.23</v>
          </cell>
          <cell r="AA66">
            <v>40.46</v>
          </cell>
        </row>
        <row r="67">
          <cell r="A67">
            <v>37561</v>
          </cell>
          <cell r="K67">
            <v>23.83</v>
          </cell>
          <cell r="M67">
            <v>24.89</v>
          </cell>
          <cell r="AA67">
            <v>38.67</v>
          </cell>
        </row>
        <row r="68">
          <cell r="A68">
            <v>37592</v>
          </cell>
          <cell r="K68">
            <v>21.56</v>
          </cell>
          <cell r="M68">
            <v>22.7</v>
          </cell>
          <cell r="AA68">
            <v>39.31</v>
          </cell>
        </row>
        <row r="69">
          <cell r="A69">
            <v>37623</v>
          </cell>
          <cell r="K69">
            <v>20.49</v>
          </cell>
          <cell r="M69">
            <v>19.75</v>
          </cell>
          <cell r="AA69">
            <v>39.33</v>
          </cell>
        </row>
        <row r="70">
          <cell r="A70">
            <v>37655</v>
          </cell>
          <cell r="K70">
            <v>21.46</v>
          </cell>
          <cell r="M70">
            <v>22.16</v>
          </cell>
          <cell r="AA70">
            <v>37.619999999999997</v>
          </cell>
        </row>
        <row r="71">
          <cell r="A71">
            <v>37683</v>
          </cell>
          <cell r="K71">
            <v>22.76</v>
          </cell>
          <cell r="M71">
            <v>23.08</v>
          </cell>
          <cell r="AA71">
            <v>40.93</v>
          </cell>
        </row>
        <row r="72">
          <cell r="A72">
            <v>37712</v>
          </cell>
          <cell r="K72">
            <v>26.28</v>
          </cell>
          <cell r="M72">
            <v>26.66</v>
          </cell>
          <cell r="AA72">
            <v>41.49</v>
          </cell>
        </row>
        <row r="73">
          <cell r="A73">
            <v>37742</v>
          </cell>
          <cell r="K73">
            <v>25.61</v>
          </cell>
          <cell r="M73">
            <v>30.79</v>
          </cell>
          <cell r="AA73">
            <v>42.4</v>
          </cell>
        </row>
        <row r="74">
          <cell r="A74">
            <v>37774</v>
          </cell>
          <cell r="K74">
            <v>25.76</v>
          </cell>
          <cell r="M74">
            <v>31.44</v>
          </cell>
          <cell r="AA74">
            <v>41.18</v>
          </cell>
        </row>
        <row r="75">
          <cell r="A75">
            <v>37803</v>
          </cell>
          <cell r="K75">
            <v>25.55</v>
          </cell>
          <cell r="M75">
            <v>29.62</v>
          </cell>
          <cell r="AA75">
            <v>40.78</v>
          </cell>
        </row>
        <row r="76">
          <cell r="A76">
            <v>37834</v>
          </cell>
          <cell r="K76">
            <v>26.56</v>
          </cell>
          <cell r="M76">
            <v>30.53</v>
          </cell>
          <cell r="AA76">
            <v>40.51</v>
          </cell>
        </row>
        <row r="77">
          <cell r="A77">
            <v>37866</v>
          </cell>
          <cell r="K77">
            <v>26.94</v>
          </cell>
          <cell r="M77">
            <v>30.3</v>
          </cell>
          <cell r="AA77">
            <v>43.08</v>
          </cell>
        </row>
        <row r="78">
          <cell r="A78">
            <v>37895</v>
          </cell>
          <cell r="K78">
            <v>26.22</v>
          </cell>
          <cell r="M78">
            <v>35.270000000000003</v>
          </cell>
          <cell r="AA78">
            <v>45.83</v>
          </cell>
        </row>
        <row r="79">
          <cell r="A79">
            <v>37928</v>
          </cell>
          <cell r="K79">
            <v>25.91</v>
          </cell>
          <cell r="M79">
            <v>34.97</v>
          </cell>
          <cell r="AA79">
            <v>44.88</v>
          </cell>
        </row>
        <row r="80">
          <cell r="A80">
            <v>37956</v>
          </cell>
          <cell r="K80">
            <v>28.19</v>
          </cell>
          <cell r="M80">
            <v>33.83</v>
          </cell>
          <cell r="AA80">
            <v>46.58</v>
          </cell>
        </row>
        <row r="81">
          <cell r="A81">
            <v>37988</v>
          </cell>
          <cell r="K81">
            <v>30.6</v>
          </cell>
          <cell r="M81">
            <v>33.81</v>
          </cell>
          <cell r="AA81">
            <v>47.35</v>
          </cell>
        </row>
        <row r="82">
          <cell r="A82">
            <v>38019</v>
          </cell>
          <cell r="K82">
            <v>29.77</v>
          </cell>
          <cell r="M82">
            <v>34.61</v>
          </cell>
          <cell r="AA82">
            <v>48.02</v>
          </cell>
        </row>
        <row r="83">
          <cell r="A83">
            <v>38047</v>
          </cell>
          <cell r="K83">
            <v>27.94</v>
          </cell>
          <cell r="M83">
            <v>35.68</v>
          </cell>
          <cell r="AA83">
            <v>49.13</v>
          </cell>
        </row>
        <row r="84">
          <cell r="A84">
            <v>38078</v>
          </cell>
          <cell r="K84">
            <v>27.42</v>
          </cell>
          <cell r="M84">
            <v>33.61</v>
          </cell>
          <cell r="AA84">
            <v>49.8</v>
          </cell>
        </row>
        <row r="85">
          <cell r="A85">
            <v>38110</v>
          </cell>
          <cell r="K85">
            <v>28.49</v>
          </cell>
          <cell r="M85">
            <v>34.299999999999997</v>
          </cell>
          <cell r="AA85">
            <v>50.75</v>
          </cell>
        </row>
        <row r="86">
          <cell r="A86">
            <v>38139</v>
          </cell>
          <cell r="K86">
            <v>29.84</v>
          </cell>
          <cell r="M86">
            <v>33.700000000000003</v>
          </cell>
          <cell r="AA86">
            <v>51.25</v>
          </cell>
        </row>
        <row r="87">
          <cell r="A87">
            <v>38169</v>
          </cell>
          <cell r="K87">
            <v>30.62</v>
          </cell>
          <cell r="M87">
            <v>32.28</v>
          </cell>
          <cell r="AA87">
            <v>49.32</v>
          </cell>
        </row>
        <row r="88">
          <cell r="A88">
            <v>38201</v>
          </cell>
          <cell r="K88">
            <v>30.2</v>
          </cell>
          <cell r="M88">
            <v>35.08</v>
          </cell>
          <cell r="AA88">
            <v>52.94</v>
          </cell>
        </row>
        <row r="89">
          <cell r="A89">
            <v>38231</v>
          </cell>
          <cell r="K89">
            <v>31.11</v>
          </cell>
          <cell r="M89">
            <v>37.61</v>
          </cell>
          <cell r="AA89">
            <v>51.19</v>
          </cell>
        </row>
        <row r="90">
          <cell r="A90">
            <v>38261</v>
          </cell>
          <cell r="K90">
            <v>31.61</v>
          </cell>
          <cell r="M90">
            <v>39.42</v>
          </cell>
          <cell r="AA90">
            <v>48.64</v>
          </cell>
        </row>
        <row r="91">
          <cell r="A91">
            <v>38292</v>
          </cell>
          <cell r="K91">
            <v>32.76</v>
          </cell>
          <cell r="M91">
            <v>40.14</v>
          </cell>
          <cell r="AA91">
            <v>50.82</v>
          </cell>
        </row>
        <row r="92">
          <cell r="A92">
            <v>38322</v>
          </cell>
          <cell r="K92">
            <v>34.01</v>
          </cell>
          <cell r="M92">
            <v>41.09</v>
          </cell>
          <cell r="AA92">
            <v>52.34</v>
          </cell>
        </row>
        <row r="93">
          <cell r="A93">
            <v>38355</v>
          </cell>
          <cell r="K93">
            <v>33.67</v>
          </cell>
          <cell r="M93">
            <v>39.67</v>
          </cell>
          <cell r="AA93">
            <v>50.81</v>
          </cell>
        </row>
        <row r="94">
          <cell r="A94">
            <v>38384</v>
          </cell>
          <cell r="K94">
            <v>33.01</v>
          </cell>
          <cell r="M94">
            <v>38.479999999999997</v>
          </cell>
          <cell r="AA94">
            <v>50.68</v>
          </cell>
        </row>
        <row r="95">
          <cell r="A95">
            <v>38412</v>
          </cell>
          <cell r="K95">
            <v>33.81</v>
          </cell>
          <cell r="M95">
            <v>36.86</v>
          </cell>
          <cell r="AA95">
            <v>50.59</v>
          </cell>
        </row>
        <row r="96">
          <cell r="A96">
            <v>38443</v>
          </cell>
          <cell r="K96">
            <v>33.94</v>
          </cell>
          <cell r="M96">
            <v>34.090000000000003</v>
          </cell>
          <cell r="AA96">
            <v>51.96</v>
          </cell>
        </row>
        <row r="97">
          <cell r="A97">
            <v>38474</v>
          </cell>
          <cell r="K97">
            <v>34.21</v>
          </cell>
          <cell r="M97">
            <v>37.93</v>
          </cell>
          <cell r="AA97">
            <v>52.92</v>
          </cell>
        </row>
        <row r="98">
          <cell r="A98">
            <v>38504</v>
          </cell>
          <cell r="K98">
            <v>32.69</v>
          </cell>
          <cell r="M98">
            <v>37.590000000000003</v>
          </cell>
          <cell r="AA98">
            <v>50.61</v>
          </cell>
        </row>
        <row r="99">
          <cell r="A99">
            <v>38534</v>
          </cell>
          <cell r="K99">
            <v>32.549999999999997</v>
          </cell>
          <cell r="M99">
            <v>42.04</v>
          </cell>
          <cell r="AA99">
            <v>53.65</v>
          </cell>
        </row>
        <row r="100">
          <cell r="A100">
            <v>38565</v>
          </cell>
          <cell r="K100">
            <v>31.71</v>
          </cell>
          <cell r="M100">
            <v>39.06</v>
          </cell>
          <cell r="AA100">
            <v>53.51</v>
          </cell>
        </row>
        <row r="101">
          <cell r="A101">
            <v>38596</v>
          </cell>
          <cell r="K101">
            <v>31.98</v>
          </cell>
          <cell r="M101">
            <v>36.94</v>
          </cell>
          <cell r="AA101">
            <v>57.34</v>
          </cell>
        </row>
        <row r="102">
          <cell r="A102">
            <v>38628</v>
          </cell>
          <cell r="K102">
            <v>32.21</v>
          </cell>
          <cell r="M102">
            <v>39.75</v>
          </cell>
          <cell r="AA102">
            <v>54.27</v>
          </cell>
        </row>
        <row r="103">
          <cell r="A103">
            <v>38657</v>
          </cell>
          <cell r="K103">
            <v>33.92</v>
          </cell>
          <cell r="M103">
            <v>40.57</v>
          </cell>
          <cell r="AA103">
            <v>55.43</v>
          </cell>
        </row>
        <row r="104">
          <cell r="A104">
            <v>38687</v>
          </cell>
          <cell r="K104">
            <v>33.53</v>
          </cell>
          <cell r="M104">
            <v>39.31</v>
          </cell>
          <cell r="AA104">
            <v>56.1</v>
          </cell>
        </row>
        <row r="105">
          <cell r="A105">
            <v>38720</v>
          </cell>
          <cell r="K105">
            <v>31.33</v>
          </cell>
          <cell r="M105">
            <v>39.369999999999997</v>
          </cell>
          <cell r="AA105">
            <v>57.69</v>
          </cell>
        </row>
        <row r="106">
          <cell r="A106">
            <v>38749</v>
          </cell>
          <cell r="K106">
            <v>31.68</v>
          </cell>
          <cell r="M106">
            <v>40.93</v>
          </cell>
          <cell r="AA106">
            <v>58.37</v>
          </cell>
        </row>
        <row r="107">
          <cell r="A107">
            <v>38777</v>
          </cell>
          <cell r="K107">
            <v>33.520000000000003</v>
          </cell>
          <cell r="M107">
            <v>41.22</v>
          </cell>
          <cell r="AA107">
            <v>56.13</v>
          </cell>
        </row>
        <row r="108">
          <cell r="A108">
            <v>38810</v>
          </cell>
          <cell r="K108">
            <v>33.33</v>
          </cell>
          <cell r="M108">
            <v>38.909999999999997</v>
          </cell>
          <cell r="AA108">
            <v>57.01</v>
          </cell>
        </row>
        <row r="109">
          <cell r="A109">
            <v>38838</v>
          </cell>
          <cell r="K109">
            <v>33.020000000000003</v>
          </cell>
          <cell r="M109">
            <v>37.15</v>
          </cell>
          <cell r="AA109">
            <v>53.13</v>
          </cell>
        </row>
        <row r="110">
          <cell r="A110">
            <v>38869</v>
          </cell>
          <cell r="K110">
            <v>32</v>
          </cell>
          <cell r="M110">
            <v>35.020000000000003</v>
          </cell>
          <cell r="AA110">
            <v>54.45</v>
          </cell>
        </row>
        <row r="111">
          <cell r="A111">
            <v>38901</v>
          </cell>
          <cell r="K111">
            <v>31.74</v>
          </cell>
          <cell r="M111">
            <v>33.96</v>
          </cell>
          <cell r="AA111">
            <v>55.35</v>
          </cell>
        </row>
        <row r="112">
          <cell r="A112">
            <v>38930</v>
          </cell>
          <cell r="K112">
            <v>33.07</v>
          </cell>
          <cell r="M112">
            <v>33.549999999999997</v>
          </cell>
          <cell r="AA112">
            <v>60.96</v>
          </cell>
        </row>
        <row r="113">
          <cell r="A113">
            <v>38961</v>
          </cell>
          <cell r="K113">
            <v>34.520000000000003</v>
          </cell>
          <cell r="M113">
            <v>35.64</v>
          </cell>
          <cell r="AA113">
            <v>61.04</v>
          </cell>
        </row>
        <row r="114">
          <cell r="A114">
            <v>38992</v>
          </cell>
          <cell r="K114">
            <v>34.33</v>
          </cell>
          <cell r="M114">
            <v>36.68</v>
          </cell>
          <cell r="AA114">
            <v>62.74</v>
          </cell>
        </row>
        <row r="115">
          <cell r="A115">
            <v>39022</v>
          </cell>
          <cell r="K115">
            <v>34.5</v>
          </cell>
          <cell r="M115">
            <v>37.54</v>
          </cell>
          <cell r="AA115">
            <v>62.15</v>
          </cell>
        </row>
        <row r="116">
          <cell r="A116">
            <v>39052</v>
          </cell>
          <cell r="K116">
            <v>36.659999999999997</v>
          </cell>
          <cell r="M116">
            <v>39.700000000000003</v>
          </cell>
          <cell r="AA116">
            <v>63.61</v>
          </cell>
        </row>
        <row r="117">
          <cell r="A117">
            <v>39085</v>
          </cell>
          <cell r="K117">
            <v>35.51</v>
          </cell>
          <cell r="M117">
            <v>40.270000000000003</v>
          </cell>
          <cell r="AA117">
            <v>64.510000000000005</v>
          </cell>
        </row>
        <row r="118">
          <cell r="A118">
            <v>39114</v>
          </cell>
          <cell r="K118">
            <v>34.659999999999997</v>
          </cell>
          <cell r="M118">
            <v>39.14</v>
          </cell>
          <cell r="AA118">
            <v>63.14</v>
          </cell>
        </row>
        <row r="119">
          <cell r="A119">
            <v>39142</v>
          </cell>
          <cell r="K119">
            <v>35.11</v>
          </cell>
          <cell r="M119">
            <v>36.53</v>
          </cell>
          <cell r="AA119">
            <v>62.81</v>
          </cell>
        </row>
        <row r="120">
          <cell r="A120">
            <v>39174</v>
          </cell>
          <cell r="K120">
            <v>36.6</v>
          </cell>
          <cell r="M120">
            <v>37.659999999999997</v>
          </cell>
          <cell r="AA120">
            <v>64.400000000000006</v>
          </cell>
        </row>
        <row r="121">
          <cell r="A121">
            <v>39203</v>
          </cell>
          <cell r="K121">
            <v>37.31</v>
          </cell>
          <cell r="M121">
            <v>38.65</v>
          </cell>
          <cell r="AA121">
            <v>63.55</v>
          </cell>
        </row>
        <row r="122">
          <cell r="A122">
            <v>39234</v>
          </cell>
          <cell r="K122">
            <v>38.28</v>
          </cell>
          <cell r="M122">
            <v>39.35</v>
          </cell>
          <cell r="AA122">
            <v>61.19</v>
          </cell>
        </row>
        <row r="123">
          <cell r="A123">
            <v>39265</v>
          </cell>
          <cell r="K123">
            <v>38.54</v>
          </cell>
          <cell r="M123">
            <v>39.83</v>
          </cell>
          <cell r="AA123">
            <v>61.67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41"/>
  <sheetViews>
    <sheetView tabSelected="1" zoomScale="190" zoomScaleNormal="190" workbookViewId="0">
      <selection activeCell="E6" sqref="E6"/>
    </sheetView>
  </sheetViews>
  <sheetFormatPr defaultRowHeight="13.8" x14ac:dyDescent="0.25"/>
  <cols>
    <col min="1" max="1" width="11" style="3" customWidth="1"/>
    <col min="2" max="2" width="8.88671875" style="3"/>
    <col min="3" max="3" width="13.5546875" style="3" bestFit="1" customWidth="1"/>
    <col min="4" max="4" width="8.88671875" style="3"/>
    <col min="5" max="5" width="24.44140625" style="3" bestFit="1" customWidth="1"/>
    <col min="6" max="9" width="8.88671875" style="3"/>
  </cols>
  <sheetData>
    <row r="1" spans="1:5" x14ac:dyDescent="0.25">
      <c r="A1" s="1" t="s">
        <v>0</v>
      </c>
      <c r="B1" s="2"/>
      <c r="C1" s="2"/>
      <c r="D1" s="2"/>
      <c r="E1" s="2"/>
    </row>
    <row r="2" spans="1:5" x14ac:dyDescent="0.25">
      <c r="B2" s="4" t="s">
        <v>1</v>
      </c>
      <c r="C2" s="4" t="s">
        <v>2</v>
      </c>
      <c r="D2" s="4" t="s">
        <v>3</v>
      </c>
    </row>
    <row r="3" spans="1:5" x14ac:dyDescent="0.25">
      <c r="A3" s="13" t="s">
        <v>4</v>
      </c>
      <c r="B3" s="5">
        <f>AVERAGE(B22:B141)</f>
        <v>5.9069823253274723E-3</v>
      </c>
      <c r="C3" s="5">
        <f t="shared" ref="C3:D3" si="0">AVERAGE(C22:C141)</f>
        <v>7.9350236636920556E-3</v>
      </c>
      <c r="D3" s="5">
        <f t="shared" si="0"/>
        <v>5.5667313101839524E-3</v>
      </c>
      <c r="E3" s="3" t="str">
        <f ca="1">[2]!getformula(D3)</f>
        <v>&lt;--  =AVERAGE(D22:D141)</v>
      </c>
    </row>
    <row r="4" spans="1:5" x14ac:dyDescent="0.25">
      <c r="A4" s="3" t="s">
        <v>5</v>
      </c>
      <c r="B4" s="5">
        <f>_xlfn.STDEV.P(B22:B141)</f>
        <v>6.5949729935956797E-2</v>
      </c>
      <c r="C4" s="5">
        <f t="shared" ref="C4:D4" si="1">_xlfn.STDEV.P(C22:C141)</f>
        <v>8.6157973168435625E-2</v>
      </c>
      <c r="D4" s="5">
        <f t="shared" si="1"/>
        <v>6.8799306008687444E-2</v>
      </c>
      <c r="E4" s="3" t="str">
        <f ca="1">[2]!getformula(D4)</f>
        <v>&lt;--  =STDEV.P(D22:D141)</v>
      </c>
    </row>
    <row r="6" spans="1:5" ht="27.6" x14ac:dyDescent="0.25">
      <c r="A6" s="14" t="s">
        <v>6</v>
      </c>
      <c r="B6" s="6" t="s">
        <v>1</v>
      </c>
      <c r="C6" s="6" t="s">
        <v>2</v>
      </c>
      <c r="D6" s="6" t="s">
        <v>3</v>
      </c>
    </row>
    <row r="7" spans="1:5" x14ac:dyDescent="0.25">
      <c r="A7" s="4" t="s">
        <v>1</v>
      </c>
      <c r="B7" s="3">
        <f>_xlfn.COVARIANCE.P($B$22:$B$141,B22:B141)</f>
        <v>4.3493668786256318E-3</v>
      </c>
      <c r="C7" s="3">
        <f t="shared" ref="C7:D7" si="2">_xlfn.COVARIANCE.P($B$22:$B$141,C22:C141)</f>
        <v>2.737590519860977E-3</v>
      </c>
      <c r="D7" s="3">
        <f t="shared" si="2"/>
        <v>2.3921975406137854E-4</v>
      </c>
    </row>
    <row r="8" spans="1:5" x14ac:dyDescent="0.25">
      <c r="A8" s="4" t="s">
        <v>2</v>
      </c>
      <c r="B8" s="3">
        <f>_xlfn.COVARIANCE.P(C22:C141,B22:B141)</f>
        <v>2.737590519860977E-3</v>
      </c>
      <c r="C8" s="3">
        <f>_xlfn.COVARIANCE.P($C$22:$C$141,C22:C141)</f>
        <v>7.423196340492876E-3</v>
      </c>
      <c r="D8" s="3">
        <f>_xlfn.COVARIANCE.P($C$22:$C$141,D22:D141)</f>
        <v>7.450124732053666E-5</v>
      </c>
    </row>
    <row r="9" spans="1:5" x14ac:dyDescent="0.25">
      <c r="A9" s="4" t="s">
        <v>3</v>
      </c>
      <c r="B9" s="3">
        <f>_xlfn.COVARIANCE.P(B22:B141,D22:D141)</f>
        <v>2.3921975406137854E-4</v>
      </c>
      <c r="C9" s="3">
        <f>_xlfn.COVARIANCE.P(D22:D141,C22:C141)</f>
        <v>7.450124732053666E-5</v>
      </c>
      <c r="D9" s="3">
        <f>_xlfn.COVARIANCE.P($D$22:$D$141,D22:D141)</f>
        <v>4.7333445072770142E-3</v>
      </c>
    </row>
    <row r="11" spans="1:5" x14ac:dyDescent="0.25">
      <c r="A11" s="7" t="s">
        <v>7</v>
      </c>
    </row>
    <row r="12" spans="1:5" x14ac:dyDescent="0.25">
      <c r="A12" s="4" t="s">
        <v>1</v>
      </c>
      <c r="B12" s="8">
        <f>1/3</f>
        <v>0.33333333333333331</v>
      </c>
    </row>
    <row r="13" spans="1:5" x14ac:dyDescent="0.25">
      <c r="A13" s="4" t="s">
        <v>2</v>
      </c>
      <c r="B13" s="8">
        <f>1/3</f>
        <v>0.33333333333333331</v>
      </c>
    </row>
    <row r="14" spans="1:5" x14ac:dyDescent="0.25">
      <c r="A14" s="4" t="s">
        <v>3</v>
      </c>
      <c r="B14" s="8">
        <f>1-B12-B13</f>
        <v>0.33333333333333343</v>
      </c>
      <c r="C14" s="3" t="str">
        <f ca="1">[2]!getformula(B14)</f>
        <v>&lt;--  =1-B12-B13</v>
      </c>
    </row>
    <row r="15" spans="1:5" x14ac:dyDescent="0.25">
      <c r="A15" s="4"/>
      <c r="B15" s="8"/>
    </row>
    <row r="16" spans="1:5" x14ac:dyDescent="0.25">
      <c r="A16" s="4" t="s">
        <v>4</v>
      </c>
      <c r="B16" s="8">
        <f t="array" ref="B16">MMULT(B3:D3,B12:B14)</f>
        <v>6.4695790997344928E-3</v>
      </c>
      <c r="C16" s="3" t="str">
        <f ca="1">[2]!getformula(B16)</f>
        <v>&lt;--  {=MMULT(B3:D3,B12:B14)}</v>
      </c>
    </row>
    <row r="17" spans="1:4" x14ac:dyDescent="0.25">
      <c r="A17" s="4" t="s">
        <v>8</v>
      </c>
      <c r="B17" s="15">
        <f t="array" ref="B17">MMULT(TRANSPOSE(B12:B14),MMULT(B7:D9,B12:B14))</f>
        <v>2.5120589743201456E-3</v>
      </c>
      <c r="C17" s="3" t="str">
        <f ca="1">[2]!getformula(B17)</f>
        <v>&lt;--  {=MMULT(TRANSPOSE(B12:B14),MMULT(B7:D9,B12:B14))}</v>
      </c>
    </row>
    <row r="18" spans="1:4" x14ac:dyDescent="0.25">
      <c r="A18" s="4"/>
      <c r="B18" s="15">
        <f>B12^2*B7+B13^2*C8+B14^2*D9+2*B12*B13*C7+2*B12*B14*D7+2*B13*B14*D8</f>
        <v>2.5120589743201456E-3</v>
      </c>
      <c r="C18" s="12" t="str">
        <f ca="1">_xlfn.FORMULATEXT(B18)</f>
        <v>=B12^2*B7+B13^2*C8+B14^2*D9+2*B12*B13*C7+2*B12*B14*D7+2*B13*B14*D8</v>
      </c>
    </row>
    <row r="19" spans="1:4" x14ac:dyDescent="0.25">
      <c r="A19" s="4" t="s">
        <v>5</v>
      </c>
      <c r="B19" s="3">
        <f>SQRT(B18)</f>
        <v>5.012044467400649E-2</v>
      </c>
      <c r="C19" s="3" t="str">
        <f ca="1">[2]!getformula(B19)</f>
        <v>&lt;--  =SQRT(B18)</v>
      </c>
    </row>
    <row r="21" spans="1:4" x14ac:dyDescent="0.25">
      <c r="A21" s="9" t="s">
        <v>9</v>
      </c>
      <c r="B21" s="9" t="s">
        <v>1</v>
      </c>
      <c r="C21" s="9" t="s">
        <v>2</v>
      </c>
      <c r="D21" s="9" t="s">
        <v>3</v>
      </c>
    </row>
    <row r="22" spans="1:4" x14ac:dyDescent="0.25">
      <c r="A22" s="11">
        <f>'[1]DJ30, jul97-jul07'!A4</f>
        <v>35643</v>
      </c>
      <c r="B22" s="10">
        <f>LN('[1]DJ30, jul97-jul07'!K4/'[1]DJ30, jul97-jul07'!K3)</f>
        <v>-0.11377158780187882</v>
      </c>
      <c r="C22" s="10">
        <f>LN('[1]DJ30, jul97-jul07'!M4/'[1]DJ30, jul97-jul07'!M3)</f>
        <v>-5.4139514781964548E-2</v>
      </c>
      <c r="D22" s="10">
        <f>LN('[1]DJ30, jul97-jul07'!AA4/'[1]DJ30, jul97-jul07'!AA3)</f>
        <v>-0.13344103798249138</v>
      </c>
    </row>
    <row r="23" spans="1:4" x14ac:dyDescent="0.25">
      <c r="A23" s="11">
        <f>'[1]DJ30, jul97-jul07'!A5</f>
        <v>35675</v>
      </c>
      <c r="B23" s="10">
        <f>LN('[1]DJ30, jul97-jul07'!K5/'[1]DJ30, jul97-jul07'!K4)</f>
        <v>8.8142849253989505E-2</v>
      </c>
      <c r="C23" s="10">
        <f>LN('[1]DJ30, jul97-jul07'!M5/'[1]DJ30, jul97-jul07'!M4)</f>
        <v>0.10054122922187746</v>
      </c>
      <c r="D23" s="10">
        <f>LN('[1]DJ30, jul97-jul07'!AA5/'[1]DJ30, jul97-jul07'!AA4)</f>
        <v>3.6896700334138034E-2</v>
      </c>
    </row>
    <row r="24" spans="1:4" x14ac:dyDescent="0.25">
      <c r="A24" s="11">
        <f>'[1]DJ30, jul97-jul07'!A6</f>
        <v>35704</v>
      </c>
      <c r="B24" s="10">
        <f>LN('[1]DJ30, jul97-jul07'!K6/'[1]DJ30, jul97-jul07'!K5)</f>
        <v>-5.2176095487158583E-2</v>
      </c>
      <c r="C24" s="10">
        <f>LN('[1]DJ30, jul97-jul07'!M6/'[1]DJ30, jul97-jul07'!M5)</f>
        <v>6.7252227009167262E-2</v>
      </c>
      <c r="D24" s="10">
        <f>LN('[1]DJ30, jul97-jul07'!AA6/'[1]DJ30, jul97-jul07'!AA5)</f>
        <v>-1.2265792469045838E-2</v>
      </c>
    </row>
    <row r="25" spans="1:4" x14ac:dyDescent="0.25">
      <c r="A25" s="11">
        <f>'[1]DJ30, jul97-jul07'!A7</f>
        <v>35737</v>
      </c>
      <c r="B25" s="10">
        <f>LN('[1]DJ30, jul97-jul07'!K7/'[1]DJ30, jul97-jul07'!K6)</f>
        <v>0.13367383262191446</v>
      </c>
      <c r="C25" s="10">
        <f>LN('[1]DJ30, jul97-jul07'!M7/'[1]DJ30, jul97-jul07'!M6)</f>
        <v>5.7904041347045295E-3</v>
      </c>
      <c r="D25" s="10">
        <f>LN('[1]DJ30, jul97-jul07'!AA7/'[1]DJ30, jul97-jul07'!AA6)</f>
        <v>0.1138574594446433</v>
      </c>
    </row>
    <row r="26" spans="1:4" x14ac:dyDescent="0.25">
      <c r="A26" s="11">
        <f>'[1]DJ30, jul97-jul07'!A8</f>
        <v>35765</v>
      </c>
      <c r="B26" s="10">
        <f>LN('[1]DJ30, jul97-jul07'!K8/'[1]DJ30, jul97-jul07'!K7)</f>
        <v>-2.495633938147241E-3</v>
      </c>
      <c r="C26" s="10">
        <f>LN('[1]DJ30, jul97-jul07'!M8/'[1]DJ30, jul97-jul07'!M7)</f>
        <v>4.9559690948460522E-2</v>
      </c>
      <c r="D26" s="10">
        <f>LN('[1]DJ30, jul97-jul07'!AA8/'[1]DJ30, jul97-jul07'!AA7)</f>
        <v>4.6419890478363507E-2</v>
      </c>
    </row>
    <row r="27" spans="1:4" x14ac:dyDescent="0.25">
      <c r="A27" s="11">
        <f>'[1]DJ30, jul97-jul07'!A9</f>
        <v>35797</v>
      </c>
      <c r="B27" s="10">
        <f>LN('[1]DJ30, jul97-jul07'!K9/'[1]DJ30, jul97-jul07'!K8)</f>
        <v>5.4934831846449581E-2</v>
      </c>
      <c r="C27" s="10">
        <f>LN('[1]DJ30, jul97-jul07'!M9/'[1]DJ30, jul97-jul07'!M8)</f>
        <v>2.7101929777791179E-2</v>
      </c>
      <c r="D27" s="10">
        <f>LN('[1]DJ30, jul97-jul07'!AA9/'[1]DJ30, jul97-jul07'!AA8)</f>
        <v>-1.5133460730376682E-2</v>
      </c>
    </row>
    <row r="28" spans="1:4" x14ac:dyDescent="0.25">
      <c r="A28" s="11">
        <f>'[1]DJ30, jul97-jul07'!A10</f>
        <v>35828</v>
      </c>
      <c r="B28" s="10">
        <f>LN('[1]DJ30, jul97-jul07'!K10/'[1]DJ30, jul97-jul07'!K9)</f>
        <v>3.3057881344994103E-3</v>
      </c>
      <c r="C28" s="10">
        <f>LN('[1]DJ30, jul97-jul07'!M10/'[1]DJ30, jul97-jul07'!M9)</f>
        <v>5.4629967486589937E-2</v>
      </c>
      <c r="D28" s="10">
        <f>LN('[1]DJ30, jul97-jul07'!AA10/'[1]DJ30, jul97-jul07'!AA9)</f>
        <v>7.9690756098439661E-2</v>
      </c>
    </row>
    <row r="29" spans="1:4" x14ac:dyDescent="0.25">
      <c r="A29" s="11">
        <f>'[1]DJ30, jul97-jul07'!A11</f>
        <v>35856</v>
      </c>
      <c r="B29" s="10">
        <f>LN('[1]DJ30, jul97-jul07'!K11/'[1]DJ30, jul97-jul07'!K10)</f>
        <v>0.10677394345497337</v>
      </c>
      <c r="C29" s="10">
        <f>LN('[1]DJ30, jul97-jul07'!M11/'[1]DJ30, jul97-jul07'!M10)</f>
        <v>5.7552147849591284E-2</v>
      </c>
      <c r="D29" s="10">
        <f>LN('[1]DJ30, jul97-jul07'!AA11/'[1]DJ30, jul97-jul07'!AA10)</f>
        <v>-5.9313830157454832E-3</v>
      </c>
    </row>
    <row r="30" spans="1:4" x14ac:dyDescent="0.25">
      <c r="A30" s="11">
        <f>'[1]DJ30, jul97-jul07'!A12</f>
        <v>35886</v>
      </c>
      <c r="B30" s="10">
        <f>LN('[1]DJ30, jul97-jul07'!K12/'[1]DJ30, jul97-jul07'!K11)</f>
        <v>-1.1506625998225911E-2</v>
      </c>
      <c r="C30" s="10">
        <f>LN('[1]DJ30, jul97-jul07'!M12/'[1]DJ30, jul97-jul07'!M11)</f>
        <v>3.0134106844074204E-2</v>
      </c>
      <c r="D30" s="10">
        <f>LN('[1]DJ30, jul97-jul07'!AA12/'[1]DJ30, jul97-jul07'!AA11)</f>
        <v>-2.3213536990501424E-2</v>
      </c>
    </row>
    <row r="31" spans="1:4" x14ac:dyDescent="0.25">
      <c r="A31" s="11">
        <f>'[1]DJ30, jul97-jul07'!A13</f>
        <v>35916</v>
      </c>
      <c r="B31" s="10">
        <f>LN('[1]DJ30, jul97-jul07'!K13/'[1]DJ30, jul97-jul07'!K12)</f>
        <v>-2.1664625491634441E-2</v>
      </c>
      <c r="C31" s="10">
        <f>LN('[1]DJ30, jul97-jul07'!M13/'[1]DJ30, jul97-jul07'!M12)</f>
        <v>0.12004804228723566</v>
      </c>
      <c r="D31" s="10">
        <f>LN('[1]DJ30, jul97-jul07'!AA13/'[1]DJ30, jul97-jul07'!AA12)</f>
        <v>2.0376655655301831E-2</v>
      </c>
    </row>
    <row r="32" spans="1:4" x14ac:dyDescent="0.25">
      <c r="A32" s="11">
        <f>'[1]DJ30, jul97-jul07'!A14</f>
        <v>35947</v>
      </c>
      <c r="B32" s="10">
        <f>LN('[1]DJ30, jul97-jul07'!K14/'[1]DJ30, jul97-jul07'!K13)</f>
        <v>8.598880732927465E-2</v>
      </c>
      <c r="C32" s="10">
        <f>LN('[1]DJ30, jul97-jul07'!M14/'[1]DJ30, jul97-jul07'!M13)</f>
        <v>5.6381111041386621E-2</v>
      </c>
      <c r="D32" s="10">
        <f>LN('[1]DJ30, jul97-jul07'!AA14/'[1]DJ30, jul97-jul07'!AA13)</f>
        <v>8.2312856208075491E-2</v>
      </c>
    </row>
    <row r="33" spans="1:4" x14ac:dyDescent="0.25">
      <c r="A33" s="11">
        <f>'[1]DJ30, jul97-jul07'!A15</f>
        <v>35977</v>
      </c>
      <c r="B33" s="10">
        <f>LN('[1]DJ30, jul97-jul07'!K15/'[1]DJ30, jul97-jul07'!K14)</f>
        <v>-1.2538081337890849E-2</v>
      </c>
      <c r="C33" s="10">
        <f>LN('[1]DJ30, jul97-jul07'!M15/'[1]DJ30, jul97-jul07'!M14)</f>
        <v>8.1317001811543142E-3</v>
      </c>
      <c r="D33" s="10">
        <f>LN('[1]DJ30, jul97-jul07'!AA15/'[1]DJ30, jul97-jul07'!AA14)</f>
        <v>-0.13420441564487925</v>
      </c>
    </row>
    <row r="34" spans="1:4" x14ac:dyDescent="0.25">
      <c r="A34" s="11">
        <f>'[1]DJ30, jul97-jul07'!A16</f>
        <v>36010</v>
      </c>
      <c r="B34" s="10">
        <f>LN('[1]DJ30, jul97-jul07'!K16/'[1]DJ30, jul97-jul07'!K15)</f>
        <v>-0.11139323755761248</v>
      </c>
      <c r="C34" s="10">
        <f>LN('[1]DJ30, jul97-jul07'!M16/'[1]DJ30, jul97-jul07'!M15)</f>
        <v>-9.3730248453151477E-2</v>
      </c>
      <c r="D34" s="10">
        <f>LN('[1]DJ30, jul97-jul07'!AA16/'[1]DJ30, jul97-jul07'!AA15)</f>
        <v>-3.6877559824140253E-2</v>
      </c>
    </row>
    <row r="35" spans="1:4" x14ac:dyDescent="0.25">
      <c r="A35" s="11">
        <f>'[1]DJ30, jul97-jul07'!A17</f>
        <v>36039</v>
      </c>
      <c r="B35" s="10">
        <f>LN('[1]DJ30, jul97-jul07'!K17/'[1]DJ30, jul97-jul07'!K16)</f>
        <v>-1.821494128391132E-3</v>
      </c>
      <c r="C35" s="10">
        <f>LN('[1]DJ30, jul97-jul07'!M17/'[1]DJ30, jul97-jul07'!M16)</f>
        <v>3.6186106546703796E-2</v>
      </c>
      <c r="D35" s="10">
        <f>LN('[1]DJ30, jul97-jul07'!AA17/'[1]DJ30, jul97-jul07'!AA16)</f>
        <v>-7.274763878164911E-2</v>
      </c>
    </row>
    <row r="36" spans="1:4" x14ac:dyDescent="0.25">
      <c r="A36" s="11">
        <f>'[1]DJ30, jul97-jul07'!A18</f>
        <v>36069</v>
      </c>
      <c r="B36" s="10">
        <f>LN('[1]DJ30, jul97-jul07'!K18/'[1]DJ30, jul97-jul07'!K17)</f>
        <v>9.5144424789856102E-2</v>
      </c>
      <c r="C36" s="10">
        <f>LN('[1]DJ30, jul97-jul07'!M18/'[1]DJ30, jul97-jul07'!M17)</f>
        <v>9.7980408360203816E-2</v>
      </c>
      <c r="D36" s="10">
        <f>LN('[1]DJ30, jul97-jul07'!AA18/'[1]DJ30, jul97-jul07'!AA17)</f>
        <v>0.22401128824413757</v>
      </c>
    </row>
    <row r="37" spans="1:4" x14ac:dyDescent="0.25">
      <c r="A37" s="11">
        <f>'[1]DJ30, jul97-jul07'!A19</f>
        <v>36101</v>
      </c>
      <c r="B37" s="10">
        <f>LN('[1]DJ30, jul97-jul07'!K19/'[1]DJ30, jul97-jul07'!K18)</f>
        <v>3.2214814282312064E-2</v>
      </c>
      <c r="C37" s="10">
        <f>LN('[1]DJ30, jul97-jul07'!M19/'[1]DJ30, jul97-jul07'!M18)</f>
        <v>0.13265137589372997</v>
      </c>
      <c r="D37" s="10">
        <f>LN('[1]DJ30, jul97-jul07'!AA19/'[1]DJ30, jul97-jul07'!AA18)</f>
        <v>-1.2082305660244413E-2</v>
      </c>
    </row>
    <row r="38" spans="1:4" x14ac:dyDescent="0.25">
      <c r="A38" s="11">
        <f>'[1]DJ30, jul97-jul07'!A20</f>
        <v>36130</v>
      </c>
      <c r="B38" s="10">
        <f>LN('[1]DJ30, jul97-jul07'!K20/'[1]DJ30, jul97-jul07'!K19)</f>
        <v>0.12436025250541552</v>
      </c>
      <c r="C38" s="10">
        <f>LN('[1]DJ30, jul97-jul07'!M20/'[1]DJ30, jul97-jul07'!M19)</f>
        <v>0.20751772260880921</v>
      </c>
      <c r="D38" s="10">
        <f>LN('[1]DJ30, jul97-jul07'!AA20/'[1]DJ30, jul97-jul07'!AA19)</f>
        <v>4.1275700332231394E-2</v>
      </c>
    </row>
    <row r="39" spans="1:4" x14ac:dyDescent="0.25">
      <c r="A39" s="11">
        <f>'[1]DJ30, jul97-jul07'!A21</f>
        <v>36164</v>
      </c>
      <c r="B39" s="10">
        <f>LN('[1]DJ30, jul97-jul07'!K21/'[1]DJ30, jul97-jul07'!K20)</f>
        <v>2.7954301031373908E-2</v>
      </c>
      <c r="C39" s="10">
        <f>LN('[1]DJ30, jul97-jul07'!M21/'[1]DJ30, jul97-jul07'!M20)</f>
        <v>-1.113184036884407E-2</v>
      </c>
      <c r="D39" s="10">
        <f>LN('[1]DJ30, jul97-jul07'!AA21/'[1]DJ30, jul97-jul07'!AA20)</f>
        <v>-1.5564205476580842E-3</v>
      </c>
    </row>
    <row r="40" spans="1:4" x14ac:dyDescent="0.25">
      <c r="A40" s="11">
        <f>'[1]DJ30, jul97-jul07'!A22</f>
        <v>36192</v>
      </c>
      <c r="B40" s="10">
        <f>LN('[1]DJ30, jul97-jul07'!K22/'[1]DJ30, jul97-jul07'!K21)</f>
        <v>-4.4749407263598218E-2</v>
      </c>
      <c r="C40" s="10">
        <f>LN('[1]DJ30, jul97-jul07'!M22/'[1]DJ30, jul97-jul07'!M21)</f>
        <v>-1.3685977739959483E-2</v>
      </c>
      <c r="D40" s="10">
        <f>LN('[1]DJ30, jul97-jul07'!AA22/'[1]DJ30, jul97-jul07'!AA21)</f>
        <v>-1.5171622423056794E-2</v>
      </c>
    </row>
    <row r="41" spans="1:4" x14ac:dyDescent="0.25">
      <c r="A41" s="11">
        <f>'[1]DJ30, jul97-jul07'!A23</f>
        <v>36220</v>
      </c>
      <c r="B41" s="10">
        <f>LN('[1]DJ30, jul97-jul07'!K23/'[1]DJ30, jul97-jul07'!K22)</f>
        <v>0.10167806808702791</v>
      </c>
      <c r="C41" s="10">
        <f>LN('[1]DJ30, jul97-jul07'!M23/'[1]DJ30, jul97-jul07'!M22)</f>
        <v>4.258213060230371E-2</v>
      </c>
      <c r="D41" s="10">
        <f>LN('[1]DJ30, jul97-jul07'!AA23/'[1]DJ30, jul97-jul07'!AA22)</f>
        <v>9.0169274350765133E-2</v>
      </c>
    </row>
    <row r="42" spans="1:4" x14ac:dyDescent="0.25">
      <c r="A42" s="11">
        <f>'[1]DJ30, jul97-jul07'!A24</f>
        <v>36251</v>
      </c>
      <c r="B42" s="10">
        <f>LN('[1]DJ30, jul97-jul07'!K24/'[1]DJ30, jul97-jul07'!K23)</f>
        <v>-4.8692512687493125E-2</v>
      </c>
      <c r="C42" s="10">
        <f>LN('[1]DJ30, jul97-jul07'!M24/'[1]DJ30, jul97-jul07'!M23)</f>
        <v>-4.0962259837727388E-2</v>
      </c>
      <c r="D42" s="10">
        <f>LN('[1]DJ30, jul97-jul07'!AA24/'[1]DJ30, jul97-jul07'!AA23)</f>
        <v>-4.0049572940318051E-2</v>
      </c>
    </row>
    <row r="43" spans="1:4" x14ac:dyDescent="0.25">
      <c r="A43" s="11">
        <f>'[1]DJ30, jul97-jul07'!A25</f>
        <v>36283</v>
      </c>
      <c r="B43" s="10">
        <f>LN('[1]DJ30, jul97-jul07'!K25/'[1]DJ30, jul97-jul07'!K24)</f>
        <v>-3.548198296693706E-2</v>
      </c>
      <c r="C43" s="10">
        <f>LN('[1]DJ30, jul97-jul07'!M25/'[1]DJ30, jul97-jul07'!M24)</f>
        <v>-5.4891827567517107E-2</v>
      </c>
      <c r="D43" s="10">
        <f>LN('[1]DJ30, jul97-jul07'!AA25/'[1]DJ30, jul97-jul07'!AA24)</f>
        <v>-4.7744782241704482E-3</v>
      </c>
    </row>
    <row r="44" spans="1:4" x14ac:dyDescent="0.25">
      <c r="A44" s="11">
        <f>'[1]DJ30, jul97-jul07'!A26</f>
        <v>36312</v>
      </c>
      <c r="B44" s="10">
        <f>LN('[1]DJ30, jul97-jul07'!K26/'[1]DJ30, jul97-jul07'!K25)</f>
        <v>0.10543133467984529</v>
      </c>
      <c r="C44" s="10">
        <f>LN('[1]DJ30, jul97-jul07'!M26/'[1]DJ30, jul97-jul07'!M25)</f>
        <v>0.13121323327401971</v>
      </c>
      <c r="D44" s="10">
        <f>LN('[1]DJ30, jul97-jul07'!AA26/'[1]DJ30, jul97-jul07'!AA25)</f>
        <v>-5.7810574887548878E-2</v>
      </c>
    </row>
    <row r="45" spans="1:4" x14ac:dyDescent="0.25">
      <c r="A45" s="11">
        <f>'[1]DJ30, jul97-jul07'!A27</f>
        <v>36342</v>
      </c>
      <c r="B45" s="10">
        <f>LN('[1]DJ30, jul97-jul07'!K27/'[1]DJ30, jul97-jul07'!K26)</f>
        <v>-3.3044794777457288E-2</v>
      </c>
      <c r="C45" s="10">
        <f>LN('[1]DJ30, jul97-jul07'!M27/'[1]DJ30, jul97-jul07'!M26)</f>
        <v>-9.7953815987388507E-3</v>
      </c>
      <c r="D45" s="10">
        <f>LN('[1]DJ30, jul97-jul07'!AA27/'[1]DJ30, jul97-jul07'!AA26)</f>
        <v>3.0747396538721269E-2</v>
      </c>
    </row>
    <row r="46" spans="1:4" x14ac:dyDescent="0.25">
      <c r="A46" s="11">
        <f>'[1]DJ30, jul97-jul07'!A28</f>
        <v>36374</v>
      </c>
      <c r="B46" s="10">
        <f>LN('[1]DJ30, jul97-jul07'!K28/'[1]DJ30, jul97-jul07'!K27)</f>
        <v>2.9852963149681128E-2</v>
      </c>
      <c r="C46" s="10">
        <f>LN('[1]DJ30, jul97-jul07'!M28/'[1]DJ30, jul97-jul07'!M27)</f>
        <v>-3.6236779811596176E-2</v>
      </c>
      <c r="D46" s="10">
        <f>LN('[1]DJ30, jul97-jul07'!AA28/'[1]DJ30, jul97-jul07'!AA27)</f>
        <v>9.1680411753746235E-2</v>
      </c>
    </row>
    <row r="47" spans="1:4" x14ac:dyDescent="0.25">
      <c r="A47" s="11">
        <f>'[1]DJ30, jul97-jul07'!A29</f>
        <v>36404</v>
      </c>
      <c r="B47" s="10">
        <f>LN('[1]DJ30, jul97-jul07'!K29/'[1]DJ30, jul97-jul07'!K28)</f>
        <v>5.7158413839948415E-2</v>
      </c>
      <c r="C47" s="10">
        <f>LN('[1]DJ30, jul97-jul07'!M29/'[1]DJ30, jul97-jul07'!M28)</f>
        <v>0.10946096931831033</v>
      </c>
      <c r="D47" s="10">
        <f>LN('[1]DJ30, jul97-jul07'!AA29/'[1]DJ30, jul97-jul07'!AA28)</f>
        <v>-5.7088966984127167E-2</v>
      </c>
    </row>
    <row r="48" spans="1:4" x14ac:dyDescent="0.25">
      <c r="A48" s="11">
        <f>'[1]DJ30, jul97-jul07'!A30</f>
        <v>36434</v>
      </c>
      <c r="B48" s="10">
        <f>LN('[1]DJ30, jul97-jul07'!K30/'[1]DJ30, jul97-jul07'!K29)</f>
        <v>0.13349365036639885</v>
      </c>
      <c r="C48" s="10">
        <f>LN('[1]DJ30, jul97-jul07'!M30/'[1]DJ30, jul97-jul07'!M29)</f>
        <v>9.8865152522097474E-2</v>
      </c>
      <c r="D48" s="10">
        <f>LN('[1]DJ30, jul97-jul07'!AA30/'[1]DJ30, jul97-jul07'!AA29)</f>
        <v>0.11533559867990442</v>
      </c>
    </row>
    <row r="49" spans="1:4" x14ac:dyDescent="0.25">
      <c r="A49" s="11">
        <f>'[1]DJ30, jul97-jul07'!A31</f>
        <v>36465</v>
      </c>
      <c r="B49" s="10">
        <f>LN('[1]DJ30, jul97-jul07'!K31/'[1]DJ30, jul97-jul07'!K30)</f>
        <v>-4.0436775903929467E-2</v>
      </c>
      <c r="C49" s="10">
        <f>LN('[1]DJ30, jul97-jul07'!M31/'[1]DJ30, jul97-jul07'!M30)</f>
        <v>4.5079810470892698E-2</v>
      </c>
      <c r="D49" s="10">
        <f>LN('[1]DJ30, jul97-jul07'!AA31/'[1]DJ30, jul97-jul07'!AA30)</f>
        <v>2.9413885206293192E-2</v>
      </c>
    </row>
    <row r="50" spans="1:4" x14ac:dyDescent="0.25">
      <c r="A50" s="11">
        <f>'[1]DJ30, jul97-jul07'!A32</f>
        <v>36495</v>
      </c>
      <c r="B50" s="10">
        <f>LN('[1]DJ30, jul97-jul07'!K32/'[1]DJ30, jul97-jul07'!K31)</f>
        <v>0.17588179212868463</v>
      </c>
      <c r="C50" s="10">
        <f>LN('[1]DJ30, jul97-jul07'!M32/'[1]DJ30, jul97-jul07'!M31)</f>
        <v>0.26409716422905677</v>
      </c>
      <c r="D50" s="10">
        <f>LN('[1]DJ30, jul97-jul07'!AA32/'[1]DJ30, jul97-jul07'!AA31)</f>
        <v>1.4388737452099671E-2</v>
      </c>
    </row>
    <row r="51" spans="1:4" x14ac:dyDescent="0.25">
      <c r="A51" s="11">
        <f>'[1]DJ30, jul97-jul07'!A33</f>
        <v>36528</v>
      </c>
      <c r="B51" s="10">
        <f>LN('[1]DJ30, jul97-jul07'!K33/'[1]DJ30, jul97-jul07'!K32)</f>
        <v>-0.14393538296128353</v>
      </c>
      <c r="C51" s="10">
        <f>LN('[1]DJ30, jul97-jul07'!M33/'[1]DJ30, jul97-jul07'!M32)</f>
        <v>-0.19389979128032411</v>
      </c>
      <c r="D51" s="10">
        <f>LN('[1]DJ30, jul97-jul07'!AA33/'[1]DJ30, jul97-jul07'!AA32)</f>
        <v>-7.8019170053505227E-2</v>
      </c>
    </row>
    <row r="52" spans="1:4" x14ac:dyDescent="0.25">
      <c r="A52" s="11">
        <f>'[1]DJ30, jul97-jul07'!A34</f>
        <v>36557</v>
      </c>
      <c r="B52" s="10">
        <f>LN('[1]DJ30, jul97-jul07'!K34/'[1]DJ30, jul97-jul07'!K33)</f>
        <v>-1.2062872449275095E-2</v>
      </c>
      <c r="C52" s="10">
        <f>LN('[1]DJ30, jul97-jul07'!M34/'[1]DJ30, jul97-jul07'!M33)</f>
        <v>1.5221566088971267E-2</v>
      </c>
      <c r="D52" s="10">
        <f>LN('[1]DJ30, jul97-jul07'!AA34/'[1]DJ30, jul97-jul07'!AA33)</f>
        <v>-0.13980804763347168</v>
      </c>
    </row>
    <row r="53" spans="1:4" x14ac:dyDescent="0.25">
      <c r="A53" s="11">
        <f>'[1]DJ30, jul97-jul07'!A35</f>
        <v>36586</v>
      </c>
      <c r="B53" s="10">
        <f>LN('[1]DJ30, jul97-jul07'!K35/'[1]DJ30, jul97-jul07'!K34)</f>
        <v>0.16472792261068342</v>
      </c>
      <c r="C53" s="10">
        <f>LN('[1]DJ30, jul97-jul07'!M35/'[1]DJ30, jul97-jul07'!M34)</f>
        <v>0.1155840927518663</v>
      </c>
      <c r="D53" s="10">
        <f>LN('[1]DJ30, jul97-jul07'!AA35/'[1]DJ30, jul97-jul07'!AA34)</f>
        <v>-0.43724801492356047</v>
      </c>
    </row>
    <row r="54" spans="1:4" x14ac:dyDescent="0.25">
      <c r="A54" s="11">
        <f>'[1]DJ30, jul97-jul07'!A36</f>
        <v>36619</v>
      </c>
      <c r="B54" s="10">
        <f>LN('[1]DJ30, jul97-jul07'!K36/'[1]DJ30, jul97-jul07'!K35)</f>
        <v>1.0240162300097387E-2</v>
      </c>
      <c r="C54" s="10">
        <f>LN('[1]DJ30, jul97-jul07'!M36/'[1]DJ30, jul97-jul07'!M35)</f>
        <v>-0.13232167201730105</v>
      </c>
      <c r="D54" s="10">
        <f>LN('[1]DJ30, jul97-jul07'!AA36/'[1]DJ30, jul97-jul07'!AA35)</f>
        <v>5.6268581822577324E-2</v>
      </c>
    </row>
    <row r="55" spans="1:4" x14ac:dyDescent="0.25">
      <c r="A55" s="11">
        <f>'[1]DJ30, jul97-jul07'!A37</f>
        <v>36647</v>
      </c>
      <c r="B55" s="10">
        <f>LN('[1]DJ30, jul97-jul07'!K37/'[1]DJ30, jul97-jul07'!K36)</f>
        <v>4.0668831471532873E-3</v>
      </c>
      <c r="C55" s="10">
        <f>LN('[1]DJ30, jul97-jul07'!M37/'[1]DJ30, jul97-jul07'!M36)</f>
        <v>-0.14243001587241466</v>
      </c>
      <c r="D55" s="10">
        <f>LN('[1]DJ30, jul97-jul07'!AA37/'[1]DJ30, jul97-jul07'!AA36)</f>
        <v>0.10698899106714585</v>
      </c>
    </row>
    <row r="56" spans="1:4" x14ac:dyDescent="0.25">
      <c r="A56" s="11">
        <f>'[1]DJ30, jul97-jul07'!A38</f>
        <v>36678</v>
      </c>
      <c r="B56" s="10">
        <f>LN('[1]DJ30, jul97-jul07'!K38/'[1]DJ30, jul97-jul07'!K37)</f>
        <v>6.965537656423236E-3</v>
      </c>
      <c r="C56" s="10">
        <f>LN('[1]DJ30, jul97-jul07'!M38/'[1]DJ30, jul97-jul07'!M37)</f>
        <v>1.9918389623389154E-2</v>
      </c>
      <c r="D56" s="10">
        <f>LN('[1]DJ30, jul97-jul07'!AA38/'[1]DJ30, jul97-jul07'!AA37)</f>
        <v>-0.1587521382768394</v>
      </c>
    </row>
    <row r="57" spans="1:4" x14ac:dyDescent="0.25">
      <c r="A57" s="11">
        <f>'[1]DJ30, jul97-jul07'!A39</f>
        <v>36710</v>
      </c>
      <c r="B57" s="10">
        <f>LN('[1]DJ30, jul97-jul07'!K39/'[1]DJ30, jul97-jul07'!K38)</f>
        <v>-2.2416878914542145E-2</v>
      </c>
      <c r="C57" s="10">
        <f>LN('[1]DJ30, jul97-jul07'!M39/'[1]DJ30, jul97-jul07'!M38)</f>
        <v>3.5586447981984216E-2</v>
      </c>
      <c r="D57" s="10">
        <f>LN('[1]DJ30, jul97-jul07'!AA39/'[1]DJ30, jul97-jul07'!AA38)</f>
        <v>1.0569204078744562E-2</v>
      </c>
    </row>
    <row r="58" spans="1:4" x14ac:dyDescent="0.25">
      <c r="A58" s="11">
        <f>'[1]DJ30, jul97-jul07'!A40</f>
        <v>36739</v>
      </c>
      <c r="B58" s="10">
        <f>LN('[1]DJ30, jul97-jul07'!K40/'[1]DJ30, jul97-jul07'!K39)</f>
        <v>0.12611905656374375</v>
      </c>
      <c r="C58" s="10">
        <f>LN('[1]DJ30, jul97-jul07'!M40/'[1]DJ30, jul97-jul07'!M39)</f>
        <v>-7.315365219326847E-2</v>
      </c>
      <c r="D58" s="10">
        <f>LN('[1]DJ30, jul97-jul07'!AA40/'[1]DJ30, jul97-jul07'!AA39)</f>
        <v>8.1503582904207811E-2</v>
      </c>
    </row>
    <row r="59" spans="1:4" x14ac:dyDescent="0.25">
      <c r="A59" s="11">
        <f>'[1]DJ30, jul97-jul07'!A41</f>
        <v>36770</v>
      </c>
      <c r="B59" s="10">
        <f>LN('[1]DJ30, jul97-jul07'!K41/'[1]DJ30, jul97-jul07'!K40)</f>
        <v>-1.1776785857142877E-2</v>
      </c>
      <c r="C59" s="10">
        <f>LN('[1]DJ30, jul97-jul07'!M41/'[1]DJ30, jul97-jul07'!M40)</f>
        <v>9.6664905881726201E-2</v>
      </c>
      <c r="D59" s="10">
        <f>LN('[1]DJ30, jul97-jul07'!AA41/'[1]DJ30, jul97-jul07'!AA40)</f>
        <v>8.0186050133251766E-2</v>
      </c>
    </row>
    <row r="60" spans="1:4" x14ac:dyDescent="0.25">
      <c r="A60" s="11">
        <f>'[1]DJ30, jul97-jul07'!A42</f>
        <v>36801</v>
      </c>
      <c r="B60" s="10">
        <f>LN('[1]DJ30, jul97-jul07'!K42/'[1]DJ30, jul97-jul07'!K41)</f>
        <v>-5.3273237357779585E-2</v>
      </c>
      <c r="C60" s="10">
        <f>LN('[1]DJ30, jul97-jul07'!M42/'[1]DJ30, jul97-jul07'!M41)</f>
        <v>-0.20790363333881928</v>
      </c>
      <c r="D60" s="10">
        <f>LN('[1]DJ30, jul97-jul07'!AA42/'[1]DJ30, jul97-jul07'!AA41)</f>
        <v>6.8786451835067652E-2</v>
      </c>
    </row>
    <row r="61" spans="1:4" x14ac:dyDescent="0.25">
      <c r="A61" s="11">
        <f>'[1]DJ30, jul97-jul07'!A43</f>
        <v>36831</v>
      </c>
      <c r="B61" s="10">
        <f>LN('[1]DJ30, jul97-jul07'!K43/'[1]DJ30, jul97-jul07'!K42)</f>
        <v>-0.10077532350079156</v>
      </c>
      <c r="C61" s="10">
        <f>LN('[1]DJ30, jul97-jul07'!M43/'[1]DJ30, jul97-jul07'!M42)</f>
        <v>-9.190801354174076E-2</v>
      </c>
      <c r="D61" s="10">
        <f>LN('[1]DJ30, jul97-jul07'!AA43/'[1]DJ30, jul97-jul07'!AA42)</f>
        <v>4.7045363690053986E-2</v>
      </c>
    </row>
    <row r="62" spans="1:4" x14ac:dyDescent="0.25">
      <c r="A62" s="11">
        <f>'[1]DJ30, jul97-jul07'!A44</f>
        <v>36861</v>
      </c>
      <c r="B62" s="10">
        <f>LN('[1]DJ30, jul97-jul07'!K44/'[1]DJ30, jul97-jul07'!K43)</f>
        <v>-2.9990155685178297E-2</v>
      </c>
      <c r="C62" s="10">
        <f>LN('[1]DJ30, jul97-jul07'!M44/'[1]DJ30, jul97-jul07'!M43)</f>
        <v>0.15364410407360971</v>
      </c>
      <c r="D62" s="10">
        <f>LN('[1]DJ30, jul97-jul07'!AA44/'[1]DJ30, jul97-jul07'!AA43)</f>
        <v>4.6687113972653259E-2</v>
      </c>
    </row>
    <row r="63" spans="1:4" x14ac:dyDescent="0.25">
      <c r="A63" s="11">
        <f>'[1]DJ30, jul97-jul07'!A45</f>
        <v>36893</v>
      </c>
      <c r="B63" s="10">
        <f>LN('[1]DJ30, jul97-jul07'!K45/'[1]DJ30, jul97-jul07'!K44)</f>
        <v>-4.1610012593341857E-2</v>
      </c>
      <c r="C63" s="10">
        <f>LN('[1]DJ30, jul97-jul07'!M45/'[1]DJ30, jul97-jul07'!M44)</f>
        <v>5.3279160351788361E-2</v>
      </c>
      <c r="D63" s="10">
        <f>LN('[1]DJ30, jul97-jul07'!AA45/'[1]DJ30, jul97-jul07'!AA44)</f>
        <v>-8.3190932992244115E-2</v>
      </c>
    </row>
    <row r="64" spans="1:4" x14ac:dyDescent="0.25">
      <c r="A64" s="11">
        <f>'[1]DJ30, jul97-jul07'!A46</f>
        <v>36923</v>
      </c>
      <c r="B64" s="10">
        <f>LN('[1]DJ30, jul97-jul07'!K46/'[1]DJ30, jul97-jul07'!K45)</f>
        <v>1.119889535632004E-2</v>
      </c>
      <c r="C64" s="10">
        <f>LN('[1]DJ30, jul97-jul07'!M46/'[1]DJ30, jul97-jul07'!M45)</f>
        <v>-0.12576938728903339</v>
      </c>
      <c r="D64" s="10">
        <f>LN('[1]DJ30, jul97-jul07'!AA46/'[1]DJ30, jul97-jul07'!AA45)</f>
        <v>-1.8925985919740106E-2</v>
      </c>
    </row>
    <row r="65" spans="1:4" x14ac:dyDescent="0.25">
      <c r="A65" s="11">
        <f>'[1]DJ30, jul97-jul07'!A47</f>
        <v>36951</v>
      </c>
      <c r="B65" s="10">
        <f>LN('[1]DJ30, jul97-jul07'!K47/'[1]DJ30, jul97-jul07'!K46)</f>
        <v>-0.10168326692123042</v>
      </c>
      <c r="C65" s="10">
        <f>LN('[1]DJ30, jul97-jul07'!M47/'[1]DJ30, jul97-jul07'!M46)</f>
        <v>1.4974075645250126E-2</v>
      </c>
      <c r="D65" s="10">
        <f>LN('[1]DJ30, jul97-jul07'!AA47/'[1]DJ30, jul97-jul07'!AA46)</f>
        <v>-0.11883605102240703</v>
      </c>
    </row>
    <row r="66" spans="1:4" x14ac:dyDescent="0.25">
      <c r="A66" s="11">
        <f>'[1]DJ30, jul97-jul07'!A48</f>
        <v>36983</v>
      </c>
      <c r="B66" s="10">
        <f>LN('[1]DJ30, jul97-jul07'!K48/'[1]DJ30, jul97-jul07'!K47)</f>
        <v>0.14792713481532813</v>
      </c>
      <c r="C66" s="10">
        <f>LN('[1]DJ30, jul97-jul07'!M48/'[1]DJ30, jul97-jul07'!M47)</f>
        <v>8.8826259520452269E-2</v>
      </c>
      <c r="D66" s="10">
        <f>LN('[1]DJ30, jul97-jul07'!AA48/'[1]DJ30, jul97-jul07'!AA47)</f>
        <v>-3.5260657895158538E-2</v>
      </c>
    </row>
    <row r="67" spans="1:4" x14ac:dyDescent="0.25">
      <c r="A67" s="11">
        <f>'[1]DJ30, jul97-jul07'!A49</f>
        <v>37012</v>
      </c>
      <c r="B67" s="10">
        <f>LN('[1]DJ30, jul97-jul07'!K49/'[1]DJ30, jul97-jul07'!K48)</f>
        <v>9.6200838110226169E-3</v>
      </c>
      <c r="C67" s="10">
        <f>LN('[1]DJ30, jul97-jul07'!M49/'[1]DJ30, jul97-jul07'!M48)</f>
        <v>4.5417042133595854E-2</v>
      </c>
      <c r="D67" s="10">
        <f>LN('[1]DJ30, jul97-jul07'!AA49/'[1]DJ30, jul97-jul07'!AA48)</f>
        <v>6.7203082884798399E-2</v>
      </c>
    </row>
    <row r="68" spans="1:4" x14ac:dyDescent="0.25">
      <c r="A68" s="11">
        <f>'[1]DJ30, jul97-jul07'!A50</f>
        <v>37043</v>
      </c>
      <c r="B68" s="10">
        <f>LN('[1]DJ30, jul97-jul07'!K50/'[1]DJ30, jul97-jul07'!K49)</f>
        <v>0</v>
      </c>
      <c r="C68" s="10">
        <f>LN('[1]DJ30, jul97-jul07'!M50/'[1]DJ30, jul97-jul07'!M49)</f>
        <v>-4.1797128678461477E-2</v>
      </c>
      <c r="D68" s="10">
        <f>LN('[1]DJ30, jul97-jul07'!AA50/'[1]DJ30, jul97-jul07'!AA49)</f>
        <v>-6.7340321813439564E-3</v>
      </c>
    </row>
    <row r="69" spans="1:4" x14ac:dyDescent="0.25">
      <c r="A69" s="11">
        <f>'[1]DJ30, jul97-jul07'!A51</f>
        <v>37074</v>
      </c>
      <c r="B69" s="10">
        <f>LN('[1]DJ30, jul97-jul07'!K51/'[1]DJ30, jul97-jul07'!K50)</f>
        <v>-0.11584021376988866</v>
      </c>
      <c r="C69" s="10">
        <f>LN('[1]DJ30, jul97-jul07'!M51/'[1]DJ30, jul97-jul07'!M50)</f>
        <v>6.42844238169306E-2</v>
      </c>
      <c r="D69" s="10">
        <f>LN('[1]DJ30, jul97-jul07'!AA51/'[1]DJ30, jul97-jul07'!AA50)</f>
        <v>0.11255364413385126</v>
      </c>
    </row>
    <row r="70" spans="1:4" x14ac:dyDescent="0.25">
      <c r="A70" s="11">
        <f>'[1]DJ30, jul97-jul07'!A52</f>
        <v>37104</v>
      </c>
      <c r="B70" s="10">
        <f>LN('[1]DJ30, jul97-jul07'!K52/'[1]DJ30, jul97-jul07'!K51)</f>
        <v>-6.1515235978934477E-2</v>
      </c>
      <c r="C70" s="10">
        <f>LN('[1]DJ30, jul97-jul07'!M52/'[1]DJ30, jul97-jul07'!M51)</f>
        <v>-9.1062542898323592E-2</v>
      </c>
      <c r="D70" s="10">
        <f>LN('[1]DJ30, jul97-jul07'!AA52/'[1]DJ30, jul97-jul07'!AA51)</f>
        <v>4.3221401532806562E-2</v>
      </c>
    </row>
    <row r="71" spans="1:4" x14ac:dyDescent="0.25">
      <c r="A71" s="11">
        <f>'[1]DJ30, jul97-jul07'!A53</f>
        <v>37138</v>
      </c>
      <c r="B71" s="10">
        <f>LN('[1]DJ30, jul97-jul07'!K53/'[1]DJ30, jul97-jul07'!K52)</f>
        <v>-9.0264343307846703E-2</v>
      </c>
      <c r="C71" s="10">
        <f>LN('[1]DJ30, jul97-jul07'!M53/'[1]DJ30, jul97-jul07'!M52)</f>
        <v>-0.18023605030293327</v>
      </c>
      <c r="D71" s="10">
        <f>LN('[1]DJ30, jul97-jul07'!AA53/'[1]DJ30, jul97-jul07'!AA52)</f>
        <v>-1.8428039912059286E-2</v>
      </c>
    </row>
    <row r="72" spans="1:4" x14ac:dyDescent="0.25">
      <c r="A72" s="11">
        <f>'[1]DJ30, jul97-jul07'!A54</f>
        <v>37165</v>
      </c>
      <c r="B72" s="10">
        <f>LN('[1]DJ30, jul97-jul07'!K54/'[1]DJ30, jul97-jul07'!K53)</f>
        <v>-2.1499405390959268E-2</v>
      </c>
      <c r="C72" s="10">
        <f>LN('[1]DJ30, jul97-jul07'!M54/'[1]DJ30, jul97-jul07'!M53)</f>
        <v>-3.6176469119189145E-3</v>
      </c>
      <c r="D72" s="10">
        <f>LN('[1]DJ30, jul97-jul07'!AA54/'[1]DJ30, jul97-jul07'!AA53)</f>
        <v>1.8732314979065124E-2</v>
      </c>
    </row>
    <row r="73" spans="1:4" x14ac:dyDescent="0.25">
      <c r="A73" s="11">
        <f>'[1]DJ30, jul97-jul07'!A55</f>
        <v>37196</v>
      </c>
      <c r="B73" s="10">
        <f>LN('[1]DJ30, jul97-jul07'!K55/'[1]DJ30, jul97-jul07'!K54)</f>
        <v>5.5932564252730216E-2</v>
      </c>
      <c r="C73" s="10">
        <f>LN('[1]DJ30, jul97-jul07'!M55/'[1]DJ30, jul97-jul07'!M54)</f>
        <v>0.20018904262312931</v>
      </c>
      <c r="D73" s="10">
        <f>LN('[1]DJ30, jul97-jul07'!AA55/'[1]DJ30, jul97-jul07'!AA54)</f>
        <v>4.8688749433784116E-2</v>
      </c>
    </row>
    <row r="74" spans="1:4" x14ac:dyDescent="0.25">
      <c r="A74" s="11">
        <f>'[1]DJ30, jul97-jul07'!A56</f>
        <v>37228</v>
      </c>
      <c r="B74" s="10">
        <f>LN('[1]DJ30, jul97-jul07'!K56/'[1]DJ30, jul97-jul07'!K55)</f>
        <v>4.4622560130157626E-2</v>
      </c>
      <c r="C74" s="10">
        <f>LN('[1]DJ30, jul97-jul07'!M56/'[1]DJ30, jul97-jul07'!M55)</f>
        <v>8.9233916727710208E-2</v>
      </c>
      <c r="D74" s="10">
        <f>LN('[1]DJ30, jul97-jul07'!AA56/'[1]DJ30, jul97-jul07'!AA55)</f>
        <v>2.1500039859812168E-2</v>
      </c>
    </row>
    <row r="75" spans="1:4" x14ac:dyDescent="0.25">
      <c r="A75" s="11">
        <f>'[1]DJ30, jul97-jul07'!A57</f>
        <v>37258</v>
      </c>
      <c r="B75" s="10">
        <f>LN('[1]DJ30, jul97-jul07'!K57/'[1]DJ30, jul97-jul07'!K56)</f>
        <v>-7.5932668358615063E-2</v>
      </c>
      <c r="C75" s="10">
        <f>LN('[1]DJ30, jul97-jul07'!M57/'[1]DJ30, jul97-jul07'!M56)</f>
        <v>-1.811338486364206E-2</v>
      </c>
      <c r="D75" s="10">
        <f>LN('[1]DJ30, jul97-jul07'!AA57/'[1]DJ30, jul97-jul07'!AA56)</f>
        <v>3.6479055191565704E-2</v>
      </c>
    </row>
    <row r="76" spans="1:4" x14ac:dyDescent="0.25">
      <c r="A76" s="11">
        <f>'[1]DJ30, jul97-jul07'!A58</f>
        <v>37288</v>
      </c>
      <c r="B76" s="10">
        <f>LN('[1]DJ30, jul97-jul07'!K58/'[1]DJ30, jul97-jul07'!K57)</f>
        <v>4.033544025049958E-2</v>
      </c>
      <c r="C76" s="10">
        <f>LN('[1]DJ30, jul97-jul07'!M58/'[1]DJ30, jul97-jul07'!M57)</f>
        <v>-1.9146905115475794E-3</v>
      </c>
      <c r="D76" s="10">
        <f>LN('[1]DJ30, jul97-jul07'!AA58/'[1]DJ30, jul97-jul07'!AA57)</f>
        <v>3.730474158043727E-2</v>
      </c>
    </row>
    <row r="77" spans="1:4" x14ac:dyDescent="0.25">
      <c r="A77" s="11">
        <f>'[1]DJ30, jul97-jul07'!A59</f>
        <v>37316</v>
      </c>
      <c r="B77" s="10">
        <f>LN('[1]DJ30, jul97-jul07'!K59/'[1]DJ30, jul97-jul07'!K58)</f>
        <v>-2.9172533636336612E-2</v>
      </c>
      <c r="C77" s="10">
        <f>LN('[1]DJ30, jul97-jul07'!M59/'[1]DJ30, jul97-jul07'!M58)</f>
        <v>-2.6979083176188016E-2</v>
      </c>
      <c r="D77" s="10">
        <f>LN('[1]DJ30, jul97-jul07'!AA59/'[1]DJ30, jul97-jul07'!AA58)</f>
        <v>6.0562635143549516E-2</v>
      </c>
    </row>
    <row r="78" spans="1:4" x14ac:dyDescent="0.25">
      <c r="A78" s="11">
        <f>'[1]DJ30, jul97-jul07'!A60</f>
        <v>37347</v>
      </c>
      <c r="B78" s="10">
        <f>LN('[1]DJ30, jul97-jul07'!K60/'[1]DJ30, jul97-jul07'!K59)</f>
        <v>-0.17000182756487695</v>
      </c>
      <c r="C78" s="10">
        <f>LN('[1]DJ30, jul97-jul07'!M60/'[1]DJ30, jul97-jul07'!M59)</f>
        <v>-4.7259941988664372E-2</v>
      </c>
      <c r="D78" s="10">
        <f>LN('[1]DJ30, jul97-jul07'!AA60/'[1]DJ30, jul97-jul07'!AA59)</f>
        <v>6.1797255123918525E-3</v>
      </c>
    </row>
    <row r="79" spans="1:4" x14ac:dyDescent="0.25">
      <c r="A79" s="11">
        <f>'[1]DJ30, jul97-jul07'!A61</f>
        <v>37377</v>
      </c>
      <c r="B79" s="10">
        <f>LN('[1]DJ30, jul97-jul07'!K61/'[1]DJ30, jul97-jul07'!K60)</f>
        <v>-1.2874924949825426E-2</v>
      </c>
      <c r="C79" s="10">
        <f>LN('[1]DJ30, jul97-jul07'!M61/'[1]DJ30, jul97-jul07'!M60)</f>
        <v>-0.10638040355857173</v>
      </c>
      <c r="D79" s="10">
        <f>LN('[1]DJ30, jul97-jul07'!AA61/'[1]DJ30, jul97-jul07'!AA60)</f>
        <v>-7.9169141860232113E-3</v>
      </c>
    </row>
    <row r="80" spans="1:4" x14ac:dyDescent="0.25">
      <c r="A80" s="11">
        <f>'[1]DJ30, jul97-jul07'!A62</f>
        <v>37410</v>
      </c>
      <c r="B80" s="10">
        <f>LN('[1]DJ30, jul97-jul07'!K62/'[1]DJ30, jul97-jul07'!K61)</f>
        <v>-6.3428437767332091E-2</v>
      </c>
      <c r="C80" s="10">
        <f>LN('[1]DJ30, jul97-jul07'!M62/'[1]DJ30, jul97-jul07'!M61)</f>
        <v>-0.12540126654127257</v>
      </c>
      <c r="D80" s="10">
        <f>LN('[1]DJ30, jul97-jul07'!AA62/'[1]DJ30, jul97-jul07'!AA61)</f>
        <v>4.9554115279541074E-3</v>
      </c>
    </row>
    <row r="81" spans="1:4" x14ac:dyDescent="0.25">
      <c r="A81" s="11">
        <f>'[1]DJ30, jul97-jul07'!A63</f>
        <v>37438</v>
      </c>
      <c r="B81" s="10">
        <f>LN('[1]DJ30, jul97-jul07'!K63/'[1]DJ30, jul97-jul07'!K62)</f>
        <v>0.10299084630250781</v>
      </c>
      <c r="C81" s="10">
        <f>LN('[1]DJ30, jul97-jul07'!M63/'[1]DJ30, jul97-jul07'!M62)</f>
        <v>-0.17356876568435989</v>
      </c>
      <c r="D81" s="10">
        <f>LN('[1]DJ30, jul97-jul07'!AA63/'[1]DJ30, jul97-jul07'!AA62)</f>
        <v>1.4818476408833103E-3</v>
      </c>
    </row>
    <row r="82" spans="1:4" x14ac:dyDescent="0.25">
      <c r="A82" s="11">
        <f>'[1]DJ30, jul97-jul07'!A64</f>
        <v>37469</v>
      </c>
      <c r="B82" s="10">
        <f>LN('[1]DJ30, jul97-jul07'!K64/'[1]DJ30, jul97-jul07'!K63)</f>
        <v>-6.5820481287498775E-2</v>
      </c>
      <c r="C82" s="10">
        <f>LN('[1]DJ30, jul97-jul07'!M64/'[1]DJ30, jul97-jul07'!M63)</f>
        <v>6.4280489914361624E-2</v>
      </c>
      <c r="D82" s="10">
        <f>LN('[1]DJ30, jul97-jul07'!AA64/'[1]DJ30, jul97-jul07'!AA63)</f>
        <v>-3.708744515633348E-3</v>
      </c>
    </row>
    <row r="83" spans="1:4" x14ac:dyDescent="0.25">
      <c r="A83" s="11">
        <f>'[1]DJ30, jul97-jul07'!A65</f>
        <v>37502</v>
      </c>
      <c r="B83" s="10">
        <f>LN('[1]DJ30, jul97-jul07'!K65/'[1]DJ30, jul97-jul07'!K64)</f>
        <v>-0.19448185347935681</v>
      </c>
      <c r="C83" s="10">
        <f>LN('[1]DJ30, jul97-jul07'!M65/'[1]DJ30, jul97-jul07'!M64)</f>
        <v>-0.23083434008218182</v>
      </c>
      <c r="D83" s="10">
        <f>LN('[1]DJ30, jul97-jul07'!AA65/'[1]DJ30, jul97-jul07'!AA64)</f>
        <v>8.1411575837000861E-3</v>
      </c>
    </row>
    <row r="84" spans="1:4" x14ac:dyDescent="0.25">
      <c r="A84" s="11">
        <f>'[1]DJ30, jul97-jul07'!A66</f>
        <v>37530</v>
      </c>
      <c r="B84" s="10">
        <f>LN('[1]DJ30, jul97-jul07'!K66/'[1]DJ30, jul97-jul07'!K65)</f>
        <v>2.4174495371658094E-2</v>
      </c>
      <c r="C84" s="10">
        <f>LN('[1]DJ30, jul97-jul07'!M66/'[1]DJ30, jul97-jul07'!M65)</f>
        <v>0.10116644228270387</v>
      </c>
      <c r="D84" s="10">
        <f>LN('[1]DJ30, jul97-jul07'!AA66/'[1]DJ30, jul97-jul07'!AA65)</f>
        <v>-5.9142607089499692E-3</v>
      </c>
    </row>
    <row r="85" spans="1:4" x14ac:dyDescent="0.25">
      <c r="A85" s="11">
        <f>'[1]DJ30, jul97-jul07'!A67</f>
        <v>37561</v>
      </c>
      <c r="B85" s="10">
        <f>LN('[1]DJ30, jul97-jul07'!K67/'[1]DJ30, jul97-jul07'!K66)</f>
        <v>7.13035541661481E-2</v>
      </c>
      <c r="C85" s="10">
        <f>LN('[1]DJ30, jul97-jul07'!M67/'[1]DJ30, jul97-jul07'!M66)</f>
        <v>-8.9853190306167591E-2</v>
      </c>
      <c r="D85" s="10">
        <f>LN('[1]DJ30, jul97-jul07'!AA67/'[1]DJ30, jul97-jul07'!AA66)</f>
        <v>-4.5249726120393678E-2</v>
      </c>
    </row>
    <row r="86" spans="1:4" x14ac:dyDescent="0.25">
      <c r="A86" s="11">
        <f>'[1]DJ30, jul97-jul07'!A68</f>
        <v>37592</v>
      </c>
      <c r="B86" s="10">
        <f>LN('[1]DJ30, jul97-jul07'!K68/'[1]DJ30, jul97-jul07'!K67)</f>
        <v>-0.10010554506985439</v>
      </c>
      <c r="C86" s="10">
        <f>LN('[1]DJ30, jul97-jul07'!M68/'[1]DJ30, jul97-jul07'!M67)</f>
        <v>-9.2101191892143761E-2</v>
      </c>
      <c r="D86" s="10">
        <f>LN('[1]DJ30, jul97-jul07'!AA68/'[1]DJ30, jul97-jul07'!AA67)</f>
        <v>1.6414833814563216E-2</v>
      </c>
    </row>
    <row r="87" spans="1:4" x14ac:dyDescent="0.25">
      <c r="A87" s="11">
        <f>'[1]DJ30, jul97-jul07'!A69</f>
        <v>37623</v>
      </c>
      <c r="B87" s="10">
        <f>LN('[1]DJ30, jul97-jul07'!K69/'[1]DJ30, jul97-jul07'!K68)</f>
        <v>-5.0902783789988082E-2</v>
      </c>
      <c r="C87" s="10">
        <f>LN('[1]DJ30, jul97-jul07'!M69/'[1]DJ30, jul97-jul07'!M68)</f>
        <v>-0.13921143314022613</v>
      </c>
      <c r="D87" s="10">
        <f>LN('[1]DJ30, jul97-jul07'!AA69/'[1]DJ30, jul97-jul07'!AA68)</f>
        <v>5.0864700994919184E-4</v>
      </c>
    </row>
    <row r="88" spans="1:4" x14ac:dyDescent="0.25">
      <c r="A88" s="11">
        <f>'[1]DJ30, jul97-jul07'!A70</f>
        <v>37655</v>
      </c>
      <c r="B88" s="10">
        <f>LN('[1]DJ30, jul97-jul07'!K70/'[1]DJ30, jul97-jul07'!K69)</f>
        <v>4.6253774951744216E-2</v>
      </c>
      <c r="C88" s="10">
        <f>LN('[1]DJ30, jul97-jul07'!M70/'[1]DJ30, jul97-jul07'!M69)</f>
        <v>0.11513537053195214</v>
      </c>
      <c r="D88" s="10">
        <f>LN('[1]DJ30, jul97-jul07'!AA70/'[1]DJ30, jul97-jul07'!AA69)</f>
        <v>-4.445176257083381E-2</v>
      </c>
    </row>
    <row r="89" spans="1:4" x14ac:dyDescent="0.25">
      <c r="A89" s="11">
        <f>'[1]DJ30, jul97-jul07'!A71</f>
        <v>37683</v>
      </c>
      <c r="B89" s="10">
        <f>LN('[1]DJ30, jul97-jul07'!K71/'[1]DJ30, jul97-jul07'!K70)</f>
        <v>5.8813872055577809E-2</v>
      </c>
      <c r="C89" s="10">
        <f>LN('[1]DJ30, jul97-jul07'!M71/'[1]DJ30, jul97-jul07'!M70)</f>
        <v>4.067757976081568E-2</v>
      </c>
      <c r="D89" s="10">
        <f>LN('[1]DJ30, jul97-jul07'!AA71/'[1]DJ30, jul97-jul07'!AA70)</f>
        <v>8.4327466631427359E-2</v>
      </c>
    </row>
    <row r="90" spans="1:4" x14ac:dyDescent="0.25">
      <c r="A90" s="11">
        <f>'[1]DJ30, jul97-jul07'!A72</f>
        <v>37712</v>
      </c>
      <c r="B90" s="10">
        <f>LN('[1]DJ30, jul97-jul07'!K72/'[1]DJ30, jul97-jul07'!K71)</f>
        <v>0.14380358435827958</v>
      </c>
      <c r="C90" s="10">
        <f>LN('[1]DJ30, jul97-jul07'!M72/'[1]DJ30, jul97-jul07'!M71)</f>
        <v>0.14419787311066382</v>
      </c>
      <c r="D90" s="10">
        <f>LN('[1]DJ30, jul97-jul07'!AA72/'[1]DJ30, jul97-jul07'!AA71)</f>
        <v>1.3589143840464958E-2</v>
      </c>
    </row>
    <row r="91" spans="1:4" x14ac:dyDescent="0.25">
      <c r="A91" s="11">
        <f>'[1]DJ30, jul97-jul07'!A73</f>
        <v>37742</v>
      </c>
      <c r="B91" s="10">
        <f>LN('[1]DJ30, jul97-jul07'!K73/'[1]DJ30, jul97-jul07'!K72)</f>
        <v>-2.582529340497593E-2</v>
      </c>
      <c r="C91" s="10">
        <f>LN('[1]DJ30, jul97-jul07'!M73/'[1]DJ30, jul97-jul07'!M72)</f>
        <v>0.1440256471858464</v>
      </c>
      <c r="D91" s="10">
        <f>LN('[1]DJ30, jul97-jul07'!AA73/'[1]DJ30, jul97-jul07'!AA72)</f>
        <v>2.1695927893135503E-2</v>
      </c>
    </row>
    <row r="92" spans="1:4" x14ac:dyDescent="0.25">
      <c r="A92" s="11">
        <f>'[1]DJ30, jul97-jul07'!A74</f>
        <v>37774</v>
      </c>
      <c r="B92" s="10">
        <f>LN('[1]DJ30, jul97-jul07'!K74/'[1]DJ30, jul97-jul07'!K73)</f>
        <v>5.8400010247191695E-3</v>
      </c>
      <c r="C92" s="10">
        <f>LN('[1]DJ30, jul97-jul07'!M74/'[1]DJ30, jul97-jul07'!M73)</f>
        <v>2.0891005624596871E-2</v>
      </c>
      <c r="D92" s="10">
        <f>LN('[1]DJ30, jul97-jul07'!AA74/'[1]DJ30, jul97-jul07'!AA73)</f>
        <v>-2.919566063826871E-2</v>
      </c>
    </row>
    <row r="93" spans="1:4" x14ac:dyDescent="0.25">
      <c r="A93" s="11">
        <f>'[1]DJ30, jul97-jul07'!A75</f>
        <v>37803</v>
      </c>
      <c r="B93" s="10">
        <f>LN('[1]DJ30, jul97-jul07'!K75/'[1]DJ30, jul97-jul07'!K74)</f>
        <v>-8.1855845864394049E-3</v>
      </c>
      <c r="C93" s="10">
        <f>LN('[1]DJ30, jul97-jul07'!M75/'[1]DJ30, jul97-jul07'!M74)</f>
        <v>-5.9631158721353106E-2</v>
      </c>
      <c r="D93" s="10">
        <f>LN('[1]DJ30, jul97-jul07'!AA75/'[1]DJ30, jul97-jul07'!AA74)</f>
        <v>-9.7609364533342829E-3</v>
      </c>
    </row>
    <row r="94" spans="1:4" x14ac:dyDescent="0.25">
      <c r="A94" s="11">
        <f>'[1]DJ30, jul97-jul07'!A76</f>
        <v>37834</v>
      </c>
      <c r="B94" s="10">
        <f>LN('[1]DJ30, jul97-jul07'!K76/'[1]DJ30, jul97-jul07'!K75)</f>
        <v>3.8769007958519522E-2</v>
      </c>
      <c r="C94" s="10">
        <f>LN('[1]DJ30, jul97-jul07'!M76/'[1]DJ30, jul97-jul07'!M75)</f>
        <v>3.025999790713375E-2</v>
      </c>
      <c r="D94" s="10">
        <f>LN('[1]DJ30, jul97-jul07'!AA76/'[1]DJ30, jul97-jul07'!AA75)</f>
        <v>-6.6429079317100268E-3</v>
      </c>
    </row>
    <row r="95" spans="1:4" x14ac:dyDescent="0.25">
      <c r="A95" s="11">
        <f>'[1]DJ30, jul97-jul07'!A77</f>
        <v>37866</v>
      </c>
      <c r="B95" s="10">
        <f>LN('[1]DJ30, jul97-jul07'!K77/'[1]DJ30, jul97-jul07'!K76)</f>
        <v>1.4205846373984889E-2</v>
      </c>
      <c r="C95" s="10">
        <f>LN('[1]DJ30, jul97-jul07'!M77/'[1]DJ30, jul97-jul07'!M76)</f>
        <v>-7.5620942314630684E-3</v>
      </c>
      <c r="D95" s="10">
        <f>LN('[1]DJ30, jul97-jul07'!AA77/'[1]DJ30, jul97-jul07'!AA76)</f>
        <v>6.1509995073588571E-2</v>
      </c>
    </row>
    <row r="96" spans="1:4" x14ac:dyDescent="0.25">
      <c r="A96" s="11">
        <f>'[1]DJ30, jul97-jul07'!A78</f>
        <v>37895</v>
      </c>
      <c r="B96" s="10">
        <f>LN('[1]DJ30, jul97-jul07'!K78/'[1]DJ30, jul97-jul07'!K77)</f>
        <v>-2.7089692646664224E-2</v>
      </c>
      <c r="C96" s="10">
        <f>LN('[1]DJ30, jul97-jul07'!M78/'[1]DJ30, jul97-jul07'!M77)</f>
        <v>0.15188503173263718</v>
      </c>
      <c r="D96" s="10">
        <f>LN('[1]DJ30, jul97-jul07'!AA78/'[1]DJ30, jul97-jul07'!AA77)</f>
        <v>6.1880046232844869E-2</v>
      </c>
    </row>
    <row r="97" spans="1:4" x14ac:dyDescent="0.25">
      <c r="A97" s="11">
        <f>'[1]DJ30, jul97-jul07'!A79</f>
        <v>37928</v>
      </c>
      <c r="B97" s="10">
        <f>LN('[1]DJ30, jul97-jul07'!K79/'[1]DJ30, jul97-jul07'!K78)</f>
        <v>-1.1893483761535085E-2</v>
      </c>
      <c r="C97" s="10">
        <f>LN('[1]DJ30, jul97-jul07'!M79/'[1]DJ30, jul97-jul07'!M78)</f>
        <v>-8.5421931726763177E-3</v>
      </c>
      <c r="D97" s="10">
        <f>LN('[1]DJ30, jul97-jul07'!AA79/'[1]DJ30, jul97-jul07'!AA78)</f>
        <v>-2.0946637306591697E-2</v>
      </c>
    </row>
    <row r="98" spans="1:4" x14ac:dyDescent="0.25">
      <c r="A98" s="11">
        <f>'[1]DJ30, jul97-jul07'!A80</f>
        <v>37956</v>
      </c>
      <c r="B98" s="10">
        <f>LN('[1]DJ30, jul97-jul07'!K80/'[1]DJ30, jul97-jul07'!K79)</f>
        <v>8.4338310552002554E-2</v>
      </c>
      <c r="C98" s="10">
        <f>LN('[1]DJ30, jul97-jul07'!M80/'[1]DJ30, jul97-jul07'!M79)</f>
        <v>-3.3142568282667387E-2</v>
      </c>
      <c r="D98" s="10">
        <f>LN('[1]DJ30, jul97-jul07'!AA80/'[1]DJ30, jul97-jul07'!AA79)</f>
        <v>3.7179003241754029E-2</v>
      </c>
    </row>
    <row r="99" spans="1:4" x14ac:dyDescent="0.25">
      <c r="A99" s="11">
        <f>'[1]DJ30, jul97-jul07'!A81</f>
        <v>37988</v>
      </c>
      <c r="B99" s="10">
        <f>LN('[1]DJ30, jul97-jul07'!K81/'[1]DJ30, jul97-jul07'!K80)</f>
        <v>8.2032703832313869E-2</v>
      </c>
      <c r="C99" s="10">
        <f>LN('[1]DJ30, jul97-jul07'!M81/'[1]DJ30, jul97-jul07'!M80)</f>
        <v>-5.9136607282231596E-4</v>
      </c>
      <c r="D99" s="10">
        <f>LN('[1]DJ30, jul97-jul07'!AA81/'[1]DJ30, jul97-jul07'!AA80)</f>
        <v>1.6395555175892342E-2</v>
      </c>
    </row>
    <row r="100" spans="1:4" x14ac:dyDescent="0.25">
      <c r="A100" s="11">
        <f>'[1]DJ30, jul97-jul07'!A82</f>
        <v>38019</v>
      </c>
      <c r="B100" s="10">
        <f>LN('[1]DJ30, jul97-jul07'!K82/'[1]DJ30, jul97-jul07'!K81)</f>
        <v>-2.7498833930650089E-2</v>
      </c>
      <c r="C100" s="10">
        <f>LN('[1]DJ30, jul97-jul07'!M82/'[1]DJ30, jul97-jul07'!M81)</f>
        <v>2.3386040927458097E-2</v>
      </c>
      <c r="D100" s="10">
        <f>LN('[1]DJ30, jul97-jul07'!AA82/'[1]DJ30, jul97-jul07'!AA81)</f>
        <v>1.4050771161019861E-2</v>
      </c>
    </row>
    <row r="101" spans="1:4" x14ac:dyDescent="0.25">
      <c r="A101" s="11">
        <f>'[1]DJ30, jul97-jul07'!A83</f>
        <v>38047</v>
      </c>
      <c r="B101" s="10">
        <f>LN('[1]DJ30, jul97-jul07'!K83/'[1]DJ30, jul97-jul07'!K82)</f>
        <v>-6.344182119886925E-2</v>
      </c>
      <c r="C101" s="10">
        <f>LN('[1]DJ30, jul97-jul07'!M83/'[1]DJ30, jul97-jul07'!M82)</f>
        <v>3.044765006455568E-2</v>
      </c>
      <c r="D101" s="10">
        <f>LN('[1]DJ30, jul97-jul07'!AA83/'[1]DJ30, jul97-jul07'!AA82)</f>
        <v>2.2852255387449606E-2</v>
      </c>
    </row>
    <row r="102" spans="1:4" x14ac:dyDescent="0.25">
      <c r="A102" s="11">
        <f>'[1]DJ30, jul97-jul07'!A84</f>
        <v>38078</v>
      </c>
      <c r="B102" s="10">
        <f>LN('[1]DJ30, jul97-jul07'!K84/'[1]DJ30, jul97-jul07'!K83)</f>
        <v>-1.8786679694647371E-2</v>
      </c>
      <c r="C102" s="10">
        <f>LN('[1]DJ30, jul97-jul07'!M84/'[1]DJ30, jul97-jul07'!M83)</f>
        <v>-5.9766665974794318E-2</v>
      </c>
      <c r="D102" s="10">
        <f>LN('[1]DJ30, jul97-jul07'!AA84/'[1]DJ30, jul97-jul07'!AA83)</f>
        <v>1.3545137850050239E-2</v>
      </c>
    </row>
    <row r="103" spans="1:4" x14ac:dyDescent="0.25">
      <c r="A103" s="11">
        <f>'[1]DJ30, jul97-jul07'!A85</f>
        <v>38110</v>
      </c>
      <c r="B103" s="10">
        <f>LN('[1]DJ30, jul97-jul07'!K85/'[1]DJ30, jul97-jul07'!K84)</f>
        <v>3.8280474375648528E-2</v>
      </c>
      <c r="C103" s="10">
        <f>LN('[1]DJ30, jul97-jul07'!M85/'[1]DJ30, jul97-jul07'!M84)</f>
        <v>2.0321712434879954E-2</v>
      </c>
      <c r="D103" s="10">
        <f>LN('[1]DJ30, jul97-jul07'!AA85/'[1]DJ30, jul97-jul07'!AA84)</f>
        <v>1.889663389128949E-2</v>
      </c>
    </row>
    <row r="104" spans="1:4" x14ac:dyDescent="0.25">
      <c r="A104" s="11">
        <f>'[1]DJ30, jul97-jul07'!A86</f>
        <v>38139</v>
      </c>
      <c r="B104" s="10">
        <f>LN('[1]DJ30, jul97-jul07'!K86/'[1]DJ30, jul97-jul07'!K85)</f>
        <v>4.6296626825743238E-2</v>
      </c>
      <c r="C104" s="10">
        <f>LN('[1]DJ30, jul97-jul07'!M86/'[1]DJ30, jul97-jul07'!M85)</f>
        <v>-1.7647516813578002E-2</v>
      </c>
      <c r="D104" s="10">
        <f>LN('[1]DJ30, jul97-jul07'!AA86/'[1]DJ30, jul97-jul07'!AA85)</f>
        <v>9.8040000966208348E-3</v>
      </c>
    </row>
    <row r="105" spans="1:4" x14ac:dyDescent="0.25">
      <c r="A105" s="11">
        <f>'[1]DJ30, jul97-jul07'!A87</f>
        <v>38169</v>
      </c>
      <c r="B105" s="10">
        <f>LN('[1]DJ30, jul97-jul07'!K87/'[1]DJ30, jul97-jul07'!K86)</f>
        <v>2.5803614893977558E-2</v>
      </c>
      <c r="C105" s="10">
        <f>LN('[1]DJ30, jul97-jul07'!M87/'[1]DJ30, jul97-jul07'!M86)</f>
        <v>-4.3049993956568028E-2</v>
      </c>
      <c r="D105" s="10">
        <f>LN('[1]DJ30, jul97-jul07'!AA87/'[1]DJ30, jul97-jul07'!AA86)</f>
        <v>-3.8385939722374043E-2</v>
      </c>
    </row>
    <row r="106" spans="1:4" x14ac:dyDescent="0.25">
      <c r="A106" s="11">
        <f>'[1]DJ30, jul97-jul07'!A88</f>
        <v>38201</v>
      </c>
      <c r="B106" s="10">
        <f>LN('[1]DJ30, jul97-jul07'!K88/'[1]DJ30, jul97-jul07'!K87)</f>
        <v>-1.3811465848713839E-2</v>
      </c>
      <c r="C106" s="10">
        <f>LN('[1]DJ30, jul97-jul07'!M88/'[1]DJ30, jul97-jul07'!M87)</f>
        <v>8.3183324102234224E-2</v>
      </c>
      <c r="D106" s="10">
        <f>LN('[1]DJ30, jul97-jul07'!AA88/'[1]DJ30, jul97-jul07'!AA87)</f>
        <v>7.0829518502811592E-2</v>
      </c>
    </row>
    <row r="107" spans="1:4" x14ac:dyDescent="0.25">
      <c r="A107" s="11">
        <f>'[1]DJ30, jul97-jul07'!A89</f>
        <v>38231</v>
      </c>
      <c r="B107" s="10">
        <f>LN('[1]DJ30, jul97-jul07'!K89/'[1]DJ30, jul97-jul07'!K88)</f>
        <v>2.9687386528721642E-2</v>
      </c>
      <c r="C107" s="10">
        <f>LN('[1]DJ30, jul97-jul07'!M89/'[1]DJ30, jul97-jul07'!M88)</f>
        <v>6.9638804978262664E-2</v>
      </c>
      <c r="D107" s="10">
        <f>LN('[1]DJ30, jul97-jul07'!AA89/'[1]DJ30, jul97-jul07'!AA88)</f>
        <v>-3.3614996329463284E-2</v>
      </c>
    </row>
    <row r="108" spans="1:4" x14ac:dyDescent="0.25">
      <c r="A108" s="11">
        <f>'[1]DJ30, jul97-jul07'!A90</f>
        <v>38261</v>
      </c>
      <c r="B108" s="10">
        <f>LN('[1]DJ30, jul97-jul07'!K90/'[1]DJ30, jul97-jul07'!K89)</f>
        <v>1.5944215317980712E-2</v>
      </c>
      <c r="C108" s="10">
        <f>LN('[1]DJ30, jul97-jul07'!M90/'[1]DJ30, jul97-jul07'!M89)</f>
        <v>4.7003329242329084E-2</v>
      </c>
      <c r="D108" s="10">
        <f>LN('[1]DJ30, jul97-jul07'!AA90/'[1]DJ30, jul97-jul07'!AA89)</f>
        <v>-5.109796281158023E-2</v>
      </c>
    </row>
    <row r="109" spans="1:4" x14ac:dyDescent="0.25">
      <c r="A109" s="11">
        <f>'[1]DJ30, jul97-jul07'!A91</f>
        <v>38292</v>
      </c>
      <c r="B109" s="10">
        <f>LN('[1]DJ30, jul97-jul07'!K91/'[1]DJ30, jul97-jul07'!K90)</f>
        <v>3.5734732757342326E-2</v>
      </c>
      <c r="C109" s="10">
        <f>LN('[1]DJ30, jul97-jul07'!M91/'[1]DJ30, jul97-jul07'!M90)</f>
        <v>1.8100041643617937E-2</v>
      </c>
      <c r="D109" s="10">
        <f>LN('[1]DJ30, jul97-jul07'!AA91/'[1]DJ30, jul97-jul07'!AA90)</f>
        <v>4.38437402341064E-2</v>
      </c>
    </row>
    <row r="110" spans="1:4" x14ac:dyDescent="0.25">
      <c r="A110" s="11">
        <f>'[1]DJ30, jul97-jul07'!A92</f>
        <v>38322</v>
      </c>
      <c r="B110" s="10">
        <f>LN('[1]DJ30, jul97-jul07'!K92/'[1]DJ30, jul97-jul07'!K91)</f>
        <v>3.7446340034235498E-2</v>
      </c>
      <c r="C110" s="10">
        <f>LN('[1]DJ30, jul97-jul07'!M92/'[1]DJ30, jul97-jul07'!M91)</f>
        <v>2.3391439527126429E-2</v>
      </c>
      <c r="D110" s="10">
        <f>LN('[1]DJ30, jul97-jul07'!AA92/'[1]DJ30, jul97-jul07'!AA91)</f>
        <v>2.9470919209981791E-2</v>
      </c>
    </row>
    <row r="111" spans="1:4" x14ac:dyDescent="0.25">
      <c r="A111" s="11">
        <f>'[1]DJ30, jul97-jul07'!A93</f>
        <v>38355</v>
      </c>
      <c r="B111" s="10">
        <f>LN('[1]DJ30, jul97-jul07'!K93/'[1]DJ30, jul97-jul07'!K92)</f>
        <v>-1.0047365846120877E-2</v>
      </c>
      <c r="C111" s="10">
        <f>LN('[1]DJ30, jul97-jul07'!M93/'[1]DJ30, jul97-jul07'!M92)</f>
        <v>-3.5169548369079658E-2</v>
      </c>
      <c r="D111" s="10">
        <f>LN('[1]DJ30, jul97-jul07'!AA93/'[1]DJ30, jul97-jul07'!AA92)</f>
        <v>-2.9667711496359335E-2</v>
      </c>
    </row>
    <row r="112" spans="1:4" x14ac:dyDescent="0.25">
      <c r="A112" s="11">
        <f>'[1]DJ30, jul97-jul07'!A94</f>
        <v>38384</v>
      </c>
      <c r="B112" s="10">
        <f>LN('[1]DJ30, jul97-jul07'!K94/'[1]DJ30, jul97-jul07'!K93)</f>
        <v>-1.9796687307881554E-2</v>
      </c>
      <c r="C112" s="10">
        <f>LN('[1]DJ30, jul97-jul07'!M94/'[1]DJ30, jul97-jul07'!M93)</f>
        <v>-3.0456608728733185E-2</v>
      </c>
      <c r="D112" s="10">
        <f>LN('[1]DJ30, jul97-jul07'!AA94/'[1]DJ30, jul97-jul07'!AA93)</f>
        <v>-2.5618301527022603E-3</v>
      </c>
    </row>
    <row r="113" spans="1:4" x14ac:dyDescent="0.25">
      <c r="A113" s="11">
        <f>'[1]DJ30, jul97-jul07'!A95</f>
        <v>38412</v>
      </c>
      <c r="B113" s="10">
        <f>LN('[1]DJ30, jul97-jul07'!K95/'[1]DJ30, jul97-jul07'!K94)</f>
        <v>2.3946070854693025E-2</v>
      </c>
      <c r="C113" s="10">
        <f>LN('[1]DJ30, jul97-jul07'!M95/'[1]DJ30, jul97-jul07'!M94)</f>
        <v>-4.3011673555828508E-2</v>
      </c>
      <c r="D113" s="10">
        <f>LN('[1]DJ30, jul97-jul07'!AA95/'[1]DJ30, jul97-jul07'!AA94)</f>
        <v>-1.7774271490935052E-3</v>
      </c>
    </row>
    <row r="114" spans="1:4" x14ac:dyDescent="0.25">
      <c r="A114" s="11">
        <f>'[1]DJ30, jul97-jul07'!A96</f>
        <v>38443</v>
      </c>
      <c r="B114" s="10">
        <f>LN('[1]DJ30, jul97-jul07'!K96/'[1]DJ30, jul97-jul07'!K95)</f>
        <v>3.8376430862855498E-3</v>
      </c>
      <c r="C114" s="10">
        <f>LN('[1]DJ30, jul97-jul07'!M96/'[1]DJ30, jul97-jul07'!M95)</f>
        <v>-7.8122866091865403E-2</v>
      </c>
      <c r="D114" s="10">
        <f>LN('[1]DJ30, jul97-jul07'!AA96/'[1]DJ30, jul97-jul07'!AA95)</f>
        <v>2.6720263498553973E-2</v>
      </c>
    </row>
    <row r="115" spans="1:4" x14ac:dyDescent="0.25">
      <c r="A115" s="11">
        <f>'[1]DJ30, jul97-jul07'!A97</f>
        <v>38474</v>
      </c>
      <c r="B115" s="10">
        <f>LN('[1]DJ30, jul97-jul07'!K97/'[1]DJ30, jul97-jul07'!K96)</f>
        <v>7.9237391834330942E-3</v>
      </c>
      <c r="C115" s="10">
        <f>LN('[1]DJ30, jul97-jul07'!M97/'[1]DJ30, jul97-jul07'!M96)</f>
        <v>0.10673826955099577</v>
      </c>
      <c r="D115" s="10">
        <f>LN('[1]DJ30, jul97-jul07'!AA97/'[1]DJ30, jul97-jul07'!AA96)</f>
        <v>1.830714744435611E-2</v>
      </c>
    </row>
    <row r="116" spans="1:4" x14ac:dyDescent="0.25">
      <c r="A116" s="11">
        <f>'[1]DJ30, jul97-jul07'!A98</f>
        <v>38504</v>
      </c>
      <c r="B116" s="10">
        <f>LN('[1]DJ30, jul97-jul07'!K98/'[1]DJ30, jul97-jul07'!K97)</f>
        <v>-4.5448778253394106E-2</v>
      </c>
      <c r="C116" s="10">
        <f>LN('[1]DJ30, jul97-jul07'!M98/'[1]DJ30, jul97-jul07'!M97)</f>
        <v>-9.0042981247208161E-3</v>
      </c>
      <c r="D116" s="10">
        <f>LN('[1]DJ30, jul97-jul07'!AA98/'[1]DJ30, jul97-jul07'!AA97)</f>
        <v>-4.463215402076838E-2</v>
      </c>
    </row>
    <row r="117" spans="1:4" x14ac:dyDescent="0.25">
      <c r="A117" s="11">
        <f>'[1]DJ30, jul97-jul07'!A99</f>
        <v>38534</v>
      </c>
      <c r="B117" s="10">
        <f>LN('[1]DJ30, jul97-jul07'!K99/'[1]DJ30, jul97-jul07'!K98)</f>
        <v>-4.2918520815410323E-3</v>
      </c>
      <c r="C117" s="10">
        <f>LN('[1]DJ30, jul97-jul07'!M99/'[1]DJ30, jul97-jul07'!M98)</f>
        <v>0.11188348843266363</v>
      </c>
      <c r="D117" s="10">
        <f>LN('[1]DJ30, jul97-jul07'!AA99/'[1]DJ30, jul97-jul07'!AA98)</f>
        <v>5.833228385072086E-2</v>
      </c>
    </row>
    <row r="118" spans="1:4" x14ac:dyDescent="0.25">
      <c r="A118" s="11">
        <f>'[1]DJ30, jul97-jul07'!A100</f>
        <v>38565</v>
      </c>
      <c r="B118" s="10">
        <f>LN('[1]DJ30, jul97-jul07'!K100/'[1]DJ30, jul97-jul07'!K99)</f>
        <v>-2.6145280104322131E-2</v>
      </c>
      <c r="C118" s="10">
        <f>LN('[1]DJ30, jul97-jul07'!M100/'[1]DJ30, jul97-jul07'!M99)</f>
        <v>-7.3522620560217439E-2</v>
      </c>
      <c r="D118" s="10">
        <f>LN('[1]DJ30, jul97-jul07'!AA100/'[1]DJ30, jul97-jul07'!AA99)</f>
        <v>-2.6129167534942885E-3</v>
      </c>
    </row>
    <row r="119" spans="1:4" x14ac:dyDescent="0.25">
      <c r="A119" s="11">
        <f>'[1]DJ30, jul97-jul07'!A101</f>
        <v>38596</v>
      </c>
      <c r="B119" s="10">
        <f>LN('[1]DJ30, jul97-jul07'!K101/'[1]DJ30, jul97-jul07'!K100)</f>
        <v>8.4786188555521953E-3</v>
      </c>
      <c r="C119" s="10">
        <f>LN('[1]DJ30, jul97-jul07'!M101/'[1]DJ30, jul97-jul07'!M100)</f>
        <v>-5.5803950677439131E-2</v>
      </c>
      <c r="D119" s="10">
        <f>LN('[1]DJ30, jul97-jul07'!AA101/'[1]DJ30, jul97-jul07'!AA100)</f>
        <v>6.9129908132010587E-2</v>
      </c>
    </row>
    <row r="120" spans="1:4" x14ac:dyDescent="0.25">
      <c r="A120" s="11">
        <f>'[1]DJ30, jul97-jul07'!A102</f>
        <v>38628</v>
      </c>
      <c r="B120" s="10">
        <f>LN('[1]DJ30, jul97-jul07'!K102/'[1]DJ30, jul97-jul07'!K101)</f>
        <v>7.1662559372993031E-3</v>
      </c>
      <c r="C120" s="10">
        <f>LN('[1]DJ30, jul97-jul07'!M102/'[1]DJ30, jul97-jul07'!M101)</f>
        <v>7.3314866329247011E-2</v>
      </c>
      <c r="D120" s="10">
        <f>LN('[1]DJ30, jul97-jul07'!AA102/'[1]DJ30, jul97-jul07'!AA101)</f>
        <v>-5.5026872379910267E-2</v>
      </c>
    </row>
    <row r="121" spans="1:4" x14ac:dyDescent="0.25">
      <c r="A121" s="11">
        <f>'[1]DJ30, jul97-jul07'!A103</f>
        <v>38657</v>
      </c>
      <c r="B121" s="10">
        <f>LN('[1]DJ30, jul97-jul07'!K103/'[1]DJ30, jul97-jul07'!K102)</f>
        <v>5.1727847580594885E-2</v>
      </c>
      <c r="C121" s="10">
        <f>LN('[1]DJ30, jul97-jul07'!M103/'[1]DJ30, jul97-jul07'!M102)</f>
        <v>2.0419036118014867E-2</v>
      </c>
      <c r="D121" s="10">
        <f>LN('[1]DJ30, jul97-jul07'!AA103/'[1]DJ30, jul97-jul07'!AA102)</f>
        <v>2.1149375356399765E-2</v>
      </c>
    </row>
    <row r="122" spans="1:4" x14ac:dyDescent="0.25">
      <c r="A122" s="11">
        <f>'[1]DJ30, jul97-jul07'!A104</f>
        <v>38687</v>
      </c>
      <c r="B122" s="10">
        <f>LN('[1]DJ30, jul97-jul07'!K104/'[1]DJ30, jul97-jul07'!K103)</f>
        <v>-1.1564250445565187E-2</v>
      </c>
      <c r="C122" s="10">
        <f>LN('[1]DJ30, jul97-jul07'!M104/'[1]DJ30, jul97-jul07'!M103)</f>
        <v>-3.1549937784586896E-2</v>
      </c>
      <c r="D122" s="10">
        <f>LN('[1]DJ30, jul97-jul07'!AA104/'[1]DJ30, jul97-jul07'!AA103)</f>
        <v>1.2014849096937329E-2</v>
      </c>
    </row>
    <row r="123" spans="1:4" x14ac:dyDescent="0.25">
      <c r="A123" s="11">
        <f>'[1]DJ30, jul97-jul07'!A105</f>
        <v>38720</v>
      </c>
      <c r="B123" s="10">
        <f>LN('[1]DJ30, jul97-jul07'!K105/'[1]DJ30, jul97-jul07'!K104)</f>
        <v>-6.7864455514036928E-2</v>
      </c>
      <c r="C123" s="10">
        <f>LN('[1]DJ30, jul97-jul07'!M105/'[1]DJ30, jul97-jul07'!M104)</f>
        <v>1.5251655218771396E-3</v>
      </c>
      <c r="D123" s="10">
        <f>LN('[1]DJ30, jul97-jul07'!AA105/'[1]DJ30, jul97-jul07'!AA104)</f>
        <v>2.7948035740147405E-2</v>
      </c>
    </row>
    <row r="124" spans="1:4" x14ac:dyDescent="0.25">
      <c r="A124" s="11">
        <f>'[1]DJ30, jul97-jul07'!A106</f>
        <v>38749</v>
      </c>
      <c r="B124" s="10">
        <f>LN('[1]DJ30, jul97-jul07'!K106/'[1]DJ30, jul97-jul07'!K105)</f>
        <v>1.1109461982124704E-2</v>
      </c>
      <c r="C124" s="10">
        <f>LN('[1]DJ30, jul97-jul07'!M106/'[1]DJ30, jul97-jul07'!M105)</f>
        <v>3.8859185548665569E-2</v>
      </c>
      <c r="D124" s="10">
        <f>LN('[1]DJ30, jul97-jul07'!AA106/'[1]DJ30, jul97-jul07'!AA105)</f>
        <v>1.171821094690164E-2</v>
      </c>
    </row>
    <row r="125" spans="1:4" x14ac:dyDescent="0.25">
      <c r="A125" s="11">
        <f>'[1]DJ30, jul97-jul07'!A107</f>
        <v>38777</v>
      </c>
      <c r="B125" s="10">
        <f>LN('[1]DJ30, jul97-jul07'!K107/'[1]DJ30, jul97-jul07'!K106)</f>
        <v>5.6456708667657278E-2</v>
      </c>
      <c r="C125" s="10">
        <f>LN('[1]DJ30, jul97-jul07'!M107/'[1]DJ30, jul97-jul07'!M106)</f>
        <v>7.0602849580012981E-3</v>
      </c>
      <c r="D125" s="10">
        <f>LN('[1]DJ30, jul97-jul07'!AA107/'[1]DJ30, jul97-jul07'!AA106)</f>
        <v>-3.9131630261591596E-2</v>
      </c>
    </row>
    <row r="126" spans="1:4" x14ac:dyDescent="0.25">
      <c r="A126" s="11">
        <f>'[1]DJ30, jul97-jul07'!A108</f>
        <v>38810</v>
      </c>
      <c r="B126" s="10">
        <f>LN('[1]DJ30, jul97-jul07'!K108/'[1]DJ30, jul97-jul07'!K107)</f>
        <v>-5.6843832942341608E-3</v>
      </c>
      <c r="C126" s="10">
        <f>LN('[1]DJ30, jul97-jul07'!M108/'[1]DJ30, jul97-jul07'!M107)</f>
        <v>-5.7672288465850888E-2</v>
      </c>
      <c r="D126" s="10">
        <f>LN('[1]DJ30, jul97-jul07'!AA108/'[1]DJ30, jul97-jul07'!AA107)</f>
        <v>1.5556262089382411E-2</v>
      </c>
    </row>
    <row r="127" spans="1:4" x14ac:dyDescent="0.25">
      <c r="A127" s="11">
        <f>'[1]DJ30, jul97-jul07'!A109</f>
        <v>38838</v>
      </c>
      <c r="B127" s="10">
        <f>LN('[1]DJ30, jul97-jul07'!K109/'[1]DJ30, jul97-jul07'!K108)</f>
        <v>-9.3444538276662072E-3</v>
      </c>
      <c r="C127" s="10">
        <f>LN('[1]DJ30, jul97-jul07'!M109/'[1]DJ30, jul97-jul07'!M108)</f>
        <v>-4.6287515832693998E-2</v>
      </c>
      <c r="D127" s="10">
        <f>LN('[1]DJ30, jul97-jul07'!AA109/'[1]DJ30, jul97-jul07'!AA108)</f>
        <v>-7.0484950580638514E-2</v>
      </c>
    </row>
    <row r="128" spans="1:4" x14ac:dyDescent="0.25">
      <c r="A128" s="11">
        <f>'[1]DJ30, jul97-jul07'!A110</f>
        <v>38869</v>
      </c>
      <c r="B128" s="10">
        <f>LN('[1]DJ30, jul97-jul07'!K110/'[1]DJ30, jul97-jul07'!K109)</f>
        <v>-3.1377535692255452E-2</v>
      </c>
      <c r="C128" s="10">
        <f>LN('[1]DJ30, jul97-jul07'!M110/'[1]DJ30, jul97-jul07'!M109)</f>
        <v>-5.9044444306062267E-2</v>
      </c>
      <c r="D128" s="10">
        <f>LN('[1]DJ30, jul97-jul07'!AA110/'[1]DJ30, jul97-jul07'!AA109)</f>
        <v>2.454110891611766E-2</v>
      </c>
    </row>
    <row r="129" spans="1:4" x14ac:dyDescent="0.25">
      <c r="A129" s="11">
        <f>'[1]DJ30, jul97-jul07'!A111</f>
        <v>38901</v>
      </c>
      <c r="B129" s="10">
        <f>LN('[1]DJ30, jul97-jul07'!K111/'[1]DJ30, jul97-jul07'!K110)</f>
        <v>-8.1581877014635824E-3</v>
      </c>
      <c r="C129" s="10">
        <f>LN('[1]DJ30, jul97-jul07'!M111/'[1]DJ30, jul97-jul07'!M110)</f>
        <v>-3.0735965414559294E-2</v>
      </c>
      <c r="D129" s="10">
        <f>LN('[1]DJ30, jul97-jul07'!AA111/'[1]DJ30, jul97-jul07'!AA110)</f>
        <v>1.6393809775676352E-2</v>
      </c>
    </row>
    <row r="130" spans="1:4" x14ac:dyDescent="0.25">
      <c r="A130" s="11">
        <f>'[1]DJ30, jul97-jul07'!A112</f>
        <v>38930</v>
      </c>
      <c r="B130" s="10">
        <f>LN('[1]DJ30, jul97-jul07'!K112/'[1]DJ30, jul97-jul07'!K111)</f>
        <v>4.1048811895438395E-2</v>
      </c>
      <c r="C130" s="10">
        <f>LN('[1]DJ30, jul97-jul07'!M112/'[1]DJ30, jul97-jul07'!M111)</f>
        <v>-1.2146498025455855E-2</v>
      </c>
      <c r="D130" s="10">
        <f>LN('[1]DJ30, jul97-jul07'!AA112/'[1]DJ30, jul97-jul07'!AA111)</f>
        <v>9.6541252223744989E-2</v>
      </c>
    </row>
    <row r="131" spans="1:4" x14ac:dyDescent="0.25">
      <c r="A131" s="11">
        <f>'[1]DJ30, jul97-jul07'!A113</f>
        <v>38961</v>
      </c>
      <c r="B131" s="10">
        <f>LN('[1]DJ30, jul97-jul07'!K113/'[1]DJ30, jul97-jul07'!K112)</f>
        <v>4.2912339221525805E-2</v>
      </c>
      <c r="C131" s="10">
        <f>LN('[1]DJ30, jul97-jul07'!M113/'[1]DJ30, jul97-jul07'!M112)</f>
        <v>6.0431739184917871E-2</v>
      </c>
      <c r="D131" s="10">
        <f>LN('[1]DJ30, jul97-jul07'!AA113/'[1]DJ30, jul97-jul07'!AA112)</f>
        <v>1.3114755978106555E-3</v>
      </c>
    </row>
    <row r="132" spans="1:4" x14ac:dyDescent="0.25">
      <c r="A132" s="11">
        <f>'[1]DJ30, jul97-jul07'!A114</f>
        <v>38992</v>
      </c>
      <c r="B132" s="10">
        <f>LN('[1]DJ30, jul97-jul07'!K114/'[1]DJ30, jul97-jul07'!K113)</f>
        <v>-5.5192587456266489E-3</v>
      </c>
      <c r="C132" s="10">
        <f>LN('[1]DJ30, jul97-jul07'!M114/'[1]DJ30, jul97-jul07'!M113)</f>
        <v>2.876304478565541E-2</v>
      </c>
      <c r="D132" s="10">
        <f>LN('[1]DJ30, jul97-jul07'!AA114/'[1]DJ30, jul97-jul07'!AA113)</f>
        <v>2.7469815786330478E-2</v>
      </c>
    </row>
    <row r="133" spans="1:4" x14ac:dyDescent="0.25">
      <c r="A133" s="11">
        <f>'[1]DJ30, jul97-jul07'!A115</f>
        <v>39022</v>
      </c>
      <c r="B133" s="10">
        <f>LN('[1]DJ30, jul97-jul07'!K115/'[1]DJ30, jul97-jul07'!K114)</f>
        <v>4.9397165677134225E-3</v>
      </c>
      <c r="C133" s="10">
        <f>LN('[1]DJ30, jul97-jul07'!M115/'[1]DJ30, jul97-jul07'!M114)</f>
        <v>2.3175383770098583E-2</v>
      </c>
      <c r="D133" s="10">
        <f>LN('[1]DJ30, jul97-jul07'!AA115/'[1]DJ30, jul97-jul07'!AA114)</f>
        <v>-9.4483848058120184E-3</v>
      </c>
    </row>
    <row r="134" spans="1:4" x14ac:dyDescent="0.25">
      <c r="A134" s="11">
        <f>'[1]DJ30, jul97-jul07'!A116</f>
        <v>39052</v>
      </c>
      <c r="B134" s="10">
        <f>LN('[1]DJ30, jul97-jul07'!K116/'[1]DJ30, jul97-jul07'!K115)</f>
        <v>6.0726918374244834E-2</v>
      </c>
      <c r="C134" s="10">
        <f>LN('[1]DJ30, jul97-jul07'!M116/'[1]DJ30, jul97-jul07'!M115)</f>
        <v>5.5944156534782151E-2</v>
      </c>
      <c r="D134" s="10">
        <f>LN('[1]DJ30, jul97-jul07'!AA116/'[1]DJ30, jul97-jul07'!AA115)</f>
        <v>2.3219872733992737E-2</v>
      </c>
    </row>
    <row r="135" spans="1:4" x14ac:dyDescent="0.25">
      <c r="A135" s="11">
        <f>'[1]DJ30, jul97-jul07'!A117</f>
        <v>39085</v>
      </c>
      <c r="B135" s="10">
        <f>LN('[1]DJ30, jul97-jul07'!K117/'[1]DJ30, jul97-jul07'!K116)</f>
        <v>-3.1871895456562396E-2</v>
      </c>
      <c r="C135" s="10">
        <f>LN('[1]DJ30, jul97-jul07'!M117/'[1]DJ30, jul97-jul07'!M116)</f>
        <v>1.425558717021814E-2</v>
      </c>
      <c r="D135" s="10">
        <f>LN('[1]DJ30, jul97-jul07'!AA117/'[1]DJ30, jul97-jul07'!AA116)</f>
        <v>1.4049559853437437E-2</v>
      </c>
    </row>
    <row r="136" spans="1:4" x14ac:dyDescent="0.25">
      <c r="A136" s="11">
        <f>'[1]DJ30, jul97-jul07'!A118</f>
        <v>39114</v>
      </c>
      <c r="B136" s="10">
        <f>LN('[1]DJ30, jul97-jul07'!K118/'[1]DJ30, jul97-jul07'!K117)</f>
        <v>-2.4228062667536552E-2</v>
      </c>
      <c r="C136" s="10">
        <f>LN('[1]DJ30, jul97-jul07'!M118/'[1]DJ30, jul97-jul07'!M117)</f>
        <v>-2.8461812895432745E-2</v>
      </c>
      <c r="D136" s="10">
        <f>LN('[1]DJ30, jul97-jul07'!AA118/'[1]DJ30, jul97-jul07'!AA117)</f>
        <v>-2.1465767414304809E-2</v>
      </c>
    </row>
    <row r="137" spans="1:4" x14ac:dyDescent="0.25">
      <c r="A137" s="11">
        <f>'[1]DJ30, jul97-jul07'!A119</f>
        <v>39142</v>
      </c>
      <c r="B137" s="10">
        <f>LN('[1]DJ30, jul97-jul07'!K119/'[1]DJ30, jul97-jul07'!K118)</f>
        <v>1.2899705892880833E-2</v>
      </c>
      <c r="C137" s="10">
        <f>LN('[1]DJ30, jul97-jul07'!M119/'[1]DJ30, jul97-jul07'!M118)</f>
        <v>-6.901112116073907E-2</v>
      </c>
      <c r="D137" s="10">
        <f>LN('[1]DJ30, jul97-jul07'!AA119/'[1]DJ30, jul97-jul07'!AA118)</f>
        <v>-5.2401866635561588E-3</v>
      </c>
    </row>
    <row r="138" spans="1:4" x14ac:dyDescent="0.25">
      <c r="A138" s="11">
        <f>'[1]DJ30, jul97-jul07'!A120</f>
        <v>39174</v>
      </c>
      <c r="B138" s="10">
        <f>LN('[1]DJ30, jul97-jul07'!K120/'[1]DJ30, jul97-jul07'!K119)</f>
        <v>4.1562250226979729E-2</v>
      </c>
      <c r="C138" s="10">
        <f>LN('[1]DJ30, jul97-jul07'!M120/'[1]DJ30, jul97-jul07'!M119)</f>
        <v>3.0464682421815083E-2</v>
      </c>
      <c r="D138" s="10">
        <f>LN('[1]DJ30, jul97-jul07'!AA120/'[1]DJ30, jul97-jul07'!AA119)</f>
        <v>2.4999336644018568E-2</v>
      </c>
    </row>
    <row r="139" spans="1:4" x14ac:dyDescent="0.25">
      <c r="A139" s="11">
        <f>'[1]DJ30, jul97-jul07'!A121</f>
        <v>39203</v>
      </c>
      <c r="B139" s="10">
        <f>LN('[1]DJ30, jul97-jul07'!K121/'[1]DJ30, jul97-jul07'!K120)</f>
        <v>1.9213146825745965E-2</v>
      </c>
      <c r="C139" s="10">
        <f>LN('[1]DJ30, jul97-jul07'!M121/'[1]DJ30, jul97-jul07'!M120)</f>
        <v>2.5948251804424612E-2</v>
      </c>
      <c r="D139" s="10">
        <f>LN('[1]DJ30, jul97-jul07'!AA121/'[1]DJ30, jul97-jul07'!AA120)</f>
        <v>-1.3286635474844998E-2</v>
      </c>
    </row>
    <row r="140" spans="1:4" x14ac:dyDescent="0.25">
      <c r="A140" s="11">
        <f>'[1]DJ30, jul97-jul07'!A122</f>
        <v>39234</v>
      </c>
      <c r="B140" s="10">
        <f>LN('[1]DJ30, jul97-jul07'!K122/'[1]DJ30, jul97-jul07'!K121)</f>
        <v>2.5666179351686979E-2</v>
      </c>
      <c r="C140" s="10">
        <f>LN('[1]DJ30, jul97-jul07'!M122/'[1]DJ30, jul97-jul07'!M121)</f>
        <v>1.7949199829981284E-2</v>
      </c>
      <c r="D140" s="10">
        <f>LN('[1]DJ30, jul97-jul07'!AA122/'[1]DJ30, jul97-jul07'!AA121)</f>
        <v>-3.784322016101388E-2</v>
      </c>
    </row>
    <row r="141" spans="1:4" x14ac:dyDescent="0.25">
      <c r="A141" s="11">
        <f>'[1]DJ30, jul97-jul07'!A123</f>
        <v>39265</v>
      </c>
      <c r="B141" s="10">
        <f>LN('[1]DJ30, jul97-jul07'!K123/'[1]DJ30, jul97-jul07'!K122)</f>
        <v>6.7690964014668351E-3</v>
      </c>
      <c r="C141" s="10">
        <f>LN('[1]DJ30, jul97-jul07'!M123/'[1]DJ30, jul97-jul07'!M122)</f>
        <v>1.2124422330140465E-2</v>
      </c>
      <c r="D141" s="10">
        <f>LN('[1]DJ30, jul97-jul07'!AA123/'[1]DJ30, jul97-jul07'!AA122)</f>
        <v>7.8138115289524239E-3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2024-10-28T03:35:33Z</dcterms:modified>
</cp:coreProperties>
</file>