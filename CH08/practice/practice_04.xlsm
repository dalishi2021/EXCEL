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AF3F24E9-268C-41F6-B409-849EBB26EFB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4" i="1" s="1"/>
  <c r="B18" i="1" s="1"/>
  <c r="C8" i="1"/>
  <c r="C7" i="1"/>
  <c r="C5" i="1"/>
  <c r="F4" i="1"/>
  <c r="C4" i="1"/>
  <c r="F3" i="1"/>
  <c r="C3" i="1"/>
  <c r="A30" i="1"/>
  <c r="A31" i="1" s="1"/>
  <c r="A32" i="1" s="1"/>
  <c r="A33" i="1" s="1"/>
  <c r="A34" i="1" s="1"/>
  <c r="A35" i="1" s="1"/>
  <c r="A36" i="1" s="1"/>
  <c r="A37" i="1" s="1"/>
  <c r="A38" i="1" s="1"/>
  <c r="A39" i="1" s="1"/>
  <c r="A21" i="1"/>
  <c r="A22" i="1" s="1"/>
  <c r="A23" i="1" s="1"/>
  <c r="A24" i="1" s="1"/>
  <c r="A25" i="1" s="1"/>
  <c r="A26" i="1" s="1"/>
  <c r="A27" i="1" s="1"/>
  <c r="A28" i="1" s="1"/>
  <c r="A20" i="1"/>
  <c r="D18" i="1"/>
  <c r="C14" i="1"/>
  <c r="C13" i="1"/>
  <c r="C11" i="1"/>
  <c r="D8" i="1"/>
  <c r="D7" i="1"/>
  <c r="G4" i="1"/>
  <c r="G3" i="1"/>
  <c r="D5" i="1"/>
  <c r="B13" i="1" l="1"/>
  <c r="C18" i="1" s="1"/>
</calcChain>
</file>

<file path=xl/sharedStrings.xml><?xml version="1.0" encoding="utf-8"?>
<sst xmlns="http://schemas.openxmlformats.org/spreadsheetml/2006/main" count="16" uniqueCount="15">
  <si>
    <r>
      <t xml:space="preserve">ALCOA (AA) AND JOHNSON &amp; JOHNSON (JNJ)
</t>
    </r>
    <r>
      <rPr>
        <b/>
        <sz val="12"/>
        <rFont val="Arial"/>
        <family val="2"/>
      </rPr>
      <t>Portfolio</t>
    </r>
  </si>
  <si>
    <t>Monthly statistics</t>
  </si>
  <si>
    <t>AA</t>
  </si>
  <si>
    <t>JNJ</t>
  </si>
  <si>
    <t>Average</t>
  </si>
  <si>
    <t>Sigma</t>
  </si>
  <si>
    <t>Covariance</t>
  </si>
  <si>
    <t>Correlation</t>
  </si>
  <si>
    <t>Portfolio calculations</t>
  </si>
  <si>
    <t>Proportion of AA</t>
  </si>
  <si>
    <t>Proportion of JNJ</t>
  </si>
  <si>
    <t>Portfolio mean return</t>
  </si>
  <si>
    <t>Portfolio standard deviation</t>
  </si>
  <si>
    <t>Data table:  Varying the proportion of AA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</si>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</sst>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5" fillId="0" borderId="0" xfId="0" applyFont="1" applyAlignment="1"/>
    <xf numFmtId="176" fontId="0" fillId="0" borderId="0" xfId="0" applyNumberFormat="1" applyAlignment="1"/>
    <xf numFmtId="176" fontId="5" fillId="0" borderId="0" xfId="0" applyNumberFormat="1" applyFont="1" applyAlignment="1">
      <alignment horizontal="center"/>
    </xf>
    <xf numFmtId="10" fontId="0" fillId="0" borderId="0" xfId="1" applyNumberFormat="1" applyFont="1" applyAlignment="1"/>
    <xf numFmtId="0" fontId="5" fillId="2" borderId="0" xfId="0" applyFon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67794899481353E-2"/>
          <c:y val="7.0217979938480043E-2"/>
          <c:w val="0.84256694704328672"/>
          <c:h val="0.813560043425148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Sheet1!$B$19:$B$39</c:f>
              <c:numCache>
                <c:formatCode>0.0000</c:formatCode>
                <c:ptCount val="21"/>
                <c:pt idx="0">
                  <c:v>0.1515172144249069</c:v>
                </c:pt>
                <c:pt idx="1">
                  <c:v>0.14076839216934853</c:v>
                </c:pt>
                <c:pt idx="2">
                  <c:v>0.13014546586512074</c:v>
                </c:pt>
                <c:pt idx="3">
                  <c:v>0.1196819636411461</c:v>
                </c:pt>
                <c:pt idx="4">
                  <c:v>0.109423629263507</c:v>
                </c:pt>
                <c:pt idx="5">
                  <c:v>9.9433982852140362E-2</c:v>
                </c:pt>
                <c:pt idx="6">
                  <c:v>8.9802735676189585E-2</c:v>
                </c:pt>
                <c:pt idx="7">
                  <c:v>8.0658377174729387E-2</c:v>
                </c:pt>
                <c:pt idx="8">
                  <c:v>7.2186178500040749E-2</c:v>
                </c:pt>
                <c:pt idx="9">
                  <c:v>6.4650932003058464E-2</c:v>
                </c:pt>
                <c:pt idx="10">
                  <c:v>5.8416348188961124E-2</c:v>
                </c:pt>
                <c:pt idx="11">
                  <c:v>5.3935373800960175E-2</c:v>
                </c:pt>
                <c:pt idx="12">
                  <c:v>5.1666308585094092E-2</c:v>
                </c:pt>
                <c:pt idx="13">
                  <c:v>5.1900081146531357E-2</c:v>
                </c:pt>
                <c:pt idx="14">
                  <c:v>5.4604555557832529E-2</c:v>
                </c:pt>
                <c:pt idx="15">
                  <c:v>5.9443457476544927E-2</c:v>
                </c:pt>
                <c:pt idx="16">
                  <c:v>6.5948615378252612E-2</c:v>
                </c:pt>
                <c:pt idx="17">
                  <c:v>7.3680005349464353E-2</c:v>
                </c:pt>
                <c:pt idx="18">
                  <c:v>8.2292737168786656E-2</c:v>
                </c:pt>
                <c:pt idx="19">
                  <c:v>9.153837489059119E-2</c:v>
                </c:pt>
                <c:pt idx="20">
                  <c:v>0.10124367461197431</c:v>
                </c:pt>
              </c:numCache>
            </c:numRef>
          </c:xVal>
          <c:yVal>
            <c:numRef>
              <c:f>Sheet1!$C$19:$C$39</c:f>
              <c:numCache>
                <c:formatCode>0.0000</c:formatCode>
                <c:ptCount val="21"/>
                <c:pt idx="0">
                  <c:v>7.5857833063263718E-3</c:v>
                </c:pt>
                <c:pt idx="1">
                  <c:v>7.5443313512359523E-3</c:v>
                </c:pt>
                <c:pt idx="2">
                  <c:v>7.5028793961455335E-3</c:v>
                </c:pt>
                <c:pt idx="3">
                  <c:v>7.4614274410551157E-3</c:v>
                </c:pt>
                <c:pt idx="4">
                  <c:v>7.4199754859646952E-3</c:v>
                </c:pt>
                <c:pt idx="5">
                  <c:v>7.3785235308742765E-3</c:v>
                </c:pt>
                <c:pt idx="6">
                  <c:v>7.3370715757838587E-3</c:v>
                </c:pt>
                <c:pt idx="7">
                  <c:v>7.2956196206934408E-3</c:v>
                </c:pt>
                <c:pt idx="8">
                  <c:v>7.2541676656030212E-3</c:v>
                </c:pt>
                <c:pt idx="9">
                  <c:v>7.2127157105126008E-3</c:v>
                </c:pt>
                <c:pt idx="10">
                  <c:v>7.171263755422182E-3</c:v>
                </c:pt>
                <c:pt idx="11">
                  <c:v>7.1298118003317633E-3</c:v>
                </c:pt>
                <c:pt idx="12">
                  <c:v>7.0883598452413446E-3</c:v>
                </c:pt>
                <c:pt idx="13">
                  <c:v>7.046907890150925E-3</c:v>
                </c:pt>
                <c:pt idx="14">
                  <c:v>7.0054559350605063E-3</c:v>
                </c:pt>
                <c:pt idx="15">
                  <c:v>6.9640039799700876E-3</c:v>
                </c:pt>
                <c:pt idx="16">
                  <c:v>6.922552024879668E-3</c:v>
                </c:pt>
                <c:pt idx="17">
                  <c:v>6.8811000697892501E-3</c:v>
                </c:pt>
                <c:pt idx="18">
                  <c:v>6.8396481146988305E-3</c:v>
                </c:pt>
                <c:pt idx="19">
                  <c:v>6.7981961596084118E-3</c:v>
                </c:pt>
                <c:pt idx="20">
                  <c:v>6.7567442045179914E-3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87-4CC2-813C-D21CC78F1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028328"/>
        <c:axId val="1"/>
      </c:scatterChart>
      <c:valAx>
        <c:axId val="933028328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30283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128954</xdr:colOff>
      <xdr:row>18</xdr:row>
      <xdr:rowOff>95250</xdr:rowOff>
    </xdr:from>
    <xdr:to>
      <xdr:col>12</xdr:col>
      <xdr:colOff>71804</xdr:colOff>
      <xdr:row>41</xdr:row>
      <xdr:rowOff>85725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2767FA3-B98C-404A-9380-13AD63571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293674</xdr:colOff>
      <xdr:row>0</xdr:row>
      <xdr:rowOff>190141</xdr:rowOff>
    </xdr:from>
    <xdr:to>
      <xdr:col>30</xdr:col>
      <xdr:colOff>4989</xdr:colOff>
      <xdr:row>45</xdr:row>
      <xdr:rowOff>70272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FE458B7-8EC5-43BA-26FB-3F6147A0C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873751" y="190141"/>
          <a:ext cx="10657738" cy="751478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8\practice\practice_01.xlsm" TargetMode="External"/><Relationship Id="rId1" Type="http://schemas.openxmlformats.org/officeDocument/2006/relationships/externalLinkPath" Target="practice_0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9">
          <cell r="B19">
            <v>0.1515172144249069</v>
          </cell>
          <cell r="C19">
            <v>7.5857833063263718E-3</v>
          </cell>
        </row>
        <row r="20">
          <cell r="B20">
            <v>0.14076839216934853</v>
          </cell>
          <cell r="C20">
            <v>7.5443313512359523E-3</v>
          </cell>
        </row>
        <row r="21">
          <cell r="B21">
            <v>0.13014546586512074</v>
          </cell>
          <cell r="C21">
            <v>7.5028793961455335E-3</v>
          </cell>
        </row>
        <row r="22">
          <cell r="B22">
            <v>0.1196819636411461</v>
          </cell>
          <cell r="C22">
            <v>7.4614274410551157E-3</v>
          </cell>
        </row>
        <row r="23">
          <cell r="B23">
            <v>0.109423629263507</v>
          </cell>
          <cell r="C23">
            <v>7.4199754859646952E-3</v>
          </cell>
        </row>
        <row r="24">
          <cell r="B24">
            <v>9.9433982852140362E-2</v>
          </cell>
          <cell r="C24">
            <v>7.3785235308742765E-3</v>
          </cell>
        </row>
        <row r="25">
          <cell r="B25">
            <v>8.9802735676189585E-2</v>
          </cell>
          <cell r="C25">
            <v>7.3370715757838587E-3</v>
          </cell>
        </row>
        <row r="26">
          <cell r="B26">
            <v>8.0658377174729387E-2</v>
          </cell>
          <cell r="C26">
            <v>7.2956196206934408E-3</v>
          </cell>
        </row>
        <row r="27">
          <cell r="B27">
            <v>7.2186178500040749E-2</v>
          </cell>
          <cell r="C27">
            <v>7.2541676656030212E-3</v>
          </cell>
        </row>
        <row r="28">
          <cell r="B28">
            <v>6.4650932003058464E-2</v>
          </cell>
          <cell r="C28">
            <v>7.2127157105126008E-3</v>
          </cell>
        </row>
        <row r="29">
          <cell r="B29">
            <v>5.8416348188961124E-2</v>
          </cell>
          <cell r="C29">
            <v>7.171263755422182E-3</v>
          </cell>
        </row>
        <row r="30">
          <cell r="B30">
            <v>5.3935373800960175E-2</v>
          </cell>
          <cell r="C30">
            <v>7.1298118003317633E-3</v>
          </cell>
        </row>
        <row r="31">
          <cell r="B31">
            <v>5.1666308585094092E-2</v>
          </cell>
          <cell r="C31">
            <v>7.0883598452413446E-3</v>
          </cell>
        </row>
        <row r="32">
          <cell r="B32">
            <v>5.1900081146531357E-2</v>
          </cell>
          <cell r="C32">
            <v>7.046907890150925E-3</v>
          </cell>
        </row>
        <row r="33">
          <cell r="B33">
            <v>5.4604555557832529E-2</v>
          </cell>
          <cell r="C33">
            <v>7.0054559350605063E-3</v>
          </cell>
        </row>
        <row r="34">
          <cell r="B34">
            <v>5.9443457476544927E-2</v>
          </cell>
          <cell r="C34">
            <v>6.9640039799700876E-3</v>
          </cell>
        </row>
        <row r="35">
          <cell r="B35">
            <v>6.5948615378252612E-2</v>
          </cell>
          <cell r="C35">
            <v>6.922552024879668E-3</v>
          </cell>
        </row>
        <row r="36">
          <cell r="B36">
            <v>7.3680005349464353E-2</v>
          </cell>
          <cell r="C36">
            <v>6.8811000697892501E-3</v>
          </cell>
        </row>
        <row r="37">
          <cell r="B37">
            <v>8.2292737168786656E-2</v>
          </cell>
          <cell r="C37">
            <v>6.8396481146988305E-3</v>
          </cell>
        </row>
        <row r="38">
          <cell r="B38">
            <v>9.153837489059119E-2</v>
          </cell>
          <cell r="C38">
            <v>6.7981961596084118E-3</v>
          </cell>
        </row>
        <row r="39">
          <cell r="B39">
            <v>0.10124367461197431</v>
          </cell>
          <cell r="C39">
            <v>6.7567442045179914E-3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">
          <cell r="C3">
            <v>6.7567442045179922E-3</v>
          </cell>
          <cell r="F3">
            <v>7.171263755422182E-3</v>
          </cell>
        </row>
        <row r="4">
          <cell r="C4">
            <v>0.10124367461197432</v>
          </cell>
          <cell r="F4">
            <v>5.8416348188961124E-2</v>
          </cell>
        </row>
        <row r="5">
          <cell r="C5">
            <v>2.3567358119697175E-4</v>
          </cell>
        </row>
        <row r="7">
          <cell r="C7">
            <v>3.984818982988076E-2</v>
          </cell>
        </row>
        <row r="8">
          <cell r="C8">
            <v>3.9848189829880754E-2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N39"/>
  <sheetViews>
    <sheetView tabSelected="1" zoomScale="130" zoomScaleNormal="130" workbookViewId="0">
      <selection activeCell="K7" sqref="K7"/>
    </sheetView>
  </sheetViews>
  <sheetFormatPr defaultRowHeight="13.8" x14ac:dyDescent="0.25"/>
  <cols>
    <col min="1" max="1" width="39.88671875" style="2" bestFit="1" customWidth="1"/>
    <col min="2" max="6" width="9.109375" style="4" customWidth="1"/>
    <col min="7" max="7" width="24.109375" style="2" bestFit="1" customWidth="1"/>
    <col min="8" max="14" width="8.88671875" style="2"/>
  </cols>
  <sheetData>
    <row r="1" spans="1:7" ht="17.399999999999999" x14ac:dyDescent="0.25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3" t="s">
        <v>1</v>
      </c>
      <c r="C2" s="5" t="s">
        <v>2</v>
      </c>
      <c r="F2" s="5" t="s">
        <v>3</v>
      </c>
    </row>
    <row r="3" spans="1:7" x14ac:dyDescent="0.25">
      <c r="A3" s="2" t="s">
        <v>4</v>
      </c>
      <c r="C3" s="6">
        <f>[2]Sheet1!$C$3</f>
        <v>6.7567442045179922E-3</v>
      </c>
      <c r="F3" s="6">
        <f>[2]Sheet1!$F$3</f>
        <v>7.171263755422182E-3</v>
      </c>
      <c r="G3" s="4" t="str">
        <f ca="1">[3]!getformula(F3)</f>
        <v>&lt;--  =[practice_01.xlsm]Sheet1!$F$3</v>
      </c>
    </row>
    <row r="4" spans="1:7" x14ac:dyDescent="0.25">
      <c r="A4" s="2" t="s">
        <v>5</v>
      </c>
      <c r="C4" s="6">
        <f>[2]Sheet1!$C$4</f>
        <v>0.10124367461197432</v>
      </c>
      <c r="F4" s="6">
        <f>[2]Sheet1!$F$4</f>
        <v>5.8416348188961124E-2</v>
      </c>
      <c r="G4" s="4" t="str">
        <f ca="1">[3]!getformula(F4)</f>
        <v>&lt;--  =[practice_01.xlsm]Sheet1!$F$4</v>
      </c>
    </row>
    <row r="5" spans="1:7" x14ac:dyDescent="0.25">
      <c r="A5" s="2" t="s">
        <v>6</v>
      </c>
      <c r="C5" s="6">
        <f>[2]Sheet1!$C$5</f>
        <v>2.3567358119697175E-4</v>
      </c>
      <c r="D5" s="4" t="str">
        <f ca="1">[3]!getformula(C5)</f>
        <v>&lt;--  =[practice_01.xlsm]Sheet1!$C$5</v>
      </c>
    </row>
    <row r="7" spans="1:7" x14ac:dyDescent="0.25">
      <c r="A7" s="2" t="s">
        <v>7</v>
      </c>
      <c r="C7" s="6">
        <f>[2]Sheet1!$C$7</f>
        <v>3.984818982988076E-2</v>
      </c>
      <c r="D7" s="4" t="str">
        <f ca="1">[3]!getformula(C7)</f>
        <v>&lt;--  =[practice_01.xlsm]Sheet1!$C$7</v>
      </c>
    </row>
    <row r="8" spans="1:7" x14ac:dyDescent="0.25">
      <c r="C8" s="6">
        <f>[2]Sheet1!$C$8</f>
        <v>3.9848189829880754E-2</v>
      </c>
      <c r="D8" s="4" t="str">
        <f ca="1">[3]!getformula(C8)</f>
        <v>&lt;--  =[practice_01.xlsm]Sheet1!$C$8</v>
      </c>
    </row>
    <row r="9" spans="1:7" x14ac:dyDescent="0.25">
      <c r="A9" s="7" t="s">
        <v>8</v>
      </c>
    </row>
    <row r="10" spans="1:7" x14ac:dyDescent="0.25">
      <c r="A10" s="2" t="s">
        <v>9</v>
      </c>
      <c r="B10" s="4">
        <v>0.5</v>
      </c>
    </row>
    <row r="11" spans="1:7" x14ac:dyDescent="0.25">
      <c r="A11" s="2" t="s">
        <v>10</v>
      </c>
      <c r="B11" s="4">
        <f>1-B10</f>
        <v>0.5</v>
      </c>
      <c r="C11" s="4" t="str">
        <f ca="1">[3]!getformula(B11)</f>
        <v>&lt;--  =1-B10</v>
      </c>
    </row>
    <row r="13" spans="1:7" x14ac:dyDescent="0.25">
      <c r="A13" s="2" t="s">
        <v>11</v>
      </c>
      <c r="B13" s="6">
        <f>B10*C3+B11*F3</f>
        <v>6.9640039799700876E-3</v>
      </c>
      <c r="C13" s="4" t="str">
        <f ca="1">[3]!getformula(B13)</f>
        <v>&lt;--  =B10*C3+B11*F3</v>
      </c>
    </row>
    <row r="14" spans="1:7" x14ac:dyDescent="0.25">
      <c r="A14" s="2" t="s">
        <v>12</v>
      </c>
      <c r="B14" s="6">
        <f>SQRT(B10^2*C4^2+B11^2*F4^2+2*B10*B11*C5)</f>
        <v>5.9443457476544927E-2</v>
      </c>
      <c r="C14" s="4" t="str">
        <f ca="1">[3]!getformula(B14)</f>
        <v>&lt;--  =SQRT(B10^2*C4^2+B11^2*F4^2+2*B10*B11*C5)</v>
      </c>
    </row>
    <row r="16" spans="1:7" x14ac:dyDescent="0.25">
      <c r="A16" s="7" t="s">
        <v>13</v>
      </c>
    </row>
    <row r="17" spans="1:4" x14ac:dyDescent="0.25">
      <c r="B17" s="4" t="s">
        <v>5</v>
      </c>
      <c r="C17" s="4" t="s">
        <v>14</v>
      </c>
    </row>
    <row r="18" spans="1:4" x14ac:dyDescent="0.25">
      <c r="B18" s="4">
        <f>B14</f>
        <v>5.9443457476544927E-2</v>
      </c>
      <c r="C18" s="4">
        <f>B13</f>
        <v>6.9640039799700876E-3</v>
      </c>
      <c r="D18" s="4" t="str">
        <f ca="1">[3]!getformula(C18)&amp;", data table header"</f>
        <v>&lt;--  =B13, data table header</v>
      </c>
    </row>
    <row r="19" spans="1:4" x14ac:dyDescent="0.25">
      <c r="A19" s="2">
        <v>-1</v>
      </c>
      <c r="B19" s="4">
        <f t="dataTable" ref="B19:C39" dt2D="0" dtr="0" r1="B10"/>
        <v>0.1515172144249069</v>
      </c>
      <c r="C19" s="4">
        <v>7.5857833063263718E-3</v>
      </c>
    </row>
    <row r="20" spans="1:4" x14ac:dyDescent="0.25">
      <c r="A20" s="2">
        <f>A19+0.1</f>
        <v>-0.9</v>
      </c>
      <c r="B20" s="4">
        <v>0.14076839216934853</v>
      </c>
      <c r="C20" s="4">
        <v>7.5443313512359523E-3</v>
      </c>
    </row>
    <row r="21" spans="1:4" x14ac:dyDescent="0.25">
      <c r="A21" s="2">
        <f t="shared" ref="A21:A39" si="0">A20+0.1</f>
        <v>-0.8</v>
      </c>
      <c r="B21" s="4">
        <v>0.13014546586512074</v>
      </c>
      <c r="C21" s="4">
        <v>7.5028793961455335E-3</v>
      </c>
    </row>
    <row r="22" spans="1:4" x14ac:dyDescent="0.25">
      <c r="A22" s="2">
        <f t="shared" si="0"/>
        <v>-0.70000000000000007</v>
      </c>
      <c r="B22" s="4">
        <v>0.1196819636411461</v>
      </c>
      <c r="C22" s="4">
        <v>7.4614274410551157E-3</v>
      </c>
    </row>
    <row r="23" spans="1:4" x14ac:dyDescent="0.25">
      <c r="A23" s="2">
        <f t="shared" si="0"/>
        <v>-0.60000000000000009</v>
      </c>
      <c r="B23" s="4">
        <v>0.109423629263507</v>
      </c>
      <c r="C23" s="4">
        <v>7.4199754859646952E-3</v>
      </c>
    </row>
    <row r="24" spans="1:4" x14ac:dyDescent="0.25">
      <c r="A24" s="2">
        <f t="shared" si="0"/>
        <v>-0.50000000000000011</v>
      </c>
      <c r="B24" s="4">
        <v>9.9433982852140362E-2</v>
      </c>
      <c r="C24" s="4">
        <v>7.3785235308742765E-3</v>
      </c>
    </row>
    <row r="25" spans="1:4" x14ac:dyDescent="0.25">
      <c r="A25" s="2">
        <f t="shared" si="0"/>
        <v>-0.40000000000000013</v>
      </c>
      <c r="B25" s="4">
        <v>8.9802735676189585E-2</v>
      </c>
      <c r="C25" s="4">
        <v>7.3370715757838587E-3</v>
      </c>
    </row>
    <row r="26" spans="1:4" x14ac:dyDescent="0.25">
      <c r="A26" s="2">
        <f t="shared" si="0"/>
        <v>-0.30000000000000016</v>
      </c>
      <c r="B26" s="4">
        <v>8.0658377174729387E-2</v>
      </c>
      <c r="C26" s="4">
        <v>7.2956196206934408E-3</v>
      </c>
    </row>
    <row r="27" spans="1:4" x14ac:dyDescent="0.25">
      <c r="A27" s="2">
        <f t="shared" si="0"/>
        <v>-0.20000000000000015</v>
      </c>
      <c r="B27" s="4">
        <v>7.2186178500040749E-2</v>
      </c>
      <c r="C27" s="4">
        <v>7.2541676656030212E-3</v>
      </c>
    </row>
    <row r="28" spans="1:4" x14ac:dyDescent="0.25">
      <c r="A28" s="2">
        <f t="shared" si="0"/>
        <v>-0.10000000000000014</v>
      </c>
      <c r="B28" s="4">
        <v>6.4650932003058464E-2</v>
      </c>
      <c r="C28" s="4">
        <v>7.2127157105126008E-3</v>
      </c>
    </row>
    <row r="29" spans="1:4" x14ac:dyDescent="0.25">
      <c r="A29" s="2">
        <v>0</v>
      </c>
      <c r="B29" s="4">
        <v>5.8416348188961124E-2</v>
      </c>
      <c r="C29" s="4">
        <v>7.171263755422182E-3</v>
      </c>
    </row>
    <row r="30" spans="1:4" x14ac:dyDescent="0.25">
      <c r="A30" s="2">
        <f>A29+0.1</f>
        <v>0.1</v>
      </c>
      <c r="B30" s="4">
        <v>5.3935373800960175E-2</v>
      </c>
      <c r="C30" s="4">
        <v>7.1298118003317633E-3</v>
      </c>
    </row>
    <row r="31" spans="1:4" x14ac:dyDescent="0.25">
      <c r="A31" s="2">
        <f t="shared" si="0"/>
        <v>0.2</v>
      </c>
      <c r="B31" s="4">
        <v>5.1666308585094092E-2</v>
      </c>
      <c r="C31" s="4">
        <v>7.0883598452413446E-3</v>
      </c>
    </row>
    <row r="32" spans="1:4" x14ac:dyDescent="0.25">
      <c r="A32" s="2">
        <f t="shared" si="0"/>
        <v>0.30000000000000004</v>
      </c>
      <c r="B32" s="4">
        <v>5.1900081146531357E-2</v>
      </c>
      <c r="C32" s="4">
        <v>7.046907890150925E-3</v>
      </c>
    </row>
    <row r="33" spans="1:3" x14ac:dyDescent="0.25">
      <c r="A33" s="2">
        <f t="shared" si="0"/>
        <v>0.4</v>
      </c>
      <c r="B33" s="4">
        <v>5.4604555557832529E-2</v>
      </c>
      <c r="C33" s="4">
        <v>7.0054559350605063E-3</v>
      </c>
    </row>
    <row r="34" spans="1:3" x14ac:dyDescent="0.25">
      <c r="A34" s="2">
        <f t="shared" si="0"/>
        <v>0.5</v>
      </c>
      <c r="B34" s="4">
        <v>5.9443457476544927E-2</v>
      </c>
      <c r="C34" s="4">
        <v>6.9640039799700876E-3</v>
      </c>
    </row>
    <row r="35" spans="1:3" x14ac:dyDescent="0.25">
      <c r="A35" s="2">
        <f t="shared" si="0"/>
        <v>0.6</v>
      </c>
      <c r="B35" s="4">
        <v>6.5948615378252612E-2</v>
      </c>
      <c r="C35" s="4">
        <v>6.922552024879668E-3</v>
      </c>
    </row>
    <row r="36" spans="1:3" x14ac:dyDescent="0.25">
      <c r="A36" s="2">
        <f t="shared" si="0"/>
        <v>0.7</v>
      </c>
      <c r="B36" s="4">
        <v>7.3680005349464353E-2</v>
      </c>
      <c r="C36" s="4">
        <v>6.8811000697892501E-3</v>
      </c>
    </row>
    <row r="37" spans="1:3" x14ac:dyDescent="0.25">
      <c r="A37" s="2">
        <f t="shared" si="0"/>
        <v>0.79999999999999993</v>
      </c>
      <c r="B37" s="4">
        <v>8.2292737168786656E-2</v>
      </c>
      <c r="C37" s="4">
        <v>6.8396481146988305E-3</v>
      </c>
    </row>
    <row r="38" spans="1:3" x14ac:dyDescent="0.25">
      <c r="A38" s="2">
        <f t="shared" si="0"/>
        <v>0.89999999999999991</v>
      </c>
      <c r="B38" s="4">
        <v>9.153837489059119E-2</v>
      </c>
      <c r="C38" s="4">
        <v>6.7981961596084118E-3</v>
      </c>
    </row>
    <row r="39" spans="1:3" x14ac:dyDescent="0.25">
      <c r="A39" s="2">
        <f t="shared" si="0"/>
        <v>0.99999999999999989</v>
      </c>
      <c r="B39" s="4">
        <v>0.10124367461197431</v>
      </c>
      <c r="C39" s="4">
        <v>6.7567442045179914E-3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2024-10-28T03:02:37Z</dcterms:modified>
</cp:coreProperties>
</file>