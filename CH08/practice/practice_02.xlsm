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C7BA996E-9834-4305-8C9D-95AD3D233B7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G12" i="1"/>
  <c r="F12" i="1"/>
  <c r="D12" i="1"/>
  <c r="C12" i="1"/>
  <c r="G11" i="1"/>
  <c r="F11" i="1"/>
  <c r="D11" i="1"/>
  <c r="C11" i="1"/>
  <c r="D8" i="1"/>
  <c r="D7" i="1"/>
  <c r="C7" i="1"/>
  <c r="G5" i="1"/>
  <c r="F5" i="1"/>
  <c r="D5" i="1"/>
  <c r="C5" i="1"/>
  <c r="G4" i="1"/>
  <c r="F4" i="1"/>
  <c r="D4" i="1"/>
  <c r="C4" i="1"/>
  <c r="M75" i="1"/>
  <c r="J75" i="1"/>
  <c r="F75" i="1"/>
  <c r="C75" i="1"/>
  <c r="M74" i="1"/>
  <c r="J74" i="1"/>
  <c r="F74" i="1"/>
  <c r="C74" i="1"/>
  <c r="M73" i="1"/>
  <c r="J73" i="1"/>
  <c r="F73" i="1"/>
  <c r="C73" i="1"/>
  <c r="M72" i="1"/>
  <c r="J72" i="1"/>
  <c r="F72" i="1"/>
  <c r="C72" i="1"/>
  <c r="M71" i="1"/>
  <c r="J71" i="1"/>
  <c r="F71" i="1"/>
  <c r="C71" i="1"/>
  <c r="M70" i="1"/>
  <c r="J70" i="1"/>
  <c r="F70" i="1"/>
  <c r="C70" i="1"/>
  <c r="M69" i="1"/>
  <c r="J69" i="1"/>
  <c r="F69" i="1"/>
  <c r="C69" i="1"/>
  <c r="M68" i="1"/>
  <c r="J68" i="1"/>
  <c r="F68" i="1"/>
  <c r="C68" i="1"/>
  <c r="M67" i="1"/>
  <c r="J67" i="1"/>
  <c r="F67" i="1"/>
  <c r="C67" i="1"/>
  <c r="M66" i="1"/>
  <c r="J66" i="1"/>
  <c r="F66" i="1"/>
  <c r="C66" i="1"/>
  <c r="M65" i="1"/>
  <c r="J65" i="1"/>
  <c r="F65" i="1"/>
  <c r="C65" i="1"/>
  <c r="M64" i="1"/>
  <c r="J64" i="1"/>
  <c r="F64" i="1"/>
  <c r="C64" i="1"/>
  <c r="M63" i="1"/>
  <c r="J63" i="1"/>
  <c r="F63" i="1"/>
  <c r="C63" i="1"/>
  <c r="M62" i="1"/>
  <c r="J62" i="1"/>
  <c r="F62" i="1"/>
  <c r="C62" i="1"/>
  <c r="M61" i="1"/>
  <c r="J61" i="1"/>
  <c r="F61" i="1"/>
  <c r="C61" i="1"/>
  <c r="M60" i="1"/>
  <c r="J60" i="1"/>
  <c r="F60" i="1"/>
  <c r="C60" i="1"/>
  <c r="M59" i="1"/>
  <c r="J59" i="1"/>
  <c r="F59" i="1"/>
  <c r="C59" i="1"/>
  <c r="M58" i="1"/>
  <c r="J58" i="1"/>
  <c r="F58" i="1"/>
  <c r="C58" i="1"/>
  <c r="M57" i="1"/>
  <c r="J57" i="1"/>
  <c r="F57" i="1"/>
  <c r="C57" i="1"/>
  <c r="M56" i="1"/>
  <c r="J56" i="1"/>
  <c r="F56" i="1"/>
  <c r="C56" i="1"/>
  <c r="M55" i="1"/>
  <c r="J55" i="1"/>
  <c r="F55" i="1"/>
  <c r="C55" i="1"/>
  <c r="M54" i="1"/>
  <c r="J54" i="1"/>
  <c r="F54" i="1"/>
  <c r="C54" i="1"/>
  <c r="M53" i="1"/>
  <c r="J53" i="1"/>
  <c r="F53" i="1"/>
  <c r="C53" i="1"/>
  <c r="M52" i="1"/>
  <c r="J52" i="1"/>
  <c r="F52" i="1"/>
  <c r="C52" i="1"/>
  <c r="M51" i="1"/>
  <c r="J51" i="1"/>
  <c r="F51" i="1"/>
  <c r="C51" i="1"/>
  <c r="M50" i="1"/>
  <c r="J50" i="1"/>
  <c r="F50" i="1"/>
  <c r="C50" i="1"/>
  <c r="M49" i="1"/>
  <c r="J49" i="1"/>
  <c r="F49" i="1"/>
  <c r="C49" i="1"/>
  <c r="M48" i="1"/>
  <c r="J48" i="1"/>
  <c r="F48" i="1"/>
  <c r="C48" i="1"/>
  <c r="M47" i="1"/>
  <c r="J47" i="1"/>
  <c r="F47" i="1"/>
  <c r="C47" i="1"/>
  <c r="M46" i="1"/>
  <c r="J46" i="1"/>
  <c r="F46" i="1"/>
  <c r="C46" i="1"/>
  <c r="M45" i="1"/>
  <c r="J45" i="1"/>
  <c r="F45" i="1"/>
  <c r="C45" i="1"/>
  <c r="M44" i="1"/>
  <c r="J44" i="1"/>
  <c r="F44" i="1"/>
  <c r="C44" i="1"/>
  <c r="M43" i="1"/>
  <c r="J43" i="1"/>
  <c r="F43" i="1"/>
  <c r="C43" i="1"/>
  <c r="M42" i="1"/>
  <c r="J42" i="1"/>
  <c r="F42" i="1"/>
  <c r="C42" i="1"/>
  <c r="M41" i="1"/>
  <c r="J41" i="1"/>
  <c r="F41" i="1"/>
  <c r="C41" i="1"/>
  <c r="M40" i="1"/>
  <c r="J40" i="1"/>
  <c r="F40" i="1"/>
  <c r="C40" i="1"/>
  <c r="M39" i="1"/>
  <c r="J39" i="1"/>
  <c r="F39" i="1"/>
  <c r="C39" i="1"/>
  <c r="M38" i="1"/>
  <c r="J38" i="1"/>
  <c r="F38" i="1"/>
  <c r="C38" i="1"/>
  <c r="M37" i="1"/>
  <c r="J37" i="1"/>
  <c r="F37" i="1"/>
  <c r="C37" i="1"/>
  <c r="M36" i="1"/>
  <c r="J36" i="1"/>
  <c r="F36" i="1"/>
  <c r="C36" i="1"/>
  <c r="M35" i="1"/>
  <c r="J35" i="1"/>
  <c r="F35" i="1"/>
  <c r="C35" i="1"/>
  <c r="M34" i="1"/>
  <c r="J34" i="1"/>
  <c r="F34" i="1"/>
  <c r="C34" i="1"/>
  <c r="M33" i="1"/>
  <c r="J33" i="1"/>
  <c r="F33" i="1"/>
  <c r="C33" i="1"/>
  <c r="M32" i="1"/>
  <c r="J32" i="1"/>
  <c r="F32" i="1"/>
  <c r="C32" i="1"/>
  <c r="M31" i="1"/>
  <c r="J31" i="1"/>
  <c r="F31" i="1"/>
  <c r="C31" i="1"/>
  <c r="M30" i="1"/>
  <c r="J30" i="1"/>
  <c r="F30" i="1"/>
  <c r="C30" i="1"/>
  <c r="M29" i="1"/>
  <c r="J29" i="1"/>
  <c r="F29" i="1"/>
  <c r="C29" i="1"/>
  <c r="M28" i="1"/>
  <c r="J28" i="1"/>
  <c r="F28" i="1"/>
  <c r="C28" i="1"/>
  <c r="M27" i="1"/>
  <c r="J27" i="1"/>
  <c r="F27" i="1"/>
  <c r="C27" i="1"/>
  <c r="M26" i="1"/>
  <c r="J26" i="1"/>
  <c r="F26" i="1"/>
  <c r="C26" i="1"/>
  <c r="M25" i="1"/>
  <c r="J25" i="1"/>
  <c r="F25" i="1"/>
  <c r="C25" i="1"/>
  <c r="M24" i="1"/>
  <c r="J24" i="1"/>
  <c r="F24" i="1"/>
  <c r="C24" i="1"/>
  <c r="M23" i="1"/>
  <c r="J23" i="1"/>
  <c r="F23" i="1"/>
  <c r="C23" i="1"/>
  <c r="M22" i="1"/>
  <c r="J22" i="1"/>
  <c r="F22" i="1"/>
  <c r="C22" i="1"/>
  <c r="M21" i="1"/>
  <c r="J21" i="1"/>
  <c r="F21" i="1"/>
  <c r="C21" i="1"/>
  <c r="M20" i="1"/>
  <c r="J20" i="1"/>
  <c r="F20" i="1"/>
  <c r="C20" i="1"/>
  <c r="M19" i="1"/>
  <c r="J19" i="1"/>
  <c r="F19" i="1"/>
  <c r="C19" i="1"/>
  <c r="M18" i="1"/>
  <c r="J18" i="1"/>
  <c r="F18" i="1"/>
  <c r="C18" i="1"/>
  <c r="M17" i="1"/>
  <c r="J17" i="1"/>
  <c r="F17" i="1"/>
  <c r="C17" i="1"/>
  <c r="M16" i="1"/>
  <c r="J16" i="1"/>
  <c r="F16" i="1"/>
  <c r="C16" i="1"/>
  <c r="H12" i="1"/>
  <c r="H11" i="1"/>
  <c r="E7" i="1"/>
  <c r="E8" i="1"/>
  <c r="H5" i="1"/>
  <c r="H4" i="1"/>
</calcChain>
</file>

<file path=xl/sharedStrings.xml><?xml version="1.0" encoding="utf-8"?>
<sst xmlns="http://schemas.openxmlformats.org/spreadsheetml/2006/main" count="19" uniqueCount="11">
  <si>
    <t>ALCOA (AA) AND JOHNSON &amp; JOHNSON (JNJ)</t>
  </si>
  <si>
    <t>Monthly statistics</t>
  </si>
  <si>
    <t>1997 - 
2002</t>
  </si>
  <si>
    <t>2002 - 
2007</t>
  </si>
  <si>
    <t>AA</t>
  </si>
  <si>
    <t>JNJ</t>
  </si>
  <si>
    <t>Average</t>
  </si>
  <si>
    <t>Sigma</t>
  </si>
  <si>
    <t>Covariance</t>
  </si>
  <si>
    <t>Correlation</t>
  </si>
  <si>
    <t>Annual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</si>
</sst>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/>
    <xf numFmtId="176" fontId="0" fillId="0" borderId="0" xfId="0" applyNumberFormat="1" applyAlignment="1"/>
    <xf numFmtId="176" fontId="4" fillId="0" borderId="0" xfId="0" applyNumberFormat="1" applyFont="1" applyAlignment="1">
      <alignment horizontal="center" wrapText="1"/>
    </xf>
    <xf numFmtId="176" fontId="4" fillId="0" borderId="0" xfId="0" applyNumberFormat="1" applyFont="1" applyAlignment="1">
      <alignment horizontal="center"/>
    </xf>
    <xf numFmtId="176" fontId="0" fillId="0" borderId="0" xfId="0" applyNumberFormat="1" applyAlignment="1">
      <alignment wrapText="1"/>
    </xf>
    <xf numFmtId="10" fontId="0" fillId="0" borderId="0" xfId="1" applyNumberFormat="1" applyFont="1" applyAlignment="1"/>
    <xf numFmtId="10" fontId="0" fillId="0" borderId="0" xfId="0" applyNumberFormat="1" applyAlignment="1"/>
    <xf numFmtId="176" fontId="4" fillId="2" borderId="0" xfId="0" applyNumberFormat="1" applyFont="1" applyFill="1" applyAlignment="1">
      <alignment horizontal="center"/>
    </xf>
    <xf numFmtId="2" fontId="0" fillId="0" borderId="0" xfId="0" applyNumberFormat="1" applyAlignment="1"/>
    <xf numFmtId="14" fontId="0" fillId="0" borderId="0" xfId="0" applyNumberFormat="1" applyAlignment="1">
      <alignment horizontal="center"/>
    </xf>
    <xf numFmtId="176" fontId="5" fillId="0" borderId="0" xfId="0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471012</xdr:colOff>
      <xdr:row>0</xdr:row>
      <xdr:rowOff>160971</xdr:rowOff>
    </xdr:from>
    <xdr:to>
      <xdr:col>27</xdr:col>
      <xdr:colOff>131922</xdr:colOff>
      <xdr:row>74</xdr:row>
      <xdr:rowOff>55482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E92A2BB-9796-B48B-7AB6-E837231D4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942309" y="160971"/>
          <a:ext cx="8171497" cy="1288780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75"/>
  <sheetViews>
    <sheetView tabSelected="1" zoomScale="160" zoomScaleNormal="160" workbookViewId="0">
      <selection activeCell="G10" sqref="G10"/>
    </sheetView>
  </sheetViews>
  <sheetFormatPr defaultRowHeight="13.8" x14ac:dyDescent="0.25"/>
  <cols>
    <col min="1" max="1" width="13.44140625" style="2" customWidth="1"/>
    <col min="2" max="3" width="9.109375" style="4" customWidth="1"/>
    <col min="4" max="4" width="10.109375" style="4" bestFit="1" customWidth="1"/>
    <col min="5" max="6" width="9.109375" style="4" customWidth="1"/>
    <col min="7" max="7" width="7.33203125" style="2" bestFit="1" customWidth="1"/>
    <col min="8" max="8" width="10.109375" style="2" bestFit="1" customWidth="1"/>
    <col min="9" max="10" width="8.88671875" style="2"/>
    <col min="11" max="11" width="10.109375" style="2" bestFit="1" customWidth="1"/>
    <col min="12" max="13" width="8.88671875" style="2"/>
  </cols>
  <sheetData>
    <row r="1" spans="1:13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13" ht="26.4" x14ac:dyDescent="0.25">
      <c r="A2" s="3" t="s">
        <v>1</v>
      </c>
      <c r="C2" s="5" t="s">
        <v>2</v>
      </c>
      <c r="D2" s="5" t="s">
        <v>3</v>
      </c>
      <c r="E2" s="6"/>
      <c r="F2" s="5" t="s">
        <v>2</v>
      </c>
      <c r="G2" s="5" t="s">
        <v>3</v>
      </c>
    </row>
    <row r="3" spans="1:13" x14ac:dyDescent="0.25">
      <c r="A3" s="3"/>
      <c r="C3" s="5" t="s">
        <v>4</v>
      </c>
      <c r="D3" s="7"/>
      <c r="F3" s="5" t="s">
        <v>5</v>
      </c>
      <c r="G3" s="7"/>
    </row>
    <row r="4" spans="1:13" x14ac:dyDescent="0.25">
      <c r="A4" s="2" t="s">
        <v>6</v>
      </c>
      <c r="C4" s="8">
        <f>AVERAGE(C16:C75)</f>
        <v>4.7288294579554595E-3</v>
      </c>
      <c r="D4" s="8">
        <f>AVERAGE(F16:F75)</f>
        <v>8.7846589510805206E-3</v>
      </c>
      <c r="F4" s="9">
        <f>AVERAGE(J16:J75)</f>
        <v>9.8694024123930323E-3</v>
      </c>
      <c r="G4" s="9">
        <f>AVERAGE(M16:M75)</f>
        <v>4.4731250984513284E-3</v>
      </c>
      <c r="H4" s="2" t="str">
        <f ca="1">[1]!getformula(G4)</f>
        <v>&lt;--  =AVERAGE(M16:M75)</v>
      </c>
    </row>
    <row r="5" spans="1:13" x14ac:dyDescent="0.25">
      <c r="A5" s="2" t="s">
        <v>7</v>
      </c>
      <c r="C5" s="8">
        <f>_xlfn.STDEV.P(C16:C75)</f>
        <v>0.11375377842019931</v>
      </c>
      <c r="D5" s="8">
        <f>_xlfn.STDEV.P(F16:F75)</f>
        <v>8.6904639211955903E-2</v>
      </c>
      <c r="F5" s="9">
        <f>_xlfn.STDEV.P(J16:J75)</f>
        <v>7.4868284401947885E-2</v>
      </c>
      <c r="G5" s="9">
        <f>_xlfn.STDEV.P(M16:M75)</f>
        <v>3.4714831956275484E-2</v>
      </c>
      <c r="H5" s="2" t="str">
        <f ca="1">[1]!getformula(G5)</f>
        <v>&lt;--  =STDEV.P(M16:M75)</v>
      </c>
    </row>
    <row r="7" spans="1:13" x14ac:dyDescent="0.25">
      <c r="A7" s="2" t="s">
        <v>8</v>
      </c>
      <c r="C7" s="4">
        <f>_xlfn.COVARIANCE.P(C16:C75,J16:J75)</f>
        <v>7.7281993776239367E-4</v>
      </c>
      <c r="D7" s="4">
        <f>_xlfn.COVARIANCE.P(F16:F75,M16:M75)</f>
        <v>-2.9052958502696717E-4</v>
      </c>
      <c r="E7" s="13" t="str">
        <f ca="1">[1]!getformula(D7)</f>
        <v>&lt;--  =COVARIANCE.P(F16:F75,M16:M75)</v>
      </c>
    </row>
    <row r="8" spans="1:13" x14ac:dyDescent="0.25">
      <c r="A8" s="2" t="s">
        <v>9</v>
      </c>
      <c r="C8" s="4">
        <f>CORREL(C16:C75,J16:J75)</f>
        <v>9.0743307616074048E-2</v>
      </c>
      <c r="D8" s="4">
        <f>CORREL(F16:F75,M16:M75)</f>
        <v>-9.6301341181145819E-2</v>
      </c>
      <c r="E8" s="13" t="str">
        <f ca="1">[1]!getformula(D8)</f>
        <v>&lt;--  =CORREL(F16:F75,M16:M75)</v>
      </c>
    </row>
    <row r="10" spans="1:13" x14ac:dyDescent="0.25">
      <c r="A10" s="3" t="s">
        <v>10</v>
      </c>
      <c r="C10" s="6" t="s">
        <v>4</v>
      </c>
      <c r="F10" s="6" t="s">
        <v>5</v>
      </c>
    </row>
    <row r="11" spans="1:13" x14ac:dyDescent="0.25">
      <c r="A11" s="2" t="s">
        <v>6</v>
      </c>
      <c r="C11" s="9">
        <f>C4*12</f>
        <v>5.6745953495465518E-2</v>
      </c>
      <c r="D11" s="9">
        <f>D4*12</f>
        <v>0.10541590741296625</v>
      </c>
      <c r="F11" s="9">
        <f>F4*12</f>
        <v>0.11843282894871639</v>
      </c>
      <c r="G11" s="9">
        <f>G4*12</f>
        <v>5.367750118141594E-2</v>
      </c>
      <c r="H11" s="9" t="str">
        <f ca="1">[1]!getformula(G11)</f>
        <v>&lt;--  =G4*12</v>
      </c>
    </row>
    <row r="12" spans="1:13" x14ac:dyDescent="0.25">
      <c r="A12" s="2" t="s">
        <v>7</v>
      </c>
      <c r="C12" s="9">
        <f>C5*SQRT(12)</f>
        <v>0.39405464755343467</v>
      </c>
      <c r="D12" s="9">
        <f>D5*SQRT(12)</f>
        <v>0.30104650105710029</v>
      </c>
      <c r="F12" s="9">
        <f>F5*SQRT(12)</f>
        <v>0.25935134491938039</v>
      </c>
      <c r="G12" s="9">
        <f>G5*SQRT(12)</f>
        <v>0.12025570544896963</v>
      </c>
      <c r="H12" s="9" t="str">
        <f ca="1">[1]!getformula(G12)</f>
        <v>&lt;--  =G5*SQRT(12)</v>
      </c>
    </row>
    <row r="14" spans="1:13" x14ac:dyDescent="0.25">
      <c r="A14" s="10" t="s">
        <v>4</v>
      </c>
      <c r="B14" s="10"/>
      <c r="C14" s="10"/>
      <c r="D14" s="10"/>
      <c r="E14" s="10"/>
      <c r="F14" s="10"/>
      <c r="G14" s="3"/>
      <c r="H14" s="10" t="s">
        <v>5</v>
      </c>
      <c r="I14" s="10"/>
      <c r="J14" s="10"/>
      <c r="K14" s="10"/>
      <c r="L14" s="10"/>
      <c r="M14" s="10"/>
    </row>
    <row r="15" spans="1:13" x14ac:dyDescent="0.25">
      <c r="A15" s="12">
        <v>35612</v>
      </c>
      <c r="B15" s="11">
        <v>18.38</v>
      </c>
      <c r="D15" s="12">
        <v>37438</v>
      </c>
      <c r="E15" s="11">
        <v>24.41</v>
      </c>
      <c r="F15" s="8"/>
      <c r="H15" s="12">
        <v>35612</v>
      </c>
      <c r="I15" s="11">
        <v>26.34</v>
      </c>
      <c r="J15" s="4"/>
      <c r="K15" s="12">
        <v>37438</v>
      </c>
      <c r="L15" s="11">
        <v>47.62</v>
      </c>
      <c r="M15" s="8"/>
    </row>
    <row r="16" spans="1:13" x14ac:dyDescent="0.25">
      <c r="A16" s="12">
        <v>35643</v>
      </c>
      <c r="B16" s="11">
        <v>17.13</v>
      </c>
      <c r="C16" s="8">
        <f>LN(B16/B15)</f>
        <v>-7.0431804591512437E-2</v>
      </c>
      <c r="D16" s="12">
        <v>37469</v>
      </c>
      <c r="E16" s="11">
        <v>22.64</v>
      </c>
      <c r="F16" s="8">
        <f>LN(E16/E15)</f>
        <v>-7.5274631069886494E-2</v>
      </c>
      <c r="H16" s="12">
        <v>35643</v>
      </c>
      <c r="I16" s="11">
        <v>24.12</v>
      </c>
      <c r="J16" s="8">
        <f>LN(I16/I15)</f>
        <v>-8.8047324456150197E-2</v>
      </c>
      <c r="K16" s="12">
        <v>37469</v>
      </c>
      <c r="L16" s="11">
        <v>49.34</v>
      </c>
      <c r="M16" s="8">
        <f>LN(L16/L15)</f>
        <v>3.5482270042494088E-2</v>
      </c>
    </row>
    <row r="17" spans="1:13" x14ac:dyDescent="0.25">
      <c r="A17" s="12">
        <v>35675</v>
      </c>
      <c r="B17" s="11">
        <v>17.079999999999998</v>
      </c>
      <c r="C17" s="8">
        <f t="shared" ref="C17:C75" si="0">LN(B17/B16)</f>
        <v>-2.9231239756048119E-3</v>
      </c>
      <c r="D17" s="12">
        <v>37502</v>
      </c>
      <c r="E17" s="11">
        <v>17.41</v>
      </c>
      <c r="F17" s="8">
        <f t="shared" ref="F17:F75" si="1">LN(E17/E16)</f>
        <v>-0.2626734995548845</v>
      </c>
      <c r="H17" s="12">
        <v>35675</v>
      </c>
      <c r="I17" s="11">
        <v>24.55</v>
      </c>
      <c r="J17" s="8">
        <f t="shared" ref="J17:J75" si="2">LN(I17/I16)</f>
        <v>1.7670482381544839E-2</v>
      </c>
      <c r="K17" s="12">
        <v>37502</v>
      </c>
      <c r="L17" s="11">
        <v>49.13</v>
      </c>
      <c r="M17" s="8">
        <f t="shared" ref="M17:M75" si="3">LN(L17/L16)</f>
        <v>-4.2652649206538131E-3</v>
      </c>
    </row>
    <row r="18" spans="1:13" x14ac:dyDescent="0.25">
      <c r="A18" s="12">
        <v>35704</v>
      </c>
      <c r="B18" s="11">
        <v>15.2</v>
      </c>
      <c r="C18" s="8">
        <f t="shared" si="0"/>
        <v>-0.11661276050819298</v>
      </c>
      <c r="D18" s="12">
        <v>37530</v>
      </c>
      <c r="E18" s="11">
        <v>19.91</v>
      </c>
      <c r="F18" s="8">
        <f t="shared" si="1"/>
        <v>0.13417736429600732</v>
      </c>
      <c r="H18" s="12">
        <v>35704</v>
      </c>
      <c r="I18" s="11">
        <v>24.41</v>
      </c>
      <c r="J18" s="8">
        <f t="shared" si="2"/>
        <v>-5.7189698356608634E-3</v>
      </c>
      <c r="K18" s="12">
        <v>37530</v>
      </c>
      <c r="L18" s="11">
        <v>53.38</v>
      </c>
      <c r="M18" s="8">
        <f t="shared" si="3"/>
        <v>8.2966297795821195E-2</v>
      </c>
    </row>
    <row r="19" spans="1:13" x14ac:dyDescent="0.25">
      <c r="A19" s="12">
        <v>35737</v>
      </c>
      <c r="B19" s="11">
        <v>14.05</v>
      </c>
      <c r="C19" s="8">
        <f t="shared" si="0"/>
        <v>-7.8673032072475862E-2</v>
      </c>
      <c r="D19" s="12">
        <v>37561</v>
      </c>
      <c r="E19" s="11">
        <v>23.2</v>
      </c>
      <c r="F19" s="8">
        <f t="shared" si="1"/>
        <v>0.15293016059615935</v>
      </c>
      <c r="H19" s="12">
        <v>35737</v>
      </c>
      <c r="I19" s="11">
        <v>26.88</v>
      </c>
      <c r="J19" s="8">
        <f t="shared" si="2"/>
        <v>9.638963125007996E-2</v>
      </c>
      <c r="K19" s="12">
        <v>37561</v>
      </c>
      <c r="L19" s="11">
        <v>51.98</v>
      </c>
      <c r="M19" s="8">
        <f t="shared" si="3"/>
        <v>-2.6577114763033999E-2</v>
      </c>
    </row>
    <row r="20" spans="1:13" x14ac:dyDescent="0.25">
      <c r="A20" s="12">
        <v>35765</v>
      </c>
      <c r="B20" s="11">
        <v>14.71</v>
      </c>
      <c r="C20" s="8">
        <f t="shared" si="0"/>
        <v>4.5905138833591486E-2</v>
      </c>
      <c r="D20" s="12">
        <v>37592</v>
      </c>
      <c r="E20" s="11">
        <v>20.69</v>
      </c>
      <c r="F20" s="8">
        <f t="shared" si="1"/>
        <v>-0.11450178691481255</v>
      </c>
      <c r="H20" s="12">
        <v>35765</v>
      </c>
      <c r="I20" s="11">
        <v>28.13</v>
      </c>
      <c r="J20" s="8">
        <f t="shared" si="2"/>
        <v>4.5454106846816771E-2</v>
      </c>
      <c r="K20" s="12">
        <v>37592</v>
      </c>
      <c r="L20" s="11">
        <v>48.96</v>
      </c>
      <c r="M20" s="8">
        <f t="shared" si="3"/>
        <v>-5.9855391009273493E-2</v>
      </c>
    </row>
    <row r="21" spans="1:13" x14ac:dyDescent="0.25">
      <c r="A21" s="12">
        <v>35797</v>
      </c>
      <c r="B21" s="11">
        <v>15.96</v>
      </c>
      <c r="C21" s="8">
        <f t="shared" si="0"/>
        <v>8.1558057408316634E-2</v>
      </c>
      <c r="D21" s="12">
        <v>37623</v>
      </c>
      <c r="E21" s="11">
        <v>17.95</v>
      </c>
      <c r="F21" s="8">
        <f t="shared" si="1"/>
        <v>-0.14206037682316391</v>
      </c>
      <c r="H21" s="12">
        <v>35797</v>
      </c>
      <c r="I21" s="11">
        <v>28.59</v>
      </c>
      <c r="J21" s="8">
        <f t="shared" si="2"/>
        <v>1.6220383832454891E-2</v>
      </c>
      <c r="K21" s="12">
        <v>37623</v>
      </c>
      <c r="L21" s="11">
        <v>48.87</v>
      </c>
      <c r="M21" s="8">
        <f t="shared" si="3"/>
        <v>-1.8399269220072938E-3</v>
      </c>
    </row>
    <row r="22" spans="1:13" x14ac:dyDescent="0.25">
      <c r="A22" s="12">
        <v>35828</v>
      </c>
      <c r="B22" s="11">
        <v>15.41</v>
      </c>
      <c r="C22" s="8">
        <f t="shared" si="0"/>
        <v>-3.5068942689638338E-2</v>
      </c>
      <c r="D22" s="12">
        <v>37655</v>
      </c>
      <c r="E22" s="11">
        <v>18.760000000000002</v>
      </c>
      <c r="F22" s="8">
        <f t="shared" si="1"/>
        <v>4.413682864379085E-2</v>
      </c>
      <c r="H22" s="12">
        <v>35828</v>
      </c>
      <c r="I22" s="11">
        <v>32.29</v>
      </c>
      <c r="J22" s="8">
        <f t="shared" si="2"/>
        <v>0.12170057843596346</v>
      </c>
      <c r="K22" s="12">
        <v>37655</v>
      </c>
      <c r="L22" s="11">
        <v>48.01</v>
      </c>
      <c r="M22" s="8">
        <f t="shared" si="3"/>
        <v>-1.7754388739214498E-2</v>
      </c>
    </row>
    <row r="23" spans="1:13" x14ac:dyDescent="0.25">
      <c r="A23" s="12">
        <v>35856</v>
      </c>
      <c r="B23" s="11">
        <v>14.45</v>
      </c>
      <c r="C23" s="8">
        <f t="shared" si="0"/>
        <v>-6.4322234773583259E-2</v>
      </c>
      <c r="D23" s="12">
        <v>37683</v>
      </c>
      <c r="E23" s="11">
        <v>17.739999999999998</v>
      </c>
      <c r="F23" s="8">
        <f t="shared" si="1"/>
        <v>-5.5904966696645401E-2</v>
      </c>
      <c r="H23" s="12">
        <v>35856</v>
      </c>
      <c r="I23" s="11">
        <v>31.46</v>
      </c>
      <c r="J23" s="8">
        <f t="shared" si="2"/>
        <v>-2.6040687140052012E-2</v>
      </c>
      <c r="K23" s="12">
        <v>37683</v>
      </c>
      <c r="L23" s="11">
        <v>52.97</v>
      </c>
      <c r="M23" s="8">
        <f t="shared" si="3"/>
        <v>9.8316393013586356E-2</v>
      </c>
    </row>
    <row r="24" spans="1:13" x14ac:dyDescent="0.25">
      <c r="A24" s="12">
        <v>35886</v>
      </c>
      <c r="B24" s="11">
        <v>16.27</v>
      </c>
      <c r="C24" s="8">
        <f t="shared" si="0"/>
        <v>0.1186285066725052</v>
      </c>
      <c r="D24" s="12">
        <v>37712</v>
      </c>
      <c r="E24" s="11">
        <v>21.13</v>
      </c>
      <c r="F24" s="8">
        <f t="shared" si="1"/>
        <v>0.174871854746532</v>
      </c>
      <c r="H24" s="12">
        <v>35886</v>
      </c>
      <c r="I24" s="11">
        <v>30.63</v>
      </c>
      <c r="J24" s="8">
        <f t="shared" si="2"/>
        <v>-2.6736976785447928E-2</v>
      </c>
      <c r="K24" s="12">
        <v>37712</v>
      </c>
      <c r="L24" s="11">
        <v>51.59</v>
      </c>
      <c r="M24" s="8">
        <f t="shared" si="3"/>
        <v>-2.6397860299876716E-2</v>
      </c>
    </row>
    <row r="25" spans="1:13" x14ac:dyDescent="0.25">
      <c r="A25" s="12">
        <v>35916</v>
      </c>
      <c r="B25" s="11">
        <v>14.61</v>
      </c>
      <c r="C25" s="8">
        <f t="shared" si="0"/>
        <v>-0.1076166954683383</v>
      </c>
      <c r="D25" s="12">
        <v>37742</v>
      </c>
      <c r="E25" s="11">
        <v>22.67</v>
      </c>
      <c r="F25" s="8">
        <f t="shared" si="1"/>
        <v>7.0348632891472362E-2</v>
      </c>
      <c r="H25" s="12">
        <v>35916</v>
      </c>
      <c r="I25" s="11">
        <v>29.69</v>
      </c>
      <c r="J25" s="8">
        <f t="shared" si="2"/>
        <v>-3.1169632069015407E-2</v>
      </c>
      <c r="K25" s="12">
        <v>37742</v>
      </c>
      <c r="L25" s="11">
        <v>49.97</v>
      </c>
      <c r="M25" s="8">
        <f t="shared" si="3"/>
        <v>-3.1905029900444998E-2</v>
      </c>
    </row>
    <row r="26" spans="1:13" x14ac:dyDescent="0.25">
      <c r="A26" s="12">
        <v>35947</v>
      </c>
      <c r="B26" s="11">
        <v>13.89</v>
      </c>
      <c r="C26" s="8">
        <f t="shared" si="0"/>
        <v>-5.0537068996355669E-2</v>
      </c>
      <c r="D26" s="12">
        <v>37774</v>
      </c>
      <c r="E26" s="11">
        <v>23.49</v>
      </c>
      <c r="F26" s="8">
        <f t="shared" si="1"/>
        <v>3.5532334151383599E-2</v>
      </c>
      <c r="H26" s="12">
        <v>35947</v>
      </c>
      <c r="I26" s="11">
        <v>31.81</v>
      </c>
      <c r="J26" s="8">
        <f t="shared" si="2"/>
        <v>6.8970416985384267E-2</v>
      </c>
      <c r="K26" s="12">
        <v>37774</v>
      </c>
      <c r="L26" s="11">
        <v>47.53</v>
      </c>
      <c r="M26" s="8">
        <f t="shared" si="3"/>
        <v>-5.0061734730195484E-2</v>
      </c>
    </row>
    <row r="27" spans="1:13" x14ac:dyDescent="0.25">
      <c r="A27" s="12">
        <v>35977</v>
      </c>
      <c r="B27" s="11">
        <v>14.6</v>
      </c>
      <c r="C27" s="8">
        <f t="shared" si="0"/>
        <v>4.9852371948038258E-2</v>
      </c>
      <c r="D27" s="12">
        <v>37803</v>
      </c>
      <c r="E27" s="11">
        <v>25.59</v>
      </c>
      <c r="F27" s="8">
        <f t="shared" si="1"/>
        <v>8.5626851500876025E-2</v>
      </c>
      <c r="H27" s="12">
        <v>35977</v>
      </c>
      <c r="I27" s="11">
        <v>33.21</v>
      </c>
      <c r="J27" s="8">
        <f t="shared" si="2"/>
        <v>4.3070329627602592E-2</v>
      </c>
      <c r="K27" s="12">
        <v>37803</v>
      </c>
      <c r="L27" s="11">
        <v>47.61</v>
      </c>
      <c r="M27" s="8">
        <f t="shared" si="3"/>
        <v>1.6817325805092312E-3</v>
      </c>
    </row>
    <row r="28" spans="1:13" x14ac:dyDescent="0.25">
      <c r="A28" s="12">
        <v>36010</v>
      </c>
      <c r="B28" s="11">
        <v>12.66</v>
      </c>
      <c r="C28" s="8">
        <f t="shared" si="0"/>
        <v>-0.14257411199826056</v>
      </c>
      <c r="D28" s="12">
        <v>37834</v>
      </c>
      <c r="E28" s="11">
        <v>26.46</v>
      </c>
      <c r="F28" s="8">
        <f t="shared" si="1"/>
        <v>3.3432508515112321E-2</v>
      </c>
      <c r="H28" s="12">
        <v>36010</v>
      </c>
      <c r="I28" s="11">
        <v>29.76</v>
      </c>
      <c r="J28" s="8">
        <f t="shared" si="2"/>
        <v>-0.10968582542376401</v>
      </c>
      <c r="K28" s="12">
        <v>37834</v>
      </c>
      <c r="L28" s="11">
        <v>45.8</v>
      </c>
      <c r="M28" s="8">
        <f t="shared" si="3"/>
        <v>-3.8758732086288217E-2</v>
      </c>
    </row>
    <row r="29" spans="1:13" x14ac:dyDescent="0.25">
      <c r="A29" s="12">
        <v>36039</v>
      </c>
      <c r="B29" s="11">
        <v>15.02</v>
      </c>
      <c r="C29" s="8">
        <f t="shared" si="0"/>
        <v>0.17093522961995844</v>
      </c>
      <c r="D29" s="12">
        <v>37866</v>
      </c>
      <c r="E29" s="11">
        <v>24.24</v>
      </c>
      <c r="F29" s="8">
        <f t="shared" si="1"/>
        <v>-8.7629997485696068E-2</v>
      </c>
      <c r="H29" s="12">
        <v>36039</v>
      </c>
      <c r="I29" s="11">
        <v>33.75</v>
      </c>
      <c r="J29" s="8">
        <f t="shared" si="2"/>
        <v>0.12581520735364768</v>
      </c>
      <c r="K29" s="12">
        <v>37866</v>
      </c>
      <c r="L29" s="11">
        <v>45.74</v>
      </c>
      <c r="M29" s="8">
        <f t="shared" si="3"/>
        <v>-1.3109025255040737E-3</v>
      </c>
    </row>
    <row r="30" spans="1:13" x14ac:dyDescent="0.25">
      <c r="A30" s="12">
        <v>36069</v>
      </c>
      <c r="B30" s="11">
        <v>16.760000000000002</v>
      </c>
      <c r="C30" s="8">
        <f t="shared" si="0"/>
        <v>0.10961244871794833</v>
      </c>
      <c r="D30" s="12">
        <v>37895</v>
      </c>
      <c r="E30" s="11">
        <v>29.25</v>
      </c>
      <c r="F30" s="8">
        <f t="shared" si="1"/>
        <v>0.18787541247675185</v>
      </c>
      <c r="H30" s="12">
        <v>36069</v>
      </c>
      <c r="I30" s="11">
        <v>35.15</v>
      </c>
      <c r="J30" s="8">
        <f t="shared" si="2"/>
        <v>4.0644200938135054E-2</v>
      </c>
      <c r="K30" s="12">
        <v>37895</v>
      </c>
      <c r="L30" s="11">
        <v>46.49</v>
      </c>
      <c r="M30" s="8">
        <f t="shared" si="3"/>
        <v>1.6264047107858219E-2</v>
      </c>
    </row>
    <row r="31" spans="1:13" x14ac:dyDescent="0.25">
      <c r="A31" s="12">
        <v>36101</v>
      </c>
      <c r="B31" s="11">
        <v>15.75</v>
      </c>
      <c r="C31" s="8">
        <f t="shared" si="0"/>
        <v>-6.2154729782295033E-2</v>
      </c>
      <c r="D31" s="12">
        <v>37928</v>
      </c>
      <c r="E31" s="11">
        <v>30.54</v>
      </c>
      <c r="F31" s="8">
        <f t="shared" si="1"/>
        <v>4.3157726112620851E-2</v>
      </c>
      <c r="H31" s="12">
        <v>36101</v>
      </c>
      <c r="I31" s="11">
        <v>35.15</v>
      </c>
      <c r="J31" s="8">
        <f t="shared" si="2"/>
        <v>0</v>
      </c>
      <c r="K31" s="12">
        <v>37928</v>
      </c>
      <c r="L31" s="11">
        <v>45.76</v>
      </c>
      <c r="M31" s="8">
        <f t="shared" si="3"/>
        <v>-1.582688863095098E-2</v>
      </c>
    </row>
    <row r="32" spans="1:13" x14ac:dyDescent="0.25">
      <c r="A32" s="12">
        <v>36130</v>
      </c>
      <c r="B32" s="11">
        <v>15.82</v>
      </c>
      <c r="C32" s="8">
        <f t="shared" si="0"/>
        <v>4.4345970678657748E-3</v>
      </c>
      <c r="D32" s="12">
        <v>37956</v>
      </c>
      <c r="E32" s="11">
        <v>35.369999999999997</v>
      </c>
      <c r="F32" s="8">
        <f t="shared" si="1"/>
        <v>0.14682670342690285</v>
      </c>
      <c r="H32" s="12">
        <v>36130</v>
      </c>
      <c r="I32" s="11">
        <v>36.28</v>
      </c>
      <c r="J32" s="8">
        <f t="shared" si="2"/>
        <v>3.1642006990261977E-2</v>
      </c>
      <c r="K32" s="12">
        <v>37956</v>
      </c>
      <c r="L32" s="11">
        <v>47.95</v>
      </c>
      <c r="M32" s="8">
        <f t="shared" si="3"/>
        <v>4.6748454257904824E-2</v>
      </c>
    </row>
    <row r="33" spans="1:13" x14ac:dyDescent="0.25">
      <c r="A33" s="12">
        <v>36164</v>
      </c>
      <c r="B33" s="11">
        <v>17.73</v>
      </c>
      <c r="C33" s="8">
        <f t="shared" si="0"/>
        <v>0.11398315774660872</v>
      </c>
      <c r="D33" s="12">
        <v>37988</v>
      </c>
      <c r="E33" s="11">
        <v>31.82</v>
      </c>
      <c r="F33" s="8">
        <f t="shared" si="1"/>
        <v>-0.10576898030774839</v>
      </c>
      <c r="H33" s="12">
        <v>36164</v>
      </c>
      <c r="I33" s="11">
        <v>36.82</v>
      </c>
      <c r="J33" s="8">
        <f t="shared" si="2"/>
        <v>1.477455055799598E-2</v>
      </c>
      <c r="K33" s="12">
        <v>37988</v>
      </c>
      <c r="L33" s="11">
        <v>49.58</v>
      </c>
      <c r="M33" s="8">
        <f t="shared" si="3"/>
        <v>3.3428725277597028E-2</v>
      </c>
    </row>
    <row r="34" spans="1:13" x14ac:dyDescent="0.25">
      <c r="A34" s="12">
        <v>36192</v>
      </c>
      <c r="B34" s="11">
        <v>17.27</v>
      </c>
      <c r="C34" s="8">
        <f t="shared" si="0"/>
        <v>-2.6287227927529317E-2</v>
      </c>
      <c r="D34" s="12">
        <v>38019</v>
      </c>
      <c r="E34" s="11">
        <v>35.03</v>
      </c>
      <c r="F34" s="8">
        <f t="shared" si="1"/>
        <v>9.6109814299754695E-2</v>
      </c>
      <c r="H34" s="12">
        <v>36192</v>
      </c>
      <c r="I34" s="11">
        <v>37.04</v>
      </c>
      <c r="J34" s="8">
        <f t="shared" si="2"/>
        <v>5.9572339730467137E-3</v>
      </c>
      <c r="K34" s="12">
        <v>38019</v>
      </c>
      <c r="L34" s="11">
        <v>50.26</v>
      </c>
      <c r="M34" s="8">
        <f t="shared" si="3"/>
        <v>1.3622005508401595E-2</v>
      </c>
    </row>
    <row r="35" spans="1:13" x14ac:dyDescent="0.25">
      <c r="A35" s="12">
        <v>36220</v>
      </c>
      <c r="B35" s="11">
        <v>17.559999999999999</v>
      </c>
      <c r="C35" s="8">
        <f t="shared" si="0"/>
        <v>1.6652696048383226E-2</v>
      </c>
      <c r="D35" s="12">
        <v>38047</v>
      </c>
      <c r="E35" s="11">
        <v>32.44</v>
      </c>
      <c r="F35" s="8">
        <f t="shared" si="1"/>
        <v>-7.6812607962183366E-2</v>
      </c>
      <c r="H35" s="12">
        <v>36220</v>
      </c>
      <c r="I35" s="11">
        <v>40.57</v>
      </c>
      <c r="J35" s="8">
        <f t="shared" si="2"/>
        <v>9.1030467440377197E-2</v>
      </c>
      <c r="K35" s="12">
        <v>38047</v>
      </c>
      <c r="L35" s="11">
        <v>47.28</v>
      </c>
      <c r="M35" s="8">
        <f t="shared" si="3"/>
        <v>-6.1122159017603338E-2</v>
      </c>
    </row>
    <row r="36" spans="1:13" x14ac:dyDescent="0.25">
      <c r="A36" s="12">
        <v>36251</v>
      </c>
      <c r="B36" s="11">
        <v>26.54</v>
      </c>
      <c r="C36" s="8">
        <f t="shared" si="0"/>
        <v>0.41302944069709091</v>
      </c>
      <c r="D36" s="12">
        <v>38078</v>
      </c>
      <c r="E36" s="11">
        <v>28.75</v>
      </c>
      <c r="F36" s="8">
        <f t="shared" si="1"/>
        <v>-0.12075446200385265</v>
      </c>
      <c r="H36" s="12">
        <v>36251</v>
      </c>
      <c r="I36" s="11">
        <v>42.3</v>
      </c>
      <c r="J36" s="8">
        <f t="shared" si="2"/>
        <v>4.1758208833876237E-2</v>
      </c>
      <c r="K36" s="12">
        <v>38078</v>
      </c>
      <c r="L36" s="11">
        <v>50.37</v>
      </c>
      <c r="M36" s="8">
        <f t="shared" si="3"/>
        <v>6.3308386659716248E-2</v>
      </c>
    </row>
    <row r="37" spans="1:13" x14ac:dyDescent="0.25">
      <c r="A37" s="12">
        <v>36283</v>
      </c>
      <c r="B37" s="11">
        <v>23.53</v>
      </c>
      <c r="C37" s="8">
        <f t="shared" si="0"/>
        <v>-0.12037682616479031</v>
      </c>
      <c r="D37" s="12">
        <v>38110</v>
      </c>
      <c r="E37" s="11">
        <v>29.41</v>
      </c>
      <c r="F37" s="8">
        <f t="shared" si="1"/>
        <v>2.2696985322544317E-2</v>
      </c>
      <c r="H37" s="12">
        <v>36283</v>
      </c>
      <c r="I37" s="11">
        <v>40.31</v>
      </c>
      <c r="J37" s="8">
        <f t="shared" si="2"/>
        <v>-4.8187508923157762E-2</v>
      </c>
      <c r="K37" s="12">
        <v>38110</v>
      </c>
      <c r="L37" s="11">
        <v>52.21</v>
      </c>
      <c r="M37" s="8">
        <f t="shared" si="3"/>
        <v>3.5878287664901851E-2</v>
      </c>
    </row>
    <row r="38" spans="1:13" x14ac:dyDescent="0.25">
      <c r="A38" s="12">
        <v>36312</v>
      </c>
      <c r="B38" s="11">
        <v>26.47</v>
      </c>
      <c r="C38" s="8">
        <f t="shared" si="0"/>
        <v>0.11773581349973865</v>
      </c>
      <c r="D38" s="12">
        <v>38139</v>
      </c>
      <c r="E38" s="11">
        <v>31.03</v>
      </c>
      <c r="F38" s="8">
        <f t="shared" si="1"/>
        <v>5.3619725894385219E-2</v>
      </c>
      <c r="H38" s="12">
        <v>36312</v>
      </c>
      <c r="I38" s="11">
        <v>42.65</v>
      </c>
      <c r="J38" s="8">
        <f t="shared" si="2"/>
        <v>5.6427696808613627E-2</v>
      </c>
      <c r="K38" s="12">
        <v>38139</v>
      </c>
      <c r="L38" s="11">
        <v>52.2</v>
      </c>
      <c r="M38" s="8">
        <f t="shared" si="3"/>
        <v>-1.9155253386790114E-4</v>
      </c>
    </row>
    <row r="39" spans="1:13" x14ac:dyDescent="0.25">
      <c r="A39" s="12">
        <v>36342</v>
      </c>
      <c r="B39" s="11">
        <v>25.62</v>
      </c>
      <c r="C39" s="8">
        <f t="shared" si="0"/>
        <v>-3.2638719770421626E-2</v>
      </c>
      <c r="D39" s="12">
        <v>38169</v>
      </c>
      <c r="E39" s="11">
        <v>30.09</v>
      </c>
      <c r="F39" s="8">
        <f t="shared" si="1"/>
        <v>-3.0761587818335056E-2</v>
      </c>
      <c r="H39" s="12">
        <v>36342</v>
      </c>
      <c r="I39" s="11">
        <v>39.630000000000003</v>
      </c>
      <c r="J39" s="8">
        <f t="shared" si="2"/>
        <v>-7.3440866735344404E-2</v>
      </c>
      <c r="K39" s="12">
        <v>38169</v>
      </c>
      <c r="L39" s="11">
        <v>51.79</v>
      </c>
      <c r="M39" s="8">
        <f t="shared" si="3"/>
        <v>-7.8854144527929632E-3</v>
      </c>
    </row>
    <row r="40" spans="1:13" x14ac:dyDescent="0.25">
      <c r="A40" s="12">
        <v>36374</v>
      </c>
      <c r="B40" s="11">
        <v>27.71</v>
      </c>
      <c r="C40" s="8">
        <f t="shared" si="0"/>
        <v>7.8420062406298841E-2</v>
      </c>
      <c r="D40" s="12">
        <v>38201</v>
      </c>
      <c r="E40" s="11">
        <v>30.57</v>
      </c>
      <c r="F40" s="8">
        <f t="shared" si="1"/>
        <v>1.5826245260789358E-2</v>
      </c>
      <c r="H40" s="12">
        <v>36374</v>
      </c>
      <c r="I40" s="11">
        <v>44.63</v>
      </c>
      <c r="J40" s="8">
        <f t="shared" si="2"/>
        <v>0.11881987143883482</v>
      </c>
      <c r="K40" s="12">
        <v>38201</v>
      </c>
      <c r="L40" s="11">
        <v>54.72</v>
      </c>
      <c r="M40" s="8">
        <f t="shared" si="3"/>
        <v>5.5032192878494882E-2</v>
      </c>
    </row>
    <row r="41" spans="1:13" x14ac:dyDescent="0.25">
      <c r="A41" s="12">
        <v>36404</v>
      </c>
      <c r="B41" s="11">
        <v>26.63</v>
      </c>
      <c r="C41" s="8">
        <f t="shared" si="0"/>
        <v>-3.975495904904626E-2</v>
      </c>
      <c r="D41" s="12">
        <v>38231</v>
      </c>
      <c r="E41" s="11">
        <v>31.71</v>
      </c>
      <c r="F41" s="8">
        <f t="shared" si="1"/>
        <v>3.6612952647512791E-2</v>
      </c>
      <c r="H41" s="12">
        <v>36404</v>
      </c>
      <c r="I41" s="11">
        <v>40.1</v>
      </c>
      <c r="J41" s="8">
        <f t="shared" si="2"/>
        <v>-0.10702994432865509</v>
      </c>
      <c r="K41" s="12">
        <v>38231</v>
      </c>
      <c r="L41" s="11">
        <v>53.06</v>
      </c>
      <c r="M41" s="8">
        <f t="shared" si="3"/>
        <v>-3.0805924604701402E-2</v>
      </c>
    </row>
    <row r="42" spans="1:13" x14ac:dyDescent="0.25">
      <c r="A42" s="12">
        <v>36434</v>
      </c>
      <c r="B42" s="11">
        <v>26.07</v>
      </c>
      <c r="C42" s="8">
        <f t="shared" si="0"/>
        <v>-2.1253171880430431E-2</v>
      </c>
      <c r="D42" s="12">
        <v>38261</v>
      </c>
      <c r="E42" s="11">
        <v>30.68</v>
      </c>
      <c r="F42" s="8">
        <f t="shared" si="1"/>
        <v>-3.3021112051200563E-2</v>
      </c>
      <c r="H42" s="12">
        <v>36434</v>
      </c>
      <c r="I42" s="11">
        <v>45.72</v>
      </c>
      <c r="J42" s="8">
        <f t="shared" si="2"/>
        <v>0.13115950461408632</v>
      </c>
      <c r="K42" s="12">
        <v>38261</v>
      </c>
      <c r="L42" s="11">
        <v>54.99</v>
      </c>
      <c r="M42" s="8">
        <f t="shared" si="3"/>
        <v>3.5728001810129709E-2</v>
      </c>
    </row>
    <row r="43" spans="1:13" x14ac:dyDescent="0.25">
      <c r="A43" s="12">
        <v>36465</v>
      </c>
      <c r="B43" s="11">
        <v>28.2</v>
      </c>
      <c r="C43" s="8">
        <f t="shared" si="0"/>
        <v>7.8536749998657465E-2</v>
      </c>
      <c r="D43" s="12">
        <v>38292</v>
      </c>
      <c r="E43" s="11">
        <v>32.229999999999997</v>
      </c>
      <c r="F43" s="8">
        <f t="shared" si="1"/>
        <v>4.928671932829095E-2</v>
      </c>
      <c r="H43" s="12">
        <v>36465</v>
      </c>
      <c r="I43" s="11">
        <v>45.41</v>
      </c>
      <c r="J43" s="8">
        <f t="shared" si="2"/>
        <v>-6.8034938167501604E-3</v>
      </c>
      <c r="K43" s="12">
        <v>38292</v>
      </c>
      <c r="L43" s="11">
        <v>57.08</v>
      </c>
      <c r="M43" s="8">
        <f t="shared" si="3"/>
        <v>3.7302442088912174E-2</v>
      </c>
    </row>
    <row r="44" spans="1:13" x14ac:dyDescent="0.25">
      <c r="A44" s="12">
        <v>36495</v>
      </c>
      <c r="B44" s="11">
        <v>35.74</v>
      </c>
      <c r="C44" s="8">
        <f t="shared" si="0"/>
        <v>0.23694853178721417</v>
      </c>
      <c r="D44" s="12">
        <v>38322</v>
      </c>
      <c r="E44" s="11">
        <v>29.79</v>
      </c>
      <c r="F44" s="8">
        <f t="shared" si="1"/>
        <v>-7.8724929102155519E-2</v>
      </c>
      <c r="H44" s="12">
        <v>36495</v>
      </c>
      <c r="I44" s="11">
        <v>40.81</v>
      </c>
      <c r="J44" s="8">
        <f t="shared" si="2"/>
        <v>-0.10680519569214532</v>
      </c>
      <c r="K44" s="12">
        <v>38322</v>
      </c>
      <c r="L44" s="11">
        <v>60.02</v>
      </c>
      <c r="M44" s="8">
        <f t="shared" si="3"/>
        <v>5.0224047403585395E-2</v>
      </c>
    </row>
    <row r="45" spans="1:13" x14ac:dyDescent="0.25">
      <c r="A45" s="12">
        <v>36528</v>
      </c>
      <c r="B45" s="11">
        <v>30.01</v>
      </c>
      <c r="C45" s="8">
        <f t="shared" si="0"/>
        <v>-0.17473985027900629</v>
      </c>
      <c r="D45" s="12">
        <v>38355</v>
      </c>
      <c r="E45" s="11">
        <v>27.99</v>
      </c>
      <c r="F45" s="8">
        <f t="shared" si="1"/>
        <v>-6.232546319782882E-2</v>
      </c>
      <c r="H45" s="12">
        <v>36528</v>
      </c>
      <c r="I45" s="11">
        <v>37.659999999999997</v>
      </c>
      <c r="J45" s="8">
        <f t="shared" si="2"/>
        <v>-8.0328626188708091E-2</v>
      </c>
      <c r="K45" s="12">
        <v>38355</v>
      </c>
      <c r="L45" s="11">
        <v>61.23</v>
      </c>
      <c r="M45" s="8">
        <f t="shared" si="3"/>
        <v>1.9959425477641977E-2</v>
      </c>
    </row>
    <row r="46" spans="1:13" x14ac:dyDescent="0.25">
      <c r="A46" s="12">
        <v>36557</v>
      </c>
      <c r="B46" s="11">
        <v>29.6</v>
      </c>
      <c r="C46" s="8">
        <f t="shared" si="0"/>
        <v>-1.3756298122261078E-2</v>
      </c>
      <c r="D46" s="12">
        <v>38384</v>
      </c>
      <c r="E46" s="11">
        <v>30.62</v>
      </c>
      <c r="F46" s="8">
        <f t="shared" si="1"/>
        <v>8.9806086702175686E-2</v>
      </c>
      <c r="H46" s="12">
        <v>36557</v>
      </c>
      <c r="I46" s="11">
        <v>31.62</v>
      </c>
      <c r="J46" s="8">
        <f t="shared" si="2"/>
        <v>-0.17480869144768027</v>
      </c>
      <c r="K46" s="12">
        <v>38384</v>
      </c>
      <c r="L46" s="11">
        <v>62.35</v>
      </c>
      <c r="M46" s="8">
        <f t="shared" si="3"/>
        <v>1.812640663618232E-2</v>
      </c>
    </row>
    <row r="47" spans="1:13" x14ac:dyDescent="0.25">
      <c r="A47" s="12">
        <v>36586</v>
      </c>
      <c r="B47" s="11">
        <v>30.35</v>
      </c>
      <c r="C47" s="8">
        <f t="shared" si="0"/>
        <v>2.502215617549268E-2</v>
      </c>
      <c r="D47" s="12">
        <v>38412</v>
      </c>
      <c r="E47" s="11">
        <v>28.97</v>
      </c>
      <c r="F47" s="8">
        <f t="shared" si="1"/>
        <v>-5.539257844827878E-2</v>
      </c>
      <c r="H47" s="12">
        <v>36586</v>
      </c>
      <c r="I47" s="11">
        <v>30.85</v>
      </c>
      <c r="J47" s="8">
        <f t="shared" si="2"/>
        <v>-2.4653081429929082E-2</v>
      </c>
      <c r="K47" s="12">
        <v>38412</v>
      </c>
      <c r="L47" s="11">
        <v>63.83</v>
      </c>
      <c r="M47" s="8">
        <f t="shared" si="3"/>
        <v>2.3459627141920434E-2</v>
      </c>
    </row>
    <row r="48" spans="1:13" x14ac:dyDescent="0.25">
      <c r="A48" s="12">
        <v>36619</v>
      </c>
      <c r="B48" s="11">
        <v>28.03</v>
      </c>
      <c r="C48" s="8">
        <f t="shared" si="0"/>
        <v>-7.952115232881031E-2</v>
      </c>
      <c r="D48" s="12">
        <v>38443</v>
      </c>
      <c r="E48" s="11">
        <v>27.67</v>
      </c>
      <c r="F48" s="8">
        <f t="shared" si="1"/>
        <v>-4.5912017982424343E-2</v>
      </c>
      <c r="H48" s="12">
        <v>36619</v>
      </c>
      <c r="I48" s="11">
        <v>36.24</v>
      </c>
      <c r="J48" s="8">
        <f t="shared" si="2"/>
        <v>0.16102673082338179</v>
      </c>
      <c r="K48" s="12">
        <v>38443</v>
      </c>
      <c r="L48" s="11">
        <v>65.23</v>
      </c>
      <c r="M48" s="8">
        <f t="shared" si="3"/>
        <v>2.1696186540038756E-2</v>
      </c>
    </row>
    <row r="49" spans="1:13" x14ac:dyDescent="0.25">
      <c r="A49" s="12">
        <v>36647</v>
      </c>
      <c r="B49" s="11">
        <v>25.35</v>
      </c>
      <c r="C49" s="8">
        <f t="shared" si="0"/>
        <v>-0.10049663513950476</v>
      </c>
      <c r="D49" s="12">
        <v>38474</v>
      </c>
      <c r="E49" s="11">
        <v>25.97</v>
      </c>
      <c r="F49" s="8">
        <f t="shared" si="1"/>
        <v>-6.3406768124177615E-2</v>
      </c>
      <c r="H49" s="12">
        <v>36647</v>
      </c>
      <c r="I49" s="11">
        <v>39.450000000000003</v>
      </c>
      <c r="J49" s="8">
        <f t="shared" si="2"/>
        <v>8.4870566117104598E-2</v>
      </c>
      <c r="K49" s="12">
        <v>38474</v>
      </c>
      <c r="L49" s="11">
        <v>64.09</v>
      </c>
      <c r="M49" s="8">
        <f t="shared" si="3"/>
        <v>-1.7631140291869119E-2</v>
      </c>
    </row>
    <row r="50" spans="1:13" x14ac:dyDescent="0.25">
      <c r="A50" s="12">
        <v>36678</v>
      </c>
      <c r="B50" s="11">
        <v>25.16</v>
      </c>
      <c r="C50" s="8">
        <f t="shared" si="0"/>
        <v>-7.5232982049524113E-3</v>
      </c>
      <c r="D50" s="12">
        <v>38504</v>
      </c>
      <c r="E50" s="11">
        <v>25.04</v>
      </c>
      <c r="F50" s="8">
        <f t="shared" si="1"/>
        <v>-3.6467479442759257E-2</v>
      </c>
      <c r="H50" s="12">
        <v>36678</v>
      </c>
      <c r="I50" s="11">
        <v>44.91</v>
      </c>
      <c r="J50" s="8">
        <f t="shared" si="2"/>
        <v>0.12962643980776337</v>
      </c>
      <c r="K50" s="12">
        <v>38504</v>
      </c>
      <c r="L50" s="11">
        <v>62.08</v>
      </c>
      <c r="M50" s="8">
        <f t="shared" si="3"/>
        <v>-3.1864469641172233E-2</v>
      </c>
    </row>
    <row r="51" spans="1:13" x14ac:dyDescent="0.25">
      <c r="A51" s="12">
        <v>36710</v>
      </c>
      <c r="B51" s="11">
        <v>26.24</v>
      </c>
      <c r="C51" s="8">
        <f t="shared" si="0"/>
        <v>4.2029532243648499E-2</v>
      </c>
      <c r="D51" s="12">
        <v>38534</v>
      </c>
      <c r="E51" s="11">
        <v>26.88</v>
      </c>
      <c r="F51" s="8">
        <f t="shared" si="1"/>
        <v>7.0907969423050971E-2</v>
      </c>
      <c r="H51" s="12">
        <v>36710</v>
      </c>
      <c r="I51" s="11">
        <v>41.02</v>
      </c>
      <c r="J51" s="8">
        <f t="shared" si="2"/>
        <v>-9.0600734455412002E-2</v>
      </c>
      <c r="K51" s="12">
        <v>38534</v>
      </c>
      <c r="L51" s="11">
        <v>61.09</v>
      </c>
      <c r="M51" s="8">
        <f t="shared" si="3"/>
        <v>-1.6075689213287621E-2</v>
      </c>
    </row>
    <row r="52" spans="1:13" x14ac:dyDescent="0.25">
      <c r="A52" s="12">
        <v>36739</v>
      </c>
      <c r="B52" s="11">
        <v>28.98</v>
      </c>
      <c r="C52" s="8">
        <f t="shared" si="0"/>
        <v>9.932097281664809E-2</v>
      </c>
      <c r="D52" s="12">
        <v>38565</v>
      </c>
      <c r="E52" s="11">
        <v>25.81</v>
      </c>
      <c r="F52" s="8">
        <f t="shared" si="1"/>
        <v>-4.0620501924426351E-2</v>
      </c>
      <c r="H52" s="12">
        <v>36739</v>
      </c>
      <c r="I52" s="11">
        <v>40.67</v>
      </c>
      <c r="J52" s="8">
        <f t="shared" si="2"/>
        <v>-8.5690327251014033E-3</v>
      </c>
      <c r="K52" s="12">
        <v>38565</v>
      </c>
      <c r="L52" s="11">
        <v>60.86</v>
      </c>
      <c r="M52" s="8">
        <f t="shared" si="3"/>
        <v>-3.7720421928505998E-3</v>
      </c>
    </row>
    <row r="53" spans="1:13" x14ac:dyDescent="0.25">
      <c r="A53" s="12">
        <v>36770</v>
      </c>
      <c r="B53" s="11">
        <v>22.05</v>
      </c>
      <c r="C53" s="8">
        <f t="shared" si="0"/>
        <v>-0.27329333499968128</v>
      </c>
      <c r="D53" s="12">
        <v>38596</v>
      </c>
      <c r="E53" s="11">
        <v>23.52</v>
      </c>
      <c r="F53" s="8">
        <f t="shared" si="1"/>
        <v>-9.2910890700096352E-2</v>
      </c>
      <c r="H53" s="12">
        <v>36770</v>
      </c>
      <c r="I53" s="11">
        <v>41.55</v>
      </c>
      <c r="J53" s="8">
        <f t="shared" si="2"/>
        <v>2.1406801382323929E-2</v>
      </c>
      <c r="K53" s="12">
        <v>38596</v>
      </c>
      <c r="L53" s="11">
        <v>60.75</v>
      </c>
      <c r="M53" s="8">
        <f t="shared" si="3"/>
        <v>-1.8090622481671435E-3</v>
      </c>
    </row>
    <row r="54" spans="1:13" x14ac:dyDescent="0.25">
      <c r="A54" s="12">
        <v>36801</v>
      </c>
      <c r="B54" s="11">
        <v>24.99</v>
      </c>
      <c r="C54" s="8">
        <f t="shared" si="0"/>
        <v>0.12516314295400599</v>
      </c>
      <c r="D54" s="12">
        <v>38628</v>
      </c>
      <c r="E54" s="11">
        <v>23.4</v>
      </c>
      <c r="F54" s="8">
        <f t="shared" si="1"/>
        <v>-5.1151006667704887E-3</v>
      </c>
      <c r="H54" s="12">
        <v>36801</v>
      </c>
      <c r="I54" s="11">
        <v>40.74</v>
      </c>
      <c r="J54" s="8">
        <f t="shared" si="2"/>
        <v>-1.9687110502797266E-2</v>
      </c>
      <c r="K54" s="12">
        <v>38628</v>
      </c>
      <c r="L54" s="11">
        <v>60.12</v>
      </c>
      <c r="M54" s="8">
        <f t="shared" si="3"/>
        <v>-1.0424517335884091E-2</v>
      </c>
    </row>
    <row r="55" spans="1:13" x14ac:dyDescent="0.25">
      <c r="A55" s="12">
        <v>36831</v>
      </c>
      <c r="B55" s="11">
        <v>24.66</v>
      </c>
      <c r="C55" s="8">
        <f t="shared" si="0"/>
        <v>-1.3293247110662742E-2</v>
      </c>
      <c r="D55" s="12">
        <v>38657</v>
      </c>
      <c r="E55" s="11">
        <v>26.56</v>
      </c>
      <c r="F55" s="8">
        <f t="shared" si="1"/>
        <v>0.12667030224457732</v>
      </c>
      <c r="H55" s="12">
        <v>36831</v>
      </c>
      <c r="I55" s="11">
        <v>44.38</v>
      </c>
      <c r="J55" s="8">
        <f t="shared" si="2"/>
        <v>8.557850670578801E-2</v>
      </c>
      <c r="K55" s="12">
        <v>38657</v>
      </c>
      <c r="L55" s="11">
        <v>59.59</v>
      </c>
      <c r="M55" s="8">
        <f t="shared" si="3"/>
        <v>-8.8547901258861621E-3</v>
      </c>
    </row>
    <row r="56" spans="1:13" x14ac:dyDescent="0.25">
      <c r="A56" s="12">
        <v>36861</v>
      </c>
      <c r="B56" s="11">
        <v>29.31</v>
      </c>
      <c r="C56" s="8">
        <f t="shared" si="0"/>
        <v>0.17274625698660276</v>
      </c>
      <c r="D56" s="12">
        <v>38687</v>
      </c>
      <c r="E56" s="11">
        <v>28.66</v>
      </c>
      <c r="F56" s="8">
        <f t="shared" si="1"/>
        <v>7.6096097791792675E-2</v>
      </c>
      <c r="H56" s="12">
        <v>36861</v>
      </c>
      <c r="I56" s="11">
        <v>46.62</v>
      </c>
      <c r="J56" s="8">
        <f t="shared" si="2"/>
        <v>4.9240716103163128E-2</v>
      </c>
      <c r="K56" s="12">
        <v>38687</v>
      </c>
      <c r="L56" s="11">
        <v>58</v>
      </c>
      <c r="M56" s="8">
        <f t="shared" si="3"/>
        <v>-2.7044764212468295E-2</v>
      </c>
    </row>
    <row r="57" spans="1:13" x14ac:dyDescent="0.25">
      <c r="A57" s="12">
        <v>36893</v>
      </c>
      <c r="B57" s="11">
        <v>32.28</v>
      </c>
      <c r="C57" s="8">
        <f t="shared" si="0"/>
        <v>9.6519088678947138E-2</v>
      </c>
      <c r="D57" s="12">
        <v>38720</v>
      </c>
      <c r="E57" s="11">
        <v>30.53</v>
      </c>
      <c r="F57" s="8">
        <f t="shared" si="1"/>
        <v>6.3207384346760653E-2</v>
      </c>
      <c r="H57" s="12">
        <v>36893</v>
      </c>
      <c r="I57" s="11">
        <v>41.33</v>
      </c>
      <c r="J57" s="8">
        <f t="shared" si="2"/>
        <v>-0.1204410050839701</v>
      </c>
      <c r="K57" s="12">
        <v>38720</v>
      </c>
      <c r="L57" s="11">
        <v>55.53</v>
      </c>
      <c r="M57" s="8">
        <f t="shared" si="3"/>
        <v>-4.3519595292903467E-2</v>
      </c>
    </row>
    <row r="58" spans="1:13" x14ac:dyDescent="0.25">
      <c r="A58" s="12">
        <v>36923</v>
      </c>
      <c r="B58" s="11">
        <v>31.42</v>
      </c>
      <c r="C58" s="8">
        <f t="shared" si="0"/>
        <v>-2.7003210574272941E-2</v>
      </c>
      <c r="D58" s="12">
        <v>38749</v>
      </c>
      <c r="E58" s="11">
        <v>28.55</v>
      </c>
      <c r="F58" s="8">
        <f t="shared" si="1"/>
        <v>-6.7052870644767226E-2</v>
      </c>
      <c r="H58" s="12">
        <v>36923</v>
      </c>
      <c r="I58" s="11">
        <v>43.34</v>
      </c>
      <c r="J58" s="8">
        <f t="shared" si="2"/>
        <v>4.7487367584572046E-2</v>
      </c>
      <c r="K58" s="12">
        <v>38749</v>
      </c>
      <c r="L58" s="11">
        <v>55.95</v>
      </c>
      <c r="M58" s="8">
        <f t="shared" si="3"/>
        <v>7.5350195044184224E-3</v>
      </c>
    </row>
    <row r="59" spans="1:13" x14ac:dyDescent="0.25">
      <c r="A59" s="12">
        <v>36951</v>
      </c>
      <c r="B59" s="11">
        <v>31.59</v>
      </c>
      <c r="C59" s="8">
        <f t="shared" si="0"/>
        <v>5.3959819865186179E-3</v>
      </c>
      <c r="D59" s="12">
        <v>38777</v>
      </c>
      <c r="E59" s="11">
        <v>29.76</v>
      </c>
      <c r="F59" s="8">
        <f t="shared" si="1"/>
        <v>4.1508273862871946E-2</v>
      </c>
      <c r="H59" s="12">
        <v>36951</v>
      </c>
      <c r="I59" s="11">
        <v>38.950000000000003</v>
      </c>
      <c r="J59" s="8">
        <f t="shared" si="2"/>
        <v>-0.10679722379145574</v>
      </c>
      <c r="K59" s="12">
        <v>38777</v>
      </c>
      <c r="L59" s="11">
        <v>57.47</v>
      </c>
      <c r="M59" s="8">
        <f t="shared" si="3"/>
        <v>2.680463776171578E-2</v>
      </c>
    </row>
    <row r="60" spans="1:13" x14ac:dyDescent="0.25">
      <c r="A60" s="12">
        <v>36983</v>
      </c>
      <c r="B60" s="11">
        <v>36.369999999999997</v>
      </c>
      <c r="C60" s="8">
        <f t="shared" si="0"/>
        <v>0.1409036441849037</v>
      </c>
      <c r="D60" s="12">
        <v>38810</v>
      </c>
      <c r="E60" s="11">
        <v>32.89</v>
      </c>
      <c r="F60" s="8">
        <f t="shared" si="1"/>
        <v>0.10000345023607453</v>
      </c>
      <c r="H60" s="12">
        <v>36983</v>
      </c>
      <c r="I60" s="11">
        <v>42.96</v>
      </c>
      <c r="J60" s="8">
        <f t="shared" si="2"/>
        <v>9.7990677883852004E-2</v>
      </c>
      <c r="K60" s="12">
        <v>38810</v>
      </c>
      <c r="L60" s="11">
        <v>56.88</v>
      </c>
      <c r="M60" s="8">
        <f t="shared" si="3"/>
        <v>-1.0319287024664659E-2</v>
      </c>
    </row>
    <row r="61" spans="1:13" x14ac:dyDescent="0.25">
      <c r="A61" s="12">
        <v>37012</v>
      </c>
      <c r="B61" s="11">
        <v>38.049999999999997</v>
      </c>
      <c r="C61" s="8">
        <f t="shared" si="0"/>
        <v>4.5156825308797124E-2</v>
      </c>
      <c r="D61" s="12">
        <v>38838</v>
      </c>
      <c r="E61" s="11">
        <v>31.02</v>
      </c>
      <c r="F61" s="8">
        <f t="shared" si="1"/>
        <v>-5.8536502452572914E-2</v>
      </c>
      <c r="H61" s="12">
        <v>37012</v>
      </c>
      <c r="I61" s="11">
        <v>43.32</v>
      </c>
      <c r="J61" s="8">
        <f t="shared" si="2"/>
        <v>8.3449719321806882E-3</v>
      </c>
      <c r="K61" s="12">
        <v>38838</v>
      </c>
      <c r="L61" s="11">
        <v>58.81</v>
      </c>
      <c r="M61" s="8">
        <f t="shared" si="3"/>
        <v>3.3368122976879154E-2</v>
      </c>
    </row>
    <row r="62" spans="1:13" x14ac:dyDescent="0.25">
      <c r="A62" s="12">
        <v>37043</v>
      </c>
      <c r="B62" s="11">
        <v>35.270000000000003</v>
      </c>
      <c r="C62" s="8">
        <f t="shared" si="0"/>
        <v>-7.5868340059734099E-2</v>
      </c>
      <c r="D62" s="12">
        <v>38869</v>
      </c>
      <c r="E62" s="11">
        <v>31.65</v>
      </c>
      <c r="F62" s="8">
        <f t="shared" si="1"/>
        <v>2.0105990841792383E-2</v>
      </c>
      <c r="H62" s="12">
        <v>37043</v>
      </c>
      <c r="I62" s="11">
        <v>44.65</v>
      </c>
      <c r="J62" s="8">
        <f t="shared" si="2"/>
        <v>3.0239885189718176E-2</v>
      </c>
      <c r="K62" s="12">
        <v>38869</v>
      </c>
      <c r="L62" s="11">
        <v>58.51</v>
      </c>
      <c r="M62" s="8">
        <f t="shared" si="3"/>
        <v>-5.1142286717199602E-3</v>
      </c>
    </row>
    <row r="63" spans="1:13" x14ac:dyDescent="0.25">
      <c r="A63" s="12">
        <v>37074</v>
      </c>
      <c r="B63" s="11">
        <v>34.590000000000003</v>
      </c>
      <c r="C63" s="8">
        <f t="shared" si="0"/>
        <v>-1.9468121298883249E-2</v>
      </c>
      <c r="D63" s="12">
        <v>38901</v>
      </c>
      <c r="E63" s="11">
        <v>29.29</v>
      </c>
      <c r="F63" s="8">
        <f t="shared" si="1"/>
        <v>-7.7491987750543112E-2</v>
      </c>
      <c r="H63" s="12">
        <v>37074</v>
      </c>
      <c r="I63" s="11">
        <v>48.35</v>
      </c>
      <c r="J63" s="8">
        <f t="shared" si="2"/>
        <v>7.9611914576795298E-2</v>
      </c>
      <c r="K63" s="12">
        <v>38901</v>
      </c>
      <c r="L63" s="11">
        <v>61.08</v>
      </c>
      <c r="M63" s="8">
        <f t="shared" si="3"/>
        <v>4.2986800550286988E-2</v>
      </c>
    </row>
    <row r="64" spans="1:13" x14ac:dyDescent="0.25">
      <c r="A64" s="12">
        <v>37104</v>
      </c>
      <c r="B64" s="11">
        <v>33.74</v>
      </c>
      <c r="C64" s="8">
        <f t="shared" si="0"/>
        <v>-2.4880545831255155E-2</v>
      </c>
      <c r="D64" s="12">
        <v>38930</v>
      </c>
      <c r="E64" s="11">
        <v>28.11</v>
      </c>
      <c r="F64" s="8">
        <f t="shared" si="1"/>
        <v>-4.1120775921201592E-2</v>
      </c>
      <c r="H64" s="12">
        <v>37104</v>
      </c>
      <c r="I64" s="11">
        <v>47.26</v>
      </c>
      <c r="J64" s="8">
        <f t="shared" si="2"/>
        <v>-2.2801950140541628E-2</v>
      </c>
      <c r="K64" s="12">
        <v>38930</v>
      </c>
      <c r="L64" s="11">
        <v>63.51</v>
      </c>
      <c r="M64" s="8">
        <f t="shared" si="3"/>
        <v>3.9012893464451699E-2</v>
      </c>
    </row>
    <row r="65" spans="1:13" x14ac:dyDescent="0.25">
      <c r="A65" s="12">
        <v>37138</v>
      </c>
      <c r="B65" s="11">
        <v>27.45</v>
      </c>
      <c r="C65" s="8">
        <f t="shared" si="0"/>
        <v>-0.20631790916228274</v>
      </c>
      <c r="D65" s="12">
        <v>38961</v>
      </c>
      <c r="E65" s="11">
        <v>27.57</v>
      </c>
      <c r="F65" s="8">
        <f t="shared" si="1"/>
        <v>-1.9397159882735084E-2</v>
      </c>
      <c r="H65" s="12">
        <v>37138</v>
      </c>
      <c r="I65" s="11">
        <v>49.68</v>
      </c>
      <c r="J65" s="8">
        <f t="shared" si="2"/>
        <v>4.9938165866461555E-2</v>
      </c>
      <c r="K65" s="12">
        <v>38961</v>
      </c>
      <c r="L65" s="11">
        <v>63.78</v>
      </c>
      <c r="M65" s="8">
        <f t="shared" si="3"/>
        <v>4.2422877670281901E-3</v>
      </c>
    </row>
    <row r="66" spans="1:13" x14ac:dyDescent="0.25">
      <c r="A66" s="12">
        <v>37165</v>
      </c>
      <c r="B66" s="11">
        <v>28.69</v>
      </c>
      <c r="C66" s="8">
        <f t="shared" si="0"/>
        <v>4.4182462037733856E-2</v>
      </c>
      <c r="D66" s="12">
        <v>38992</v>
      </c>
      <c r="E66" s="11">
        <v>28.42</v>
      </c>
      <c r="F66" s="8">
        <f t="shared" si="1"/>
        <v>3.0364897633249233E-2</v>
      </c>
      <c r="H66" s="12">
        <v>37165</v>
      </c>
      <c r="I66" s="11">
        <v>51.93</v>
      </c>
      <c r="J66" s="8">
        <f t="shared" si="2"/>
        <v>4.4294220231004336E-2</v>
      </c>
      <c r="K66" s="12">
        <v>38992</v>
      </c>
      <c r="L66" s="11">
        <v>66.2</v>
      </c>
      <c r="M66" s="8">
        <f t="shared" si="3"/>
        <v>3.7240801361050985E-2</v>
      </c>
    </row>
    <row r="67" spans="1:13" x14ac:dyDescent="0.25">
      <c r="A67" s="12">
        <v>37196</v>
      </c>
      <c r="B67" s="11">
        <v>34.32</v>
      </c>
      <c r="C67" s="8">
        <f t="shared" si="0"/>
        <v>0.17917964462648814</v>
      </c>
      <c r="D67" s="12">
        <v>39022</v>
      </c>
      <c r="E67" s="11">
        <v>30.8</v>
      </c>
      <c r="F67" s="8">
        <f t="shared" si="1"/>
        <v>8.0421567310574218E-2</v>
      </c>
      <c r="H67" s="12">
        <v>37196</v>
      </c>
      <c r="I67" s="11">
        <v>52.39</v>
      </c>
      <c r="J67" s="8">
        <f t="shared" si="2"/>
        <v>8.8190755639007967E-3</v>
      </c>
      <c r="K67" s="12">
        <v>39022</v>
      </c>
      <c r="L67" s="11">
        <v>65.099999999999994</v>
      </c>
      <c r="M67" s="8">
        <f t="shared" si="3"/>
        <v>-1.6755913728439108E-2</v>
      </c>
    </row>
    <row r="68" spans="1:13" x14ac:dyDescent="0.25">
      <c r="A68" s="12">
        <v>37228</v>
      </c>
      <c r="B68" s="11">
        <v>31.61</v>
      </c>
      <c r="C68" s="8">
        <f t="shared" si="0"/>
        <v>-8.2254748392235205E-2</v>
      </c>
      <c r="D68" s="12">
        <v>39052</v>
      </c>
      <c r="E68" s="11">
        <v>29.71</v>
      </c>
      <c r="F68" s="8">
        <f t="shared" si="1"/>
        <v>-3.6031000505012539E-2</v>
      </c>
      <c r="H68" s="12">
        <v>37228</v>
      </c>
      <c r="I68" s="11">
        <v>53.15</v>
      </c>
      <c r="J68" s="8">
        <f t="shared" si="2"/>
        <v>1.4402371367828468E-2</v>
      </c>
      <c r="K68" s="12">
        <v>39052</v>
      </c>
      <c r="L68" s="11">
        <v>65.209999999999994</v>
      </c>
      <c r="M68" s="8">
        <f t="shared" si="3"/>
        <v>1.6882821905872759E-3</v>
      </c>
    </row>
    <row r="69" spans="1:13" x14ac:dyDescent="0.25">
      <c r="A69" s="12">
        <v>37258</v>
      </c>
      <c r="B69" s="11">
        <v>31.88</v>
      </c>
      <c r="C69" s="8">
        <f t="shared" si="0"/>
        <v>8.5053276944878943E-3</v>
      </c>
      <c r="D69" s="12">
        <v>39085</v>
      </c>
      <c r="E69" s="11">
        <v>32.14</v>
      </c>
      <c r="F69" s="8">
        <f t="shared" si="1"/>
        <v>7.8617670834850231E-2</v>
      </c>
      <c r="H69" s="12">
        <v>37258</v>
      </c>
      <c r="I69" s="11">
        <v>51.72</v>
      </c>
      <c r="J69" s="8">
        <f t="shared" si="2"/>
        <v>-2.7273550884300161E-2</v>
      </c>
      <c r="K69" s="12">
        <v>39085</v>
      </c>
      <c r="L69" s="11">
        <v>65.98</v>
      </c>
      <c r="M69" s="8">
        <f t="shared" si="3"/>
        <v>1.1738834395324525E-2</v>
      </c>
    </row>
    <row r="70" spans="1:13" x14ac:dyDescent="0.25">
      <c r="A70" s="12">
        <v>37288</v>
      </c>
      <c r="B70" s="11">
        <v>33.56</v>
      </c>
      <c r="C70" s="8">
        <f t="shared" si="0"/>
        <v>5.1356027676991226E-2</v>
      </c>
      <c r="D70" s="12">
        <v>39114</v>
      </c>
      <c r="E70" s="11">
        <v>33.25</v>
      </c>
      <c r="F70" s="8">
        <f t="shared" si="1"/>
        <v>3.3953406792496497E-2</v>
      </c>
      <c r="H70" s="12">
        <v>37288</v>
      </c>
      <c r="I70" s="11">
        <v>54.94</v>
      </c>
      <c r="J70" s="8">
        <f t="shared" si="2"/>
        <v>6.0397126763471032E-2</v>
      </c>
      <c r="K70" s="12">
        <v>39114</v>
      </c>
      <c r="L70" s="11">
        <v>62.52</v>
      </c>
      <c r="M70" s="8">
        <f t="shared" si="3"/>
        <v>-5.3865160247159524E-2</v>
      </c>
    </row>
    <row r="71" spans="1:13" x14ac:dyDescent="0.25">
      <c r="A71" s="12">
        <v>37316</v>
      </c>
      <c r="B71" s="11">
        <v>33.71</v>
      </c>
      <c r="C71" s="8">
        <f t="shared" si="0"/>
        <v>4.4596476469638989E-3</v>
      </c>
      <c r="D71" s="12">
        <v>39142</v>
      </c>
      <c r="E71" s="11">
        <v>33.729999999999997</v>
      </c>
      <c r="F71" s="8">
        <f t="shared" si="1"/>
        <v>1.4332881971695624E-2</v>
      </c>
      <c r="H71" s="12">
        <v>37316</v>
      </c>
      <c r="I71" s="11">
        <v>58.6</v>
      </c>
      <c r="J71" s="8">
        <f t="shared" si="2"/>
        <v>6.449301591583928E-2</v>
      </c>
      <c r="K71" s="12">
        <v>39142</v>
      </c>
      <c r="L71" s="11">
        <v>59.87</v>
      </c>
      <c r="M71" s="8">
        <f t="shared" si="3"/>
        <v>-4.3310960616015311E-2</v>
      </c>
    </row>
    <row r="72" spans="1:13" x14ac:dyDescent="0.25">
      <c r="A72" s="12">
        <v>37347</v>
      </c>
      <c r="B72" s="11">
        <v>30.4</v>
      </c>
      <c r="C72" s="8">
        <f t="shared" si="0"/>
        <v>-0.10335192083379345</v>
      </c>
      <c r="D72" s="12">
        <v>39174</v>
      </c>
      <c r="E72" s="11">
        <v>35.32</v>
      </c>
      <c r="F72" s="8">
        <f t="shared" si="1"/>
        <v>4.6061726662200549E-2</v>
      </c>
      <c r="H72" s="12">
        <v>37347</v>
      </c>
      <c r="I72" s="11">
        <v>57.61</v>
      </c>
      <c r="J72" s="8">
        <f t="shared" si="2"/>
        <v>-1.7038532838675225E-2</v>
      </c>
      <c r="K72" s="12">
        <v>39174</v>
      </c>
      <c r="L72" s="11">
        <v>63.8</v>
      </c>
      <c r="M72" s="8">
        <f t="shared" si="3"/>
        <v>6.3577645413483472E-2</v>
      </c>
    </row>
    <row r="73" spans="1:13" x14ac:dyDescent="0.25">
      <c r="A73" s="12">
        <v>37377</v>
      </c>
      <c r="B73" s="11">
        <v>31.38</v>
      </c>
      <c r="C73" s="8">
        <f t="shared" si="0"/>
        <v>3.1728138892710589E-2</v>
      </c>
      <c r="D73" s="12">
        <v>39203</v>
      </c>
      <c r="E73" s="11">
        <v>41.28</v>
      </c>
      <c r="F73" s="8">
        <f t="shared" si="1"/>
        <v>0.15592874543754803</v>
      </c>
      <c r="H73" s="12">
        <v>37377</v>
      </c>
      <c r="I73" s="11">
        <v>55.54</v>
      </c>
      <c r="J73" s="8">
        <f t="shared" si="2"/>
        <v>-3.6592681865638313E-2</v>
      </c>
      <c r="K73" s="12">
        <v>39203</v>
      </c>
      <c r="L73" s="11">
        <v>63.27</v>
      </c>
      <c r="M73" s="8">
        <f t="shared" si="3"/>
        <v>-8.3419071919511364E-3</v>
      </c>
    </row>
    <row r="74" spans="1:13" x14ac:dyDescent="0.25">
      <c r="A74" s="12">
        <v>37410</v>
      </c>
      <c r="B74" s="11">
        <v>29.74</v>
      </c>
      <c r="C74" s="8">
        <f t="shared" si="0"/>
        <v>-5.36778062728775E-2</v>
      </c>
      <c r="D74" s="12">
        <v>39234</v>
      </c>
      <c r="E74" s="11">
        <v>40.53</v>
      </c>
      <c r="F74" s="8">
        <f t="shared" si="1"/>
        <v>-1.8335680533090089E-2</v>
      </c>
      <c r="H74" s="12">
        <v>37410</v>
      </c>
      <c r="I74" s="11">
        <v>47.31</v>
      </c>
      <c r="J74" s="8">
        <f t="shared" si="2"/>
        <v>-0.1603817922355967</v>
      </c>
      <c r="K74" s="12">
        <v>39234</v>
      </c>
      <c r="L74" s="11">
        <v>61.62</v>
      </c>
      <c r="M74" s="8">
        <f t="shared" si="3"/>
        <v>-2.6424789990271147E-2</v>
      </c>
    </row>
    <row r="75" spans="1:13" x14ac:dyDescent="0.25">
      <c r="A75" s="12">
        <v>37438</v>
      </c>
      <c r="B75" s="11">
        <v>24.41</v>
      </c>
      <c r="C75" s="8">
        <f t="shared" si="0"/>
        <v>-0.19750005662714018</v>
      </c>
      <c r="D75" s="12">
        <v>39265</v>
      </c>
      <c r="E75" s="11">
        <v>41.35</v>
      </c>
      <c r="F75" s="8">
        <f t="shared" si="1"/>
        <v>2.0029980829483159E-2</v>
      </c>
      <c r="H75" s="12">
        <v>37438</v>
      </c>
      <c r="I75" s="11">
        <v>47.62</v>
      </c>
      <c r="J75" s="8">
        <f t="shared" si="2"/>
        <v>6.531151415659818E-3</v>
      </c>
      <c r="K75" s="12">
        <v>39265</v>
      </c>
      <c r="L75" s="11">
        <v>62.28</v>
      </c>
      <c r="M75" s="8">
        <f t="shared" si="3"/>
        <v>1.0653853797275807E-2</v>
      </c>
    </row>
  </sheetData>
  <mergeCells count="3">
    <mergeCell ref="A1:G1"/>
    <mergeCell ref="A14:F14"/>
    <mergeCell ref="H14:M1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2024-10-28T02:44:33Z</dcterms:modified>
</cp:coreProperties>
</file>