
<file path=[Content_Types].xml><?xml version="1.0" encoding="utf-8"?>
<Types xmlns="http://schemas.openxmlformats.org/package/2006/content-types"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8\practice\"/>
    </mc:Choice>
  </mc:AlternateContent>
  <xr:revisionPtr revIDLastSave="0" documentId="13_ncr:1_{8C7F80AE-D368-4B28-9DE8-E42B171A0784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9" i="1" l="1"/>
  <c r="E38" i="1"/>
  <c r="E37" i="1"/>
  <c r="B21" i="1"/>
  <c r="E24" i="1" s="1"/>
  <c r="B20" i="1"/>
  <c r="F24" i="1" s="1"/>
  <c r="K8" i="1"/>
  <c r="J7" i="1" a="1"/>
  <c r="J7" i="1" s="1"/>
  <c r="H9" i="1" a="1"/>
  <c r="H9" i="1" s="1"/>
  <c r="F9" i="1"/>
  <c r="H7" i="1" a="1"/>
  <c r="H7" i="1" s="1"/>
  <c r="F7" i="1"/>
  <c r="B14" i="1" a="1"/>
  <c r="B16" i="1" s="1"/>
  <c r="D9" i="1"/>
  <c r="B9" i="1"/>
  <c r="D7" i="1"/>
  <c r="C4" i="1"/>
  <c r="B4" i="1"/>
  <c r="B3" i="1"/>
  <c r="C21" i="1"/>
  <c r="C20" i="1"/>
  <c r="L8" i="1"/>
  <c r="L7" i="1"/>
  <c r="I9" i="1"/>
  <c r="B15" i="1" l="1"/>
  <c r="B14" i="1"/>
  <c r="D14" i="1" a="1"/>
  <c r="D16" i="1" l="1"/>
  <c r="D15" i="1"/>
  <c r="D14" i="1"/>
</calcChain>
</file>

<file path=xl/sharedStrings.xml><?xml version="1.0" encoding="utf-8"?>
<sst xmlns="http://schemas.openxmlformats.org/spreadsheetml/2006/main" count="22" uniqueCount="19">
  <si>
    <t>Variance-covariance matrix</t>
  </si>
  <si>
    <t>means</t>
  </si>
  <si>
    <t>first portfolio</t>
  </si>
  <si>
    <t>mean return</t>
  </si>
  <si>
    <t>variance of return</t>
  </si>
  <si>
    <t>covariance</t>
  </si>
  <si>
    <t>correlation</t>
  </si>
  <si>
    <t>second portfolio</t>
  </si>
  <si>
    <t>Transpose of portfolios</t>
  </si>
  <si>
    <t>Portfolio</t>
  </si>
  <si>
    <t>Proportion</t>
  </si>
  <si>
    <t>this is the proportion of portfolio 1</t>
  </si>
  <si>
    <t>Mean</t>
  </si>
  <si>
    <t>Variance</t>
  </si>
  <si>
    <t>Sigma</t>
  </si>
  <si>
    <t>&lt;-- The data table header has been hidden.</t>
  </si>
  <si>
    <t>a</t>
    <phoneticPr fontId="1" type="noConversion"/>
  </si>
  <si>
    <t>b</t>
    <phoneticPr fontId="1" type="noConversion"/>
  </si>
  <si>
    <t>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</si>
</sst>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;;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/>
    <xf numFmtId="9" fontId="0" fillId="0" borderId="0" xfId="0" applyNumberFormat="1" applyAlignment="1"/>
    <xf numFmtId="0" fontId="0" fillId="0" borderId="0" xfId="0" applyAlignment="1">
      <alignment horizontal="center" vertical="center" wrapText="1"/>
    </xf>
    <xf numFmtId="10" fontId="0" fillId="0" borderId="0" xfId="0" applyNumberFormat="1" applyAlignment="1"/>
    <xf numFmtId="10" fontId="0" fillId="0" borderId="0" xfId="1" applyNumberFormat="1" applyFont="1" applyAlignment="1"/>
    <xf numFmtId="10" fontId="0" fillId="0" borderId="0" xfId="0" applyNumberFormat="1" applyAlignment="1">
      <alignment horizontal="center" vertical="center" wrapText="1"/>
    </xf>
    <xf numFmtId="10" fontId="0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3" fillId="0" borderId="0" xfId="0" applyFont="1" applyAlignment="1"/>
    <xf numFmtId="177" fontId="0" fillId="0" borderId="0" xfId="0" applyNumberFormat="1" applyFont="1" applyAlignment="1" applyProtection="1">
      <protection locked="0"/>
    </xf>
    <xf numFmtId="0" fontId="0" fillId="2" borderId="0" xfId="0" applyFill="1" applyAlignment="1">
      <alignment horizontal="center"/>
    </xf>
    <xf numFmtId="0" fontId="0" fillId="2" borderId="0" xfId="0" applyFill="1" applyAlignment="1"/>
    <xf numFmtId="9" fontId="0" fillId="2" borderId="0" xfId="0" applyNumberForma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3-asset case:  portfolio return and sigma</a:t>
            </a:r>
          </a:p>
        </c:rich>
      </c:tx>
      <c:layout>
        <c:manualLayout>
          <c:xMode val="edge"/>
          <c:yMode val="edge"/>
          <c:x val="0.18559581890016191"/>
          <c:y val="5.676886156299874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03881638300779"/>
          <c:y val="0.27947747231014763"/>
          <c:w val="0.64543023587668247"/>
          <c:h val="0.558954944620295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Sheet1!$E$25:$E$35</c:f>
              <c:numCache>
                <c:formatCode>0.00%</c:formatCode>
                <c:ptCount val="11"/>
                <c:pt idx="0">
                  <c:v>0.39089640571384132</c:v>
                </c:pt>
                <c:pt idx="1">
                  <c:v>0.38157568056677832</c:v>
                </c:pt>
                <c:pt idx="2">
                  <c:v>0.37533984600625614</c:v>
                </c:pt>
                <c:pt idx="3">
                  <c:v>0.37234392703520758</c:v>
                </c:pt>
                <c:pt idx="4">
                  <c:v>0.37266607036326777</c:v>
                </c:pt>
                <c:pt idx="5">
                  <c:v>0.37629775444453561</c:v>
                </c:pt>
                <c:pt idx="6">
                  <c:v>0.38314488121336038</c:v>
                </c:pt>
                <c:pt idx="7">
                  <c:v>0.39303943822471554</c:v>
                </c:pt>
                <c:pt idx="8">
                  <c:v>0.40575854889330432</c:v>
                </c:pt>
                <c:pt idx="9">
                  <c:v>0.4210463157421046</c:v>
                </c:pt>
                <c:pt idx="10">
                  <c:v>0.43863424398922618</c:v>
                </c:pt>
              </c:numCache>
            </c:numRef>
          </c:xVal>
          <c:yVal>
            <c:numRef>
              <c:f>Sheet1!$F$25:$F$35</c:f>
              <c:numCache>
                <c:formatCode>0.00%</c:formatCode>
                <c:ptCount val="11"/>
                <c:pt idx="0">
                  <c:v>0.112</c:v>
                </c:pt>
                <c:pt idx="1">
                  <c:v>0.1132</c:v>
                </c:pt>
                <c:pt idx="2">
                  <c:v>0.11440000000000002</c:v>
                </c:pt>
                <c:pt idx="3">
                  <c:v>0.11559999999999999</c:v>
                </c:pt>
                <c:pt idx="4">
                  <c:v>0.1168</c:v>
                </c:pt>
                <c:pt idx="5">
                  <c:v>0.11799999999999999</c:v>
                </c:pt>
                <c:pt idx="6">
                  <c:v>0.1192</c:v>
                </c:pt>
                <c:pt idx="7">
                  <c:v>0.12039999999999999</c:v>
                </c:pt>
                <c:pt idx="8">
                  <c:v>0.12160000000000001</c:v>
                </c:pt>
                <c:pt idx="9">
                  <c:v>0.12280000000000001</c:v>
                </c:pt>
                <c:pt idx="10">
                  <c:v>0.124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C3-404A-A6DD-3960CCD34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41800"/>
        <c:axId val="1"/>
      </c:scatterChart>
      <c:valAx>
        <c:axId val="729241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standard deviation</a:t>
                </a:r>
              </a:p>
            </c:rich>
          </c:tx>
          <c:layout>
            <c:manualLayout>
              <c:xMode val="edge"/>
              <c:yMode val="edge"/>
              <c:x val="0.6343498884796579"/>
              <c:y val="0.7510957068335218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mean return</a:t>
                </a:r>
              </a:p>
            </c:rich>
          </c:tx>
          <c:layout>
            <c:manualLayout>
              <c:xMode val="edge"/>
              <c:yMode val="edge"/>
              <c:x val="6.9252171231403689E-2"/>
              <c:y val="0.40174886644583729"/>
            </c:manualLayout>
          </c:layout>
          <c:overlay val="0"/>
          <c:spPr>
            <a:noFill/>
            <a:ln w="25400">
              <a:noFill/>
            </a:ln>
          </c:spPr>
        </c:title>
        <c:numFmt formatCode="0.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72924180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24</xdr:row>
      <xdr:rowOff>66675</xdr:rowOff>
    </xdr:from>
    <xdr:to>
      <xdr:col>11</xdr:col>
      <xdr:colOff>219075</xdr:colOff>
      <xdr:row>37</xdr:row>
      <xdr:rowOff>19050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67658B4-3C59-4517-AFA0-3C91BBE40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67152</xdr:colOff>
      <xdr:row>0</xdr:row>
      <xdr:rowOff>56436</xdr:rowOff>
    </xdr:from>
    <xdr:to>
      <xdr:col>31</xdr:col>
      <xdr:colOff>381000</xdr:colOff>
      <xdr:row>39</xdr:row>
      <xdr:rowOff>58340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6ACD1669-1B1F-DAA0-30D0-6877DD4DA8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794683" y="56436"/>
          <a:ext cx="8814911" cy="708064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6</xdr:col>
      <xdr:colOff>95013</xdr:colOff>
      <xdr:row>38</xdr:row>
      <xdr:rowOff>35717</xdr:rowOff>
    </xdr:from>
    <xdr:to>
      <xdr:col>11</xdr:col>
      <xdr:colOff>278642</xdr:colOff>
      <xdr:row>51</xdr:row>
      <xdr:rowOff>71697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9F9AC825-74E7-2C2B-6723-28CD61D1B2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33576" y="6953248"/>
          <a:ext cx="3529285" cy="22803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0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08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J30, jul97-jul07"/>
      <sheetName val="DJ30, jul97-jul07 (中文)"/>
      <sheetName val="Exercise 1"/>
      <sheetName val="Exercise 1(中文)"/>
      <sheetName val="Exercise 2"/>
      <sheetName val="Exercise 2(中文)"/>
      <sheetName val="Exercise 3"/>
      <sheetName val="Exercise 3(中文)"/>
      <sheetName val="Exercise 4"/>
      <sheetName val="Exercise 4(中文)"/>
      <sheetName val="Exercise 5"/>
      <sheetName val="Exercise 5(中文)"/>
      <sheetName val="Exercise 6"/>
      <sheetName val="Exercise 6(中文)"/>
      <sheetName val="Exercise 7"/>
      <sheetName val="Exercise 7(中文)"/>
      <sheetName val="Exercise 8"/>
      <sheetName val="Exercise 8(中文)"/>
      <sheetName val="Exercise 9"/>
      <sheetName val="Exercise 9(中文)"/>
      <sheetName val="Exercise 10"/>
      <sheetName val="Exercise 10(中文)"/>
      <sheetName val="Exercise 11"/>
      <sheetName val="Exercise 11(中文)"/>
      <sheetName val="Exercise 11, Solver"/>
      <sheetName val="Exercise 11, Solver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25">
          <cell r="E25">
            <v>0.39089640571384132</v>
          </cell>
          <cell r="F25">
            <v>0.112</v>
          </cell>
        </row>
        <row r="26">
          <cell r="E26">
            <v>0.38157568056677832</v>
          </cell>
          <cell r="F26">
            <v>0.1132</v>
          </cell>
        </row>
        <row r="27">
          <cell r="E27">
            <v>0.37533984600625614</v>
          </cell>
          <cell r="F27">
            <v>0.11440000000000002</v>
          </cell>
        </row>
        <row r="28">
          <cell r="E28">
            <v>0.37234392703520758</v>
          </cell>
          <cell r="F28">
            <v>0.11559999999999999</v>
          </cell>
        </row>
        <row r="29">
          <cell r="E29">
            <v>0.37266607036326777</v>
          </cell>
          <cell r="F29">
            <v>0.1168</v>
          </cell>
        </row>
        <row r="30">
          <cell r="E30">
            <v>0.37629775444453561</v>
          </cell>
          <cell r="F30">
            <v>0.11799999999999999</v>
          </cell>
        </row>
        <row r="31">
          <cell r="E31">
            <v>0.38314488121336038</v>
          </cell>
          <cell r="F31">
            <v>0.1192</v>
          </cell>
        </row>
        <row r="32">
          <cell r="E32">
            <v>0.39303943822471554</v>
          </cell>
          <cell r="F32">
            <v>0.12039999999999999</v>
          </cell>
        </row>
        <row r="33">
          <cell r="E33">
            <v>0.40575854889330432</v>
          </cell>
          <cell r="F33">
            <v>0.12160000000000001</v>
          </cell>
        </row>
        <row r="34">
          <cell r="E34">
            <v>0.4210463157421046</v>
          </cell>
          <cell r="F34">
            <v>0.12280000000000001</v>
          </cell>
        </row>
        <row r="35">
          <cell r="E35">
            <v>0.43863424398922618</v>
          </cell>
          <cell r="F35">
            <v>0.124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N39"/>
  <sheetViews>
    <sheetView tabSelected="1" topLeftCell="A19" zoomScale="160" zoomScaleNormal="160" workbookViewId="0">
      <selection activeCell="N33" sqref="N33"/>
    </sheetView>
  </sheetViews>
  <sheetFormatPr defaultRowHeight="13.8" x14ac:dyDescent="0.25"/>
  <cols>
    <col min="1" max="1" width="10.33203125" style="1" customWidth="1"/>
    <col min="2" max="9" width="8.88671875" style="1"/>
    <col min="10" max="10" width="10.5546875" style="1" customWidth="1"/>
    <col min="11" max="11" width="11.6640625" style="1" customWidth="1"/>
    <col min="12" max="14" width="8.88671875" style="1"/>
  </cols>
  <sheetData>
    <row r="1" spans="1:14" x14ac:dyDescent="0.25">
      <c r="B1" s="1" t="s">
        <v>0</v>
      </c>
      <c r="F1" s="1" t="s">
        <v>1</v>
      </c>
    </row>
    <row r="2" spans="1:14" x14ac:dyDescent="0.25">
      <c r="B2" s="1">
        <v>0.3</v>
      </c>
      <c r="C2" s="1">
        <v>0.02</v>
      </c>
      <c r="D2" s="1">
        <v>-0.05</v>
      </c>
      <c r="F2" s="2">
        <v>0.1</v>
      </c>
    </row>
    <row r="3" spans="1:14" x14ac:dyDescent="0.25">
      <c r="B3" s="1">
        <f>C2</f>
        <v>0.02</v>
      </c>
      <c r="C3" s="1">
        <v>0.4</v>
      </c>
      <c r="D3" s="1">
        <v>0.06</v>
      </c>
      <c r="F3" s="2">
        <v>0.12</v>
      </c>
    </row>
    <row r="4" spans="1:14" x14ac:dyDescent="0.25">
      <c r="B4" s="1">
        <f>D2</f>
        <v>-0.05</v>
      </c>
      <c r="C4" s="1">
        <f>D3</f>
        <v>0.06</v>
      </c>
      <c r="D4" s="1">
        <v>0.6</v>
      </c>
      <c r="F4" s="2">
        <v>0.14000000000000001</v>
      </c>
    </row>
    <row r="6" spans="1:14" ht="27.6" x14ac:dyDescent="0.25">
      <c r="A6" s="3"/>
      <c r="B6" s="3" t="s">
        <v>2</v>
      </c>
      <c r="C6" s="3"/>
      <c r="D6" s="3"/>
      <c r="E6" s="3"/>
      <c r="F6" s="3" t="s">
        <v>3</v>
      </c>
      <c r="G6" s="3"/>
      <c r="H6" s="3" t="s">
        <v>4</v>
      </c>
      <c r="I6" s="3"/>
      <c r="J6" s="3" t="s">
        <v>5</v>
      </c>
      <c r="K6" s="3" t="s">
        <v>6</v>
      </c>
      <c r="L6" s="3"/>
      <c r="M6" s="3"/>
      <c r="N6" s="3"/>
    </row>
    <row r="7" spans="1:14" x14ac:dyDescent="0.25">
      <c r="B7" s="1">
        <v>0.3</v>
      </c>
      <c r="C7" s="1">
        <v>0.2</v>
      </c>
      <c r="D7" s="1">
        <f>1-C7-B7</f>
        <v>0.5</v>
      </c>
      <c r="F7" s="4">
        <f>MMULT(B7:D7,$F$2:$F$4)</f>
        <v>0.124</v>
      </c>
      <c r="H7" s="5">
        <f t="array" ref="H7">MMULT(B7:D7,MMULT($B$2:$D$4,TRANSPOSE(B7:D7)))</f>
        <v>0.19240000000000002</v>
      </c>
      <c r="J7" s="1">
        <f t="array" ref="J7">MMULT(B7:D7,MMULT($B$2:$D$4,TRANSPOSE(B9:D9)))</f>
        <v>0.1106</v>
      </c>
      <c r="L7" s="1" t="str">
        <f ca="1">_xlfn.FORMULATEXT(J7)</f>
        <v>{=MMULT(B7:D7,MMULT($B$2:$D$4,TRANSPOSE(B9:D9)))}</v>
      </c>
    </row>
    <row r="8" spans="1:14" ht="27.6" x14ac:dyDescent="0.25">
      <c r="A8" s="3"/>
      <c r="B8" s="3" t="s">
        <v>7</v>
      </c>
      <c r="C8" s="3"/>
      <c r="D8" s="3"/>
      <c r="E8" s="3"/>
      <c r="F8" s="6"/>
      <c r="G8" s="3"/>
      <c r="H8" s="7"/>
      <c r="I8" s="3"/>
      <c r="J8" s="3"/>
      <c r="K8" s="1">
        <f>J7/SQRT(H7*H9)</f>
        <v>0.64504634091085133</v>
      </c>
      <c r="L8" s="8" t="str">
        <f ca="1">_xlfn.FORMULATEXT(K8)</f>
        <v>=J7/SQRT(H7*H9)</v>
      </c>
      <c r="M8" s="3"/>
      <c r="N8" s="3"/>
    </row>
    <row r="9" spans="1:14" x14ac:dyDescent="0.25">
      <c r="B9" s="1">
        <f>0.5</f>
        <v>0.5</v>
      </c>
      <c r="C9" s="1">
        <v>0.4</v>
      </c>
      <c r="D9" s="1">
        <f>1-C9-B9</f>
        <v>9.9999999999999978E-2</v>
      </c>
      <c r="F9" s="4">
        <f>MMULT(B9:D9,$F$2:$F$4)</f>
        <v>0.112</v>
      </c>
      <c r="H9" s="5">
        <f t="array" ref="H9">MMULT(B9:D9,MMULT($B$2:$D$4,TRANSPOSE(B9:D9)))</f>
        <v>0.15280000000000002</v>
      </c>
      <c r="I9" s="1" t="str">
        <f ca="1">[2]!getformula(H9)</f>
        <v>&lt;--  {=MMULT(B9:D9,MMULT($B$2:$D$4,TRANSPOSE(B9:D9)))}</v>
      </c>
    </row>
    <row r="12" spans="1:14" x14ac:dyDescent="0.25">
      <c r="B12" s="1" t="s">
        <v>8</v>
      </c>
    </row>
    <row r="13" spans="1:14" x14ac:dyDescent="0.25">
      <c r="B13" s="1" t="s">
        <v>2</v>
      </c>
      <c r="D13" s="1" t="s">
        <v>7</v>
      </c>
    </row>
    <row r="14" spans="1:14" x14ac:dyDescent="0.25">
      <c r="B14" s="1">
        <f t="array" ref="B14:B16">TRANSPOSE(B7:D7)</f>
        <v>0.3</v>
      </c>
      <c r="D14" s="1">
        <f t="array" ref="D14:D16">TRANSPOSE(B9:D9)</f>
        <v>0.5</v>
      </c>
    </row>
    <row r="15" spans="1:14" x14ac:dyDescent="0.25">
      <c r="B15" s="1">
        <v>0.2</v>
      </c>
      <c r="D15" s="1">
        <v>0.4</v>
      </c>
    </row>
    <row r="16" spans="1:14" x14ac:dyDescent="0.25">
      <c r="B16" s="1">
        <v>0.5</v>
      </c>
      <c r="D16" s="1">
        <v>9.9999999999999978E-2</v>
      </c>
    </row>
    <row r="18" spans="1:7" x14ac:dyDescent="0.25">
      <c r="A18" s="9" t="s">
        <v>9</v>
      </c>
    </row>
    <row r="19" spans="1:7" x14ac:dyDescent="0.25">
      <c r="A19" s="1" t="s">
        <v>10</v>
      </c>
      <c r="B19" s="1">
        <v>0.3</v>
      </c>
      <c r="C19" s="1" t="s">
        <v>11</v>
      </c>
    </row>
    <row r="20" spans="1:7" x14ac:dyDescent="0.25">
      <c r="A20" s="1" t="s">
        <v>12</v>
      </c>
      <c r="B20" s="1">
        <f>B19*F7+(1-B19)*F9</f>
        <v>0.11559999999999999</v>
      </c>
      <c r="C20" s="1" t="str">
        <f ca="1">[2]!getformula(B20)</f>
        <v>&lt;--  =B19*F7+(1-B19)*F9</v>
      </c>
    </row>
    <row r="21" spans="1:7" x14ac:dyDescent="0.25">
      <c r="A21" s="1" t="s">
        <v>13</v>
      </c>
      <c r="B21" s="1">
        <f>B19^2*H7+(1-B19)^2*H9+2*B19*(1-B19)*J7</f>
        <v>0.13863999999999999</v>
      </c>
      <c r="C21" s="1" t="str">
        <f ca="1">[2]!getformula(B21)</f>
        <v>&lt;--  =B19^2*H7+(1-B19)^2*H9+2*B19*(1-B19)*J7</v>
      </c>
    </row>
    <row r="23" spans="1:7" x14ac:dyDescent="0.25">
      <c r="E23" s="1" t="s">
        <v>14</v>
      </c>
      <c r="F23" s="1" t="s">
        <v>12</v>
      </c>
    </row>
    <row r="24" spans="1:7" x14ac:dyDescent="0.25">
      <c r="E24" s="10">
        <f>SQRT(B21)</f>
        <v>0.37234392703520758</v>
      </c>
      <c r="F24" s="10">
        <f>B20</f>
        <v>0.11559999999999999</v>
      </c>
      <c r="G24" s="1" t="s">
        <v>15</v>
      </c>
    </row>
    <row r="25" spans="1:7" x14ac:dyDescent="0.25">
      <c r="D25" s="1">
        <v>0</v>
      </c>
      <c r="E25" s="5">
        <f t="dataTable" ref="E25:F35" dt2D="0" dtr="0" r1="B19"/>
        <v>0.39089640571384132</v>
      </c>
      <c r="F25" s="5">
        <v>0.112</v>
      </c>
    </row>
    <row r="26" spans="1:7" x14ac:dyDescent="0.25">
      <c r="D26" s="1">
        <v>0.1</v>
      </c>
      <c r="E26" s="5">
        <v>0.38157568056677832</v>
      </c>
      <c r="F26" s="5">
        <v>0.1132</v>
      </c>
    </row>
    <row r="27" spans="1:7" x14ac:dyDescent="0.25">
      <c r="D27" s="1">
        <v>0.2</v>
      </c>
      <c r="E27" s="5">
        <v>0.37533984600625614</v>
      </c>
      <c r="F27" s="5">
        <v>0.11440000000000002</v>
      </c>
    </row>
    <row r="28" spans="1:7" x14ac:dyDescent="0.25">
      <c r="D28" s="1">
        <v>0.3</v>
      </c>
      <c r="E28" s="5">
        <v>0.37234392703520758</v>
      </c>
      <c r="F28" s="5">
        <v>0.11559999999999999</v>
      </c>
    </row>
    <row r="29" spans="1:7" x14ac:dyDescent="0.25">
      <c r="D29" s="1">
        <v>0.4</v>
      </c>
      <c r="E29" s="5">
        <v>0.37266607036326777</v>
      </c>
      <c r="F29" s="5">
        <v>0.1168</v>
      </c>
    </row>
    <row r="30" spans="1:7" x14ac:dyDescent="0.25">
      <c r="D30" s="1">
        <v>0.5</v>
      </c>
      <c r="E30" s="5">
        <v>0.37629775444453561</v>
      </c>
      <c r="F30" s="5">
        <v>0.11799999999999999</v>
      </c>
    </row>
    <row r="31" spans="1:7" x14ac:dyDescent="0.25">
      <c r="D31" s="1">
        <v>0.6</v>
      </c>
      <c r="E31" s="5">
        <v>0.38314488121336038</v>
      </c>
      <c r="F31" s="5">
        <v>0.1192</v>
      </c>
    </row>
    <row r="32" spans="1:7" x14ac:dyDescent="0.25">
      <c r="D32" s="1">
        <v>0.7</v>
      </c>
      <c r="E32" s="5">
        <v>0.39303943822471554</v>
      </c>
      <c r="F32" s="5">
        <v>0.12039999999999999</v>
      </c>
    </row>
    <row r="33" spans="4:6" x14ac:dyDescent="0.25">
      <c r="D33" s="1">
        <v>0.8</v>
      </c>
      <c r="E33" s="5">
        <v>0.40575854889330432</v>
      </c>
      <c r="F33" s="5">
        <v>0.12160000000000001</v>
      </c>
    </row>
    <row r="34" spans="4:6" x14ac:dyDescent="0.25">
      <c r="D34" s="1">
        <v>0.9</v>
      </c>
      <c r="E34" s="5">
        <v>0.4210463157421046</v>
      </c>
      <c r="F34" s="5">
        <v>0.12280000000000001</v>
      </c>
    </row>
    <row r="35" spans="4:6" x14ac:dyDescent="0.25">
      <c r="D35" s="1">
        <v>1</v>
      </c>
      <c r="E35" s="5">
        <v>0.43863424398922618</v>
      </c>
      <c r="F35" s="5">
        <v>0.124</v>
      </c>
    </row>
    <row r="37" spans="4:6" x14ac:dyDescent="0.25">
      <c r="D37" s="11" t="s">
        <v>16</v>
      </c>
      <c r="E37" s="12">
        <f>SQRT(0.3)</f>
        <v>0.54772255750516607</v>
      </c>
      <c r="F37" s="13">
        <v>0.1</v>
      </c>
    </row>
    <row r="38" spans="4:6" x14ac:dyDescent="0.25">
      <c r="D38" s="11" t="s">
        <v>17</v>
      </c>
      <c r="E38" s="12">
        <f>SQRT(C3)</f>
        <v>0.63245553203367588</v>
      </c>
      <c r="F38" s="13">
        <v>0.12</v>
      </c>
    </row>
    <row r="39" spans="4:6" x14ac:dyDescent="0.25">
      <c r="D39" s="11" t="s">
        <v>18</v>
      </c>
      <c r="E39" s="12">
        <f>SQRT(D4)</f>
        <v>0.7745966692414834</v>
      </c>
      <c r="F39" s="13">
        <v>0.14000000000000001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2024-10-28T05:58:43Z</dcterms:modified>
</cp:coreProperties>
</file>