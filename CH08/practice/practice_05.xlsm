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46C99053-62ED-4A72-A770-14E47953D0F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C21" i="1"/>
  <c r="B21" i="1"/>
  <c r="C20" i="1"/>
  <c r="B20" i="1"/>
  <c r="B26" i="1"/>
  <c r="B29" i="1" s="1"/>
  <c r="B30" i="1" s="1"/>
  <c r="C30" i="1"/>
  <c r="C29" i="1"/>
  <c r="C28" i="1"/>
  <c r="C26" i="1"/>
  <c r="C22" i="1"/>
  <c r="D21" i="1"/>
  <c r="D20" i="1"/>
  <c r="C33" i="1" l="1"/>
  <c r="B28" i="1" a="1"/>
  <c r="B28" i="1" s="1"/>
  <c r="D33" i="1" s="1"/>
</calcChain>
</file>

<file path=xl/sharedStrings.xml><?xml version="1.0" encoding="utf-8"?>
<sst xmlns="http://schemas.openxmlformats.org/spreadsheetml/2006/main" count="17" uniqueCount="17">
  <si>
    <t>Vanguard's Windsor Fund and Index 500 Fund Returns</t>
  </si>
  <si>
    <t>Source:  http://www.vanguard.com</t>
  </si>
  <si>
    <t>The Index 500 fund mimics the SP500 index; the Windsor Fund is an "aggressive" growth fund</t>
  </si>
  <si>
    <t>Year ended
31 December</t>
  </si>
  <si>
    <t>Index 500 Fund</t>
  </si>
  <si>
    <t>Windsor
Fund</t>
  </si>
  <si>
    <t>Average</t>
  </si>
  <si>
    <t>Standard deviation</t>
  </si>
  <si>
    <t>Covariance of returns</t>
  </si>
  <si>
    <t>Portfolio returns</t>
  </si>
  <si>
    <t>Percentage of SP500</t>
  </si>
  <si>
    <t>Percentage of Windsor</t>
  </si>
  <si>
    <t>Expected portfolio return</t>
  </si>
  <si>
    <t>Variance of portfolio return</t>
  </si>
  <si>
    <t>Standard dev. of port. return</t>
  </si>
  <si>
    <t>Sigma</t>
  </si>
  <si>
    <t>Exp.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</si>
</sst>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left" vertical="center" wrapText="1"/>
    </xf>
    <xf numFmtId="16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0" fontId="0" fillId="0" borderId="0" xfId="0" applyNumberFormat="1" applyAlignment="1"/>
    <xf numFmtId="10" fontId="0" fillId="0" borderId="0" xfId="1" applyNumberFormat="1" applyFont="1" applyAlignment="1"/>
    <xf numFmtId="176" fontId="0" fillId="0" borderId="0" xfId="1" applyNumberFormat="1" applyFont="1" applyAlignment="1"/>
    <xf numFmtId="0" fontId="4" fillId="0" borderId="0" xfId="0" applyFont="1" applyAlignment="1"/>
    <xf numFmtId="9" fontId="0" fillId="0" borderId="0" xfId="0" applyNumberFormat="1" applyAlignment="1"/>
    <xf numFmtId="0" fontId="5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628747833176416"/>
          <c:y val="0.132159016723149"/>
          <c:w val="0.74487678649982025"/>
          <c:h val="0.638768580828553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Sheet1!$C$34:$C$44</c:f>
              <c:numCache>
                <c:formatCode>0.00%</c:formatCode>
                <c:ptCount val="11"/>
                <c:pt idx="0">
                  <c:v>0.12824516142362422</c:v>
                </c:pt>
                <c:pt idx="1">
                  <c:v>0.12554372378431611</c:v>
                </c:pt>
                <c:pt idx="2">
                  <c:v>0.12344888721694516</c:v>
                </c:pt>
                <c:pt idx="3">
                  <c:v>0.12199190526006057</c:v>
                </c:pt>
                <c:pt idx="4">
                  <c:v>0.12119578442860671</c:v>
                </c:pt>
                <c:pt idx="5">
                  <c:v>0.1210735619281071</c:v>
                </c:pt>
                <c:pt idx="6">
                  <c:v>0.12162726936448597</c:v>
                </c:pt>
                <c:pt idx="7">
                  <c:v>0.12284776729176411</c:v>
                </c:pt>
                <c:pt idx="8">
                  <c:v>0.12471548109392754</c:v>
                </c:pt>
                <c:pt idx="9">
                  <c:v>0.12720190462731415</c:v>
                </c:pt>
                <c:pt idx="10">
                  <c:v>0.13027161577853796</c:v>
                </c:pt>
              </c:numCache>
            </c:numRef>
          </c:xVal>
          <c:yVal>
            <c:numRef>
              <c:f>Sheet1!$D$34:$D$44</c:f>
              <c:numCache>
                <c:formatCode>0.00%</c:formatCode>
                <c:ptCount val="11"/>
                <c:pt idx="0">
                  <c:v>0.17149999999999999</c:v>
                </c:pt>
                <c:pt idx="1">
                  <c:v>0.1722642857142857</c:v>
                </c:pt>
                <c:pt idx="2">
                  <c:v>0.17302857142857142</c:v>
                </c:pt>
                <c:pt idx="3">
                  <c:v>0.17379285714285711</c:v>
                </c:pt>
                <c:pt idx="4">
                  <c:v>0.17455714285714286</c:v>
                </c:pt>
                <c:pt idx="5">
                  <c:v>0.17532142857142857</c:v>
                </c:pt>
                <c:pt idx="6">
                  <c:v>0.17608571428571429</c:v>
                </c:pt>
                <c:pt idx="7">
                  <c:v>0.17684999999999998</c:v>
                </c:pt>
                <c:pt idx="8">
                  <c:v>0.1776142857142857</c:v>
                </c:pt>
                <c:pt idx="9">
                  <c:v>0.17837857142857141</c:v>
                </c:pt>
                <c:pt idx="10">
                  <c:v>0.17914285714285713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8-4064-814D-12FA74C0D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030848"/>
        <c:axId val="1"/>
      </c:scatterChart>
      <c:valAx>
        <c:axId val="933030848"/>
        <c:scaling>
          <c:orientation val="minMax"/>
        </c:scaling>
        <c:delete val="0"/>
        <c:axPos val="b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30308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31</xdr:row>
      <xdr:rowOff>22860</xdr:rowOff>
    </xdr:from>
    <xdr:to>
      <xdr:col>11</xdr:col>
      <xdr:colOff>45720</xdr:colOff>
      <xdr:row>43</xdr:row>
      <xdr:rowOff>121920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4F8ADB2C-EFE5-4D3B-8DF2-EDA8CC26A6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95250</xdr:colOff>
      <xdr:row>0</xdr:row>
      <xdr:rowOff>123825</xdr:rowOff>
    </xdr:from>
    <xdr:to>
      <xdr:col>28</xdr:col>
      <xdr:colOff>358140</xdr:colOff>
      <xdr:row>49</xdr:row>
      <xdr:rowOff>657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E549C60-1190-960D-FF83-164F139C7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106025" y="123825"/>
          <a:ext cx="10020300" cy="847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4">
          <cell r="C34">
            <v>0.12824516142362422</v>
          </cell>
          <cell r="D34">
            <v>0.17149999999999999</v>
          </cell>
        </row>
        <row r="35">
          <cell r="C35">
            <v>0.12554372378431611</v>
          </cell>
          <cell r="D35">
            <v>0.1722642857142857</v>
          </cell>
        </row>
        <row r="36">
          <cell r="C36">
            <v>0.12344888721694516</v>
          </cell>
          <cell r="D36">
            <v>0.17302857142857142</v>
          </cell>
        </row>
        <row r="37">
          <cell r="C37">
            <v>0.12199190526006057</v>
          </cell>
          <cell r="D37">
            <v>0.17379285714285711</v>
          </cell>
        </row>
        <row r="38">
          <cell r="C38">
            <v>0.12119578442860671</v>
          </cell>
          <cell r="D38">
            <v>0.17455714285714286</v>
          </cell>
        </row>
        <row r="39">
          <cell r="C39">
            <v>0.1210735619281071</v>
          </cell>
          <cell r="D39">
            <v>0.17532142857142857</v>
          </cell>
        </row>
        <row r="40">
          <cell r="C40">
            <v>0.12162726936448597</v>
          </cell>
          <cell r="D40">
            <v>0.17608571428571429</v>
          </cell>
        </row>
        <row r="41">
          <cell r="C41">
            <v>0.12284776729176411</v>
          </cell>
          <cell r="D41">
            <v>0.17684999999999998</v>
          </cell>
        </row>
        <row r="42">
          <cell r="C42">
            <v>0.12471548109392754</v>
          </cell>
          <cell r="D42">
            <v>0.1776142857142857</v>
          </cell>
        </row>
        <row r="43">
          <cell r="C43">
            <v>0.12720190462731415</v>
          </cell>
          <cell r="D43">
            <v>0.17837857142857141</v>
          </cell>
        </row>
        <row r="44">
          <cell r="C44">
            <v>0.13027161577853796</v>
          </cell>
          <cell r="D44">
            <v>0.17914285714285713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L44"/>
  <sheetViews>
    <sheetView tabSelected="1" topLeftCell="A11" zoomScale="145" zoomScaleNormal="145" workbookViewId="0">
      <selection activeCell="G24" sqref="G24"/>
    </sheetView>
  </sheetViews>
  <sheetFormatPr defaultRowHeight="13.8" x14ac:dyDescent="0.25"/>
  <cols>
    <col min="1" max="1" width="25.33203125" style="4" customWidth="1"/>
    <col min="2" max="2" width="12.33203125" style="4" customWidth="1"/>
    <col min="3" max="3" width="8.88671875" style="4"/>
    <col min="4" max="4" width="28.33203125" style="4" customWidth="1"/>
    <col min="5" max="12" width="8.88671875" style="4"/>
  </cols>
  <sheetData>
    <row r="1" spans="1:12" ht="17.399999999999999" x14ac:dyDescent="0.3">
      <c r="A1" s="1" t="s">
        <v>0</v>
      </c>
      <c r="B1" s="1"/>
      <c r="C1" s="1"/>
      <c r="D1" s="2"/>
      <c r="E1" s="3"/>
      <c r="F1" s="3"/>
      <c r="G1" s="3"/>
      <c r="H1" s="3"/>
    </row>
    <row r="2" spans="1:12" x14ac:dyDescent="0.25">
      <c r="A2" s="4" t="s">
        <v>1</v>
      </c>
    </row>
    <row r="3" spans="1:12" x14ac:dyDescent="0.25">
      <c r="A3" s="5" t="s">
        <v>2</v>
      </c>
      <c r="B3" s="5"/>
      <c r="C3" s="5"/>
    </row>
    <row r="4" spans="1:12" ht="26.4" x14ac:dyDescent="0.25">
      <c r="A4" s="6" t="s">
        <v>3</v>
      </c>
      <c r="B4" s="7" t="s">
        <v>4</v>
      </c>
      <c r="C4" s="7" t="s">
        <v>5</v>
      </c>
      <c r="D4" s="8"/>
      <c r="E4" s="8"/>
      <c r="F4" s="8"/>
      <c r="G4" s="8"/>
      <c r="H4" s="8"/>
      <c r="I4" s="8"/>
      <c r="J4" s="8"/>
      <c r="K4" s="8"/>
      <c r="L4" s="8"/>
    </row>
    <row r="5" spans="1:12" x14ac:dyDescent="0.25">
      <c r="A5" s="9">
        <v>1997</v>
      </c>
      <c r="B5" s="10">
        <v>0.33400000000000002</v>
      </c>
      <c r="C5" s="10">
        <v>0.22</v>
      </c>
      <c r="E5" s="11"/>
      <c r="F5" s="11"/>
      <c r="G5" s="10"/>
      <c r="H5" s="10"/>
      <c r="I5" s="10"/>
    </row>
    <row r="6" spans="1:12" x14ac:dyDescent="0.25">
      <c r="A6" s="9">
        <v>1996</v>
      </c>
      <c r="B6" s="10">
        <v>0.23</v>
      </c>
      <c r="C6" s="10">
        <v>0.26400000000000001</v>
      </c>
      <c r="E6" s="11"/>
      <c r="F6" s="11"/>
      <c r="G6" s="10"/>
      <c r="H6" s="10"/>
      <c r="I6" s="10"/>
    </row>
    <row r="7" spans="1:12" x14ac:dyDescent="0.25">
      <c r="A7" s="9">
        <v>1995</v>
      </c>
      <c r="B7" s="10">
        <v>0.376</v>
      </c>
      <c r="C7" s="10">
        <v>0.30099999999999999</v>
      </c>
      <c r="E7" s="11"/>
      <c r="F7" s="11"/>
      <c r="G7" s="10"/>
      <c r="H7" s="10"/>
      <c r="I7" s="10"/>
    </row>
    <row r="8" spans="1:12" x14ac:dyDescent="0.25">
      <c r="A8" s="9">
        <v>1994</v>
      </c>
      <c r="B8" s="10">
        <v>1.2999999999999999E-2</v>
      </c>
      <c r="C8" s="10">
        <v>-1E-3</v>
      </c>
      <c r="E8" s="11"/>
      <c r="F8" s="11"/>
      <c r="G8" s="10"/>
      <c r="H8" s="10"/>
      <c r="I8" s="10"/>
    </row>
    <row r="9" spans="1:12" x14ac:dyDescent="0.25">
      <c r="A9" s="9">
        <v>1993</v>
      </c>
      <c r="B9" s="10">
        <v>0.10100000000000001</v>
      </c>
      <c r="C9" s="10">
        <v>0.19400000000000001</v>
      </c>
      <c r="E9" s="11"/>
      <c r="F9" s="11"/>
      <c r="G9" s="10"/>
      <c r="H9" s="10"/>
      <c r="I9" s="10"/>
    </row>
    <row r="10" spans="1:12" x14ac:dyDescent="0.25">
      <c r="A10" s="9">
        <v>1992</v>
      </c>
      <c r="B10" s="10">
        <v>7.5999999999999998E-2</v>
      </c>
      <c r="C10" s="10">
        <v>0.16500000000000001</v>
      </c>
      <c r="E10" s="11"/>
      <c r="F10" s="11"/>
      <c r="G10" s="10"/>
      <c r="H10" s="10"/>
      <c r="I10" s="10"/>
    </row>
    <row r="11" spans="1:12" x14ac:dyDescent="0.25">
      <c r="A11" s="9">
        <v>1991</v>
      </c>
      <c r="B11" s="10">
        <v>0.30499999999999999</v>
      </c>
      <c r="C11" s="10">
        <v>0.28599999999999998</v>
      </c>
      <c r="E11" s="11"/>
      <c r="F11" s="11"/>
      <c r="G11" s="10"/>
      <c r="H11" s="10"/>
      <c r="I11" s="10"/>
    </row>
    <row r="12" spans="1:12" x14ac:dyDescent="0.25">
      <c r="A12" s="9">
        <v>1990</v>
      </c>
      <c r="B12" s="10">
        <v>-3.1E-2</v>
      </c>
      <c r="C12" s="10">
        <v>-0.155</v>
      </c>
      <c r="E12" s="11"/>
      <c r="F12" s="11"/>
      <c r="G12" s="10"/>
      <c r="H12" s="10"/>
      <c r="I12" s="10"/>
    </row>
    <row r="13" spans="1:12" x14ac:dyDescent="0.25">
      <c r="A13" s="9">
        <v>1989</v>
      </c>
      <c r="B13" s="10">
        <v>0.317</v>
      </c>
      <c r="C13" s="10">
        <v>0.15</v>
      </c>
      <c r="E13" s="11"/>
      <c r="F13" s="11"/>
      <c r="G13" s="10"/>
      <c r="H13" s="10"/>
      <c r="I13" s="10"/>
    </row>
    <row r="14" spans="1:12" x14ac:dyDescent="0.25">
      <c r="A14" s="9">
        <v>1988</v>
      </c>
      <c r="B14" s="10">
        <v>0.16600000000000001</v>
      </c>
      <c r="C14" s="10">
        <v>0.28699999999999998</v>
      </c>
      <c r="E14" s="11"/>
      <c r="F14" s="11"/>
      <c r="G14" s="10"/>
      <c r="H14" s="10"/>
      <c r="I14" s="10"/>
    </row>
    <row r="15" spans="1:12" x14ac:dyDescent="0.25">
      <c r="A15" s="9">
        <v>1987</v>
      </c>
      <c r="B15" s="10">
        <v>5.2999999999999999E-2</v>
      </c>
      <c r="C15" s="10">
        <v>1.2E-2</v>
      </c>
      <c r="E15" s="11"/>
      <c r="F15" s="11"/>
      <c r="G15" s="10"/>
      <c r="H15" s="10"/>
      <c r="I15" s="10"/>
    </row>
    <row r="16" spans="1:12" x14ac:dyDescent="0.25">
      <c r="A16" s="9">
        <v>1986</v>
      </c>
      <c r="B16" s="10">
        <v>0.187</v>
      </c>
      <c r="C16" s="10">
        <v>0.20300000000000001</v>
      </c>
      <c r="E16" s="11"/>
      <c r="F16" s="11"/>
      <c r="G16" s="10"/>
      <c r="H16" s="10"/>
      <c r="I16" s="10"/>
    </row>
    <row r="17" spans="1:9" x14ac:dyDescent="0.25">
      <c r="A17" s="9">
        <v>1985</v>
      </c>
      <c r="B17" s="10">
        <v>0.318</v>
      </c>
      <c r="C17" s="10">
        <v>0.28000000000000003</v>
      </c>
      <c r="E17" s="11"/>
      <c r="F17" s="11"/>
      <c r="G17" s="10"/>
      <c r="H17" s="10"/>
      <c r="I17" s="10"/>
    </row>
    <row r="18" spans="1:9" x14ac:dyDescent="0.25">
      <c r="A18" s="9">
        <v>1984</v>
      </c>
      <c r="B18" s="10">
        <v>6.3E-2</v>
      </c>
      <c r="C18" s="10">
        <v>0.19500000000000001</v>
      </c>
      <c r="E18" s="11"/>
      <c r="F18" s="11"/>
      <c r="G18" s="10"/>
      <c r="H18" s="10"/>
      <c r="I18" s="10"/>
    </row>
    <row r="20" spans="1:9" x14ac:dyDescent="0.25">
      <c r="A20" s="4" t="s">
        <v>6</v>
      </c>
      <c r="B20" s="10">
        <f>AVERAGE(B5:B18)</f>
        <v>0.17914285714285713</v>
      </c>
      <c r="C20" s="10">
        <f>AVERAGE(C5:C18)</f>
        <v>0.17149999999999999</v>
      </c>
      <c r="D20" s="4" t="str">
        <f ca="1">[2]!getformula(C20)</f>
        <v>&lt;--  =AVERAGE(C5:C18)</v>
      </c>
      <c r="E20" s="10"/>
      <c r="F20" s="10"/>
    </row>
    <row r="21" spans="1:9" x14ac:dyDescent="0.25">
      <c r="A21" s="4" t="s">
        <v>7</v>
      </c>
      <c r="B21" s="11">
        <f>_xlfn.STDEV.P(B5:B18)</f>
        <v>0.13027161577853796</v>
      </c>
      <c r="C21" s="11">
        <f>_xlfn.STDEV.P(C5:C18)</f>
        <v>0.12824516142362422</v>
      </c>
      <c r="D21" s="4" t="str">
        <f ca="1">[2]!getformula(C21)</f>
        <v>&lt;--  =STDEV.P(C5:C18)</v>
      </c>
      <c r="E21" s="11"/>
      <c r="F21" s="11"/>
    </row>
    <row r="22" spans="1:9" x14ac:dyDescent="0.25">
      <c r="A22" s="4" t="s">
        <v>8</v>
      </c>
      <c r="B22" s="12">
        <f>_xlfn.COVARIANCE.P(B5:B18,C5:C18)</f>
        <v>1.2608857142857142E-2</v>
      </c>
      <c r="C22" s="15" t="str">
        <f ca="1">[2]!getformula(B22)</f>
        <v>&lt;--  =COVARIANCE.P(B5:B18,C5:C18)</v>
      </c>
      <c r="E22" s="11"/>
      <c r="F22" s="11"/>
    </row>
    <row r="24" spans="1:9" x14ac:dyDescent="0.25">
      <c r="A24" s="13" t="s">
        <v>9</v>
      </c>
    </row>
    <row r="25" spans="1:9" x14ac:dyDescent="0.25">
      <c r="A25" s="4" t="s">
        <v>10</v>
      </c>
      <c r="B25" s="14">
        <v>0.25</v>
      </c>
    </row>
    <row r="26" spans="1:9" x14ac:dyDescent="0.25">
      <c r="A26" s="4" t="s">
        <v>11</v>
      </c>
      <c r="B26" s="14">
        <f>1-B25</f>
        <v>0.75</v>
      </c>
      <c r="C26" s="4" t="str">
        <f ca="1">[2]!getformula(B26)</f>
        <v>&lt;--  =1-B25</v>
      </c>
    </row>
    <row r="28" spans="1:9" x14ac:dyDescent="0.25">
      <c r="A28" s="4" t="s">
        <v>12</v>
      </c>
      <c r="B28" s="11">
        <f t="array" ref="B28">MMULT(B20:C20,B25:B26)</f>
        <v>0.17341071428571428</v>
      </c>
      <c r="C28" s="15" t="str">
        <f ca="1">[2]!getformula(B28)</f>
        <v>&lt;--  {=MMULT(B20:C20,B25:B26)}</v>
      </c>
    </row>
    <row r="29" spans="1:9" x14ac:dyDescent="0.25">
      <c r="A29" s="4" t="s">
        <v>13</v>
      </c>
      <c r="B29" s="11">
        <f>B25^2*B21^2+B26^2*C21^2+2*B25*B26*B22</f>
        <v>1.5040326849489798E-2</v>
      </c>
      <c r="C29" s="4" t="str">
        <f ca="1">[2]!getformula(B29)</f>
        <v>&lt;--  =B25^2*B21^2+B26^2*C21^2+2*B25*B26*B22</v>
      </c>
    </row>
    <row r="30" spans="1:9" x14ac:dyDescent="0.25">
      <c r="A30" s="4" t="s">
        <v>14</v>
      </c>
      <c r="B30" s="11">
        <f>SQRT(B29)</f>
        <v>0.1226390103086689</v>
      </c>
      <c r="C30" s="4" t="str">
        <f ca="1">[2]!getformula(B30)</f>
        <v>&lt;--  =SQRT(B29)</v>
      </c>
    </row>
    <row r="32" spans="1:9" x14ac:dyDescent="0.25">
      <c r="C32" s="4" t="s">
        <v>15</v>
      </c>
      <c r="D32" s="4" t="s">
        <v>16</v>
      </c>
    </row>
    <row r="33" spans="2:4" x14ac:dyDescent="0.25">
      <c r="C33" s="10">
        <f>B30</f>
        <v>0.1226390103086689</v>
      </c>
      <c r="D33" s="10">
        <f>B28</f>
        <v>0.17341071428571428</v>
      </c>
    </row>
    <row r="34" spans="2:4" x14ac:dyDescent="0.25">
      <c r="B34" s="4">
        <v>0</v>
      </c>
      <c r="C34" s="11">
        <f t="dataTable" ref="C34:D44" dt2D="0" dtr="0" r1="B25"/>
        <v>0.12824516142362422</v>
      </c>
      <c r="D34" s="11">
        <v>0.17149999999999999</v>
      </c>
    </row>
    <row r="35" spans="2:4" x14ac:dyDescent="0.25">
      <c r="B35" s="4">
        <v>0.1</v>
      </c>
      <c r="C35" s="11">
        <v>0.12554372378431611</v>
      </c>
      <c r="D35" s="11">
        <v>0.1722642857142857</v>
      </c>
    </row>
    <row r="36" spans="2:4" x14ac:dyDescent="0.25">
      <c r="B36" s="4">
        <v>0.2</v>
      </c>
      <c r="C36" s="11">
        <v>0.12344888721694516</v>
      </c>
      <c r="D36" s="11">
        <v>0.17302857142857142</v>
      </c>
    </row>
    <row r="37" spans="2:4" x14ac:dyDescent="0.25">
      <c r="B37" s="4">
        <v>0.3</v>
      </c>
      <c r="C37" s="11">
        <v>0.12199190526006057</v>
      </c>
      <c r="D37" s="11">
        <v>0.17379285714285711</v>
      </c>
    </row>
    <row r="38" spans="2:4" x14ac:dyDescent="0.25">
      <c r="B38" s="4">
        <v>0.4</v>
      </c>
      <c r="C38" s="11">
        <v>0.12119578442860671</v>
      </c>
      <c r="D38" s="11">
        <v>0.17455714285714286</v>
      </c>
    </row>
    <row r="39" spans="2:4" x14ac:dyDescent="0.25">
      <c r="B39" s="4">
        <v>0.5</v>
      </c>
      <c r="C39" s="11">
        <v>0.1210735619281071</v>
      </c>
      <c r="D39" s="11">
        <v>0.17532142857142857</v>
      </c>
    </row>
    <row r="40" spans="2:4" x14ac:dyDescent="0.25">
      <c r="B40" s="4">
        <v>0.6</v>
      </c>
      <c r="C40" s="11">
        <v>0.12162726936448597</v>
      </c>
      <c r="D40" s="11">
        <v>0.17608571428571429</v>
      </c>
    </row>
    <row r="41" spans="2:4" x14ac:dyDescent="0.25">
      <c r="B41" s="4">
        <v>0.7</v>
      </c>
      <c r="C41" s="11">
        <v>0.12284776729176411</v>
      </c>
      <c r="D41" s="11">
        <v>0.17684999999999998</v>
      </c>
    </row>
    <row r="42" spans="2:4" x14ac:dyDescent="0.25">
      <c r="B42" s="4">
        <v>0.8</v>
      </c>
      <c r="C42" s="11">
        <v>0.12471548109392754</v>
      </c>
      <c r="D42" s="11">
        <v>0.1776142857142857</v>
      </c>
    </row>
    <row r="43" spans="2:4" x14ac:dyDescent="0.25">
      <c r="B43" s="4">
        <v>0.9</v>
      </c>
      <c r="C43" s="11">
        <v>0.12720190462731415</v>
      </c>
      <c r="D43" s="11">
        <v>0.17837857142857141</v>
      </c>
    </row>
    <row r="44" spans="2:4" x14ac:dyDescent="0.25">
      <c r="B44" s="4">
        <v>1</v>
      </c>
      <c r="C44" s="11">
        <v>0.13027161577853796</v>
      </c>
      <c r="D44" s="11">
        <v>0.17914285714285713</v>
      </c>
    </row>
  </sheetData>
  <mergeCells count="2">
    <mergeCell ref="A1:C1"/>
    <mergeCell ref="A3:C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2024-10-28T03:09:19Z</dcterms:modified>
</cp:coreProperties>
</file>