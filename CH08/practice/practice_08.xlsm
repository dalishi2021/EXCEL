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practice\"/>
    </mc:Choice>
  </mc:AlternateContent>
  <xr:revisionPtr revIDLastSave="0" documentId="13_ncr:1_{0966C5E5-1028-4B50-913B-102390ED0E0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6" i="1" l="1"/>
  <c r="F17" i="1"/>
  <c r="F18" i="1"/>
  <c r="F19" i="1"/>
  <c r="F20" i="1"/>
  <c r="D36" i="1" s="1"/>
  <c r="F21" i="1"/>
  <c r="E48" i="1" s="1"/>
  <c r="F22" i="1"/>
  <c r="F23" i="1"/>
  <c r="F24" i="1"/>
  <c r="F25" i="1"/>
  <c r="F15" i="1"/>
  <c r="B10" i="1"/>
  <c r="B14" i="1" s="1"/>
  <c r="B9" i="1"/>
  <c r="C63" i="1"/>
  <c r="C62" i="1"/>
  <c r="C61" i="1"/>
  <c r="F60" i="1"/>
  <c r="C60" i="1"/>
  <c r="C59" i="1"/>
  <c r="C58" i="1"/>
  <c r="F57" i="1"/>
  <c r="C57" i="1"/>
  <c r="F56" i="1"/>
  <c r="C56" i="1"/>
  <c r="C55" i="1"/>
  <c r="C54" i="1"/>
  <c r="C53" i="1"/>
  <c r="E52" i="1"/>
  <c r="C52" i="1"/>
  <c r="C51" i="1"/>
  <c r="C50" i="1"/>
  <c r="E49" i="1"/>
  <c r="C49" i="1"/>
  <c r="C48" i="1"/>
  <c r="C47" i="1"/>
  <c r="C46" i="1"/>
  <c r="C45" i="1"/>
  <c r="C44" i="1"/>
  <c r="C43" i="1"/>
  <c r="C42" i="1"/>
  <c r="D41" i="1"/>
  <c r="C41" i="1"/>
  <c r="D40" i="1"/>
  <c r="C40" i="1"/>
  <c r="C39" i="1"/>
  <c r="C38" i="1"/>
  <c r="C37" i="1"/>
  <c r="C36" i="1"/>
  <c r="C35" i="1"/>
  <c r="C34" i="1"/>
  <c r="D33" i="1"/>
  <c r="C33" i="1"/>
  <c r="D32" i="1"/>
  <c r="C32" i="1"/>
  <c r="C31" i="1"/>
  <c r="F63" i="1"/>
  <c r="F62" i="1"/>
  <c r="D39" i="1"/>
  <c r="D38" i="1"/>
  <c r="E47" i="1"/>
  <c r="E46" i="1"/>
  <c r="E45" i="1"/>
  <c r="F55" i="1"/>
  <c r="F54" i="1"/>
  <c r="D31" i="1"/>
  <c r="C4" i="1"/>
  <c r="B4" i="1"/>
  <c r="C10" i="1"/>
  <c r="C9" i="1"/>
  <c r="D4" i="1"/>
  <c r="D37" i="1" l="1"/>
  <c r="F58" i="1"/>
  <c r="D34" i="1"/>
  <c r="E42" i="1"/>
  <c r="E50" i="1"/>
  <c r="D35" i="1"/>
  <c r="E43" i="1"/>
  <c r="E51" i="1"/>
  <c r="F59" i="1"/>
  <c r="E44" i="1"/>
  <c r="F53" i="1"/>
  <c r="F61" i="1"/>
</calcChain>
</file>

<file path=xl/sharedStrings.xml><?xml version="1.0" encoding="utf-8"?>
<sst xmlns="http://schemas.openxmlformats.org/spreadsheetml/2006/main" count="25" uniqueCount="25">
  <si>
    <t>A</t>
  </si>
  <si>
    <t>B</t>
  </si>
  <si>
    <t>Expected return</t>
  </si>
  <si>
    <t>Variance of return</t>
  </si>
  <si>
    <t>Standard deviation of return</t>
  </si>
  <si>
    <t>Correlation</t>
  </si>
  <si>
    <t>Proportion of A</t>
  </si>
  <si>
    <t>Portfolio expected return</t>
  </si>
  <si>
    <t>Portfolio standard deviation</t>
  </si>
  <si>
    <t>Sigma for Correlation(A,B)</t>
  </si>
  <si>
    <t>Expected</t>
  </si>
  <si>
    <t>return</t>
  </si>
  <si>
    <t>Proportion</t>
  </si>
  <si>
    <t>of A</t>
  </si>
  <si>
    <t>&lt;-- Note that proportion = 0.572949 gives sigma = 0 for corr = -1.</t>
  </si>
  <si>
    <t>This proportion is determined by:</t>
  </si>
  <si>
    <r>
      <t>To graph</t>
    </r>
    <r>
      <rPr>
        <sz val="11"/>
        <color theme="1"/>
        <rFont val="等线"/>
        <family val="2"/>
        <charset val="134"/>
        <scheme val="minor"/>
      </rPr>
      <t>:  Line up all the sigmas, put expected returns in different columns:</t>
    </r>
  </si>
  <si>
    <t>(I thank Eric Elias, a student of mine at UCLA in 1989-90, for showing me this trick).</t>
  </si>
  <si>
    <t>corr = +1</t>
  </si>
  <si>
    <t>corr = 0</t>
  </si>
  <si>
    <t>corr = -1</t>
  </si>
  <si>
    <t>Sigma for correlation = 1</t>
  </si>
  <si>
    <t>Sigma for correlation = 0</t>
  </si>
  <si>
    <t>Sigma for correlation = -1</t>
  </si>
  <si>
    <t>prop(A) = sigma(B)/(sigma(A)+sigma(B))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</si>
</sst>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>
      <alignment horizontal="center"/>
    </xf>
    <xf numFmtId="9" fontId="0" fillId="0" borderId="0" xfId="0" applyNumberFormat="1" applyAlignment="1"/>
    <xf numFmtId="176" fontId="0" fillId="0" borderId="0" xfId="1" applyNumberFormat="1" applyFont="1" applyAlignment="1"/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0" xfId="0" applyFont="1" applyAlignment="1"/>
    <xf numFmtId="176" fontId="0" fillId="0" borderId="0" xfId="0" applyNumberFormat="1" applyAlignment="1"/>
    <xf numFmtId="0" fontId="0" fillId="0" borderId="0" xfId="0" applyAlignment="1">
      <alignment horizontal="center"/>
    </xf>
    <xf numFmtId="10" fontId="0" fillId="0" borderId="0" xfId="1" applyNumberFormat="1" applyFont="1" applyAlignmen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0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0" fontId="5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40936885819413E-2"/>
          <c:y val="8.7719642653819013E-2"/>
          <c:w val="0.80292024459521083"/>
          <c:h val="0.7836288077074499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Sheet1!$D$30</c:f>
              <c:strCache>
                <c:ptCount val="1"/>
                <c:pt idx="0">
                  <c:v>corr = +1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Sheet1!$C$31:$C$41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6.537383539249432E-2</c:v>
                </c:pt>
                <c:pt idx="2">
                  <c:v>6.3665631459994959E-2</c:v>
                </c:pt>
                <c:pt idx="3">
                  <c:v>6.1957427527495577E-2</c:v>
                </c:pt>
                <c:pt idx="4">
                  <c:v>6.0249223594996217E-2</c:v>
                </c:pt>
                <c:pt idx="5">
                  <c:v>5.8541019662496842E-2</c:v>
                </c:pt>
                <c:pt idx="6">
                  <c:v>5.7294901975777877E-2</c:v>
                </c:pt>
                <c:pt idx="7">
                  <c:v>5.5124611797498106E-2</c:v>
                </c:pt>
                <c:pt idx="8">
                  <c:v>5.3416407864998738E-2</c:v>
                </c:pt>
                <c:pt idx="9">
                  <c:v>5.1708203932499371E-2</c:v>
                </c:pt>
                <c:pt idx="10">
                  <c:v>0.05</c:v>
                </c:pt>
              </c:numCache>
            </c:numRef>
          </c:xVal>
          <c:yVal>
            <c:numRef>
              <c:f>Sheet1!$D$31:$D$41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C-4D15-BB7E-4B35877E8B93}"/>
            </c:ext>
          </c:extLst>
        </c:ser>
        <c:ser>
          <c:idx val="1"/>
          <c:order val="1"/>
          <c:tx>
            <c:strRef>
              <c:f>Sheet1!$E$30</c:f>
              <c:strCache>
                <c:ptCount val="1"/>
                <c:pt idx="0">
                  <c:v>corr = 0</c:v>
                </c:pt>
              </c:strCache>
            </c:strRef>
          </c:tx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Sheet1!$C$42:$C$52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6.0580524923443832E-2</c:v>
                </c:pt>
                <c:pt idx="2">
                  <c:v>5.4589376255824724E-2</c:v>
                </c:pt>
                <c:pt idx="3">
                  <c:v>4.9295030175464945E-2</c:v>
                </c:pt>
                <c:pt idx="4">
                  <c:v>4.4944410108488465E-2</c:v>
                </c:pt>
                <c:pt idx="5">
                  <c:v>4.1833001326703777E-2</c:v>
                </c:pt>
                <c:pt idx="6">
                  <c:v>4.0513613714491081E-2</c:v>
                </c:pt>
                <c:pt idx="7">
                  <c:v>4.03732584763727E-2</c:v>
                </c:pt>
                <c:pt idx="8">
                  <c:v>4.2190046219457975E-2</c:v>
                </c:pt>
                <c:pt idx="9">
                  <c:v>4.5497252664309304E-2</c:v>
                </c:pt>
                <c:pt idx="10">
                  <c:v>0.05</c:v>
                </c:pt>
              </c:numCache>
            </c:numRef>
          </c:xVal>
          <c:yVal>
            <c:numRef>
              <c:f>Sheet1!$E$42:$E$52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1C-4D15-BB7E-4B35877E8B93}"/>
            </c:ext>
          </c:extLst>
        </c:ser>
        <c:ser>
          <c:idx val="2"/>
          <c:order val="2"/>
          <c:tx>
            <c:strRef>
              <c:f>Sheet1!$F$30</c:f>
              <c:strCache>
                <c:ptCount val="1"/>
                <c:pt idx="0">
                  <c:v>corr = -1</c:v>
                </c:pt>
              </c:strCache>
            </c:strRef>
          </c:tx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xVal>
            <c:numRef>
              <c:f>Sheet1!$C$53:$C$63</c:f>
              <c:numCache>
                <c:formatCode>0.00%</c:formatCode>
                <c:ptCount val="11"/>
                <c:pt idx="0">
                  <c:v>6.7082039324993695E-2</c:v>
                </c:pt>
                <c:pt idx="1">
                  <c:v>5.5373835392494318E-2</c:v>
                </c:pt>
                <c:pt idx="2">
                  <c:v>4.3665631459994948E-2</c:v>
                </c:pt>
                <c:pt idx="3">
                  <c:v>3.1957427527495579E-2</c:v>
                </c:pt>
                <c:pt idx="4">
                  <c:v>2.0249223594996219E-2</c:v>
                </c:pt>
                <c:pt idx="5">
                  <c:v>8.541019662496839E-3</c:v>
                </c:pt>
                <c:pt idx="6">
                  <c:v>2.0297704932934949E-9</c:v>
                </c:pt>
                <c:pt idx="7">
                  <c:v>1.487538820250189E-2</c:v>
                </c:pt>
                <c:pt idx="8">
                  <c:v>2.6583592135001267E-2</c:v>
                </c:pt>
                <c:pt idx="9">
                  <c:v>3.8291796067500633E-2</c:v>
                </c:pt>
                <c:pt idx="10">
                  <c:v>0.05</c:v>
                </c:pt>
              </c:numCache>
            </c:numRef>
          </c:xVal>
          <c:yVal>
            <c:numRef>
              <c:f>Sheet1!$F$53:$F$63</c:f>
              <c:numCache>
                <c:formatCode>0.00%</c:formatCode>
                <c:ptCount val="11"/>
                <c:pt idx="0">
                  <c:v>0.05</c:v>
                </c:pt>
                <c:pt idx="1">
                  <c:v>4.8000000000000008E-2</c:v>
                </c:pt>
                <c:pt idx="2">
                  <c:v>4.6000000000000006E-2</c:v>
                </c:pt>
                <c:pt idx="3">
                  <c:v>4.3999999999999997E-2</c:v>
                </c:pt>
                <c:pt idx="4">
                  <c:v>4.1999999999999996E-2</c:v>
                </c:pt>
                <c:pt idx="5">
                  <c:v>0.04</c:v>
                </c:pt>
                <c:pt idx="6">
                  <c:v>3.8541019999999995E-2</c:v>
                </c:pt>
                <c:pt idx="7">
                  <c:v>3.6000000000000004E-2</c:v>
                </c:pt>
                <c:pt idx="8">
                  <c:v>3.4000000000000002E-2</c:v>
                </c:pt>
                <c:pt idx="9">
                  <c:v>3.2000000000000001E-2</c:v>
                </c:pt>
                <c:pt idx="10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1C-4D15-BB7E-4B35877E8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034808"/>
        <c:axId val="1"/>
      </c:scatterChart>
      <c:valAx>
        <c:axId val="933034808"/>
        <c:scaling>
          <c:orientation val="minMax"/>
          <c:min val="0"/>
        </c:scaling>
        <c:delete val="0"/>
        <c:axPos val="b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3034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525593906994387"/>
          <c:y val="0.59941755813442987"/>
          <c:w val="0.17883223629620604"/>
          <c:h val="0.187135237661480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365760</xdr:colOff>
      <xdr:row>23</xdr:row>
      <xdr:rowOff>45720</xdr:rowOff>
    </xdr:from>
    <xdr:to>
      <xdr:col>15</xdr:col>
      <xdr:colOff>91440</xdr:colOff>
      <xdr:row>42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A07A91E-421D-483E-91BC-3AE58CD8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447675</xdr:colOff>
      <xdr:row>1</xdr:row>
      <xdr:rowOff>114300</xdr:rowOff>
    </xdr:from>
    <xdr:to>
      <xdr:col>34</xdr:col>
      <xdr:colOff>342899</xdr:colOff>
      <xdr:row>67</xdr:row>
      <xdr:rowOff>38100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5843CC5-AC3E-C6A9-5DC7-B1E0D0A2CD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06175" y="285750"/>
          <a:ext cx="10868025" cy="11239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, jul97-jul07"/>
      <sheetName val="DJ30, jul97-jul07 (中文)"/>
      <sheetName val="Exercise 1"/>
      <sheetName val="Exercise 1(中文)"/>
      <sheetName val="Exercise 2"/>
      <sheetName val="Exercise 2(中文)"/>
      <sheetName val="Exercise 3"/>
      <sheetName val="Exercise 3(中文)"/>
      <sheetName val="Exercise 4"/>
      <sheetName val="Exercise 4(中文)"/>
      <sheetName val="Exercise 5"/>
      <sheetName val="Exercise 5(中文)"/>
      <sheetName val="Exercise 6"/>
      <sheetName val="Exercise 6(中文)"/>
      <sheetName val="Exercise 7"/>
      <sheetName val="Exercise 7(中文)"/>
      <sheetName val="Exercise 8"/>
      <sheetName val="Exercise 8(中文)"/>
      <sheetName val="Exercise 9"/>
      <sheetName val="Exercise 9(中文)"/>
      <sheetName val="Exercise 10"/>
      <sheetName val="Exercise 10(中文)"/>
      <sheetName val="Exercise 11"/>
      <sheetName val="Exercise 11(中文)"/>
      <sheetName val="Exercise 11, Solver"/>
      <sheetName val="Exercise 11, Solver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0">
          <cell r="D30" t="str">
            <v>corr = +1</v>
          </cell>
          <cell r="E30" t="str">
            <v>corr = 0</v>
          </cell>
          <cell r="F30" t="str">
            <v>corr = -1</v>
          </cell>
        </row>
        <row r="31">
          <cell r="C31">
            <v>6.7082039324993695E-2</v>
          </cell>
          <cell r="D31">
            <v>0.05</v>
          </cell>
        </row>
        <row r="32">
          <cell r="C32">
            <v>6.537383539249432E-2</v>
          </cell>
          <cell r="D32">
            <v>4.8000000000000008E-2</v>
          </cell>
        </row>
        <row r="33">
          <cell r="C33">
            <v>6.3665631459994959E-2</v>
          </cell>
          <cell r="D33">
            <v>4.6000000000000006E-2</v>
          </cell>
        </row>
        <row r="34">
          <cell r="C34">
            <v>6.1957427527495577E-2</v>
          </cell>
          <cell r="D34">
            <v>4.3999999999999997E-2</v>
          </cell>
        </row>
        <row r="35">
          <cell r="C35">
            <v>6.0249223594996217E-2</v>
          </cell>
          <cell r="D35">
            <v>4.1999999999999996E-2</v>
          </cell>
        </row>
        <row r="36">
          <cell r="C36">
            <v>5.8541019662496842E-2</v>
          </cell>
          <cell r="D36">
            <v>0.04</v>
          </cell>
        </row>
        <row r="37">
          <cell r="C37">
            <v>5.7294901975777884E-2</v>
          </cell>
          <cell r="D37">
            <v>3.8541019999999995E-2</v>
          </cell>
        </row>
        <row r="38">
          <cell r="C38">
            <v>5.5124611797498113E-2</v>
          </cell>
          <cell r="D38">
            <v>3.6000000000000004E-2</v>
          </cell>
        </row>
        <row r="39">
          <cell r="C39">
            <v>5.3416407864998738E-2</v>
          </cell>
          <cell r="D39">
            <v>3.4000000000000002E-2</v>
          </cell>
        </row>
        <row r="40">
          <cell r="C40">
            <v>5.1708203932499371E-2</v>
          </cell>
          <cell r="D40">
            <v>3.2000000000000001E-2</v>
          </cell>
        </row>
        <row r="41">
          <cell r="C41">
            <v>0.05</v>
          </cell>
          <cell r="D41">
            <v>0.03</v>
          </cell>
        </row>
        <row r="42">
          <cell r="C42">
            <v>6.7082039324993695E-2</v>
          </cell>
          <cell r="E42">
            <v>0.05</v>
          </cell>
        </row>
        <row r="43">
          <cell r="C43">
            <v>6.0580524923443832E-2</v>
          </cell>
          <cell r="E43">
            <v>4.8000000000000008E-2</v>
          </cell>
        </row>
        <row r="44">
          <cell r="C44">
            <v>5.4589376255824724E-2</v>
          </cell>
          <cell r="E44">
            <v>4.6000000000000006E-2</v>
          </cell>
        </row>
        <row r="45">
          <cell r="C45">
            <v>4.9295030175464945E-2</v>
          </cell>
          <cell r="E45">
            <v>4.3999999999999997E-2</v>
          </cell>
        </row>
        <row r="46">
          <cell r="C46">
            <v>4.4944410108488465E-2</v>
          </cell>
          <cell r="E46">
            <v>4.1999999999999996E-2</v>
          </cell>
        </row>
        <row r="47">
          <cell r="C47">
            <v>4.1833001326703777E-2</v>
          </cell>
          <cell r="E47">
            <v>0.04</v>
          </cell>
        </row>
        <row r="48">
          <cell r="C48">
            <v>4.0513613714491081E-2</v>
          </cell>
          <cell r="E48">
            <v>3.8541019999999995E-2</v>
          </cell>
        </row>
        <row r="49">
          <cell r="C49">
            <v>4.03732584763727E-2</v>
          </cell>
          <cell r="E49">
            <v>3.6000000000000004E-2</v>
          </cell>
        </row>
        <row r="50">
          <cell r="C50">
            <v>4.2190046219457975E-2</v>
          </cell>
          <cell r="E50">
            <v>3.4000000000000002E-2</v>
          </cell>
        </row>
        <row r="51">
          <cell r="C51">
            <v>4.5497252664309304E-2</v>
          </cell>
          <cell r="E51">
            <v>3.2000000000000001E-2</v>
          </cell>
        </row>
        <row r="52">
          <cell r="C52">
            <v>0.05</v>
          </cell>
          <cell r="E52">
            <v>0.03</v>
          </cell>
        </row>
        <row r="53">
          <cell r="C53">
            <v>6.7082039324993695E-2</v>
          </cell>
          <cell r="F53">
            <v>0.05</v>
          </cell>
        </row>
        <row r="54">
          <cell r="C54">
            <v>5.5373835392494318E-2</v>
          </cell>
          <cell r="F54">
            <v>4.8000000000000008E-2</v>
          </cell>
        </row>
        <row r="55">
          <cell r="C55">
            <v>4.3665631459994948E-2</v>
          </cell>
          <cell r="F55">
            <v>4.6000000000000006E-2</v>
          </cell>
        </row>
        <row r="56">
          <cell r="C56">
            <v>3.1957427527495572E-2</v>
          </cell>
          <cell r="F56">
            <v>4.3999999999999997E-2</v>
          </cell>
        </row>
        <row r="57">
          <cell r="C57">
            <v>2.0249223594996216E-2</v>
          </cell>
          <cell r="F57">
            <v>4.1999999999999996E-2</v>
          </cell>
        </row>
        <row r="58">
          <cell r="C58">
            <v>8.5410196624968269E-3</v>
          </cell>
          <cell r="F58">
            <v>0.04</v>
          </cell>
        </row>
        <row r="59">
          <cell r="C59">
            <v>1.9756335239481576E-9</v>
          </cell>
          <cell r="F59">
            <v>3.8541019999999995E-2</v>
          </cell>
        </row>
        <row r="60">
          <cell r="C60">
            <v>1.4875388202501876E-2</v>
          </cell>
          <cell r="F60">
            <v>3.6000000000000004E-2</v>
          </cell>
        </row>
        <row r="61">
          <cell r="C61">
            <v>2.6583592135001267E-2</v>
          </cell>
          <cell r="F61">
            <v>3.4000000000000002E-2</v>
          </cell>
        </row>
        <row r="62">
          <cell r="C62">
            <v>3.8291796067500633E-2</v>
          </cell>
          <cell r="F62">
            <v>3.2000000000000001E-2</v>
          </cell>
        </row>
        <row r="63">
          <cell r="C63">
            <v>0.05</v>
          </cell>
          <cell r="F63">
            <v>0.03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P63"/>
  <sheetViews>
    <sheetView tabSelected="1" topLeftCell="A11" zoomScale="145" zoomScaleNormal="145" workbookViewId="0">
      <selection activeCell="P19" sqref="P18:P19"/>
    </sheetView>
  </sheetViews>
  <sheetFormatPr defaultRowHeight="13.8" x14ac:dyDescent="0.25"/>
  <cols>
    <col min="1" max="1" width="27.33203125" style="1" customWidth="1"/>
    <col min="2" max="2" width="10.5546875" style="1" customWidth="1"/>
    <col min="3" max="16" width="8.88671875" style="1"/>
  </cols>
  <sheetData>
    <row r="1" spans="1:6" x14ac:dyDescent="0.25">
      <c r="B1" s="2" t="s">
        <v>0</v>
      </c>
      <c r="C1" s="2" t="s">
        <v>1</v>
      </c>
    </row>
    <row r="2" spans="1:6" x14ac:dyDescent="0.25">
      <c r="A2" s="1" t="s">
        <v>2</v>
      </c>
      <c r="B2" s="3">
        <v>0.03</v>
      </c>
      <c r="C2" s="3">
        <v>0.05</v>
      </c>
    </row>
    <row r="3" spans="1:6" x14ac:dyDescent="0.25">
      <c r="A3" s="1" t="s">
        <v>3</v>
      </c>
      <c r="B3" s="1">
        <v>2.5000000000000001E-3</v>
      </c>
      <c r="C3" s="1">
        <v>4.4999999999999997E-3</v>
      </c>
    </row>
    <row r="4" spans="1:6" x14ac:dyDescent="0.25">
      <c r="A4" s="1" t="s">
        <v>4</v>
      </c>
      <c r="B4" s="1">
        <f>SQRT(B3)</f>
        <v>0.05</v>
      </c>
      <c r="C4" s="1">
        <f>SQRT(C3)</f>
        <v>6.7082039324993695E-2</v>
      </c>
      <c r="D4" s="1" t="str">
        <f ca="1">_xlfn.FORMULATEXT(C4)</f>
        <v>=SQRT(C3)</v>
      </c>
    </row>
    <row r="5" spans="1:6" x14ac:dyDescent="0.25">
      <c r="A5" s="1" t="s">
        <v>5</v>
      </c>
      <c r="B5" s="14">
        <v>0.3</v>
      </c>
    </row>
    <row r="7" spans="1:6" x14ac:dyDescent="0.25">
      <c r="A7" s="1" t="s">
        <v>6</v>
      </c>
      <c r="B7" s="1">
        <v>0.24</v>
      </c>
    </row>
    <row r="9" spans="1:6" x14ac:dyDescent="0.25">
      <c r="A9" s="1" t="s">
        <v>7</v>
      </c>
      <c r="B9" s="4">
        <f>B7*B2+(1-B7)*C2</f>
        <v>4.5200000000000004E-2</v>
      </c>
      <c r="C9" s="1" t="str">
        <f ca="1">[2]!getformula(B9)</f>
        <v>&lt;--  =B7*B2+(1-B7)*C2</v>
      </c>
    </row>
    <row r="10" spans="1:6" x14ac:dyDescent="0.25">
      <c r="A10" s="1" t="s">
        <v>8</v>
      </c>
      <c r="B10" s="4">
        <f>SQRT(B7^2*B3+(1-B7)^2*C3+2*B7*(1-B7)*B5*SQRT(B3*C3))</f>
        <v>5.5769820863854007E-2</v>
      </c>
      <c r="C10" s="1" t="str">
        <f ca="1">[2]!getformula(B10)</f>
        <v>&lt;--  =SQRT(B7^2*B3+(1-B7)^2*C3+2*B7*(1-B7)*B5*SQRT(B3*C3))</v>
      </c>
    </row>
    <row r="13" spans="1:6" x14ac:dyDescent="0.25">
      <c r="C13" s="5" t="s">
        <v>9</v>
      </c>
      <c r="D13" s="6"/>
      <c r="E13" s="6"/>
      <c r="F13" s="7" t="s">
        <v>10</v>
      </c>
    </row>
    <row r="14" spans="1:6" x14ac:dyDescent="0.25">
      <c r="B14" s="8">
        <f>B10</f>
        <v>5.5769820863854007E-2</v>
      </c>
      <c r="C14" s="9">
        <v>1</v>
      </c>
      <c r="D14" s="9">
        <v>0</v>
      </c>
      <c r="E14" s="9">
        <v>-1</v>
      </c>
      <c r="F14" s="7" t="s">
        <v>11</v>
      </c>
    </row>
    <row r="15" spans="1:6" x14ac:dyDescent="0.25">
      <c r="B15" s="1">
        <v>0</v>
      </c>
      <c r="C15" s="10">
        <f t="dataTable" ref="C15:E25" dt2D="1" dtr="1" r1="B5" r2="B7"/>
        <v>6.7082039324993695E-2</v>
      </c>
      <c r="D15" s="10">
        <v>6.7082039324993695E-2</v>
      </c>
      <c r="E15" s="10">
        <v>6.7082039324993695E-2</v>
      </c>
      <c r="F15" s="10">
        <f>$B$2*B15+$C$2*(1-B15)</f>
        <v>0.05</v>
      </c>
    </row>
    <row r="16" spans="1:6" x14ac:dyDescent="0.25">
      <c r="A16" s="11" t="s">
        <v>12</v>
      </c>
      <c r="B16" s="1">
        <v>0.1</v>
      </c>
      <c r="C16" s="10">
        <v>6.537383539249432E-2</v>
      </c>
      <c r="D16" s="10">
        <v>6.0580524923443832E-2</v>
      </c>
      <c r="E16" s="10">
        <v>5.5373835392494318E-2</v>
      </c>
      <c r="F16" s="10">
        <f t="shared" ref="F16:F25" si="0">$B$2*B16+$C$2*(1-B16)</f>
        <v>4.8000000000000008E-2</v>
      </c>
    </row>
    <row r="17" spans="1:13" x14ac:dyDescent="0.25">
      <c r="A17" s="11" t="s">
        <v>13</v>
      </c>
      <c r="B17" s="1">
        <v>0.2</v>
      </c>
      <c r="C17" s="10">
        <v>6.3665631459994959E-2</v>
      </c>
      <c r="D17" s="10">
        <v>5.4589376255824724E-2</v>
      </c>
      <c r="E17" s="10">
        <v>4.3665631459994948E-2</v>
      </c>
      <c r="F17" s="10">
        <f t="shared" si="0"/>
        <v>4.6000000000000006E-2</v>
      </c>
    </row>
    <row r="18" spans="1:13" x14ac:dyDescent="0.25">
      <c r="B18" s="1">
        <v>0.3</v>
      </c>
      <c r="C18" s="10">
        <v>6.1957427527495577E-2</v>
      </c>
      <c r="D18" s="10">
        <v>4.9295030175464945E-2</v>
      </c>
      <c r="E18" s="10">
        <v>3.1957427527495579E-2</v>
      </c>
      <c r="F18" s="10">
        <f t="shared" si="0"/>
        <v>4.3999999999999997E-2</v>
      </c>
    </row>
    <row r="19" spans="1:13" x14ac:dyDescent="0.25">
      <c r="B19" s="1">
        <v>0.4</v>
      </c>
      <c r="C19" s="10">
        <v>6.0249223594996217E-2</v>
      </c>
      <c r="D19" s="10">
        <v>4.4944410108488465E-2</v>
      </c>
      <c r="E19" s="10">
        <v>2.0249223594996219E-2</v>
      </c>
      <c r="F19" s="10">
        <f t="shared" si="0"/>
        <v>4.1999999999999996E-2</v>
      </c>
    </row>
    <row r="20" spans="1:13" x14ac:dyDescent="0.25">
      <c r="B20" s="1">
        <v>0.5</v>
      </c>
      <c r="C20" s="10">
        <v>5.8541019662496842E-2</v>
      </c>
      <c r="D20" s="10">
        <v>4.1833001326703777E-2</v>
      </c>
      <c r="E20" s="10">
        <v>8.541019662496839E-3</v>
      </c>
      <c r="F20" s="10">
        <f t="shared" si="0"/>
        <v>0.04</v>
      </c>
    </row>
    <row r="21" spans="1:13" x14ac:dyDescent="0.25">
      <c r="B21" s="1">
        <v>0.57294900000000004</v>
      </c>
      <c r="C21" s="10">
        <v>5.7294901975777877E-2</v>
      </c>
      <c r="D21" s="10">
        <v>4.0513613714491081E-2</v>
      </c>
      <c r="E21" s="15">
        <v>2.0297704932934949E-9</v>
      </c>
      <c r="F21" s="10">
        <f t="shared" si="0"/>
        <v>3.8541019999999995E-2</v>
      </c>
      <c r="G21" s="16" t="s">
        <v>14</v>
      </c>
      <c r="H21" s="16"/>
      <c r="I21" s="16"/>
      <c r="J21" s="16"/>
      <c r="K21" s="16"/>
      <c r="L21" s="16"/>
      <c r="M21" s="16"/>
    </row>
    <row r="22" spans="1:13" x14ac:dyDescent="0.25">
      <c r="B22" s="1">
        <v>0.7</v>
      </c>
      <c r="C22" s="10">
        <v>5.5124611797498106E-2</v>
      </c>
      <c r="D22" s="10">
        <v>4.03732584763727E-2</v>
      </c>
      <c r="E22" s="10">
        <v>1.487538820250189E-2</v>
      </c>
      <c r="F22" s="10">
        <f t="shared" si="0"/>
        <v>3.6000000000000004E-2</v>
      </c>
      <c r="G22" s="16" t="s">
        <v>15</v>
      </c>
      <c r="H22" s="16"/>
      <c r="I22" s="16"/>
      <c r="J22" s="16"/>
      <c r="K22" s="16"/>
      <c r="L22" s="16"/>
      <c r="M22" s="16"/>
    </row>
    <row r="23" spans="1:13" x14ac:dyDescent="0.25">
      <c r="B23" s="1">
        <v>0.8</v>
      </c>
      <c r="C23" s="10">
        <v>5.3416407864998738E-2</v>
      </c>
      <c r="D23" s="10">
        <v>4.2190046219457975E-2</v>
      </c>
      <c r="E23" s="10">
        <v>2.6583592135001267E-2</v>
      </c>
      <c r="F23" s="10">
        <f t="shared" si="0"/>
        <v>3.4000000000000002E-2</v>
      </c>
      <c r="G23" s="16"/>
      <c r="H23" s="16" t="s">
        <v>24</v>
      </c>
      <c r="I23" s="16"/>
      <c r="J23" s="16"/>
      <c r="K23" s="16"/>
      <c r="L23" s="16"/>
      <c r="M23" s="16"/>
    </row>
    <row r="24" spans="1:13" x14ac:dyDescent="0.25">
      <c r="B24" s="1">
        <v>0.9</v>
      </c>
      <c r="C24" s="10">
        <v>5.1708203932499371E-2</v>
      </c>
      <c r="D24" s="10">
        <v>4.5497252664309304E-2</v>
      </c>
      <c r="E24" s="10">
        <v>3.8291796067500633E-2</v>
      </c>
      <c r="F24" s="10">
        <f t="shared" si="0"/>
        <v>3.2000000000000001E-2</v>
      </c>
    </row>
    <row r="25" spans="1:13" x14ac:dyDescent="0.25">
      <c r="B25" s="1">
        <v>1</v>
      </c>
      <c r="C25" s="10">
        <v>0.05</v>
      </c>
      <c r="D25" s="10">
        <v>0.05</v>
      </c>
      <c r="E25" s="10">
        <v>0.05</v>
      </c>
      <c r="F25" s="10">
        <f t="shared" si="0"/>
        <v>0.03</v>
      </c>
    </row>
    <row r="27" spans="1:13" x14ac:dyDescent="0.25">
      <c r="A27" s="7" t="s">
        <v>16</v>
      </c>
    </row>
    <row r="28" spans="1:13" x14ac:dyDescent="0.25">
      <c r="A28" s="1" t="s">
        <v>17</v>
      </c>
    </row>
    <row r="30" spans="1:13" x14ac:dyDescent="0.25">
      <c r="D30" s="12" t="s">
        <v>18</v>
      </c>
      <c r="E30" s="12" t="s">
        <v>19</v>
      </c>
      <c r="F30" s="12" t="s">
        <v>20</v>
      </c>
    </row>
    <row r="31" spans="1:13" x14ac:dyDescent="0.25">
      <c r="A31" s="1" t="s">
        <v>21</v>
      </c>
      <c r="C31" s="13">
        <f t="shared" ref="C31:C41" si="1">C15</f>
        <v>6.7082039324993695E-2</v>
      </c>
      <c r="D31" s="13">
        <f t="shared" ref="D31:D41" si="2">F15</f>
        <v>0.05</v>
      </c>
    </row>
    <row r="32" spans="1:13" x14ac:dyDescent="0.25">
      <c r="C32" s="13">
        <f t="shared" si="1"/>
        <v>6.537383539249432E-2</v>
      </c>
      <c r="D32" s="13">
        <f t="shared" si="2"/>
        <v>4.8000000000000008E-2</v>
      </c>
    </row>
    <row r="33" spans="1:5" x14ac:dyDescent="0.25">
      <c r="C33" s="13">
        <f t="shared" si="1"/>
        <v>6.3665631459994959E-2</v>
      </c>
      <c r="D33" s="13">
        <f t="shared" si="2"/>
        <v>4.6000000000000006E-2</v>
      </c>
    </row>
    <row r="34" spans="1:5" x14ac:dyDescent="0.25">
      <c r="C34" s="13">
        <f t="shared" si="1"/>
        <v>6.1957427527495577E-2</v>
      </c>
      <c r="D34" s="13">
        <f t="shared" si="2"/>
        <v>4.3999999999999997E-2</v>
      </c>
    </row>
    <row r="35" spans="1:5" x14ac:dyDescent="0.25">
      <c r="C35" s="13">
        <f t="shared" si="1"/>
        <v>6.0249223594996217E-2</v>
      </c>
      <c r="D35" s="13">
        <f t="shared" si="2"/>
        <v>4.1999999999999996E-2</v>
      </c>
    </row>
    <row r="36" spans="1:5" x14ac:dyDescent="0.25">
      <c r="C36" s="13">
        <f t="shared" si="1"/>
        <v>5.8541019662496842E-2</v>
      </c>
      <c r="D36" s="13">
        <f t="shared" si="2"/>
        <v>0.04</v>
      </c>
    </row>
    <row r="37" spans="1:5" x14ac:dyDescent="0.25">
      <c r="C37" s="13">
        <f t="shared" si="1"/>
        <v>5.7294901975777877E-2</v>
      </c>
      <c r="D37" s="13">
        <f t="shared" si="2"/>
        <v>3.8541019999999995E-2</v>
      </c>
    </row>
    <row r="38" spans="1:5" x14ac:dyDescent="0.25">
      <c r="C38" s="13">
        <f t="shared" si="1"/>
        <v>5.5124611797498106E-2</v>
      </c>
      <c r="D38" s="13">
        <f t="shared" si="2"/>
        <v>3.6000000000000004E-2</v>
      </c>
    </row>
    <row r="39" spans="1:5" x14ac:dyDescent="0.25">
      <c r="C39" s="13">
        <f t="shared" si="1"/>
        <v>5.3416407864998738E-2</v>
      </c>
      <c r="D39" s="13">
        <f t="shared" si="2"/>
        <v>3.4000000000000002E-2</v>
      </c>
    </row>
    <row r="40" spans="1:5" x14ac:dyDescent="0.25">
      <c r="C40" s="13">
        <f t="shared" si="1"/>
        <v>5.1708203932499371E-2</v>
      </c>
      <c r="D40" s="13">
        <f t="shared" si="2"/>
        <v>3.2000000000000001E-2</v>
      </c>
    </row>
    <row r="41" spans="1:5" x14ac:dyDescent="0.25">
      <c r="C41" s="13">
        <f t="shared" si="1"/>
        <v>0.05</v>
      </c>
      <c r="D41" s="13">
        <f t="shared" si="2"/>
        <v>0.03</v>
      </c>
    </row>
    <row r="42" spans="1:5" x14ac:dyDescent="0.25">
      <c r="A42" s="1" t="s">
        <v>22</v>
      </c>
      <c r="C42" s="13">
        <f t="shared" ref="C42:C52" si="3">D15</f>
        <v>6.7082039324993695E-2</v>
      </c>
      <c r="D42" s="13"/>
      <c r="E42" s="13">
        <f t="shared" ref="E42:E52" si="4">F15</f>
        <v>0.05</v>
      </c>
    </row>
    <row r="43" spans="1:5" x14ac:dyDescent="0.25">
      <c r="C43" s="13">
        <f t="shared" si="3"/>
        <v>6.0580524923443832E-2</v>
      </c>
      <c r="D43" s="13"/>
      <c r="E43" s="13">
        <f t="shared" si="4"/>
        <v>4.8000000000000008E-2</v>
      </c>
    </row>
    <row r="44" spans="1:5" x14ac:dyDescent="0.25">
      <c r="C44" s="13">
        <f t="shared" si="3"/>
        <v>5.4589376255824724E-2</v>
      </c>
      <c r="D44" s="13"/>
      <c r="E44" s="13">
        <f t="shared" si="4"/>
        <v>4.6000000000000006E-2</v>
      </c>
    </row>
    <row r="45" spans="1:5" x14ac:dyDescent="0.25">
      <c r="C45" s="13">
        <f t="shared" si="3"/>
        <v>4.9295030175464945E-2</v>
      </c>
      <c r="D45" s="13"/>
      <c r="E45" s="13">
        <f t="shared" si="4"/>
        <v>4.3999999999999997E-2</v>
      </c>
    </row>
    <row r="46" spans="1:5" x14ac:dyDescent="0.25">
      <c r="C46" s="13">
        <f t="shared" si="3"/>
        <v>4.4944410108488465E-2</v>
      </c>
      <c r="D46" s="13"/>
      <c r="E46" s="13">
        <f t="shared" si="4"/>
        <v>4.1999999999999996E-2</v>
      </c>
    </row>
    <row r="47" spans="1:5" x14ac:dyDescent="0.25">
      <c r="C47" s="13">
        <f t="shared" si="3"/>
        <v>4.1833001326703777E-2</v>
      </c>
      <c r="D47" s="13"/>
      <c r="E47" s="13">
        <f t="shared" si="4"/>
        <v>0.04</v>
      </c>
    </row>
    <row r="48" spans="1:5" x14ac:dyDescent="0.25">
      <c r="C48" s="13">
        <f t="shared" si="3"/>
        <v>4.0513613714491081E-2</v>
      </c>
      <c r="D48" s="13"/>
      <c r="E48" s="13">
        <f t="shared" si="4"/>
        <v>3.8541019999999995E-2</v>
      </c>
    </row>
    <row r="49" spans="1:6" x14ac:dyDescent="0.25">
      <c r="C49" s="13">
        <f t="shared" si="3"/>
        <v>4.03732584763727E-2</v>
      </c>
      <c r="D49" s="13"/>
      <c r="E49" s="13">
        <f t="shared" si="4"/>
        <v>3.6000000000000004E-2</v>
      </c>
    </row>
    <row r="50" spans="1:6" x14ac:dyDescent="0.25">
      <c r="C50" s="13">
        <f t="shared" si="3"/>
        <v>4.2190046219457975E-2</v>
      </c>
      <c r="D50" s="13"/>
      <c r="E50" s="13">
        <f t="shared" si="4"/>
        <v>3.4000000000000002E-2</v>
      </c>
    </row>
    <row r="51" spans="1:6" x14ac:dyDescent="0.25">
      <c r="C51" s="13">
        <f t="shared" si="3"/>
        <v>4.5497252664309304E-2</v>
      </c>
      <c r="D51" s="13"/>
      <c r="E51" s="13">
        <f t="shared" si="4"/>
        <v>3.2000000000000001E-2</v>
      </c>
    </row>
    <row r="52" spans="1:6" x14ac:dyDescent="0.25">
      <c r="C52" s="13">
        <f t="shared" si="3"/>
        <v>0.05</v>
      </c>
      <c r="D52" s="13"/>
      <c r="E52" s="13">
        <f t="shared" si="4"/>
        <v>0.03</v>
      </c>
    </row>
    <row r="53" spans="1:6" x14ac:dyDescent="0.25">
      <c r="A53" s="1" t="s">
        <v>23</v>
      </c>
      <c r="C53" s="13">
        <f t="shared" ref="C53:C63" si="5">E15</f>
        <v>6.7082039324993695E-2</v>
      </c>
      <c r="D53" s="13"/>
      <c r="F53" s="13">
        <f t="shared" ref="F53:F63" si="6">F15</f>
        <v>0.05</v>
      </c>
    </row>
    <row r="54" spans="1:6" x14ac:dyDescent="0.25">
      <c r="C54" s="13">
        <f t="shared" si="5"/>
        <v>5.5373835392494318E-2</v>
      </c>
      <c r="D54" s="13"/>
      <c r="F54" s="13">
        <f t="shared" si="6"/>
        <v>4.8000000000000008E-2</v>
      </c>
    </row>
    <row r="55" spans="1:6" x14ac:dyDescent="0.25">
      <c r="C55" s="13">
        <f t="shared" si="5"/>
        <v>4.3665631459994948E-2</v>
      </c>
      <c r="D55" s="13"/>
      <c r="F55" s="13">
        <f t="shared" si="6"/>
        <v>4.6000000000000006E-2</v>
      </c>
    </row>
    <row r="56" spans="1:6" x14ac:dyDescent="0.25">
      <c r="C56" s="13">
        <f t="shared" si="5"/>
        <v>3.1957427527495579E-2</v>
      </c>
      <c r="D56" s="13"/>
      <c r="F56" s="13">
        <f t="shared" si="6"/>
        <v>4.3999999999999997E-2</v>
      </c>
    </row>
    <row r="57" spans="1:6" x14ac:dyDescent="0.25">
      <c r="C57" s="13">
        <f t="shared" si="5"/>
        <v>2.0249223594996219E-2</v>
      </c>
      <c r="D57" s="13"/>
      <c r="F57" s="13">
        <f t="shared" si="6"/>
        <v>4.1999999999999996E-2</v>
      </c>
    </row>
    <row r="58" spans="1:6" x14ac:dyDescent="0.25">
      <c r="C58" s="13">
        <f t="shared" si="5"/>
        <v>8.541019662496839E-3</v>
      </c>
      <c r="D58" s="13"/>
      <c r="F58" s="13">
        <f t="shared" si="6"/>
        <v>0.04</v>
      </c>
    </row>
    <row r="59" spans="1:6" x14ac:dyDescent="0.25">
      <c r="C59" s="13">
        <f t="shared" si="5"/>
        <v>2.0297704932934949E-9</v>
      </c>
      <c r="D59" s="13"/>
      <c r="F59" s="13">
        <f t="shared" si="6"/>
        <v>3.8541019999999995E-2</v>
      </c>
    </row>
    <row r="60" spans="1:6" x14ac:dyDescent="0.25">
      <c r="C60" s="13">
        <f t="shared" si="5"/>
        <v>1.487538820250189E-2</v>
      </c>
      <c r="D60" s="13"/>
      <c r="F60" s="13">
        <f t="shared" si="6"/>
        <v>3.6000000000000004E-2</v>
      </c>
    </row>
    <row r="61" spans="1:6" x14ac:dyDescent="0.25">
      <c r="C61" s="13">
        <f t="shared" si="5"/>
        <v>2.6583592135001267E-2</v>
      </c>
      <c r="D61" s="13"/>
      <c r="F61" s="13">
        <f t="shared" si="6"/>
        <v>3.4000000000000002E-2</v>
      </c>
    </row>
    <row r="62" spans="1:6" x14ac:dyDescent="0.25">
      <c r="C62" s="13">
        <f t="shared" si="5"/>
        <v>3.8291796067500633E-2</v>
      </c>
      <c r="D62" s="13"/>
      <c r="F62" s="13">
        <f t="shared" si="6"/>
        <v>3.2000000000000001E-2</v>
      </c>
    </row>
    <row r="63" spans="1:6" x14ac:dyDescent="0.25">
      <c r="C63" s="13">
        <f t="shared" si="5"/>
        <v>0.05</v>
      </c>
      <c r="D63" s="13"/>
      <c r="F63" s="13">
        <f t="shared" si="6"/>
        <v>0.03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2024-10-28T05:43:46Z</dcterms:modified>
</cp:coreProperties>
</file>