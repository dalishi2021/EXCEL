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B06B0920-4C22-4AA1-A804-55170191AEC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1" l="1"/>
  <c r="B32" i="1"/>
  <c r="B41" i="1" s="1"/>
  <c r="B24" i="1"/>
  <c r="B25" i="1" s="1"/>
  <c r="B27" i="1" s="1"/>
  <c r="B22" i="1"/>
  <c r="B15" i="1"/>
  <c r="B10" i="1"/>
  <c r="B8" i="1"/>
  <c r="B11" i="1" s="1"/>
  <c r="C45" i="1"/>
  <c r="C44" i="1"/>
  <c r="C42" i="1"/>
  <c r="C41" i="1"/>
  <c r="C39" i="1"/>
  <c r="C32" i="1"/>
  <c r="C28" i="1"/>
  <c r="C27" i="1"/>
  <c r="C25" i="1"/>
  <c r="C24" i="1"/>
  <c r="C22" i="1"/>
  <c r="C15" i="1"/>
  <c r="C11" i="1"/>
  <c r="C10" i="1"/>
  <c r="C8" i="1"/>
  <c r="B42" i="1" l="1"/>
  <c r="B45" i="1" s="1"/>
  <c r="B28" i="1"/>
  <c r="B44" i="1" l="1"/>
</calcChain>
</file>

<file path=xl/sharedStrings.xml><?xml version="1.0" encoding="utf-8"?>
<sst xmlns="http://schemas.openxmlformats.org/spreadsheetml/2006/main" count="36" uniqueCount="14">
  <si>
    <t>Mean return</t>
  </si>
  <si>
    <t>Standard deviation of return</t>
  </si>
  <si>
    <t>Stock 1</t>
  </si>
  <si>
    <t>Stock 2</t>
  </si>
  <si>
    <r>
      <t>Covariance(r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,r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</si>
  <si>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Proportion of stock 1</t>
  </si>
  <si>
    <t>Proportion of stock 2</t>
  </si>
  <si>
    <t>Expected portfolio return</t>
  </si>
  <si>
    <t>Standard deviation of portfolio return</t>
  </si>
  <si>
    <t>SOLUTION 1 TO THE PROBLEM</t>
  </si>
  <si>
    <t>Target portfolio standard deviation</t>
  </si>
  <si>
    <r>
      <t>Correlation(r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,r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</si>
  <si>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SOLUTION 2 TO THE PROBLEM</t>
  </si>
  <si>
    <t>This problem was solved in Mathematica.  It's a pain in the ass!  There are two solutions, as shown below: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</si>
</sst>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000"/>
    <numFmt numFmtId="177" formatCode="0.0000"/>
    <numFmt numFmtId="179" formatCode="_(* #,##0.00000_);_(* \(#,##0.0000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  <xf numFmtId="10" fontId="2" fillId="0" borderId="0" xfId="2" applyNumberFormat="1" applyAlignment="1"/>
    <xf numFmtId="0" fontId="3" fillId="0" borderId="0" xfId="0" applyFont="1" applyAlignment="1"/>
    <xf numFmtId="0" fontId="0" fillId="2" borderId="0" xfId="0" applyFill="1" applyAlignment="1"/>
    <xf numFmtId="177" fontId="0" fillId="0" borderId="0" xfId="0" applyNumberFormat="1" applyAlignment="1"/>
    <xf numFmtId="179" fontId="0" fillId="0" borderId="0" xfId="1" applyNumberFormat="1" applyFont="1" applyAlignment="1"/>
    <xf numFmtId="0" fontId="0" fillId="3" borderId="0" xfId="0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49</xdr:row>
      <xdr:rowOff>22860</xdr:rowOff>
    </xdr:from>
    <xdr:to>
      <xdr:col>11</xdr:col>
      <xdr:colOff>472440</xdr:colOff>
      <xdr:row>60</xdr:row>
      <xdr:rowOff>53340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45696136-7A51-46B4-8212-4E1B0AE2C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9563100"/>
          <a:ext cx="7134225" cy="1924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323850</xdr:colOff>
      <xdr:row>0</xdr:row>
      <xdr:rowOff>19050</xdr:rowOff>
    </xdr:from>
    <xdr:to>
      <xdr:col>24</xdr:col>
      <xdr:colOff>152400</xdr:colOff>
      <xdr:row>63</xdr:row>
      <xdr:rowOff>129540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F5C55BF-60D3-E56A-B545-C8FC9411C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506075" y="19050"/>
          <a:ext cx="8362950" cy="1205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48"/>
  <sheetViews>
    <sheetView tabSelected="1" topLeftCell="A37" zoomScale="160" zoomScaleNormal="160" workbookViewId="0">
      <selection activeCell="I41" sqref="I41"/>
    </sheetView>
  </sheetViews>
  <sheetFormatPr defaultRowHeight="13.8" x14ac:dyDescent="0.25"/>
  <cols>
    <col min="1" max="1" width="31.109375" style="3" bestFit="1" customWidth="1"/>
    <col min="2" max="2" width="8.88671875" style="3"/>
    <col min="3" max="3" width="10.44140625" style="3" customWidth="1"/>
    <col min="4" max="4" width="32.44140625" style="3" customWidth="1"/>
    <col min="5" max="5" width="8.88671875" style="3"/>
    <col min="6" max="6" width="21.109375" style="3" bestFit="1" customWidth="1"/>
    <col min="7" max="8" width="8.88671875" style="3"/>
  </cols>
  <sheetData>
    <row r="1" spans="1:8" ht="39.6" x14ac:dyDescent="0.25">
      <c r="A1" s="1"/>
      <c r="B1" s="2" t="s">
        <v>0</v>
      </c>
      <c r="C1" s="2" t="s">
        <v>1</v>
      </c>
      <c r="D1" s="1"/>
      <c r="E1" s="1"/>
      <c r="F1" s="1"/>
      <c r="G1" s="1"/>
      <c r="H1" s="1"/>
    </row>
    <row r="2" spans="1:8" x14ac:dyDescent="0.25">
      <c r="A2" s="3" t="s">
        <v>2</v>
      </c>
      <c r="B2" s="4">
        <v>0.12</v>
      </c>
      <c r="C2" s="4">
        <v>0.35</v>
      </c>
    </row>
    <row r="3" spans="1:8" x14ac:dyDescent="0.25">
      <c r="A3" s="3" t="s">
        <v>3</v>
      </c>
      <c r="B3" s="4">
        <v>0.18</v>
      </c>
      <c r="C3" s="4">
        <v>0.5</v>
      </c>
    </row>
    <row r="5" spans="1:8" ht="15.6" x14ac:dyDescent="0.35">
      <c r="A5" s="3" t="s">
        <v>4</v>
      </c>
      <c r="B5" s="5">
        <v>8.3500000000000005E-2</v>
      </c>
    </row>
    <row r="7" spans="1:8" x14ac:dyDescent="0.25">
      <c r="A7" s="3" t="s">
        <v>5</v>
      </c>
      <c r="B7" s="3">
        <v>0.25</v>
      </c>
    </row>
    <row r="8" spans="1:8" x14ac:dyDescent="0.25">
      <c r="A8" s="3" t="s">
        <v>6</v>
      </c>
      <c r="B8" s="3">
        <f>1-B7</f>
        <v>0.75</v>
      </c>
      <c r="C8" s="3" t="str">
        <f ca="1">[2]!getformula(B8)</f>
        <v>&lt;--  =1-B7</v>
      </c>
    </row>
    <row r="10" spans="1:8" x14ac:dyDescent="0.25">
      <c r="A10" s="3" t="s">
        <v>7</v>
      </c>
      <c r="B10" s="6">
        <f>B7*B2+B8*B3</f>
        <v>0.16500000000000001</v>
      </c>
      <c r="C10" s="3" t="str">
        <f ca="1">[2]!getformula(B10)</f>
        <v>&lt;--  =B7*B2+B8*B3</v>
      </c>
    </row>
    <row r="11" spans="1:8" x14ac:dyDescent="0.25">
      <c r="A11" s="3" t="s">
        <v>8</v>
      </c>
      <c r="B11" s="6">
        <f>SQRT(B7^2*C2^2+B8^2*C3^2+2*B7*B8*B5)</f>
        <v>0.42378502805077956</v>
      </c>
      <c r="C11" s="3" t="str">
        <f ca="1">[2]!getformula(B11)</f>
        <v>&lt;--  =SQRT(B7^2*C2^2+B8^2*C3^2+2*B7*B8*B5)</v>
      </c>
    </row>
    <row r="13" spans="1:8" x14ac:dyDescent="0.25">
      <c r="A13" s="7" t="s">
        <v>9</v>
      </c>
    </row>
    <row r="14" spans="1:8" x14ac:dyDescent="0.25">
      <c r="A14" s="3" t="s">
        <v>10</v>
      </c>
      <c r="B14" s="4">
        <v>0.45</v>
      </c>
    </row>
    <row r="15" spans="1:8" x14ac:dyDescent="0.25">
      <c r="A15" s="8" t="s">
        <v>5</v>
      </c>
      <c r="B15" s="8">
        <f>(-B5+C3^2+SQRT(B5^2-2*B5*B14^2+C3^2*B14^2+C2^2*(-(C3^2)+B14^2)))/(C2^2-2*B5+C3^2)</f>
        <v>1.4623778852448595</v>
      </c>
      <c r="C15" s="3" t="str">
        <f ca="1">[2]!getformula(B15)</f>
        <v>&lt;--  =(-B5+C3^2+SQRT(B5^2-2*B5*B14^2+C3^2*B14^2+C2^2*(-(C3^2)+B14^2)))/(C2^2-2*B5+C3^2)</v>
      </c>
    </row>
    <row r="17" spans="1:4" ht="39.6" x14ac:dyDescent="0.25">
      <c r="A17" s="1"/>
      <c r="B17" s="2" t="s">
        <v>0</v>
      </c>
      <c r="C17" s="2" t="s">
        <v>1</v>
      </c>
      <c r="D17" s="1"/>
    </row>
    <row r="18" spans="1:4" x14ac:dyDescent="0.25">
      <c r="A18" s="3" t="s">
        <v>2</v>
      </c>
      <c r="B18" s="4">
        <v>0.12</v>
      </c>
      <c r="C18" s="4">
        <v>0.35</v>
      </c>
    </row>
    <row r="19" spans="1:4" x14ac:dyDescent="0.25">
      <c r="A19" s="3" t="s">
        <v>3</v>
      </c>
      <c r="B19" s="4">
        <v>0.18</v>
      </c>
      <c r="C19" s="4">
        <v>0.5</v>
      </c>
    </row>
    <row r="21" spans="1:4" ht="15.6" x14ac:dyDescent="0.35">
      <c r="A21" s="3" t="s">
        <v>4</v>
      </c>
      <c r="B21" s="5">
        <v>8.3500000000000005E-2</v>
      </c>
    </row>
    <row r="22" spans="1:4" ht="15.6" x14ac:dyDescent="0.35">
      <c r="A22" s="3" t="s">
        <v>11</v>
      </c>
      <c r="B22" s="5">
        <f>B21/(C18*C19)</f>
        <v>0.4771428571428572</v>
      </c>
      <c r="C22" s="3" t="str">
        <f ca="1">[2]!getformula(B22)</f>
        <v>&lt;--  =B21/(C18*C19)</v>
      </c>
    </row>
    <row r="24" spans="1:4" x14ac:dyDescent="0.25">
      <c r="A24" s="3" t="s">
        <v>5</v>
      </c>
      <c r="B24" s="9">
        <f>F37</f>
        <v>0</v>
      </c>
      <c r="C24" s="3" t="str">
        <f ca="1">[2]!getformula(B24)</f>
        <v>&lt;--  =F37</v>
      </c>
    </row>
    <row r="25" spans="1:4" x14ac:dyDescent="0.25">
      <c r="A25" s="3" t="s">
        <v>6</v>
      </c>
      <c r="B25" s="9">
        <f>1-B24</f>
        <v>1</v>
      </c>
      <c r="C25" s="3" t="str">
        <f ca="1">[2]!getformula(B25)</f>
        <v>&lt;--  =1-B24</v>
      </c>
    </row>
    <row r="27" spans="1:4" x14ac:dyDescent="0.25">
      <c r="A27" s="3" t="s">
        <v>7</v>
      </c>
      <c r="B27" s="6">
        <f>B24*B18+B25*B19</f>
        <v>0.18</v>
      </c>
      <c r="C27" s="3" t="str">
        <f ca="1">[2]!getformula(B27)</f>
        <v>&lt;--  =B24*B18+B25*B19</v>
      </c>
    </row>
    <row r="28" spans="1:4" x14ac:dyDescent="0.25">
      <c r="A28" s="3" t="s">
        <v>8</v>
      </c>
      <c r="B28" s="6">
        <f>SQRT(B24^2*C18^2+B25^2*C19^2+2*B24*B25*B21)</f>
        <v>0.5</v>
      </c>
      <c r="C28" s="3" t="str">
        <f ca="1">[2]!getformula(B28)</f>
        <v>&lt;--  =SQRT(B24^2*C18^2+B25^2*C19^2+2*B24*B25*B21)</v>
      </c>
    </row>
    <row r="30" spans="1:4" x14ac:dyDescent="0.25">
      <c r="A30" s="7" t="s">
        <v>12</v>
      </c>
    </row>
    <row r="31" spans="1:4" x14ac:dyDescent="0.25">
      <c r="A31" s="3" t="s">
        <v>10</v>
      </c>
      <c r="B31" s="4">
        <v>0.45</v>
      </c>
    </row>
    <row r="32" spans="1:4" x14ac:dyDescent="0.25">
      <c r="A32" s="8" t="s">
        <v>5</v>
      </c>
      <c r="B32" s="8">
        <f>(-B5+C3^2-SQRT(B5^2-2*B5*B14^2+C3^2*B14^2+C2^2*(-(C3^2)+B14^2)))/(C2^2-2*B5+C3^2)</f>
        <v>0.15806007095952013</v>
      </c>
      <c r="C32" s="3" t="str">
        <f ca="1">[2]!getformula(B32)</f>
        <v>&lt;--  =(-B5+C3^2-SQRT(B5^2-2*B5*B14^2+C3^2*B14^2+C2^2*(-(C3^2)+B14^2)))/(C2^2-2*B5+C3^2)</v>
      </c>
    </row>
    <row r="34" spans="1:8" ht="39.6" x14ac:dyDescent="0.25">
      <c r="A34" s="1"/>
      <c r="B34" s="2" t="s">
        <v>0</v>
      </c>
      <c r="C34" s="2" t="s">
        <v>1</v>
      </c>
      <c r="D34" s="1"/>
    </row>
    <row r="35" spans="1:8" x14ac:dyDescent="0.25">
      <c r="A35" s="3" t="s">
        <v>2</v>
      </c>
      <c r="B35" s="4">
        <v>0.12</v>
      </c>
      <c r="C35" s="4">
        <v>0.35</v>
      </c>
      <c r="F35" s="10"/>
      <c r="H35" s="5"/>
    </row>
    <row r="36" spans="1:8" x14ac:dyDescent="0.25">
      <c r="A36" s="3" t="s">
        <v>3</v>
      </c>
      <c r="B36" s="4">
        <v>0.18</v>
      </c>
      <c r="C36" s="4">
        <v>0.5</v>
      </c>
    </row>
    <row r="38" spans="1:8" ht="15.6" x14ac:dyDescent="0.35">
      <c r="A38" s="3" t="s">
        <v>4</v>
      </c>
      <c r="B38" s="5">
        <v>8.3500000000000005E-2</v>
      </c>
    </row>
    <row r="39" spans="1:8" ht="15.6" x14ac:dyDescent="0.35">
      <c r="A39" s="3" t="s">
        <v>11</v>
      </c>
      <c r="B39" s="5">
        <f>B38/(C35*C36)</f>
        <v>0.4771428571428572</v>
      </c>
      <c r="C39" s="3" t="str">
        <f ca="1">[2]!getformula(B39)</f>
        <v>&lt;--  =B38/(C35*C36)</v>
      </c>
    </row>
    <row r="41" spans="1:8" x14ac:dyDescent="0.25">
      <c r="A41" s="3" t="s">
        <v>5</v>
      </c>
      <c r="B41" s="9">
        <f>B32</f>
        <v>0.15806007095952013</v>
      </c>
      <c r="C41" s="3" t="str">
        <f ca="1">[2]!getformula(B41)</f>
        <v>&lt;--  =B32</v>
      </c>
    </row>
    <row r="42" spans="1:8" x14ac:dyDescent="0.25">
      <c r="A42" s="3" t="s">
        <v>6</v>
      </c>
      <c r="B42" s="9">
        <f>1-B41</f>
        <v>0.84193992904047987</v>
      </c>
      <c r="C42" s="3" t="str">
        <f ca="1">[2]!getformula(B42)</f>
        <v>&lt;--  =1-B41</v>
      </c>
    </row>
    <row r="44" spans="1:8" x14ac:dyDescent="0.25">
      <c r="A44" s="3" t="s">
        <v>7</v>
      </c>
      <c r="B44" s="6">
        <f>B41*B35+B42*B36</f>
        <v>0.17051639574242877</v>
      </c>
      <c r="C44" s="3" t="str">
        <f ca="1">[2]!getformula(B44)</f>
        <v>&lt;--  =B41*B35+B42*B36</v>
      </c>
    </row>
    <row r="45" spans="1:8" x14ac:dyDescent="0.25">
      <c r="A45" s="3" t="s">
        <v>8</v>
      </c>
      <c r="B45" s="6">
        <f>SQRT(B41^2*C35^2+B42^2*C36^2+2*B41*B42*B38)</f>
        <v>0.45</v>
      </c>
      <c r="C45" s="3" t="str">
        <f ca="1">[2]!getformula(B45)</f>
        <v>&lt;--  =SQRT(B41^2*C35^2+B42^2*C36^2+2*B41*B42*B38)</v>
      </c>
    </row>
    <row r="48" spans="1:8" x14ac:dyDescent="0.25">
      <c r="A48" s="11" t="s">
        <v>13</v>
      </c>
      <c r="B48" s="11"/>
      <c r="C48" s="11"/>
      <c r="D48" s="11"/>
      <c r="E48" s="11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2024-10-28T06:46:59Z</dcterms:modified>
</cp:coreProperties>
</file>