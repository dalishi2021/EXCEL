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A650492E-1252-47E8-BD63-00B0546726E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N13" i="1"/>
  <c r="N3" i="1"/>
  <c r="N4" i="1"/>
  <c r="N5" i="1"/>
  <c r="N6" i="1"/>
  <c r="N7" i="1"/>
  <c r="N8" i="1"/>
  <c r="N9" i="1"/>
  <c r="N10" i="1"/>
  <c r="N11" i="1"/>
  <c r="N12" i="1"/>
  <c r="N2" i="1"/>
  <c r="M2" i="1"/>
  <c r="M3" i="1"/>
  <c r="M4" i="1"/>
  <c r="M5" i="1"/>
  <c r="M6" i="1"/>
  <c r="M7" i="1"/>
  <c r="M8" i="1"/>
  <c r="M9" i="1"/>
  <c r="M10" i="1"/>
  <c r="M11" i="1"/>
  <c r="M12" i="1"/>
  <c r="L2" i="1"/>
  <c r="L3" i="1"/>
  <c r="L4" i="1"/>
  <c r="L5" i="1"/>
  <c r="L6" i="1"/>
  <c r="L7" i="1"/>
  <c r="L8" i="1"/>
  <c r="L9" i="1"/>
  <c r="L10" i="1"/>
  <c r="L11" i="1"/>
  <c r="L12" i="1"/>
  <c r="J4" i="1"/>
  <c r="I4" i="1"/>
  <c r="G6" i="1"/>
  <c r="G5" i="1"/>
  <c r="G4" i="1"/>
  <c r="B12" i="1"/>
  <c r="B11" i="1"/>
  <c r="B10" i="1"/>
  <c r="B9" i="1"/>
  <c r="B8" i="1"/>
  <c r="B7" i="1"/>
  <c r="B6" i="1"/>
  <c r="B5" i="1"/>
  <c r="B4" i="1"/>
  <c r="D3" i="1" s="1"/>
  <c r="B3" i="1"/>
  <c r="B2" i="1"/>
  <c r="G3" i="1"/>
  <c r="O13" i="1"/>
  <c r="E3" i="1"/>
</calcChain>
</file>

<file path=xl/sharedStrings.xml><?xml version="1.0" encoding="utf-8"?>
<sst xmlns="http://schemas.openxmlformats.org/spreadsheetml/2006/main" count="12" uniqueCount="12">
  <si>
    <t>X</t>
  </si>
  <si>
    <t>Y</t>
  </si>
  <si>
    <t>Correlation(X,Y)</t>
  </si>
  <si>
    <t>The two random variables X and Y are perfectly</t>
  </si>
  <si>
    <r>
      <t xml:space="preserve">a measure of </t>
    </r>
    <r>
      <rPr>
        <i/>
        <sz val="10"/>
        <rFont val="Arial"/>
        <family val="2"/>
      </rPr>
      <t>linear relation</t>
    </r>
    <r>
      <rPr>
        <sz val="10"/>
        <rFont val="Arial"/>
        <family val="2"/>
      </rPr>
      <t>) of zero!</t>
    </r>
  </si>
  <si>
    <r>
      <t xml:space="preserve">correlated, but have </t>
    </r>
    <r>
      <rPr>
        <b/>
        <sz val="10"/>
        <rFont val="等线"/>
        <family val="2"/>
        <charset val="134"/>
      </rPr>
      <t>correlation coefficient</t>
    </r>
    <r>
      <rPr>
        <sz val="10"/>
        <rFont val="等线"/>
        <family val="2"/>
        <charset val="134"/>
      </rPr>
      <t xml:space="preserve"> (i.e.,</t>
    </r>
    <phoneticPr fontId="1" type="noConversion"/>
  </si>
  <si>
    <t>Var(x)</t>
    <phoneticPr fontId="1" type="noConversion"/>
  </si>
  <si>
    <t>Var(y)</t>
    <phoneticPr fontId="1" type="noConversion"/>
  </si>
  <si>
    <t>Cov(x,y)</t>
    <phoneticPr fontId="1" type="noConversion"/>
  </si>
  <si>
    <t>Mean(x)</t>
    <phoneticPr fontId="1" type="noConversion"/>
  </si>
  <si>
    <t>Mean(y)</t>
    <phoneticPr fontId="1" type="noConversion"/>
  </si>
  <si>
    <t>Verify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</si>
</sst>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等线"/>
      <family val="2"/>
      <charset val="134"/>
    </font>
    <font>
      <sz val="10"/>
      <name val="等线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13"/>
  <sheetViews>
    <sheetView tabSelected="1" zoomScale="175" zoomScaleNormal="175" workbookViewId="0">
      <selection activeCell="K12" sqref="K11:K12"/>
    </sheetView>
  </sheetViews>
  <sheetFormatPr defaultRowHeight="13.8" x14ac:dyDescent="0.25"/>
  <cols>
    <col min="1" max="2" width="8.88671875" style="2"/>
    <col min="3" max="3" width="16.6640625" style="2" customWidth="1"/>
    <col min="4" max="4" width="8.88671875" style="2"/>
    <col min="5" max="5" width="27.109375" style="2" bestFit="1" customWidth="1"/>
    <col min="7" max="7" width="33.21875" customWidth="1"/>
  </cols>
  <sheetData>
    <row r="1" spans="1:15" x14ac:dyDescent="0.25">
      <c r="A1" s="1" t="s">
        <v>0</v>
      </c>
      <c r="B1" s="1" t="s">
        <v>1</v>
      </c>
    </row>
    <row r="2" spans="1:15" x14ac:dyDescent="0.25">
      <c r="A2" s="3">
        <v>-5</v>
      </c>
      <c r="B2" s="3">
        <f>A2^2</f>
        <v>25</v>
      </c>
      <c r="L2">
        <f t="shared" ref="L2:L12" si="0">A2-$I$4</f>
        <v>-5</v>
      </c>
      <c r="M2">
        <f t="shared" ref="M2:M12" si="1">B2-$J$4</f>
        <v>15</v>
      </c>
      <c r="N2">
        <f>L2*M2</f>
        <v>-75</v>
      </c>
    </row>
    <row r="3" spans="1:15" x14ac:dyDescent="0.25">
      <c r="A3" s="3">
        <v>-4</v>
      </c>
      <c r="B3" s="3">
        <f t="shared" ref="B3:B12" si="2">A3^2</f>
        <v>16</v>
      </c>
      <c r="C3" s="2" t="s">
        <v>2</v>
      </c>
      <c r="D3" s="2">
        <f>CORREL(A2:A12,B2:B12)</f>
        <v>0</v>
      </c>
      <c r="E3" s="2" t="str">
        <f ca="1">[1]!getformula(D3)</f>
        <v>&lt;--  =CORREL(A2:A12,B2:B12)</v>
      </c>
      <c r="G3" t="str">
        <f ca="1">_xlfn.FORMULATEXT(G4)</f>
        <v>=COVARIANCE.P(A2:A12,B2:B12)</v>
      </c>
      <c r="H3" s="4" t="s">
        <v>11</v>
      </c>
      <c r="I3" s="4" t="s">
        <v>9</v>
      </c>
      <c r="J3" s="4" t="s">
        <v>10</v>
      </c>
      <c r="L3">
        <f t="shared" si="0"/>
        <v>-4</v>
      </c>
      <c r="M3">
        <f t="shared" si="1"/>
        <v>6</v>
      </c>
      <c r="N3">
        <f t="shared" ref="N3:N12" si="3">L3*M3</f>
        <v>-24</v>
      </c>
    </row>
    <row r="4" spans="1:15" x14ac:dyDescent="0.25">
      <c r="A4" s="3">
        <v>-3</v>
      </c>
      <c r="B4" s="3">
        <f t="shared" si="2"/>
        <v>9</v>
      </c>
      <c r="F4" s="4" t="s">
        <v>8</v>
      </c>
      <c r="G4">
        <f>_xlfn.COVARIANCE.P(A2:A12,B2:B12)</f>
        <v>0</v>
      </c>
      <c r="H4">
        <f>N13/11</f>
        <v>0</v>
      </c>
      <c r="I4">
        <f>AVERAGE(A2:A12)</f>
        <v>0</v>
      </c>
      <c r="J4">
        <f>AVERAGE(B2:B12)</f>
        <v>10</v>
      </c>
      <c r="L4">
        <f t="shared" si="0"/>
        <v>-3</v>
      </c>
      <c r="M4">
        <f t="shared" si="1"/>
        <v>-1</v>
      </c>
      <c r="N4">
        <f t="shared" si="3"/>
        <v>3</v>
      </c>
    </row>
    <row r="5" spans="1:15" x14ac:dyDescent="0.25">
      <c r="A5" s="3">
        <v>-2</v>
      </c>
      <c r="B5" s="3">
        <f t="shared" si="2"/>
        <v>4</v>
      </c>
      <c r="C5" s="2" t="s">
        <v>3</v>
      </c>
      <c r="F5" s="4" t="s">
        <v>6</v>
      </c>
      <c r="G5">
        <f>_xlfn.STDEV.P(A2:A12)</f>
        <v>3.1622776601683795</v>
      </c>
      <c r="L5">
        <f t="shared" si="0"/>
        <v>-2</v>
      </c>
      <c r="M5">
        <f t="shared" si="1"/>
        <v>-6</v>
      </c>
      <c r="N5">
        <f t="shared" si="3"/>
        <v>12</v>
      </c>
    </row>
    <row r="6" spans="1:15" x14ac:dyDescent="0.25">
      <c r="A6" s="3">
        <v>-1</v>
      </c>
      <c r="B6" s="3">
        <f t="shared" si="2"/>
        <v>1</v>
      </c>
      <c r="C6" s="2" t="s">
        <v>5</v>
      </c>
      <c r="F6" s="4" t="s">
        <v>7</v>
      </c>
      <c r="G6">
        <f>_xlfn.STDEV.P(B2:B12)</f>
        <v>8.8317608663278477</v>
      </c>
      <c r="L6">
        <f t="shared" si="0"/>
        <v>-1</v>
      </c>
      <c r="M6">
        <f t="shared" si="1"/>
        <v>-9</v>
      </c>
      <c r="N6">
        <f t="shared" si="3"/>
        <v>9</v>
      </c>
    </row>
    <row r="7" spans="1:15" x14ac:dyDescent="0.25">
      <c r="A7" s="3">
        <v>0</v>
      </c>
      <c r="B7" s="3">
        <f t="shared" si="2"/>
        <v>0</v>
      </c>
      <c r="C7" s="2" t="s">
        <v>4</v>
      </c>
      <c r="L7">
        <f t="shared" si="0"/>
        <v>0</v>
      </c>
      <c r="M7">
        <f t="shared" si="1"/>
        <v>-10</v>
      </c>
      <c r="N7">
        <f t="shared" si="3"/>
        <v>0</v>
      </c>
    </row>
    <row r="8" spans="1:15" x14ac:dyDescent="0.25">
      <c r="A8" s="3">
        <v>1</v>
      </c>
      <c r="B8" s="3">
        <f t="shared" si="2"/>
        <v>1</v>
      </c>
      <c r="L8">
        <f t="shared" si="0"/>
        <v>1</v>
      </c>
      <c r="M8">
        <f t="shared" si="1"/>
        <v>-9</v>
      </c>
      <c r="N8">
        <f t="shared" si="3"/>
        <v>-9</v>
      </c>
    </row>
    <row r="9" spans="1:15" x14ac:dyDescent="0.25">
      <c r="A9" s="3">
        <v>2</v>
      </c>
      <c r="B9" s="3">
        <f t="shared" si="2"/>
        <v>4</v>
      </c>
      <c r="L9">
        <f t="shared" si="0"/>
        <v>2</v>
      </c>
      <c r="M9">
        <f t="shared" si="1"/>
        <v>-6</v>
      </c>
      <c r="N9">
        <f t="shared" si="3"/>
        <v>-12</v>
      </c>
    </row>
    <row r="10" spans="1:15" x14ac:dyDescent="0.25">
      <c r="A10" s="3">
        <v>3</v>
      </c>
      <c r="B10" s="3">
        <f t="shared" si="2"/>
        <v>9</v>
      </c>
      <c r="L10">
        <f t="shared" si="0"/>
        <v>3</v>
      </c>
      <c r="M10">
        <f t="shared" si="1"/>
        <v>-1</v>
      </c>
      <c r="N10">
        <f t="shared" si="3"/>
        <v>-3</v>
      </c>
    </row>
    <row r="11" spans="1:15" x14ac:dyDescent="0.25">
      <c r="A11" s="3">
        <v>4</v>
      </c>
      <c r="B11" s="3">
        <f t="shared" si="2"/>
        <v>16</v>
      </c>
      <c r="L11">
        <f t="shared" si="0"/>
        <v>4</v>
      </c>
      <c r="M11">
        <f t="shared" si="1"/>
        <v>6</v>
      </c>
      <c r="N11">
        <f t="shared" si="3"/>
        <v>24</v>
      </c>
    </row>
    <row r="12" spans="1:15" x14ac:dyDescent="0.25">
      <c r="A12" s="3">
        <v>5</v>
      </c>
      <c r="B12" s="3">
        <f t="shared" si="2"/>
        <v>25</v>
      </c>
      <c r="L12">
        <f t="shared" si="0"/>
        <v>5</v>
      </c>
      <c r="M12">
        <f t="shared" si="1"/>
        <v>15</v>
      </c>
      <c r="N12">
        <f t="shared" si="3"/>
        <v>75</v>
      </c>
    </row>
    <row r="13" spans="1:15" x14ac:dyDescent="0.25">
      <c r="N13">
        <f>SUM(N2:N12)</f>
        <v>0</v>
      </c>
      <c r="O13" t="str">
        <f ca="1">_xlfn.FORMULATEXT(N13)</f>
        <v>=SUM(N2:N12)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2024-10-28T06:47:05Z</dcterms:modified>
</cp:coreProperties>
</file>