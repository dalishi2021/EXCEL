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"/>
    </mc:Choice>
  </mc:AlternateContent>
  <xr:revisionPtr revIDLastSave="0" documentId="13_ncr:1_{BE20DFE1-B1A0-49CF-B7AD-95FB10BAC9B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1" l="1"/>
  <c r="B29" i="1"/>
  <c r="B28" i="1"/>
  <c r="B26" i="1"/>
  <c r="J13" i="1"/>
  <c r="I13" i="1"/>
  <c r="E13" i="1"/>
  <c r="D13" i="1"/>
  <c r="J12" i="1"/>
  <c r="I12" i="1"/>
  <c r="E12" i="1"/>
  <c r="D12" i="1"/>
  <c r="J11" i="1"/>
  <c r="I11" i="1"/>
  <c r="E11" i="1"/>
  <c r="D11" i="1"/>
  <c r="J10" i="1"/>
  <c r="I10" i="1"/>
  <c r="E10" i="1"/>
  <c r="D10" i="1"/>
  <c r="J9" i="1"/>
  <c r="I9" i="1"/>
  <c r="E9" i="1"/>
  <c r="D9" i="1"/>
  <c r="J8" i="1"/>
  <c r="I8" i="1"/>
  <c r="E8" i="1"/>
  <c r="E15" i="1" s="1"/>
  <c r="D8" i="1"/>
  <c r="J7" i="1"/>
  <c r="I7" i="1"/>
  <c r="E7" i="1"/>
  <c r="D7" i="1"/>
  <c r="J6" i="1"/>
  <c r="I6" i="1"/>
  <c r="E6" i="1"/>
  <c r="D6" i="1"/>
  <c r="J5" i="1"/>
  <c r="I5" i="1"/>
  <c r="E5" i="1"/>
  <c r="J4" i="1"/>
  <c r="K4" i="1" s="1"/>
  <c r="L4" i="1" s="1"/>
  <c r="I4" i="1"/>
  <c r="E4" i="1"/>
  <c r="E16" i="1" s="1"/>
  <c r="D4" i="1"/>
  <c r="B4" i="1"/>
  <c r="D5" i="1" s="1"/>
  <c r="I3" i="1"/>
  <c r="M3" i="1" s="1"/>
  <c r="J18" i="1"/>
  <c r="N16" i="1"/>
  <c r="N15" i="1"/>
  <c r="N5" i="1"/>
  <c r="N3" i="1"/>
  <c r="F16" i="1"/>
  <c r="F15" i="1"/>
  <c r="F4" i="1"/>
  <c r="H5" i="1" l="1"/>
  <c r="M4" i="1"/>
  <c r="D16" i="1"/>
  <c r="D15" i="1"/>
  <c r="K5" i="1" l="1"/>
  <c r="L5" i="1" s="1"/>
  <c r="M5" i="1" l="1"/>
  <c r="H6" i="1"/>
  <c r="K6" i="1" l="1"/>
  <c r="L6" i="1" s="1"/>
  <c r="H7" i="1" l="1"/>
  <c r="M6" i="1"/>
  <c r="K7" i="1" l="1"/>
  <c r="L7" i="1" s="1"/>
  <c r="H8" i="1" l="1"/>
  <c r="M7" i="1"/>
  <c r="K8" i="1" l="1"/>
  <c r="L8" i="1" s="1"/>
  <c r="H9" i="1" l="1"/>
  <c r="M8" i="1"/>
  <c r="K9" i="1" l="1"/>
  <c r="L9" i="1" s="1"/>
  <c r="H10" i="1" l="1"/>
  <c r="M9" i="1"/>
  <c r="L10" i="1" l="1"/>
  <c r="K10" i="1"/>
  <c r="H11" i="1" l="1"/>
  <c r="M10" i="1"/>
  <c r="L11" i="1" l="1"/>
  <c r="K11" i="1"/>
  <c r="H12" i="1" l="1"/>
  <c r="M11" i="1"/>
  <c r="K12" i="1" l="1"/>
  <c r="L12" i="1" s="1"/>
  <c r="H13" i="1" l="1"/>
  <c r="M12" i="1"/>
  <c r="K13" i="1" l="1"/>
  <c r="L13" i="1" s="1"/>
  <c r="M13" i="1" s="1"/>
  <c r="M16" i="1" l="1"/>
  <c r="M15" i="1"/>
</calcChain>
</file>

<file path=xl/sharedStrings.xml><?xml version="1.0" encoding="utf-8"?>
<sst xmlns="http://schemas.openxmlformats.org/spreadsheetml/2006/main" count="26" uniqueCount="24">
  <si>
    <t>GENERAL MOTORS STOCK (GM)</t>
  </si>
  <si>
    <t>GM:  REINVESTING THE DIVIDENDS IN SHARES</t>
  </si>
  <si>
    <t>Year</t>
  </si>
  <si>
    <t>Year-end
stock price</t>
  </si>
  <si>
    <t>Dividend
per share</t>
  </si>
  <si>
    <t>Continuously- compounded return</t>
  </si>
  <si>
    <t>Effective
shares held at beginning of year</t>
  </si>
  <si>
    <t>Share
price at end year</t>
  </si>
  <si>
    <t>Total
dividends received</t>
  </si>
  <si>
    <t>Number
of shares at end of year</t>
  </si>
  <si>
    <t>Value of 
shares at end of year</t>
  </si>
  <si>
    <t>Arithmetic annual return</t>
  </si>
  <si>
    <t>Annualized continous return</t>
  </si>
  <si>
    <t>Standard deviation of returns</t>
  </si>
  <si>
    <t>Compound geometric return</t>
  </si>
  <si>
    <t>The column "effective shares held" assumes that dividends are reinvested</t>
  </si>
  <si>
    <t>in shares at the end of year price.  Thus, in 1987, the dividend of $2.50</t>
  </si>
  <si>
    <t xml:space="preserve">is invested in shares costing 30.69, so that the holder of 1 share at the </t>
  </si>
  <si>
    <t xml:space="preserve">shares.  At the end of 1987, the owner of 1.08 shares at the end </t>
  </si>
  <si>
    <t>so that the owner of 1.08 shares at the end of 1986 would now own</t>
  </si>
  <si>
    <t>shares.</t>
  </si>
  <si>
    <t>The "compound geometric return" is defined as:</t>
  </si>
  <si>
    <t>[Value of ending investment/Value of beginning investment]^(1/#years) -1</t>
  </si>
  <si>
    <t>Discretely-
compounded return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</si>
</sst>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00"/>
    <numFmt numFmtId="178" formatCode="0.000%"/>
    <numFmt numFmtId="179" formatCode="0.0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center" vertical="center" wrapText="1"/>
    </xf>
    <xf numFmtId="2" fontId="0" fillId="0" borderId="0" xfId="0" applyNumberFormat="1" applyAlignment="1"/>
    <xf numFmtId="176" fontId="0" fillId="0" borderId="0" xfId="0" applyNumberFormat="1" applyAlignment="1"/>
    <xf numFmtId="0" fontId="0" fillId="0" borderId="0" xfId="0" applyAlignment="1">
      <alignment horizontal="center"/>
    </xf>
    <xf numFmtId="177" fontId="0" fillId="0" borderId="0" xfId="0" applyNumberFormat="1" applyAlignment="1"/>
    <xf numFmtId="0" fontId="0" fillId="2" borderId="0" xfId="0" applyFill="1" applyAlignment="1">
      <alignment horizontal="center"/>
    </xf>
    <xf numFmtId="178" fontId="2" fillId="0" borderId="0" xfId="1" applyNumberFormat="1" applyAlignment="1"/>
    <xf numFmtId="10" fontId="2" fillId="0" borderId="0" xfId="1" applyNumberFormat="1" applyAlignment="1"/>
    <xf numFmtId="0" fontId="4" fillId="0" borderId="0" xfId="0" applyFont="1" applyAlignment="1"/>
    <xf numFmtId="178" fontId="0" fillId="0" borderId="0" xfId="0" applyNumberFormat="1" applyAlignment="1"/>
    <xf numFmtId="10" fontId="0" fillId="0" borderId="0" xfId="0" applyNumberFormat="1" applyAlignment="1"/>
    <xf numFmtId="179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274320</xdr:colOff>
      <xdr:row>16</xdr:row>
      <xdr:rowOff>87630</xdr:rowOff>
    </xdr:from>
    <xdr:to>
      <xdr:col>3</xdr:col>
      <xdr:colOff>209473</xdr:colOff>
      <xdr:row>17</xdr:row>
      <xdr:rowOff>117969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BE2BF51-F2F0-4D06-B311-D04F3DBA7298}"/>
            </a:ext>
          </a:extLst>
        </xdr:cNvPr>
        <xdr:cNvSpPr txBox="1">
          <a:spLocks noChangeArrowheads="1"/>
        </xdr:cNvSpPr>
      </xdr:nvSpPr>
      <xdr:spPr bwMode="auto">
        <a:xfrm>
          <a:off x="885825" y="3377565"/>
          <a:ext cx="1156258" cy="19797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=(B13+C13)/B12-1</a:t>
          </a:r>
        </a:p>
      </xdr:txBody>
    </xdr:sp>
    <xdr:clientData/>
  </xdr:twoCellAnchor>
  <xdr:twoCellAnchor>
    <xdr:from>
      <xdr:col>2</xdr:col>
      <xdr:colOff>373380</xdr:colOff>
      <xdr:row>12</xdr:row>
      <xdr:rowOff>106680</xdr:rowOff>
    </xdr:from>
    <xdr:to>
      <xdr:col>3</xdr:col>
      <xdr:colOff>342900</xdr:colOff>
      <xdr:row>16</xdr:row>
      <xdr:rowOff>60960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7B04B7C5-7E29-4928-BEDE-B2C941995CAE}"/>
            </a:ext>
          </a:extLst>
        </xdr:cNvPr>
        <xdr:cNvSpPr>
          <a:spLocks noChangeShapeType="1"/>
        </xdr:cNvSpPr>
      </xdr:nvSpPr>
      <xdr:spPr bwMode="auto">
        <a:xfrm flipV="1">
          <a:off x="1590675" y="2705100"/>
          <a:ext cx="581025" cy="638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396240</xdr:colOff>
      <xdr:row>4</xdr:row>
      <xdr:rowOff>106680</xdr:rowOff>
    </xdr:from>
    <xdr:to>
      <xdr:col>10</xdr:col>
      <xdr:colOff>327660</xdr:colOff>
      <xdr:row>16</xdr:row>
      <xdr:rowOff>121920</xdr:rowOff>
    </xdr:to>
    <xdr:sp macro="" textlink="">
      <xdr:nvSpPr>
        <xdr:cNvPr id="4" name="Line 11">
          <a:extLst>
            <a:ext uri="{FF2B5EF4-FFF2-40B4-BE49-F238E27FC236}">
              <a16:creationId xmlns:a16="http://schemas.microsoft.com/office/drawing/2014/main" id="{9F20227A-8DAC-4AB6-82A2-0F99E0CCC503}"/>
            </a:ext>
          </a:extLst>
        </xdr:cNvPr>
        <xdr:cNvSpPr>
          <a:spLocks noChangeShapeType="1"/>
        </xdr:cNvSpPr>
      </xdr:nvSpPr>
      <xdr:spPr bwMode="auto">
        <a:xfrm flipV="1">
          <a:off x="7762875" y="1333500"/>
          <a:ext cx="533400" cy="2076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</xdr:row>
      <xdr:rowOff>45720</xdr:rowOff>
    </xdr:from>
    <xdr:to>
      <xdr:col>13</xdr:col>
      <xdr:colOff>0</xdr:colOff>
      <xdr:row>4</xdr:row>
      <xdr:rowOff>68580</xdr:rowOff>
    </xdr:to>
    <xdr:sp macro="" textlink="">
      <xdr:nvSpPr>
        <xdr:cNvPr id="5" name="Line 12">
          <a:extLst>
            <a:ext uri="{FF2B5EF4-FFF2-40B4-BE49-F238E27FC236}">
              <a16:creationId xmlns:a16="http://schemas.microsoft.com/office/drawing/2014/main" id="{E27075A6-8A17-42D0-8B1F-69E1E7CF957A}"/>
            </a:ext>
          </a:extLst>
        </xdr:cNvPr>
        <xdr:cNvSpPr>
          <a:spLocks noChangeShapeType="1"/>
        </xdr:cNvSpPr>
      </xdr:nvSpPr>
      <xdr:spPr bwMode="auto">
        <a:xfrm flipH="1">
          <a:off x="9515475" y="933450"/>
          <a:ext cx="752475" cy="361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14</xdr:col>
      <xdr:colOff>474936</xdr:colOff>
      <xdr:row>1</xdr:row>
      <xdr:rowOff>57150</xdr:rowOff>
    </xdr:from>
    <xdr:to>
      <xdr:col>34</xdr:col>
      <xdr:colOff>593047</xdr:colOff>
      <xdr:row>39</xdr:row>
      <xdr:rowOff>151086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13370E3B-2461-7BB6-268E-573C1EE70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74264" y="273926"/>
          <a:ext cx="12332576" cy="708331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240-41"/>
      <sheetName val="Pages 240-41 (中文)"/>
      <sheetName val="Page 242"/>
      <sheetName val="Page 242 (中文)"/>
      <sheetName val="Page 243"/>
      <sheetName val="Page 243 (中文)"/>
      <sheetName val="Page 244"/>
      <sheetName val="Page 244 (中文)"/>
      <sheetName val="Page 245"/>
      <sheetName val="Page 245 (中文)"/>
      <sheetName val="Page 246"/>
      <sheetName val="Page 246 (中文)"/>
      <sheetName val="Pages 248-9"/>
      <sheetName val="Pages 248-9 (中文)"/>
      <sheetName val="Page 251"/>
      <sheetName val="Page 251 (中文)"/>
      <sheetName val="Page 256, top"/>
      <sheetName val="Page 256, top (中文)"/>
      <sheetName val="Page 256, bottom"/>
      <sheetName val="Page 256, bottom (中文)"/>
      <sheetName val="Page 258"/>
      <sheetName val="Page 258 (中文)"/>
      <sheetName val="Page 259"/>
      <sheetName val="Page 259 (中文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O34"/>
  <sheetViews>
    <sheetView tabSelected="1" zoomScale="145" zoomScaleNormal="145" workbookViewId="0">
      <selection activeCell="M23" sqref="M23"/>
    </sheetView>
  </sheetViews>
  <sheetFormatPr defaultRowHeight="13.8" x14ac:dyDescent="0.25"/>
  <cols>
    <col min="1" max="3" width="8.88671875" style="2"/>
    <col min="4" max="4" width="13.6640625" style="2" customWidth="1"/>
    <col min="5" max="5" width="13.33203125" style="2" customWidth="1"/>
    <col min="6" max="6" width="22.5546875" style="2" customWidth="1"/>
    <col min="7" max="7" width="8.88671875" style="2"/>
    <col min="8" max="8" width="13.44140625" style="2" customWidth="1"/>
    <col min="9" max="10" width="8.88671875" style="2"/>
    <col min="11" max="11" width="11.109375" style="2" customWidth="1"/>
    <col min="12" max="12" width="11.33203125" style="2" customWidth="1"/>
    <col min="13" max="13" width="11" style="2" customWidth="1"/>
    <col min="14" max="14" width="20.6640625" style="2" bestFit="1" customWidth="1"/>
    <col min="15" max="15" width="8.88671875" style="2"/>
  </cols>
  <sheetData>
    <row r="1" spans="1:14" ht="17.399999999999999" x14ac:dyDescent="0.3">
      <c r="A1" s="1" t="s">
        <v>0</v>
      </c>
      <c r="B1" s="1"/>
      <c r="C1" s="1"/>
      <c r="D1" s="1"/>
      <c r="E1" s="1"/>
      <c r="F1" s="1"/>
      <c r="G1" s="1" t="s">
        <v>1</v>
      </c>
      <c r="H1" s="1"/>
      <c r="I1" s="1"/>
      <c r="J1" s="1"/>
      <c r="K1" s="1"/>
      <c r="L1" s="1"/>
      <c r="M1" s="1"/>
      <c r="N1" s="1"/>
    </row>
    <row r="2" spans="1:14" ht="52.8" x14ac:dyDescent="0.25">
      <c r="A2" s="3" t="s">
        <v>2</v>
      </c>
      <c r="B2" s="3" t="s">
        <v>3</v>
      </c>
      <c r="C2" s="3" t="s">
        <v>4</v>
      </c>
      <c r="D2" s="3" t="s">
        <v>23</v>
      </c>
      <c r="E2" s="3" t="s">
        <v>5</v>
      </c>
      <c r="G2" s="4" t="s">
        <v>2</v>
      </c>
      <c r="H2" s="4" t="s">
        <v>6</v>
      </c>
      <c r="I2" s="4" t="s">
        <v>7</v>
      </c>
      <c r="J2" s="4" t="s">
        <v>4</v>
      </c>
      <c r="K2" s="4" t="s">
        <v>8</v>
      </c>
      <c r="L2" s="4" t="s">
        <v>9</v>
      </c>
      <c r="M2" s="4" t="s">
        <v>10</v>
      </c>
    </row>
    <row r="3" spans="1:14" x14ac:dyDescent="0.25">
      <c r="A3" s="2">
        <v>1986</v>
      </c>
      <c r="B3" s="5">
        <v>33</v>
      </c>
      <c r="C3" s="5"/>
      <c r="E3" s="6"/>
      <c r="G3" s="7">
        <v>1986</v>
      </c>
      <c r="I3" s="5">
        <f t="shared" ref="I3:J13" si="0">B3</f>
        <v>33</v>
      </c>
      <c r="M3" s="8">
        <f>I3</f>
        <v>33</v>
      </c>
      <c r="N3" s="9" t="str">
        <f ca="1">[2]!ggetformula(L5)</f>
        <v>=H5+K5/I5</v>
      </c>
    </row>
    <row r="4" spans="1:14" x14ac:dyDescent="0.25">
      <c r="A4" s="2">
        <v>1987</v>
      </c>
      <c r="B4" s="5">
        <f>30+11/16</f>
        <v>30.6875</v>
      </c>
      <c r="C4" s="5">
        <v>2.5</v>
      </c>
      <c r="D4" s="10">
        <f t="shared" ref="D4:D13" si="1">(B4+C4)/B3-1</f>
        <v>5.6818181818181213E-3</v>
      </c>
      <c r="E4" s="10">
        <f t="shared" ref="E4:E13" si="2">LN((C4+B4)/B3)</f>
        <v>5.6657375356772999E-3</v>
      </c>
      <c r="F4" s="11" t="str">
        <f ca="1">[2]!getformula(E4)</f>
        <v>&lt;--  =LN((C4+B4)/B3)</v>
      </c>
      <c r="G4" s="7">
        <v>1987</v>
      </c>
      <c r="H4" s="5">
        <v>1</v>
      </c>
      <c r="I4" s="5">
        <f t="shared" si="0"/>
        <v>30.6875</v>
      </c>
      <c r="J4" s="8">
        <f t="shared" si="0"/>
        <v>2.5</v>
      </c>
      <c r="K4" s="8">
        <f t="shared" ref="K4:K13" si="3">H4*J4</f>
        <v>2.5</v>
      </c>
      <c r="L4" s="8">
        <f t="shared" ref="L4:L13" si="4">H4+K4/I4</f>
        <v>1.0814663951120163</v>
      </c>
      <c r="M4" s="8">
        <f t="shared" ref="M4:M13" si="5">L4*I4</f>
        <v>33.1875</v>
      </c>
    </row>
    <row r="5" spans="1:14" x14ac:dyDescent="0.25">
      <c r="A5" s="2">
        <v>1988</v>
      </c>
      <c r="B5" s="5">
        <v>41.75</v>
      </c>
      <c r="C5" s="5">
        <v>2.5</v>
      </c>
      <c r="D5" s="10">
        <f t="shared" si="1"/>
        <v>0.44195519348268841</v>
      </c>
      <c r="E5" s="10">
        <f t="shared" si="2"/>
        <v>0.3659999658991992</v>
      </c>
      <c r="F5" s="11"/>
      <c r="G5" s="7">
        <v>1988</v>
      </c>
      <c r="H5" s="5">
        <f t="shared" ref="H5:H13" si="6">L4</f>
        <v>1.0814663951120163</v>
      </c>
      <c r="I5" s="5">
        <f t="shared" si="0"/>
        <v>41.75</v>
      </c>
      <c r="J5" s="8">
        <f t="shared" si="0"/>
        <v>2.5</v>
      </c>
      <c r="K5" s="8">
        <f t="shared" si="3"/>
        <v>2.7036659877800409</v>
      </c>
      <c r="L5" s="8">
        <f t="shared" si="4"/>
        <v>1.1462248618851909</v>
      </c>
      <c r="M5" s="8">
        <f t="shared" si="5"/>
        <v>47.854887983706718</v>
      </c>
      <c r="N5" s="2" t="str">
        <f ca="1">[2]!getformula(M5)</f>
        <v>&lt;--  =L5*I5</v>
      </c>
    </row>
    <row r="6" spans="1:14" x14ac:dyDescent="0.25">
      <c r="A6" s="2">
        <v>1989</v>
      </c>
      <c r="B6" s="5">
        <v>42.25</v>
      </c>
      <c r="C6" s="5">
        <v>3</v>
      </c>
      <c r="D6" s="10">
        <f t="shared" si="1"/>
        <v>8.3832335329341312E-2</v>
      </c>
      <c r="E6" s="10">
        <f t="shared" si="2"/>
        <v>8.0503218849070635E-2</v>
      </c>
      <c r="F6" s="11"/>
      <c r="G6" s="7">
        <v>1989</v>
      </c>
      <c r="H6" s="5">
        <f t="shared" si="6"/>
        <v>1.1462248618851909</v>
      </c>
      <c r="I6" s="5">
        <f t="shared" si="0"/>
        <v>42.25</v>
      </c>
      <c r="J6" s="8">
        <f t="shared" si="0"/>
        <v>3</v>
      </c>
      <c r="K6" s="8">
        <f t="shared" si="3"/>
        <v>3.4386745856555727</v>
      </c>
      <c r="L6" s="8">
        <f t="shared" si="4"/>
        <v>1.2276136094746719</v>
      </c>
      <c r="M6" s="8">
        <f t="shared" si="5"/>
        <v>51.866675000304888</v>
      </c>
    </row>
    <row r="7" spans="1:14" x14ac:dyDescent="0.25">
      <c r="A7" s="2">
        <v>1990</v>
      </c>
      <c r="B7" s="5">
        <v>34.375</v>
      </c>
      <c r="C7" s="5">
        <v>3</v>
      </c>
      <c r="D7" s="10">
        <f t="shared" si="1"/>
        <v>-0.11538461538461542</v>
      </c>
      <c r="E7" s="10">
        <f t="shared" si="2"/>
        <v>-0.12260232209233239</v>
      </c>
      <c r="F7" s="11"/>
      <c r="G7" s="7">
        <v>1990</v>
      </c>
      <c r="H7" s="5">
        <f t="shared" si="6"/>
        <v>1.2276136094746719</v>
      </c>
      <c r="I7" s="5">
        <f t="shared" si="0"/>
        <v>34.375</v>
      </c>
      <c r="J7" s="8">
        <f t="shared" si="0"/>
        <v>3</v>
      </c>
      <c r="K7" s="8">
        <f t="shared" si="3"/>
        <v>3.6828408284240157</v>
      </c>
      <c r="L7" s="8">
        <f t="shared" si="4"/>
        <v>1.3347507972106434</v>
      </c>
      <c r="M7" s="8">
        <f t="shared" si="5"/>
        <v>45.882058654115866</v>
      </c>
    </row>
    <row r="8" spans="1:14" x14ac:dyDescent="0.25">
      <c r="A8" s="2">
        <v>1991</v>
      </c>
      <c r="B8" s="5">
        <v>28.875</v>
      </c>
      <c r="C8" s="5">
        <v>1.6</v>
      </c>
      <c r="D8" s="10">
        <f t="shared" si="1"/>
        <v>-0.11345454545454536</v>
      </c>
      <c r="E8" s="10">
        <f t="shared" si="2"/>
        <v>-0.12042288061940004</v>
      </c>
      <c r="F8" s="11"/>
      <c r="G8" s="7">
        <v>1991</v>
      </c>
      <c r="H8" s="5">
        <f t="shared" si="6"/>
        <v>1.3347507972106434</v>
      </c>
      <c r="I8" s="5">
        <f t="shared" si="0"/>
        <v>28.875</v>
      </c>
      <c r="J8" s="8">
        <f t="shared" si="0"/>
        <v>1.6</v>
      </c>
      <c r="K8" s="8">
        <f t="shared" si="3"/>
        <v>2.1356012755370295</v>
      </c>
      <c r="L8" s="8">
        <f t="shared" si="4"/>
        <v>1.408711014545259</v>
      </c>
      <c r="M8" s="8">
        <f t="shared" si="5"/>
        <v>40.676530544994357</v>
      </c>
    </row>
    <row r="9" spans="1:14" x14ac:dyDescent="0.25">
      <c r="A9" s="2">
        <v>1992</v>
      </c>
      <c r="B9" s="5">
        <v>32.25</v>
      </c>
      <c r="C9" s="5">
        <v>1.4</v>
      </c>
      <c r="D9" s="10">
        <f t="shared" si="1"/>
        <v>0.16536796536796539</v>
      </c>
      <c r="E9" s="10">
        <f t="shared" si="2"/>
        <v>0.1530368872487792</v>
      </c>
      <c r="F9" s="11"/>
      <c r="G9" s="7">
        <v>1992</v>
      </c>
      <c r="H9" s="5">
        <f t="shared" si="6"/>
        <v>1.408711014545259</v>
      </c>
      <c r="I9" s="5">
        <f t="shared" si="0"/>
        <v>32.25</v>
      </c>
      <c r="J9" s="8">
        <f t="shared" si="0"/>
        <v>1.4</v>
      </c>
      <c r="K9" s="8">
        <f t="shared" si="3"/>
        <v>1.9721954203633625</v>
      </c>
      <c r="L9" s="8">
        <f t="shared" si="4"/>
        <v>1.4698643609131152</v>
      </c>
      <c r="M9" s="8">
        <f t="shared" si="5"/>
        <v>47.403125639447964</v>
      </c>
    </row>
    <row r="10" spans="1:14" x14ac:dyDescent="0.25">
      <c r="A10" s="2">
        <v>1993</v>
      </c>
      <c r="B10" s="5">
        <v>54.875</v>
      </c>
      <c r="C10" s="5">
        <v>0.8</v>
      </c>
      <c r="D10" s="10">
        <f t="shared" si="1"/>
        <v>0.72635658914728674</v>
      </c>
      <c r="E10" s="10">
        <f t="shared" si="2"/>
        <v>0.54601316990164983</v>
      </c>
      <c r="F10" s="11"/>
      <c r="G10" s="7">
        <v>1993</v>
      </c>
      <c r="H10" s="5">
        <f t="shared" si="6"/>
        <v>1.4698643609131152</v>
      </c>
      <c r="I10" s="5">
        <f t="shared" si="0"/>
        <v>54.875</v>
      </c>
      <c r="J10" s="8">
        <f t="shared" si="0"/>
        <v>0.8</v>
      </c>
      <c r="K10" s="8">
        <f t="shared" si="3"/>
        <v>1.1758914887304923</v>
      </c>
      <c r="L10" s="8">
        <f t="shared" si="4"/>
        <v>1.4912929074047871</v>
      </c>
      <c r="M10" s="8">
        <f t="shared" si="5"/>
        <v>81.83469829383769</v>
      </c>
    </row>
    <row r="11" spans="1:14" x14ac:dyDescent="0.25">
      <c r="A11" s="2">
        <v>1994</v>
      </c>
      <c r="B11" s="5">
        <v>42.125</v>
      </c>
      <c r="C11" s="5">
        <v>0.8</v>
      </c>
      <c r="D11" s="10">
        <f t="shared" si="1"/>
        <v>-0.21776765375854223</v>
      </c>
      <c r="E11" s="10">
        <f t="shared" si="2"/>
        <v>-0.2456034646117963</v>
      </c>
      <c r="F11" s="11"/>
      <c r="G11" s="7">
        <v>1994</v>
      </c>
      <c r="H11" s="5">
        <f t="shared" si="6"/>
        <v>1.4912929074047871</v>
      </c>
      <c r="I11" s="5">
        <f t="shared" si="0"/>
        <v>42.125</v>
      </c>
      <c r="J11" s="8">
        <f t="shared" si="0"/>
        <v>0.8</v>
      </c>
      <c r="K11" s="8">
        <f t="shared" si="3"/>
        <v>1.1930343259238299</v>
      </c>
      <c r="L11" s="8">
        <f t="shared" si="4"/>
        <v>1.5196141970409611</v>
      </c>
      <c r="M11" s="8">
        <f t="shared" si="5"/>
        <v>64.013748050350486</v>
      </c>
    </row>
    <row r="12" spans="1:14" x14ac:dyDescent="0.25">
      <c r="A12" s="2">
        <v>1995</v>
      </c>
      <c r="B12" s="5">
        <v>52.875</v>
      </c>
      <c r="C12" s="5">
        <v>1.1000000000000001</v>
      </c>
      <c r="D12" s="10">
        <f t="shared" si="1"/>
        <v>0.28130563798219588</v>
      </c>
      <c r="E12" s="10">
        <f t="shared" si="2"/>
        <v>0.24787958772834529</v>
      </c>
      <c r="F12" s="11"/>
      <c r="G12" s="7">
        <v>1995</v>
      </c>
      <c r="H12" s="5">
        <f t="shared" si="6"/>
        <v>1.5196141970409611</v>
      </c>
      <c r="I12" s="5">
        <f t="shared" si="0"/>
        <v>52.875</v>
      </c>
      <c r="J12" s="8">
        <f t="shared" si="0"/>
        <v>1.1000000000000001</v>
      </c>
      <c r="K12" s="8">
        <f t="shared" si="3"/>
        <v>1.6715756167450573</v>
      </c>
      <c r="L12" s="8">
        <f t="shared" si="4"/>
        <v>1.5512279202890946</v>
      </c>
      <c r="M12" s="8">
        <f t="shared" si="5"/>
        <v>82.021176285285875</v>
      </c>
    </row>
    <row r="13" spans="1:14" x14ac:dyDescent="0.25">
      <c r="A13" s="2">
        <v>1996</v>
      </c>
      <c r="B13" s="5">
        <v>55.75</v>
      </c>
      <c r="C13" s="5">
        <v>1.6</v>
      </c>
      <c r="D13" s="10">
        <f t="shared" si="1"/>
        <v>8.463356973995273E-2</v>
      </c>
      <c r="E13" s="10">
        <f t="shared" si="2"/>
        <v>8.124220620893767E-2</v>
      </c>
      <c r="F13" s="11"/>
      <c r="G13" s="7">
        <v>1996</v>
      </c>
      <c r="H13" s="5">
        <f t="shared" si="6"/>
        <v>1.5512279202890946</v>
      </c>
      <c r="I13" s="5">
        <f t="shared" si="0"/>
        <v>55.75</v>
      </c>
      <c r="J13" s="8">
        <f t="shared" si="0"/>
        <v>1.6</v>
      </c>
      <c r="K13" s="8">
        <f t="shared" si="3"/>
        <v>2.4819646724625515</v>
      </c>
      <c r="L13" s="8">
        <f t="shared" si="4"/>
        <v>1.5957474659834903</v>
      </c>
      <c r="M13" s="8">
        <f t="shared" si="5"/>
        <v>88.962921228579589</v>
      </c>
    </row>
    <row r="14" spans="1:14" x14ac:dyDescent="0.25">
      <c r="H14" s="5"/>
      <c r="I14" s="5"/>
      <c r="J14" s="8"/>
      <c r="K14" s="8"/>
      <c r="L14" s="8"/>
    </row>
    <row r="15" spans="1:14" x14ac:dyDescent="0.25">
      <c r="A15" s="12" t="s">
        <v>11</v>
      </c>
      <c r="D15" s="13">
        <f>AVERAGE(D4:D13)</f>
        <v>0.13425262946335456</v>
      </c>
      <c r="E15" s="14">
        <f>AVERAGE(E4:E13)</f>
        <v>9.9171210604813029E-2</v>
      </c>
      <c r="F15" s="2" t="str">
        <f ca="1">[2]!getformula(E15)</f>
        <v>&lt;--  =AVERAGE(E4:E13)</v>
      </c>
      <c r="H15" s="12" t="s">
        <v>12</v>
      </c>
      <c r="L15" s="11"/>
      <c r="M15" s="11">
        <f>LN(M13/M3)/10</f>
        <v>9.917121060481307E-2</v>
      </c>
      <c r="N15" s="2" t="str">
        <f ca="1">[2]!getformula(M15)</f>
        <v>&lt;--  =LN(M13/M3)/10</v>
      </c>
    </row>
    <row r="16" spans="1:14" x14ac:dyDescent="0.25">
      <c r="A16" s="12" t="s">
        <v>13</v>
      </c>
      <c r="D16" s="10">
        <f>STDEVP(D4:D13)</f>
        <v>0.27147583822562688</v>
      </c>
      <c r="E16" s="10">
        <f>STDEVP(E4:E13)</f>
        <v>0.2283788238371052</v>
      </c>
      <c r="F16" s="2" t="str">
        <f ca="1">[2]!getformula(E16)</f>
        <v>&lt;--  =STDEVP(E4:E13)</v>
      </c>
      <c r="H16" s="12" t="s">
        <v>14</v>
      </c>
      <c r="L16" s="11"/>
      <c r="M16" s="11">
        <f>(M13/M3)^(1/10)-1</f>
        <v>0.1042553436004936</v>
      </c>
      <c r="N16" s="2" t="str">
        <f ca="1">[2]!getformula(M16)</f>
        <v>&lt;--  =(M13/M3)^(1/10)-1</v>
      </c>
    </row>
    <row r="17" spans="2:12" x14ac:dyDescent="0.25">
      <c r="D17" s="10"/>
      <c r="E17" s="10"/>
    </row>
    <row r="18" spans="2:12" x14ac:dyDescent="0.25">
      <c r="D18" s="10"/>
      <c r="E18" s="10"/>
      <c r="J18" s="9" t="str">
        <f ca="1">[2]!ggetformula(K5)</f>
        <v>=H5*J5</v>
      </c>
      <c r="L18" s="11"/>
    </row>
    <row r="19" spans="2:12" x14ac:dyDescent="0.25">
      <c r="D19" s="10"/>
      <c r="E19" s="10"/>
      <c r="L19" s="11"/>
    </row>
    <row r="20" spans="2:12" x14ac:dyDescent="0.25">
      <c r="D20" s="10"/>
      <c r="E20" s="10"/>
      <c r="L20" s="11"/>
    </row>
    <row r="21" spans="2:12" x14ac:dyDescent="0.25">
      <c r="D21" s="10"/>
      <c r="E21" s="10"/>
      <c r="K21" s="15"/>
      <c r="L21" s="11"/>
    </row>
    <row r="23" spans="2:12" x14ac:dyDescent="0.25">
      <c r="B23" s="2" t="s">
        <v>15</v>
      </c>
    </row>
    <row r="24" spans="2:12" x14ac:dyDescent="0.25">
      <c r="B24" s="2" t="s">
        <v>16</v>
      </c>
    </row>
    <row r="25" spans="2:12" x14ac:dyDescent="0.25">
      <c r="B25" s="2" t="s">
        <v>17</v>
      </c>
    </row>
    <row r="26" spans="2:12" x14ac:dyDescent="0.25">
      <c r="B26" s="2" t="str">
        <f>"end of 1986 could buy another 2.50/30.69 = "&amp;TEXT(2.5/30.69,"0.000")</f>
        <v>end of 1986 could buy another 2.50/30.69 = 0.081</v>
      </c>
    </row>
    <row r="27" spans="2:12" x14ac:dyDescent="0.25">
      <c r="B27" s="2" t="s">
        <v>18</v>
      </c>
    </row>
    <row r="28" spans="2:12" x14ac:dyDescent="0.25">
      <c r="B28" s="2" t="str">
        <f>"of 1986 would have received a dividend of 1.08*2.50 = "&amp;TEXT(1.08*2.5,"0.00")</f>
        <v>of 1986 would have received a dividend of 1.08*2.50 = 2.70</v>
      </c>
    </row>
    <row r="29" spans="2:12" x14ac:dyDescent="0.25">
      <c r="B29" s="2" t="str">
        <f>"This dividend would be reinvested in shares, 2.7/41.75 = "&amp;TEXT(2.7/41.75,"0.00000")</f>
        <v>This dividend would be reinvested in shares, 2.7/41.75 = 0.06467</v>
      </c>
    </row>
    <row r="30" spans="2:12" x14ac:dyDescent="0.25">
      <c r="B30" s="2" t="s">
        <v>19</v>
      </c>
    </row>
    <row r="31" spans="2:12" x14ac:dyDescent="0.25">
      <c r="B31" s="2">
        <f>1.08+K5/I5</f>
        <v>1.1447584667731747</v>
      </c>
      <c r="C31" s="2" t="s">
        <v>20</v>
      </c>
    </row>
    <row r="33" spans="2:3" x14ac:dyDescent="0.25">
      <c r="B33" s="2" t="s">
        <v>21</v>
      </c>
    </row>
    <row r="34" spans="2:3" x14ac:dyDescent="0.25">
      <c r="C34" s="2" t="s">
        <v>22</v>
      </c>
    </row>
  </sheetData>
  <mergeCells count="2">
    <mergeCell ref="A1:F1"/>
    <mergeCell ref="G1:N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2024-10-28T07:28:48Z</dcterms:modified>
</cp:coreProperties>
</file>