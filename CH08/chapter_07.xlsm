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8\"/>
    </mc:Choice>
  </mc:AlternateContent>
  <xr:revisionPtr revIDLastSave="0" documentId="13_ncr:1_{6DF7EB87-0C5C-4688-B7A3-F8A506556F45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</externalReferences>
  <definedNames>
    <definedName name="_xlnm.Print_Area" localSheetId="0">Sheet1!$A$1:$G$43</definedName>
  </definedNam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" i="1" l="1"/>
  <c r="B14" i="1" a="1"/>
  <c r="B14" i="1" s="1"/>
  <c r="B15" i="1" s="1"/>
  <c r="E13" i="1" a="1"/>
  <c r="E13" i="1" s="1"/>
  <c r="B13" i="1" a="1"/>
  <c r="B13" i="1" s="1"/>
  <c r="B20" i="1" s="1"/>
  <c r="B21" i="1" s="1"/>
  <c r="E12" i="1"/>
  <c r="B12" i="1"/>
  <c r="E9" i="1"/>
  <c r="E8" i="1"/>
  <c r="C6" i="1"/>
  <c r="B6" i="1"/>
  <c r="A6" i="1"/>
  <c r="B5" i="1"/>
  <c r="A5" i="1"/>
  <c r="A4" i="1"/>
  <c r="D25" i="1"/>
  <c r="C14" i="1"/>
  <c r="F13" i="1"/>
  <c r="C19" i="1"/>
  <c r="F12" i="1"/>
  <c r="C15" i="1"/>
  <c r="C20" i="1"/>
  <c r="C21" i="1"/>
  <c r="C25" i="1" l="1"/>
  <c r="B25" i="1" l="1"/>
</calcChain>
</file>

<file path=xl/sharedStrings.xml><?xml version="1.0" encoding="utf-8"?>
<sst xmlns="http://schemas.openxmlformats.org/spreadsheetml/2006/main" count="25" uniqueCount="25">
  <si>
    <t>A FOUR-ASSET PORTFOLIO PROBLEM</t>
  </si>
  <si>
    <t>Variance-covariance, S</t>
  </si>
  <si>
    <t>Mean returns
E(r)</t>
  </si>
  <si>
    <t>Portfolio x</t>
  </si>
  <si>
    <t>Portfolio y</t>
  </si>
  <si>
    <t>Portfolio x and y statistics:  Mean, variance, covariance, correlation</t>
  </si>
  <si>
    <r>
      <t>Mean, E(r</t>
    </r>
    <r>
      <rPr>
        <vertAlign val="subscript"/>
        <sz val="10"/>
        <rFont val="Arial"/>
        <family val="2"/>
      </rPr>
      <t>x</t>
    </r>
    <r>
      <rPr>
        <sz val="10"/>
        <rFont val="Arial"/>
        <family val="2"/>
      </rPr>
      <t>)</t>
    </r>
  </si>
  <si>
    <r>
      <t>Mean, E(r</t>
    </r>
    <r>
      <rPr>
        <vertAlign val="subscript"/>
        <sz val="10"/>
        <rFont val="Arial"/>
        <family val="2"/>
      </rPr>
      <t>y</t>
    </r>
    <r>
      <rPr>
        <sz val="10"/>
        <rFont val="Arial"/>
        <family val="2"/>
      </rPr>
      <t>)</t>
    </r>
  </si>
  <si>
    <r>
      <t xml:space="preserve">Variance, </t>
    </r>
    <r>
      <rPr>
        <sz val="10"/>
        <rFont val="Symbol"/>
        <family val="1"/>
        <charset val="2"/>
      </rPr>
      <t>s</t>
    </r>
    <r>
      <rPr>
        <vertAlign val="subscript"/>
        <sz val="10"/>
        <rFont val="Arial"/>
        <family val="2"/>
      </rPr>
      <t>x</t>
    </r>
    <r>
      <rPr>
        <vertAlign val="superscript"/>
        <sz val="10"/>
        <rFont val="Arial"/>
        <family val="2"/>
      </rPr>
      <t>2</t>
    </r>
  </si>
  <si>
    <r>
      <t xml:space="preserve">Variance, </t>
    </r>
    <r>
      <rPr>
        <sz val="10"/>
        <rFont val="Symbol"/>
        <family val="1"/>
        <charset val="2"/>
      </rPr>
      <t>s</t>
    </r>
    <r>
      <rPr>
        <vertAlign val="subscript"/>
        <sz val="10"/>
        <rFont val="Arial"/>
        <family val="2"/>
      </rPr>
      <t>y</t>
    </r>
    <r>
      <rPr>
        <vertAlign val="superscript"/>
        <sz val="10"/>
        <rFont val="Arial"/>
        <family val="2"/>
      </rPr>
      <t>2</t>
    </r>
  </si>
  <si>
    <t>Covariance(x,y)</t>
  </si>
  <si>
    <r>
      <t xml:space="preserve">Correlation, </t>
    </r>
    <r>
      <rPr>
        <sz val="10"/>
        <rFont val="Symbol"/>
        <family val="1"/>
        <charset val="2"/>
      </rPr>
      <t>r</t>
    </r>
    <r>
      <rPr>
        <vertAlign val="subscript"/>
        <sz val="10"/>
        <rFont val="Arial"/>
        <family val="2"/>
      </rPr>
      <t>xy</t>
    </r>
  </si>
  <si>
    <t>Calculating returns of combinations of Portfolio x and Portfolio y</t>
  </si>
  <si>
    <t>Proportion of Portfolio x</t>
  </si>
  <si>
    <r>
      <t>Mean return, E(r</t>
    </r>
    <r>
      <rPr>
        <vertAlign val="subscript"/>
        <sz val="10"/>
        <rFont val="Arial"/>
        <family val="2"/>
      </rPr>
      <t>p</t>
    </r>
    <r>
      <rPr>
        <sz val="10"/>
        <rFont val="Arial"/>
        <family val="2"/>
      </rPr>
      <t>)</t>
    </r>
  </si>
  <si>
    <r>
      <t xml:space="preserve">Variance of return, </t>
    </r>
    <r>
      <rPr>
        <sz val="10"/>
        <rFont val="Symbol"/>
        <family val="1"/>
        <charset val="2"/>
      </rPr>
      <t>s</t>
    </r>
    <r>
      <rPr>
        <vertAlign val="subscript"/>
        <sz val="10"/>
        <rFont val="Arial"/>
        <family val="2"/>
      </rPr>
      <t>p</t>
    </r>
    <r>
      <rPr>
        <vertAlign val="superscript"/>
        <sz val="10"/>
        <rFont val="Arial"/>
        <family val="2"/>
      </rPr>
      <t>2</t>
    </r>
  </si>
  <si>
    <r>
      <t xml:space="preserve">Stand. dev. of return, </t>
    </r>
    <r>
      <rPr>
        <sz val="10"/>
        <rFont val="Symbol"/>
        <family val="1"/>
        <charset val="2"/>
      </rPr>
      <t>s</t>
    </r>
    <r>
      <rPr>
        <vertAlign val="subscript"/>
        <sz val="10"/>
        <rFont val="Arial"/>
        <family val="2"/>
      </rPr>
      <t>p</t>
    </r>
  </si>
  <si>
    <t>Table of returns (uses this example and Data|Table)</t>
  </si>
  <si>
    <t>Proportion
of x</t>
  </si>
  <si>
    <t>Standard
deviation</t>
  </si>
  <si>
    <t>Mean</t>
  </si>
  <si>
    <t>股票A</t>
    <phoneticPr fontId="1" type="noConversion"/>
  </si>
  <si>
    <t>股票B</t>
    <phoneticPr fontId="1" type="noConversion"/>
  </si>
  <si>
    <t>股票C</t>
    <phoneticPr fontId="1" type="noConversion"/>
  </si>
  <si>
    <t>股票D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</si>
</sst>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00"/>
    <numFmt numFmtId="177" formatCode="0.0"/>
  </numFmts>
  <fonts count="11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4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vertAlign val="subscript"/>
      <sz val="10"/>
      <name val="Arial"/>
      <family val="2"/>
    </font>
    <font>
      <sz val="10"/>
      <name val="Symbol"/>
      <family val="1"/>
      <charset val="2"/>
    </font>
    <font>
      <vertAlign val="superscript"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27">
    <xf numFmtId="0" fontId="0" fillId="0" borderId="0" xfId="0">
      <alignment vertical="center"/>
    </xf>
    <xf numFmtId="0" fontId="3" fillId="0" borderId="0" xfId="0" applyFont="1" applyAlignment="1"/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/>
    <xf numFmtId="2" fontId="0" fillId="0" borderId="0" xfId="0" applyNumberFormat="1" applyAlignment="1"/>
    <xf numFmtId="9" fontId="0" fillId="0" borderId="0" xfId="0" applyNumberFormat="1" applyAlignment="1"/>
    <xf numFmtId="0" fontId="0" fillId="0" borderId="0" xfId="0" applyAlignment="1">
      <alignment horizontal="center"/>
    </xf>
    <xf numFmtId="10" fontId="2" fillId="0" borderId="0" xfId="1" applyNumberFormat="1" applyAlignment="1">
      <alignment horizontal="center"/>
    </xf>
    <xf numFmtId="0" fontId="6" fillId="0" borderId="0" xfId="0" applyFont="1" applyAlignment="1"/>
    <xf numFmtId="0" fontId="7" fillId="0" borderId="0" xfId="0" applyFont="1" applyAlignment="1"/>
    <xf numFmtId="176" fontId="2" fillId="0" borderId="0" xfId="1" applyNumberFormat="1" applyAlignment="1">
      <alignment horizontal="center"/>
    </xf>
    <xf numFmtId="176" fontId="0" fillId="0" borderId="0" xfId="0" applyNumberFormat="1" applyAlignment="1">
      <alignment horizontal="center"/>
    </xf>
    <xf numFmtId="10" fontId="2" fillId="0" borderId="0" xfId="1" quotePrefix="1" applyNumberFormat="1" applyAlignment="1"/>
    <xf numFmtId="176" fontId="0" fillId="0" borderId="0" xfId="0" quotePrefix="1" applyNumberFormat="1" applyAlignment="1"/>
    <xf numFmtId="0" fontId="4" fillId="0" borderId="0" xfId="0" applyFont="1" applyAlignment="1"/>
    <xf numFmtId="0" fontId="0" fillId="0" borderId="0" xfId="0" applyAlignment="1">
      <alignment horizontal="center" vertical="center" wrapText="1"/>
    </xf>
    <xf numFmtId="10" fontId="0" fillId="0" borderId="0" xfId="0" applyNumberFormat="1" applyAlignment="1"/>
    <xf numFmtId="177" fontId="0" fillId="0" borderId="0" xfId="0" applyNumberFormat="1" applyAlignment="1">
      <alignment horizontal="center"/>
    </xf>
    <xf numFmtId="10" fontId="2" fillId="0" borderId="0" xfId="1" applyNumberFormat="1" applyAlignment="1"/>
    <xf numFmtId="176" fontId="0" fillId="0" borderId="0" xfId="0" applyNumberFormat="1" applyAlignment="1"/>
    <xf numFmtId="0" fontId="0" fillId="2" borderId="0" xfId="0" applyFill="1" applyAlignment="1"/>
    <xf numFmtId="0" fontId="0" fillId="2" borderId="0" xfId="0" applyFill="1" applyAlignment="1">
      <alignment horizontal="center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 vertical="center"/>
    </xf>
    <xf numFmtId="2" fontId="0" fillId="0" borderId="0" xfId="0" applyNumberFormat="1" applyAlignment="1">
      <alignment horizontal="center"/>
    </xf>
    <xf numFmtId="10" fontId="0" fillId="0" borderId="0" xfId="1" applyNumberFormat="1" applyFont="1" applyAlignment="1"/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CN" altLang="en-US" sz="1400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投资组合</a:t>
            </a:r>
            <a:r>
              <a:rPr lang="en-US" altLang="zh-CN" sz="1400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x,y</a:t>
            </a:r>
            <a:r>
              <a:rPr lang="zh-CN" altLang="en-US" sz="1400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和四只股票</a:t>
            </a:r>
            <a:endParaRPr lang="zh-CN" altLang="en-US">
              <a:solidFill>
                <a:schemeClr val="tx1"/>
              </a:solidFill>
            </a:endParaRP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8498738219592012"/>
          <c:y val="0.26119557647363201"/>
          <c:w val="0.73458757567655208"/>
          <c:h val="0.54477934521643234"/>
        </c:manualLayout>
      </c:layout>
      <c:scatterChart>
        <c:scatterStyle val="smoothMarker"/>
        <c:varyColors val="0"/>
        <c:ser>
          <c:idx val="0"/>
          <c:order val="0"/>
          <c:spPr>
            <a:ln w="9525">
              <a:solidFill>
                <a:schemeClr val="tx1"/>
              </a:solidFill>
              <a:prstDash val="solid"/>
            </a:ln>
          </c:spPr>
          <c:marker>
            <c:symbol val="square"/>
            <c:size val="6"/>
            <c:spPr>
              <a:solidFill>
                <a:schemeClr val="tx1"/>
              </a:solidFill>
            </c:spPr>
          </c:marker>
          <c:xVal>
            <c:numRef>
              <c:f>Sheet1!$B$26:$B$44</c:f>
              <c:numCache>
                <c:formatCode>0.00%</c:formatCode>
                <c:ptCount val="19"/>
                <c:pt idx="0">
                  <c:v>0.72884017452388028</c:v>
                </c:pt>
                <c:pt idx="1">
                  <c:v>0.67229420643048832</c:v>
                </c:pt>
                <c:pt idx="2">
                  <c:v>0.61721147105347951</c:v>
                </c:pt>
                <c:pt idx="3">
                  <c:v>0.5640208329485713</c:v>
                </c:pt>
                <c:pt idx="4">
                  <c:v>0.51331082201722589</c:v>
                </c:pt>
                <c:pt idx="5">
                  <c:v>0.46589215490282732</c:v>
                </c:pt>
                <c:pt idx="6">
                  <c:v>0.42287350354449976</c:v>
                </c:pt>
                <c:pt idx="7">
                  <c:v>0.38572982772920222</c:v>
                </c:pt>
                <c:pt idx="8">
                  <c:v>0.35630324163554844</c:v>
                </c:pt>
                <c:pt idx="9">
                  <c:v>0.33662367712328262</c:v>
                </c:pt>
                <c:pt idx="10">
                  <c:v>0.3284478649648982</c:v>
                </c:pt>
                <c:pt idx="11">
                  <c:v>0.3326251644118346</c:v>
                </c:pt>
                <c:pt idx="12">
                  <c:v>0.34871191548325386</c:v>
                </c:pt>
                <c:pt idx="13">
                  <c:v>0.37517929047323489</c:v>
                </c:pt>
                <c:pt idx="14">
                  <c:v>0.41002195063191438</c:v>
                </c:pt>
                <c:pt idx="15">
                  <c:v>0.45130422111919144</c:v>
                </c:pt>
                <c:pt idx="16">
                  <c:v>0.49742537128699016</c:v>
                </c:pt>
                <c:pt idx="17">
                  <c:v>0.54716313837830843</c:v>
                </c:pt>
                <c:pt idx="18">
                  <c:v>0.59961821186484976</c:v>
                </c:pt>
              </c:numCache>
            </c:numRef>
          </c:xVal>
          <c:yVal>
            <c:numRef>
              <c:f>Sheet1!$C$26:$C$44</c:f>
              <c:numCache>
                <c:formatCode>0.00%</c:formatCode>
                <c:ptCount val="19"/>
                <c:pt idx="0">
                  <c:v>0.14319999999999999</c:v>
                </c:pt>
                <c:pt idx="1">
                  <c:v>0.13885</c:v>
                </c:pt>
                <c:pt idx="2">
                  <c:v>0.13450000000000001</c:v>
                </c:pt>
                <c:pt idx="3">
                  <c:v>0.13015000000000002</c:v>
                </c:pt>
                <c:pt idx="4">
                  <c:v>0.12580000000000002</c:v>
                </c:pt>
                <c:pt idx="5">
                  <c:v>0.12145000000000003</c:v>
                </c:pt>
                <c:pt idx="6">
                  <c:v>0.11710000000000001</c:v>
                </c:pt>
                <c:pt idx="7">
                  <c:v>0.11275000000000002</c:v>
                </c:pt>
                <c:pt idx="8">
                  <c:v>0.10840000000000002</c:v>
                </c:pt>
                <c:pt idx="9">
                  <c:v>0.10405000000000002</c:v>
                </c:pt>
                <c:pt idx="10">
                  <c:v>9.9700000000000011E-2</c:v>
                </c:pt>
                <c:pt idx="11">
                  <c:v>9.5350000000000018E-2</c:v>
                </c:pt>
                <c:pt idx="12">
                  <c:v>9.1000000000000025E-2</c:v>
                </c:pt>
                <c:pt idx="13">
                  <c:v>8.6650000000000019E-2</c:v>
                </c:pt>
                <c:pt idx="14">
                  <c:v>8.2300000000000012E-2</c:v>
                </c:pt>
                <c:pt idx="15">
                  <c:v>7.7950000000000019E-2</c:v>
                </c:pt>
                <c:pt idx="16">
                  <c:v>7.3600000000000013E-2</c:v>
                </c:pt>
                <c:pt idx="17">
                  <c:v>6.925000000000002E-2</c:v>
                </c:pt>
                <c:pt idx="18">
                  <c:v>6.4900000000000027E-2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1AB-4C37-BF3D-BCC09BB5CD0F}"/>
            </c:ext>
          </c:extLst>
        </c:ser>
        <c:ser>
          <c:idx val="1"/>
          <c:order val="1"/>
          <c:tx>
            <c:strRef>
              <c:f>Sheet1!$A$45:$A$48</c:f>
              <c:strCache>
                <c:ptCount val="4"/>
                <c:pt idx="0">
                  <c:v>股票A</c:v>
                </c:pt>
                <c:pt idx="1">
                  <c:v>股票B</c:v>
                </c:pt>
                <c:pt idx="2">
                  <c:v>股票C</c:v>
                </c:pt>
                <c:pt idx="3">
                  <c:v>股票D</c:v>
                </c:pt>
              </c:strCache>
            </c:strRef>
          </c:tx>
          <c:spPr>
            <a:ln>
              <a:noFill/>
            </a:ln>
          </c:spPr>
          <c:xVal>
            <c:numRef>
              <c:f>Sheet1!$B$45:$B$48</c:f>
              <c:numCache>
                <c:formatCode>0.00%</c:formatCode>
                <c:ptCount val="4"/>
                <c:pt idx="0">
                  <c:v>0.31619999999999998</c:v>
                </c:pt>
                <c:pt idx="1">
                  <c:v>0.54769999999999996</c:v>
                </c:pt>
                <c:pt idx="2">
                  <c:v>0.63249999999999995</c:v>
                </c:pt>
                <c:pt idx="3">
                  <c:v>0.70709999999999995</c:v>
                </c:pt>
              </c:numCache>
            </c:numRef>
          </c:xVal>
          <c:yVal>
            <c:numRef>
              <c:f>Sheet1!$D$45:$D$48</c:f>
              <c:numCache>
                <c:formatCode>0%</c:formatCode>
                <c:ptCount val="4"/>
                <c:pt idx="0">
                  <c:v>0.06</c:v>
                </c:pt>
                <c:pt idx="1">
                  <c:v>0.08</c:v>
                </c:pt>
                <c:pt idx="2">
                  <c:v>0.1</c:v>
                </c:pt>
                <c:pt idx="3">
                  <c:v>0.15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C92-42F8-9C7D-ED072EAA527A}"/>
            </c:ext>
          </c:extLst>
        </c:ser>
        <c:dLbls>
          <c:dLblPos val="t"/>
          <c:showLegendKey val="0"/>
          <c:showVal val="0"/>
          <c:showCatName val="0"/>
          <c:showSerName val="0"/>
          <c:showPercent val="0"/>
          <c:showBubbleSize val="0"/>
        </c:dLbls>
        <c:axId val="884664912"/>
        <c:axId val="1"/>
      </c:scatterChart>
      <c:valAx>
        <c:axId val="884664912"/>
        <c:scaling>
          <c:orientation val="minMax"/>
          <c:min val="0.30000000000000032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en-US"/>
                  <a:t>Standard deviation</a:t>
                </a:r>
              </a:p>
            </c:rich>
          </c:tx>
          <c:layout>
            <c:manualLayout>
              <c:xMode val="edge"/>
              <c:yMode val="edge"/>
              <c:x val="0.38806074613807601"/>
              <c:y val="0.89328229228263456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 val="autoZero"/>
        <c:crossBetween val="midCat"/>
      </c:valAx>
      <c:valAx>
        <c:axId val="1"/>
        <c:scaling>
          <c:orientation val="minMax"/>
          <c:min val="5.000000000000001E-2"/>
        </c:scaling>
        <c:delete val="0"/>
        <c:axPos val="l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en-US"/>
                  <a:t>Mean return</a:t>
                </a:r>
              </a:p>
            </c:rich>
          </c:tx>
          <c:layout>
            <c:manualLayout>
              <c:xMode val="edge"/>
              <c:yMode val="edge"/>
              <c:x val="2.4875621890547265E-2"/>
              <c:y val="0.3517794860622658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884664912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>
      <c:oddHeader>&amp;A</c:oddHeader>
      <c:oddFooter>Page &amp;P</c:oddFooter>
    </c:headerFooter>
    <c:pageMargins b="1" l="0.75000000000000111" r="0.75000000000000111" t="1" header="0.5" footer="0.5"/>
    <c:pageSetup orientation="landscape" verticalDpi="0"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550808</xdr:colOff>
      <xdr:row>28</xdr:row>
      <xdr:rowOff>24962</xdr:rowOff>
    </xdr:from>
    <xdr:to>
      <xdr:col>6</xdr:col>
      <xdr:colOff>2008133</xdr:colOff>
      <xdr:row>43</xdr:row>
      <xdr:rowOff>5912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B6413784-AEB4-4614-86FE-36C0D2B7DC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0.76617</cdr:x>
      <cdr:y>0.22526</cdr:y>
    </cdr:from>
    <cdr:to>
      <cdr:x>0.92489</cdr:x>
      <cdr:y>0.33376</cdr:y>
    </cdr:to>
    <cdr:sp macro="" textlink="">
      <cdr:nvSpPr>
        <cdr:cNvPr id="2" name="文本框 1">
          <a:extLst xmlns:a="http://schemas.openxmlformats.org/drawingml/2006/main">
            <a:ext uri="{FF2B5EF4-FFF2-40B4-BE49-F238E27FC236}">
              <a16:creationId xmlns:a16="http://schemas.microsoft.com/office/drawing/2014/main" id="{B4227A1E-4F17-D8A3-2BAB-48700B71C63A}"/>
            </a:ext>
          </a:extLst>
        </cdr:cNvPr>
        <cdr:cNvSpPr txBox="1"/>
      </cdr:nvSpPr>
      <cdr:spPr>
        <a:xfrm xmlns:a="http://schemas.openxmlformats.org/drawingml/2006/main">
          <a:off x="2727105" y="572812"/>
          <a:ext cx="564931" cy="27589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zh-CN" altLang="en-US" sz="1100"/>
            <a:t>股票</a:t>
          </a:r>
          <a:r>
            <a:rPr lang="en-US" altLang="zh-CN" sz="1100"/>
            <a:t>D</a:t>
          </a:r>
          <a:endParaRPr lang="zh-CN" altLang="en-US" sz="1100"/>
        </a:p>
      </cdr:txBody>
    </cdr:sp>
  </cdr:relSizeAnchor>
  <cdr:relSizeAnchor xmlns:cdr="http://schemas.openxmlformats.org/drawingml/2006/chartDrawing">
    <cdr:from>
      <cdr:x>0.67497</cdr:x>
      <cdr:y>0.47722</cdr:y>
    </cdr:from>
    <cdr:to>
      <cdr:x>0.83369</cdr:x>
      <cdr:y>0.58572</cdr:y>
    </cdr:to>
    <cdr:sp macro="" textlink="">
      <cdr:nvSpPr>
        <cdr:cNvPr id="3" name="文本框 1">
          <a:extLst xmlns:a="http://schemas.openxmlformats.org/drawingml/2006/main">
            <a:ext uri="{FF2B5EF4-FFF2-40B4-BE49-F238E27FC236}">
              <a16:creationId xmlns:a16="http://schemas.microsoft.com/office/drawing/2014/main" id="{C8FE332D-5AA9-2CB3-0EE7-A15B85BFB1FB}"/>
            </a:ext>
          </a:extLst>
        </cdr:cNvPr>
        <cdr:cNvSpPr txBox="1"/>
      </cdr:nvSpPr>
      <cdr:spPr>
        <a:xfrm xmlns:a="http://schemas.openxmlformats.org/drawingml/2006/main">
          <a:off x="2402489" y="1213506"/>
          <a:ext cx="564931" cy="27589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zh-CN" altLang="en-US" sz="1100"/>
            <a:t>股票</a:t>
          </a:r>
          <a:r>
            <a:rPr lang="en-US" altLang="zh-CN" sz="1100"/>
            <a:t>C</a:t>
          </a:r>
          <a:endParaRPr lang="zh-CN" altLang="en-US" sz="1100"/>
        </a:p>
      </cdr:txBody>
    </cdr:sp>
  </cdr:relSizeAnchor>
  <cdr:relSizeAnchor xmlns:cdr="http://schemas.openxmlformats.org/drawingml/2006/chartDrawing">
    <cdr:from>
      <cdr:x>0.55686</cdr:x>
      <cdr:y>0.60639</cdr:y>
    </cdr:from>
    <cdr:to>
      <cdr:x>0.71557</cdr:x>
      <cdr:y>0.71489</cdr:y>
    </cdr:to>
    <cdr:sp macro="" textlink="">
      <cdr:nvSpPr>
        <cdr:cNvPr id="4" name="文本框 1">
          <a:extLst xmlns:a="http://schemas.openxmlformats.org/drawingml/2006/main">
            <a:ext uri="{FF2B5EF4-FFF2-40B4-BE49-F238E27FC236}">
              <a16:creationId xmlns:a16="http://schemas.microsoft.com/office/drawing/2014/main" id="{C8FE332D-5AA9-2CB3-0EE7-A15B85BFB1FB}"/>
            </a:ext>
          </a:extLst>
        </cdr:cNvPr>
        <cdr:cNvSpPr txBox="1"/>
      </cdr:nvSpPr>
      <cdr:spPr>
        <a:xfrm xmlns:a="http://schemas.openxmlformats.org/drawingml/2006/main">
          <a:off x="1982076" y="1541955"/>
          <a:ext cx="564931" cy="27589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zh-CN" altLang="en-US" sz="1100"/>
            <a:t>股票</a:t>
          </a:r>
          <a:r>
            <a:rPr lang="en-US" altLang="zh-CN" sz="1100"/>
            <a:t>B</a:t>
          </a:r>
          <a:endParaRPr lang="zh-CN" altLang="en-US" sz="1100"/>
        </a:p>
      </cdr:txBody>
    </cdr:sp>
  </cdr:relSizeAnchor>
  <cdr:relSizeAnchor xmlns:cdr="http://schemas.openxmlformats.org/drawingml/2006/chartDrawing">
    <cdr:from>
      <cdr:x>0.20836</cdr:x>
      <cdr:y>0.67982</cdr:y>
    </cdr:from>
    <cdr:to>
      <cdr:x>0.36708</cdr:x>
      <cdr:y>0.78832</cdr:y>
    </cdr:to>
    <cdr:sp macro="" textlink="">
      <cdr:nvSpPr>
        <cdr:cNvPr id="5" name="文本框 1">
          <a:extLst xmlns:a="http://schemas.openxmlformats.org/drawingml/2006/main">
            <a:ext uri="{FF2B5EF4-FFF2-40B4-BE49-F238E27FC236}">
              <a16:creationId xmlns:a16="http://schemas.microsoft.com/office/drawing/2014/main" id="{C8FE332D-5AA9-2CB3-0EE7-A15B85BFB1FB}"/>
            </a:ext>
          </a:extLst>
        </cdr:cNvPr>
        <cdr:cNvSpPr txBox="1"/>
      </cdr:nvSpPr>
      <cdr:spPr>
        <a:xfrm xmlns:a="http://schemas.openxmlformats.org/drawingml/2006/main">
          <a:off x="740460" y="1732569"/>
          <a:ext cx="564024" cy="27651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zh-CN" altLang="en-US" sz="1100"/>
            <a:t>股票</a:t>
          </a:r>
          <a:r>
            <a:rPr lang="en-US" altLang="zh-CN" sz="1100"/>
            <a:t>A</a:t>
          </a:r>
          <a:endParaRPr lang="zh-CN" altLang="en-US" sz="1100"/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  <definedName name="g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CAEACE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>
    <pageSetUpPr fitToPage="1"/>
  </sheetPr>
  <dimension ref="A1:G50"/>
  <sheetViews>
    <sheetView tabSelected="1" topLeftCell="A15" zoomScale="145" zoomScaleNormal="145" workbookViewId="0">
      <selection activeCell="I31" sqref="I31"/>
    </sheetView>
  </sheetViews>
  <sheetFormatPr defaultRowHeight="13.8" x14ac:dyDescent="0.25"/>
  <cols>
    <col min="1" max="1" width="22.44140625" style="4" customWidth="1"/>
    <col min="2" max="2" width="9.88671875" style="4" customWidth="1"/>
    <col min="3" max="3" width="8.88671875" style="4"/>
    <col min="4" max="4" width="11.88671875" style="4" customWidth="1"/>
    <col min="5" max="5" width="8.88671875" style="4"/>
    <col min="6" max="6" width="9.6640625" style="4" customWidth="1"/>
    <col min="7" max="7" width="41.44140625" style="4" customWidth="1"/>
  </cols>
  <sheetData>
    <row r="1" spans="1:7" ht="17.399999999999999" x14ac:dyDescent="0.3">
      <c r="A1" s="23" t="s">
        <v>0</v>
      </c>
      <c r="B1" s="23"/>
      <c r="C1" s="23"/>
      <c r="D1" s="23"/>
      <c r="E1" s="23"/>
      <c r="F1" s="23"/>
      <c r="G1" s="1"/>
    </row>
    <row r="2" spans="1:7" ht="39.6" x14ac:dyDescent="0.25">
      <c r="A2" s="24" t="s">
        <v>1</v>
      </c>
      <c r="B2" s="24"/>
      <c r="C2" s="24"/>
      <c r="D2" s="24"/>
      <c r="E2" s="2"/>
      <c r="F2" s="3" t="s">
        <v>2</v>
      </c>
    </row>
    <row r="3" spans="1:7" x14ac:dyDescent="0.25">
      <c r="A3" s="5">
        <v>0.1</v>
      </c>
      <c r="B3" s="5">
        <v>0.01</v>
      </c>
      <c r="C3" s="5">
        <v>0.03</v>
      </c>
      <c r="D3" s="5">
        <v>0.05</v>
      </c>
      <c r="F3" s="6">
        <v>0.06</v>
      </c>
    </row>
    <row r="4" spans="1:7" x14ac:dyDescent="0.25">
      <c r="A4" s="5">
        <f>B3</f>
        <v>0.01</v>
      </c>
      <c r="B4" s="5">
        <v>0.3</v>
      </c>
      <c r="C4" s="5">
        <v>0.06</v>
      </c>
      <c r="D4" s="5">
        <v>-0.04</v>
      </c>
      <c r="F4" s="6">
        <v>0.08</v>
      </c>
    </row>
    <row r="5" spans="1:7" x14ac:dyDescent="0.25">
      <c r="A5" s="5">
        <f>C3</f>
        <v>0.03</v>
      </c>
      <c r="B5" s="5">
        <f>C4</f>
        <v>0.06</v>
      </c>
      <c r="C5" s="5">
        <v>0.4</v>
      </c>
      <c r="D5" s="5">
        <v>0.02</v>
      </c>
      <c r="F5" s="6">
        <v>0.1</v>
      </c>
    </row>
    <row r="6" spans="1:7" x14ac:dyDescent="0.25">
      <c r="A6" s="5">
        <f>D3</f>
        <v>0.05</v>
      </c>
      <c r="B6" s="5">
        <f>D4</f>
        <v>-0.04</v>
      </c>
      <c r="C6" s="5">
        <f>D5</f>
        <v>0.02</v>
      </c>
      <c r="D6" s="5">
        <v>0.5</v>
      </c>
      <c r="F6" s="6">
        <v>0.15</v>
      </c>
    </row>
    <row r="8" spans="1:7" x14ac:dyDescent="0.25">
      <c r="A8" s="4" t="s">
        <v>3</v>
      </c>
      <c r="B8" s="4">
        <v>0.2</v>
      </c>
      <c r="C8" s="4">
        <v>0.3</v>
      </c>
      <c r="D8" s="4">
        <v>0.4</v>
      </c>
      <c r="E8" s="4">
        <f>1-D8-C8-B8</f>
        <v>9.9999999999999978E-2</v>
      </c>
      <c r="F8" s="7"/>
      <c r="G8" s="7"/>
    </row>
    <row r="9" spans="1:7" x14ac:dyDescent="0.25">
      <c r="A9" s="4" t="s">
        <v>4</v>
      </c>
      <c r="B9" s="4">
        <v>0.2</v>
      </c>
      <c r="C9" s="4">
        <v>0.1</v>
      </c>
      <c r="D9" s="4">
        <v>0.1</v>
      </c>
      <c r="E9" s="4">
        <f>1-D9-C9-B9</f>
        <v>0.60000000000000009</v>
      </c>
    </row>
    <row r="10" spans="1:7" x14ac:dyDescent="0.25">
      <c r="F10" s="8"/>
      <c r="G10" s="7"/>
    </row>
    <row r="11" spans="1:7" ht="15.6" x14ac:dyDescent="0.3">
      <c r="A11" s="9" t="s">
        <v>5</v>
      </c>
      <c r="B11" s="10"/>
      <c r="C11" s="10"/>
      <c r="D11" s="9"/>
      <c r="E11" s="10"/>
      <c r="F11" s="10"/>
      <c r="G11" s="10"/>
    </row>
    <row r="12" spans="1:7" ht="15.6" x14ac:dyDescent="0.35">
      <c r="A12" s="4" t="s">
        <v>6</v>
      </c>
      <c r="B12" s="8">
        <f>MMULT(B8:E8,F3:F6)</f>
        <v>9.1000000000000011E-2</v>
      </c>
      <c r="D12" s="4" t="s">
        <v>7</v>
      </c>
      <c r="E12" s="8">
        <f>MMULT(B9:E9,F3:F6)</f>
        <v>0.12000000000000001</v>
      </c>
      <c r="F12" s="4" t="str">
        <f ca="1">[1]!getformula(E12)</f>
        <v>&lt;--  =MMULT(B9:E9,F3:F6)</v>
      </c>
    </row>
    <row r="13" spans="1:7" ht="16.8" x14ac:dyDescent="0.35">
      <c r="A13" s="4" t="s">
        <v>8</v>
      </c>
      <c r="B13" s="11">
        <f t="array" ref="B13">MMULT(B8:E8,MMULT(A3:D6,TRANSPOSE(B8:E8)))</f>
        <v>0.1216</v>
      </c>
      <c r="D13" s="4" t="s">
        <v>9</v>
      </c>
      <c r="E13" s="12">
        <f t="array" ref="E13">MMULT(B9:E9,MMULT(A3:D6,TRANSPOSE(B9:E9)))</f>
        <v>0.20340000000000005</v>
      </c>
      <c r="F13" s="4" t="str">
        <f ca="1">[1]!getformula(E13)</f>
        <v>&lt;--  {=MMULT(B9:E9,MMULT(A3:D6,TRANSPOSE(B9:E9)))}</v>
      </c>
    </row>
    <row r="14" spans="1:7" x14ac:dyDescent="0.25">
      <c r="A14" s="21" t="s">
        <v>10</v>
      </c>
      <c r="B14" s="22">
        <f t="array" ref="B14">MMULT(B8:E8,MMULT(A3:D6,TRANSPOSE(B9:E9)))</f>
        <v>7.1399999999999991E-2</v>
      </c>
      <c r="C14" s="4" t="str">
        <f ca="1">[1]!getformula(B14)</f>
        <v>&lt;--  {=MMULT(B8:E8,MMULT(A3:D6,TRANSPOSE(B9:E9)))}</v>
      </c>
      <c r="G14" s="12"/>
    </row>
    <row r="15" spans="1:7" ht="15.6" x14ac:dyDescent="0.35">
      <c r="A15" s="4" t="s">
        <v>11</v>
      </c>
      <c r="B15" s="12">
        <f>B14/SQRT(B13*E13)</f>
        <v>0.45400010156574261</v>
      </c>
      <c r="C15" s="4" t="str">
        <f ca="1">[1]!getformula(B15)</f>
        <v>&lt;--  =B14/SQRT(B13*E13)</v>
      </c>
      <c r="G15" s="12"/>
    </row>
    <row r="16" spans="1:7" x14ac:dyDescent="0.25">
      <c r="G16" s="12"/>
    </row>
    <row r="17" spans="1:5" ht="15.6" x14ac:dyDescent="0.3">
      <c r="A17" s="9" t="s">
        <v>12</v>
      </c>
    </row>
    <row r="18" spans="1:5" x14ac:dyDescent="0.25">
      <c r="A18" s="4" t="s">
        <v>13</v>
      </c>
      <c r="B18" s="4">
        <v>0.3</v>
      </c>
    </row>
    <row r="19" spans="1:5" ht="15.6" x14ac:dyDescent="0.35">
      <c r="A19" s="4" t="s">
        <v>14</v>
      </c>
      <c r="B19" s="13">
        <f>B18*B12+(1-B18)*E12</f>
        <v>0.11130000000000001</v>
      </c>
      <c r="C19" s="14" t="str">
        <f ca="1">[1]!getformula(B19)</f>
        <v>&lt;--  =B18*B12+(1-B18)*E12</v>
      </c>
    </row>
    <row r="20" spans="1:5" ht="16.8" x14ac:dyDescent="0.35">
      <c r="A20" s="4" t="s">
        <v>15</v>
      </c>
      <c r="B20" s="13">
        <f>B18^2*B13+(1-B18)^2*E13+B18*(1-B18)*B14*2</f>
        <v>0.140598</v>
      </c>
      <c r="C20" s="14" t="str">
        <f ca="1">[1]!getformula(B20)</f>
        <v>&lt;--  =B18^2*B13+(1-B18)^2*E13+B18*(1-B18)*B14*2</v>
      </c>
    </row>
    <row r="21" spans="1:5" ht="15.6" x14ac:dyDescent="0.35">
      <c r="A21" s="4" t="s">
        <v>16</v>
      </c>
      <c r="B21" s="13">
        <f>SQRT(B20)</f>
        <v>0.37496399827183408</v>
      </c>
      <c r="C21" s="14" t="str">
        <f ca="1">[1]!getformula(B21)</f>
        <v>&lt;--  =SQRT(B20)</v>
      </c>
    </row>
    <row r="22" spans="1:5" x14ac:dyDescent="0.25">
      <c r="B22" s="14"/>
    </row>
    <row r="23" spans="1:5" x14ac:dyDescent="0.25">
      <c r="A23" s="15" t="s">
        <v>17</v>
      </c>
    </row>
    <row r="24" spans="1:5" ht="27.6" x14ac:dyDescent="0.25">
      <c r="A24" s="16" t="s">
        <v>18</v>
      </c>
      <c r="B24" s="16" t="s">
        <v>19</v>
      </c>
      <c r="C24" s="16" t="s">
        <v>20</v>
      </c>
    </row>
    <row r="25" spans="1:5" x14ac:dyDescent="0.25">
      <c r="B25" s="17">
        <f>B21</f>
        <v>0.37496399827183408</v>
      </c>
      <c r="C25" s="17">
        <f>B19</f>
        <v>0.11130000000000001</v>
      </c>
      <c r="D25" s="4" t="str">
        <f ca="1">"Table header:  "&amp;[1]!ggetformula(B25)&amp;","&amp;[1]!ggetformula(C25)</f>
        <v>Table header:  =B21,=B19</v>
      </c>
    </row>
    <row r="26" spans="1:5" x14ac:dyDescent="0.25">
      <c r="A26" s="25">
        <v>-0.8</v>
      </c>
      <c r="B26" s="19">
        <f t="dataTable" ref="B26:C44" dt2D="0" dtr="0" r1="B18"/>
        <v>0.72884017452388028</v>
      </c>
      <c r="C26" s="19">
        <v>0.14319999999999999</v>
      </c>
      <c r="E26" s="20"/>
    </row>
    <row r="27" spans="1:5" x14ac:dyDescent="0.25">
      <c r="A27" s="25">
        <v>-0.65</v>
      </c>
      <c r="B27" s="19">
        <v>0.67229420643048832</v>
      </c>
      <c r="C27" s="19">
        <v>0.13885</v>
      </c>
      <c r="E27" s="20"/>
    </row>
    <row r="28" spans="1:5" x14ac:dyDescent="0.25">
      <c r="A28" s="25">
        <v>-0.5</v>
      </c>
      <c r="B28" s="19">
        <v>0.61721147105347951</v>
      </c>
      <c r="C28" s="19">
        <v>0.13450000000000001</v>
      </c>
    </row>
    <row r="29" spans="1:5" x14ac:dyDescent="0.25">
      <c r="A29" s="25">
        <v>-0.35000000000000009</v>
      </c>
      <c r="B29" s="19">
        <v>0.5640208329485713</v>
      </c>
      <c r="C29" s="19">
        <v>0.13015000000000002</v>
      </c>
    </row>
    <row r="30" spans="1:5" x14ac:dyDescent="0.25">
      <c r="A30" s="25">
        <v>-0.20000000000000007</v>
      </c>
      <c r="B30" s="19">
        <v>0.51331082201722589</v>
      </c>
      <c r="C30" s="19">
        <v>0.12580000000000002</v>
      </c>
    </row>
    <row r="31" spans="1:5" x14ac:dyDescent="0.25">
      <c r="A31" s="25">
        <v>-5.0000000000000044E-2</v>
      </c>
      <c r="B31" s="19">
        <v>0.46589215490282732</v>
      </c>
      <c r="C31" s="19">
        <v>0.12145000000000003</v>
      </c>
    </row>
    <row r="32" spans="1:5" x14ac:dyDescent="0.25">
      <c r="A32" s="25">
        <v>9.9999999999999867E-2</v>
      </c>
      <c r="B32" s="19">
        <v>0.42287350354449976</v>
      </c>
      <c r="C32" s="19">
        <v>0.11710000000000001</v>
      </c>
    </row>
    <row r="33" spans="1:4" x14ac:dyDescent="0.25">
      <c r="A33" s="25">
        <v>0.25</v>
      </c>
      <c r="B33" s="19">
        <v>0.38572982772920222</v>
      </c>
      <c r="C33" s="19">
        <v>0.11275000000000002</v>
      </c>
    </row>
    <row r="34" spans="1:4" x14ac:dyDescent="0.25">
      <c r="A34" s="25">
        <v>0.39999999999999991</v>
      </c>
      <c r="B34" s="19">
        <v>0.35630324163554844</v>
      </c>
      <c r="C34" s="19">
        <v>0.10840000000000002</v>
      </c>
    </row>
    <row r="35" spans="1:4" x14ac:dyDescent="0.25">
      <c r="A35" s="25">
        <v>0.54999999999999982</v>
      </c>
      <c r="B35" s="19">
        <v>0.33662367712328262</v>
      </c>
      <c r="C35" s="19">
        <v>0.10405000000000002</v>
      </c>
    </row>
    <row r="36" spans="1:4" x14ac:dyDescent="0.25">
      <c r="A36" s="25">
        <v>0.7</v>
      </c>
      <c r="B36" s="19">
        <v>0.3284478649648982</v>
      </c>
      <c r="C36" s="19">
        <v>9.9700000000000011E-2</v>
      </c>
    </row>
    <row r="37" spans="1:4" x14ac:dyDescent="0.25">
      <c r="A37" s="25">
        <v>0.84999999999999987</v>
      </c>
      <c r="B37" s="19">
        <v>0.3326251644118346</v>
      </c>
      <c r="C37" s="19">
        <v>9.5350000000000018E-2</v>
      </c>
    </row>
    <row r="38" spans="1:4" x14ac:dyDescent="0.25">
      <c r="A38" s="25">
        <v>0.99999999999999978</v>
      </c>
      <c r="B38" s="19">
        <v>0.34871191548325386</v>
      </c>
      <c r="C38" s="19">
        <v>9.1000000000000025E-2</v>
      </c>
    </row>
    <row r="39" spans="1:4" x14ac:dyDescent="0.25">
      <c r="A39" s="25">
        <v>1.1499999999999999</v>
      </c>
      <c r="B39" s="26">
        <v>0.37517929047323489</v>
      </c>
      <c r="C39" s="26">
        <v>8.6650000000000019E-2</v>
      </c>
    </row>
    <row r="40" spans="1:4" x14ac:dyDescent="0.25">
      <c r="A40" s="25">
        <v>1.3</v>
      </c>
      <c r="B40" s="26">
        <v>0.41002195063191438</v>
      </c>
      <c r="C40" s="26">
        <v>8.2300000000000012E-2</v>
      </c>
    </row>
    <row r="41" spans="1:4" x14ac:dyDescent="0.25">
      <c r="A41" s="25">
        <v>1.45</v>
      </c>
      <c r="B41" s="26">
        <v>0.45130422111919144</v>
      </c>
      <c r="C41" s="26">
        <v>7.7950000000000019E-2</v>
      </c>
    </row>
    <row r="42" spans="1:4" x14ac:dyDescent="0.25">
      <c r="A42" s="25">
        <v>1.5999999999999999</v>
      </c>
      <c r="B42" s="26">
        <v>0.49742537128699016</v>
      </c>
      <c r="C42" s="26">
        <v>7.3600000000000013E-2</v>
      </c>
    </row>
    <row r="43" spans="1:4" x14ac:dyDescent="0.25">
      <c r="A43" s="25">
        <v>1.7499999999999998</v>
      </c>
      <c r="B43" s="26">
        <v>0.54716313837830843</v>
      </c>
      <c r="C43" s="26">
        <v>6.925000000000002E-2</v>
      </c>
    </row>
    <row r="44" spans="1:4" x14ac:dyDescent="0.25">
      <c r="A44" s="25">
        <v>1.8999999999999997</v>
      </c>
      <c r="B44" s="26">
        <v>0.59961821186484976</v>
      </c>
      <c r="C44" s="26">
        <v>6.4900000000000027E-2</v>
      </c>
    </row>
    <row r="45" spans="1:4" x14ac:dyDescent="0.25">
      <c r="A45" s="18" t="s">
        <v>21</v>
      </c>
      <c r="B45" s="17">
        <v>0.31619999999999998</v>
      </c>
      <c r="D45" s="6">
        <v>0.06</v>
      </c>
    </row>
    <row r="46" spans="1:4" x14ac:dyDescent="0.25">
      <c r="A46" s="18" t="s">
        <v>22</v>
      </c>
      <c r="B46" s="17">
        <v>0.54769999999999996</v>
      </c>
      <c r="D46" s="6">
        <v>0.08</v>
      </c>
    </row>
    <row r="47" spans="1:4" x14ac:dyDescent="0.25">
      <c r="A47" s="18" t="s">
        <v>23</v>
      </c>
      <c r="B47" s="17">
        <v>0.63249999999999995</v>
      </c>
      <c r="D47" s="6">
        <v>0.1</v>
      </c>
    </row>
    <row r="48" spans="1:4" x14ac:dyDescent="0.25">
      <c r="A48" s="18" t="s">
        <v>24</v>
      </c>
      <c r="B48" s="17">
        <v>0.70709999999999995</v>
      </c>
      <c r="D48" s="6">
        <v>0.15</v>
      </c>
    </row>
    <row r="49" spans="1:1" x14ac:dyDescent="0.25">
      <c r="A49" s="18"/>
    </row>
    <row r="50" spans="1:1" x14ac:dyDescent="0.25">
      <c r="A50" s="18"/>
    </row>
  </sheetData>
  <mergeCells count="2">
    <mergeCell ref="A1:F1"/>
    <mergeCell ref="A2:D2"/>
  </mergeCells>
  <phoneticPr fontId="1" type="noConversion"/>
  <printOptions horizontalCentered="1"/>
  <pageMargins left="0.70866141732283472" right="0.70866141732283472" top="0.74803149606299213" bottom="0.74803149606299213" header="0.31496062992125984" footer="0.31496062992125984"/>
  <pageSetup paperSize="9" scale="82" orientation="landscape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命名范围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cp:lastPrinted>2024-10-24T09:29:52Z</cp:lastPrinted>
  <dcterms:created xsi:type="dcterms:W3CDTF">2024-10-05T13:27:14Z</dcterms:created>
  <dcterms:modified xsi:type="dcterms:W3CDTF">2024-10-28T01:58:13Z</dcterms:modified>
</cp:coreProperties>
</file>