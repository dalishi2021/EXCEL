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8\"/>
    </mc:Choice>
  </mc:AlternateContent>
  <xr:revisionPtr revIDLastSave="0" documentId="13_ncr:1_{F19DD3D5-0DC2-42B6-9F45-66533AB2389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  <externalReference r:id="rId4"/>
  </externalReferences>
  <definedNames>
    <definedName name="_xlnm.Print_Area" localSheetId="0">Sheet1!$A$1:$H$38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B4" i="1"/>
  <c r="B11" i="1" s="1"/>
  <c r="B12" i="1" s="1"/>
  <c r="C4" i="1"/>
  <c r="B5" i="1"/>
  <c r="C5" i="1"/>
  <c r="C3" i="1"/>
  <c r="B3" i="1"/>
  <c r="A18" i="1" l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B16" i="1"/>
  <c r="B10" i="1"/>
  <c r="C16" i="1" s="1"/>
  <c r="D16" i="1"/>
  <c r="C11" i="1"/>
  <c r="C10" i="1"/>
  <c r="C12" i="1"/>
</calcChain>
</file>

<file path=xl/sharedStrings.xml><?xml version="1.0" encoding="utf-8"?>
<sst xmlns="http://schemas.openxmlformats.org/spreadsheetml/2006/main" count="17" uniqueCount="16">
  <si>
    <t>CALCULATING THE MEAN AND STANDARD DEVIATION OF A PORTFOLIO</t>
  </si>
  <si>
    <t>Asset returns</t>
  </si>
  <si>
    <t>WMT</t>
  </si>
  <si>
    <t>TGT</t>
  </si>
  <si>
    <t xml:space="preserve">     Mean return</t>
  </si>
  <si>
    <t xml:space="preserve">     Variance</t>
  </si>
  <si>
    <t xml:space="preserve">     Standard deviation</t>
  </si>
  <si>
    <t xml:space="preserve">     Covariance</t>
  </si>
  <si>
    <t>Proportion of WMT</t>
  </si>
  <si>
    <t>&lt;-- In the data table below this is varied from -0.5 to 1.5</t>
  </si>
  <si>
    <t>Portfolio mean return</t>
  </si>
  <si>
    <t>Portfolio return variance</t>
  </si>
  <si>
    <t>Portfolio return standard deviation</t>
  </si>
  <si>
    <t>Data table:  Varying the proportion of WMT</t>
  </si>
  <si>
    <t>Portfolio
standard deviation</t>
  </si>
  <si>
    <t>Porfolio mean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</si>
</sst>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000_);[Red]\(0.0000\)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/>
    <xf numFmtId="10" fontId="0" fillId="0" borderId="0" xfId="0" applyNumberFormat="1" applyAlignment="1"/>
    <xf numFmtId="0" fontId="5" fillId="0" borderId="0" xfId="0" applyFont="1" applyAlignment="1">
      <alignment horizontal="center" wrapText="1"/>
    </xf>
    <xf numFmtId="10" fontId="2" fillId="0" borderId="0" xfId="1" applyNumberFormat="1" applyAlignment="1"/>
    <xf numFmtId="15" fontId="0" fillId="0" borderId="0" xfId="0" applyNumberFormat="1" applyAlignment="1">
      <alignment horizontal="center"/>
    </xf>
    <xf numFmtId="15" fontId="5" fillId="0" borderId="0" xfId="0" applyNumberFormat="1" applyFont="1" applyAlignment="1">
      <alignment horizontal="left"/>
    </xf>
    <xf numFmtId="10" fontId="0" fillId="0" borderId="0" xfId="0" applyNumberFormat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177" fontId="0" fillId="0" borderId="0" xfId="0" applyNumberFormat="1" applyAlignment="1"/>
    <xf numFmtId="176" fontId="3" fillId="0" borderId="0" xfId="0" applyNumberFormat="1" applyFont="1" applyAlignment="1"/>
    <xf numFmtId="0" fontId="0" fillId="2" borderId="0" xfId="0" applyFill="1" applyAlignment="1"/>
    <xf numFmtId="0" fontId="4" fillId="0" borderId="0" xfId="0" applyFont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en-US" b="1">
                <a:solidFill>
                  <a:schemeClr val="tx1"/>
                </a:solidFill>
              </a:rPr>
              <a:t>Portfolio Mean and Standard Deviation
Varying the Proportions of WMT and TGT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Sheet1!$B$17:$B$37</c:f>
              <c:numCache>
                <c:formatCode>0.00%</c:formatCode>
                <c:ptCount val="21"/>
                <c:pt idx="0">
                  <c:v>9.0811643892170946E-2</c:v>
                </c:pt>
                <c:pt idx="1">
                  <c:v>8.5769353447723268E-2</c:v>
                </c:pt>
                <c:pt idx="2">
                  <c:v>8.1259240606998753E-2</c:v>
                </c:pt>
                <c:pt idx="3">
                  <c:v>7.7374422427281292E-2</c:v>
                </c:pt>
                <c:pt idx="4">
                  <c:v>7.4213160400485936E-2</c:v>
                </c:pt>
                <c:pt idx="5">
                  <c:v>7.1870995373966809E-2</c:v>
                </c:pt>
                <c:pt idx="6">
                  <c:v>7.04296929157361E-2</c:v>
                </c:pt>
                <c:pt idx="7">
                  <c:v>6.9944965373560958E-2</c:v>
                </c:pt>
                <c:pt idx="8">
                  <c:v>7.0436564274217822E-2</c:v>
                </c:pt>
                <c:pt idx="9">
                  <c:v>7.1884461889528101E-2</c:v>
                </c:pt>
                <c:pt idx="10">
                  <c:v>7.4232721924240672E-2</c:v>
                </c:pt>
                <c:pt idx="11">
                  <c:v>7.7399438086848474E-2</c:v>
                </c:pt>
                <c:pt idx="12">
                  <c:v>8.1289014613179819E-2</c:v>
                </c:pt>
                <c:pt idx="13">
                  <c:v>8.5803203006340381E-2</c:v>
                </c:pt>
                <c:pt idx="14">
                  <c:v>9.0848942009559897E-2</c:v>
                </c:pt>
                <c:pt idx="15">
                  <c:v>9.6342751419653372E-2</c:v>
                </c:pt>
                <c:pt idx="16">
                  <c:v>0.10221240681397482</c:v>
                </c:pt>
                <c:pt idx="17">
                  <c:v>0.10839686956294209</c:v>
                </c:pt>
                <c:pt idx="18">
                  <c:v>0.11484529343481646</c:v>
                </c:pt>
                <c:pt idx="19">
                  <c:v>0.12151566313013452</c:v>
                </c:pt>
                <c:pt idx="20">
                  <c:v>0.12837338593543135</c:v>
                </c:pt>
              </c:numCache>
            </c:numRef>
          </c:xVal>
          <c:yVal>
            <c:numRef>
              <c:f>Sheet1!$C$17:$C$37</c:f>
              <c:numCache>
                <c:formatCode>0.00%</c:formatCode>
                <c:ptCount val="21"/>
                <c:pt idx="0">
                  <c:v>-1.1060266305108497E-3</c:v>
                </c:pt>
                <c:pt idx="1">
                  <c:v>2.7221952269191468E-5</c:v>
                </c:pt>
                <c:pt idx="2">
                  <c:v>1.1604705350492335E-3</c:v>
                </c:pt>
                <c:pt idx="3">
                  <c:v>2.2937191178292755E-3</c:v>
                </c:pt>
                <c:pt idx="4">
                  <c:v>3.4269677006093175E-3</c:v>
                </c:pt>
                <c:pt idx="5">
                  <c:v>4.5602162833893595E-3</c:v>
                </c:pt>
                <c:pt idx="6">
                  <c:v>5.6934648661694015E-3</c:v>
                </c:pt>
                <c:pt idx="7">
                  <c:v>6.8267134489494435E-3</c:v>
                </c:pt>
                <c:pt idx="8">
                  <c:v>7.9599620317294846E-3</c:v>
                </c:pt>
                <c:pt idx="9">
                  <c:v>9.0932106145095275E-3</c:v>
                </c:pt>
                <c:pt idx="10">
                  <c:v>1.0226459197289569E-2</c:v>
                </c:pt>
                <c:pt idx="11">
                  <c:v>1.135970778006961E-2</c:v>
                </c:pt>
                <c:pt idx="12">
                  <c:v>1.2492956362849653E-2</c:v>
                </c:pt>
                <c:pt idx="13">
                  <c:v>1.3626204945629694E-2</c:v>
                </c:pt>
                <c:pt idx="14">
                  <c:v>1.4759453528409735E-2</c:v>
                </c:pt>
                <c:pt idx="15">
                  <c:v>1.5892702111189774E-2</c:v>
                </c:pt>
                <c:pt idx="16">
                  <c:v>1.7025950693969821E-2</c:v>
                </c:pt>
                <c:pt idx="17">
                  <c:v>1.815919927674986E-2</c:v>
                </c:pt>
                <c:pt idx="18">
                  <c:v>1.9292447859529903E-2</c:v>
                </c:pt>
                <c:pt idx="19">
                  <c:v>2.0425696442309946E-2</c:v>
                </c:pt>
                <c:pt idx="20">
                  <c:v>2.1558945025089992E-2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37-45AF-B8BB-99647DE0F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871328"/>
        <c:axId val="400868448"/>
      </c:scatterChart>
      <c:valAx>
        <c:axId val="400871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en-US" b="1">
                    <a:solidFill>
                      <a:schemeClr val="tx1"/>
                    </a:solidFill>
                  </a:rPr>
                  <a:t>Standard deviation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%" sourceLinked="0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00868448"/>
        <c:crosses val="autoZero"/>
        <c:crossBetween val="midCat"/>
      </c:valAx>
      <c:valAx>
        <c:axId val="4008684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en-US" b="1">
                    <a:solidFill>
                      <a:schemeClr val="tx1"/>
                    </a:solidFill>
                  </a:rPr>
                  <a:t>Mean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%" sourceLinked="0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00871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429357</xdr:colOff>
          <xdr:row>0</xdr:row>
          <xdr:rowOff>169252</xdr:rowOff>
        </xdr:from>
        <xdr:to>
          <xdr:col>24</xdr:col>
          <xdr:colOff>54073</xdr:colOff>
          <xdr:row>43</xdr:row>
          <xdr:rowOff>3663</xdr:rowOff>
        </xdr:to>
        <xdr:pic>
          <xdr:nvPicPr>
            <xdr:cNvPr id="4" name="图片 3">
              <a:extLst>
                <a:ext uri="{FF2B5EF4-FFF2-40B4-BE49-F238E27FC236}">
                  <a16:creationId xmlns:a16="http://schemas.microsoft.com/office/drawing/2014/main" id="{9D43FAD7-E782-5C18-2B1D-A87D1081E84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[3]Page 246'!$A$1:$H$43" spid="_x0000_s104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9807819" y="169252"/>
              <a:ext cx="9358679" cy="748152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3</xdr:col>
      <xdr:colOff>434406</xdr:colOff>
      <xdr:row>18</xdr:row>
      <xdr:rowOff>143400</xdr:rowOff>
    </xdr:from>
    <xdr:to>
      <xdr:col>7</xdr:col>
      <xdr:colOff>1018190</xdr:colOff>
      <xdr:row>37</xdr:row>
      <xdr:rowOff>6568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5C06D23-CA27-3803-4087-CB9E3EB60A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8\chapter_04.xlsm" TargetMode="External"/><Relationship Id="rId1" Type="http://schemas.openxmlformats.org/officeDocument/2006/relationships/externalLinkPath" Target="chapter_0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8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8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7">
          <cell r="H7">
            <v>1.5892702111189778E-2</v>
          </cell>
          <cell r="I7">
            <v>4.5602162833893595E-3</v>
          </cell>
        </row>
        <row r="8">
          <cell r="H8">
            <v>9.2819257511091227E-3</v>
          </cell>
          <cell r="I8">
            <v>5.165439976044758E-3</v>
          </cell>
        </row>
        <row r="9">
          <cell r="H9">
            <v>9.6342751419653372E-2</v>
          </cell>
          <cell r="I9">
            <v>7.1870995373966809E-2</v>
          </cell>
        </row>
        <row r="10">
          <cell r="H10">
            <v>3.7973111449863444E-3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240-41"/>
      <sheetName val="Pages 240-41 (中文)"/>
      <sheetName val="Page 242"/>
      <sheetName val="Page 242 (中文)"/>
      <sheetName val="Page 243"/>
      <sheetName val="Page 243 (中文)"/>
      <sheetName val="Page 244"/>
      <sheetName val="Page 244 (中文)"/>
      <sheetName val="Page 245"/>
      <sheetName val="Page 245 (中文)"/>
      <sheetName val="Page 246"/>
      <sheetName val="Page 246 (中文)"/>
      <sheetName val="Pages 248-9"/>
      <sheetName val="Pages 248-9 (中文)"/>
      <sheetName val="Page 251"/>
      <sheetName val="Page 251 (中文)"/>
      <sheetName val="Page 256, top"/>
      <sheetName val="Page 256, top (中文)"/>
      <sheetName val="Page 256, bottom"/>
      <sheetName val="Page 256, bottom (中文)"/>
      <sheetName val="Page 258"/>
      <sheetName val="Page 258 (中文)"/>
      <sheetName val="Page 259"/>
      <sheetName val="Page 259 (中文)"/>
    </sheetNames>
    <sheetDataSet>
      <sheetData sheetId="0">
        <row r="5">
          <cell r="E5">
            <v>-0.1697427745870945</v>
          </cell>
        </row>
      </sheetData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/>
      <sheetData sheetId="9"/>
      <sheetData sheetId="10"/>
      <sheetData sheetId="11"/>
      <sheetData sheetId="12">
        <row r="26">
          <cell r="B26">
            <v>0.45099889135118731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>
    <pageSetUpPr fitToPage="1"/>
  </sheetPr>
  <dimension ref="A1:H63"/>
  <sheetViews>
    <sheetView tabSelected="1" zoomScale="145" zoomScaleNormal="145" workbookViewId="0">
      <selection activeCell="H15" sqref="H15"/>
    </sheetView>
  </sheetViews>
  <sheetFormatPr defaultRowHeight="13.8" x14ac:dyDescent="0.25"/>
  <cols>
    <col min="1" max="1" width="29" style="1" bestFit="1" customWidth="1"/>
    <col min="2" max="4" width="8.88671875" style="1"/>
    <col min="5" max="5" width="21" style="1" bestFit="1" customWidth="1"/>
    <col min="6" max="6" width="7.44140625" style="1" customWidth="1"/>
    <col min="7" max="7" width="29" style="1" bestFit="1" customWidth="1"/>
    <col min="8" max="8" width="23.5546875" style="1" customWidth="1"/>
  </cols>
  <sheetData>
    <row r="1" spans="1:8" ht="17.399999999999999" x14ac:dyDescent="0.3">
      <c r="A1" s="13" t="s">
        <v>0</v>
      </c>
      <c r="B1" s="13"/>
      <c r="C1" s="13"/>
      <c r="D1" s="13"/>
      <c r="E1" s="13"/>
      <c r="F1" s="13"/>
      <c r="G1" s="13"/>
      <c r="H1" s="13"/>
    </row>
    <row r="2" spans="1:8" x14ac:dyDescent="0.25">
      <c r="A2" s="1" t="s">
        <v>1</v>
      </c>
      <c r="B2" s="1" t="s">
        <v>2</v>
      </c>
      <c r="C2" s="1" t="s">
        <v>3</v>
      </c>
    </row>
    <row r="3" spans="1:8" x14ac:dyDescent="0.25">
      <c r="A3" s="1" t="s">
        <v>4</v>
      </c>
      <c r="B3" s="2">
        <f>[1]Sheet1!H7</f>
        <v>1.5892702111189778E-2</v>
      </c>
      <c r="C3" s="2">
        <f>[1]Sheet1!I7</f>
        <v>4.5602162833893595E-3</v>
      </c>
    </row>
    <row r="4" spans="1:8" x14ac:dyDescent="0.25">
      <c r="A4" s="1" t="s">
        <v>5</v>
      </c>
      <c r="B4" s="2">
        <f>[1]Sheet1!H8</f>
        <v>9.2819257511091227E-3</v>
      </c>
      <c r="C4" s="2">
        <f>[1]Sheet1!I8</f>
        <v>5.165439976044758E-3</v>
      </c>
      <c r="E4" s="3"/>
      <c r="F4" s="3"/>
    </row>
    <row r="5" spans="1:8" x14ac:dyDescent="0.25">
      <c r="A5" s="1" t="s">
        <v>6</v>
      </c>
      <c r="B5" s="2">
        <f>[1]Sheet1!H9</f>
        <v>9.6342751419653372E-2</v>
      </c>
      <c r="C5" s="2">
        <f>[1]Sheet1!I9</f>
        <v>7.1870995373966809E-2</v>
      </c>
    </row>
    <row r="6" spans="1:8" x14ac:dyDescent="0.25">
      <c r="A6" s="1" t="s">
        <v>7</v>
      </c>
      <c r="B6" s="10">
        <f>[1]Sheet1!H10</f>
        <v>3.7973111449863444E-3</v>
      </c>
      <c r="C6" s="2"/>
    </row>
    <row r="8" spans="1:8" x14ac:dyDescent="0.25">
      <c r="A8" s="12" t="s">
        <v>8</v>
      </c>
      <c r="B8" s="12">
        <v>0.5</v>
      </c>
      <c r="C8" s="1" t="s">
        <v>9</v>
      </c>
    </row>
    <row r="10" spans="1:8" x14ac:dyDescent="0.25">
      <c r="A10" s="1" t="s">
        <v>10</v>
      </c>
      <c r="B10" s="4">
        <f>B8*B3+(1-B8)*C3</f>
        <v>1.0226459197289569E-2</v>
      </c>
      <c r="C10" s="1" t="str">
        <f ca="1">[2]!getformula(B10)</f>
        <v>&lt;--  =B8*B3+(1-B8)*C3</v>
      </c>
    </row>
    <row r="11" spans="1:8" x14ac:dyDescent="0.25">
      <c r="A11" s="1" t="s">
        <v>11</v>
      </c>
      <c r="B11" s="11">
        <f>B8^2*B4+(1-B8)^2*C4+2*B8*(1-B8)*B6</f>
        <v>5.5104970042816424E-3</v>
      </c>
      <c r="C11" s="1" t="str">
        <f ca="1">[2]!getformula(B11)</f>
        <v>&lt;--  =B8^2*B4+(1-B8)^2*C4+2*B8*(1-B8)*B6</v>
      </c>
    </row>
    <row r="12" spans="1:8" x14ac:dyDescent="0.25">
      <c r="A12" s="1" t="s">
        <v>12</v>
      </c>
      <c r="B12" s="4">
        <f>SQRT(B11)</f>
        <v>7.4232721924240672E-2</v>
      </c>
      <c r="C12" s="1" t="str">
        <f ca="1">[2]!getformula(B12)</f>
        <v>&lt;--  =SQRT(B11)</v>
      </c>
    </row>
    <row r="13" spans="1:8" x14ac:dyDescent="0.25">
      <c r="A13" s="5"/>
      <c r="B13" s="2"/>
      <c r="C13" s="2"/>
      <c r="D13" s="4"/>
    </row>
    <row r="14" spans="1:8" x14ac:dyDescent="0.25">
      <c r="A14" s="6" t="s">
        <v>13</v>
      </c>
      <c r="B14" s="2"/>
      <c r="C14" s="2"/>
      <c r="D14" s="4"/>
    </row>
    <row r="15" spans="1:8" ht="41.4" x14ac:dyDescent="0.25">
      <c r="B15" s="7" t="s">
        <v>14</v>
      </c>
      <c r="C15" s="8" t="s">
        <v>15</v>
      </c>
      <c r="D15" s="4"/>
    </row>
    <row r="16" spans="1:8" x14ac:dyDescent="0.25">
      <c r="A16" s="5" t="s">
        <v>8</v>
      </c>
      <c r="B16" s="2">
        <f>B12</f>
        <v>7.4232721924240672E-2</v>
      </c>
      <c r="C16" s="2">
        <f>B10</f>
        <v>1.0226459197289569E-2</v>
      </c>
      <c r="D16" s="4" t="str">
        <f ca="1">[2]!getformula(C16)&amp;", Table header"</f>
        <v>&lt;--  =B10, Table header</v>
      </c>
    </row>
    <row r="17" spans="1:4" x14ac:dyDescent="0.25">
      <c r="A17" s="9">
        <v>-0.5</v>
      </c>
      <c r="B17" s="2">
        <f t="dataTable" ref="B17:C37" dt2D="0" dtr="0" r1="B8"/>
        <v>9.0811643892170946E-2</v>
      </c>
      <c r="C17" s="2">
        <v>-1.1060266305108497E-3</v>
      </c>
      <c r="D17" s="4"/>
    </row>
    <row r="18" spans="1:4" x14ac:dyDescent="0.25">
      <c r="A18" s="9">
        <f>A17+0.1</f>
        <v>-0.4</v>
      </c>
      <c r="B18" s="2">
        <v>8.5769353447723268E-2</v>
      </c>
      <c r="C18" s="2">
        <v>2.7221952269191468E-5</v>
      </c>
      <c r="D18" s="4"/>
    </row>
    <row r="19" spans="1:4" x14ac:dyDescent="0.25">
      <c r="A19" s="9">
        <f t="shared" ref="A19:A37" si="0">A18+0.1</f>
        <v>-0.30000000000000004</v>
      </c>
      <c r="B19" s="2">
        <v>8.1259240606998753E-2</v>
      </c>
      <c r="C19" s="2">
        <v>1.1604705350492335E-3</v>
      </c>
      <c r="D19" s="4"/>
    </row>
    <row r="20" spans="1:4" x14ac:dyDescent="0.25">
      <c r="A20" s="9">
        <f t="shared" si="0"/>
        <v>-0.20000000000000004</v>
      </c>
      <c r="B20" s="2">
        <v>7.7374422427281292E-2</v>
      </c>
      <c r="C20" s="2">
        <v>2.2937191178292755E-3</v>
      </c>
      <c r="D20" s="4"/>
    </row>
    <row r="21" spans="1:4" x14ac:dyDescent="0.25">
      <c r="A21" s="9">
        <f t="shared" si="0"/>
        <v>-0.10000000000000003</v>
      </c>
      <c r="B21" s="2">
        <v>7.4213160400485936E-2</v>
      </c>
      <c r="C21" s="2">
        <v>3.4269677006093175E-3</v>
      </c>
      <c r="D21" s="4"/>
    </row>
    <row r="22" spans="1:4" x14ac:dyDescent="0.25">
      <c r="A22" s="9">
        <f t="shared" si="0"/>
        <v>0</v>
      </c>
      <c r="B22" s="2">
        <v>7.1870995373966809E-2</v>
      </c>
      <c r="C22" s="2">
        <v>4.5602162833893595E-3</v>
      </c>
      <c r="D22" s="4"/>
    </row>
    <row r="23" spans="1:4" x14ac:dyDescent="0.25">
      <c r="A23" s="9">
        <f t="shared" si="0"/>
        <v>0.1</v>
      </c>
      <c r="B23" s="2">
        <v>7.04296929157361E-2</v>
      </c>
      <c r="C23" s="2">
        <v>5.6934648661694015E-3</v>
      </c>
      <c r="D23" s="4"/>
    </row>
    <row r="24" spans="1:4" x14ac:dyDescent="0.25">
      <c r="A24" s="9">
        <f t="shared" si="0"/>
        <v>0.2</v>
      </c>
      <c r="B24" s="2">
        <v>6.9944965373560958E-2</v>
      </c>
      <c r="C24" s="2">
        <v>6.8267134489494435E-3</v>
      </c>
      <c r="D24" s="4"/>
    </row>
    <row r="25" spans="1:4" x14ac:dyDescent="0.25">
      <c r="A25" s="9">
        <f t="shared" si="0"/>
        <v>0.30000000000000004</v>
      </c>
      <c r="B25" s="2">
        <v>7.0436564274217822E-2</v>
      </c>
      <c r="C25" s="2">
        <v>7.9599620317294846E-3</v>
      </c>
      <c r="D25" s="4"/>
    </row>
    <row r="26" spans="1:4" x14ac:dyDescent="0.25">
      <c r="A26" s="9">
        <f t="shared" si="0"/>
        <v>0.4</v>
      </c>
      <c r="B26" s="2">
        <v>7.1884461889528101E-2</v>
      </c>
      <c r="C26" s="2">
        <v>9.0932106145095275E-3</v>
      </c>
      <c r="D26" s="4"/>
    </row>
    <row r="27" spans="1:4" x14ac:dyDescent="0.25">
      <c r="A27" s="9">
        <f t="shared" si="0"/>
        <v>0.5</v>
      </c>
      <c r="B27" s="2">
        <v>7.4232721924240672E-2</v>
      </c>
      <c r="C27" s="2">
        <v>1.0226459197289569E-2</v>
      </c>
      <c r="D27" s="4"/>
    </row>
    <row r="28" spans="1:4" x14ac:dyDescent="0.25">
      <c r="A28" s="9">
        <f t="shared" si="0"/>
        <v>0.6</v>
      </c>
      <c r="B28" s="2">
        <v>7.7399438086848474E-2</v>
      </c>
      <c r="C28" s="2">
        <v>1.135970778006961E-2</v>
      </c>
      <c r="D28" s="4"/>
    </row>
    <row r="29" spans="1:4" x14ac:dyDescent="0.25">
      <c r="A29" s="9">
        <f t="shared" si="0"/>
        <v>0.7</v>
      </c>
      <c r="B29" s="2">
        <v>8.1289014613179819E-2</v>
      </c>
      <c r="C29" s="2">
        <v>1.2492956362849653E-2</v>
      </c>
      <c r="D29" s="4"/>
    </row>
    <row r="30" spans="1:4" x14ac:dyDescent="0.25">
      <c r="A30" s="9">
        <f t="shared" si="0"/>
        <v>0.79999999999999993</v>
      </c>
      <c r="B30" s="2">
        <v>8.5803203006340381E-2</v>
      </c>
      <c r="C30" s="2">
        <v>1.3626204945629694E-2</v>
      </c>
      <c r="D30" s="4"/>
    </row>
    <row r="31" spans="1:4" x14ac:dyDescent="0.25">
      <c r="A31" s="9">
        <f t="shared" si="0"/>
        <v>0.89999999999999991</v>
      </c>
      <c r="B31" s="2">
        <v>9.0848942009559897E-2</v>
      </c>
      <c r="C31" s="2">
        <v>1.4759453528409735E-2</v>
      </c>
      <c r="D31" s="4"/>
    </row>
    <row r="32" spans="1:4" x14ac:dyDescent="0.25">
      <c r="A32" s="9">
        <f t="shared" si="0"/>
        <v>0.99999999999999989</v>
      </c>
      <c r="B32" s="2">
        <v>9.6342751419653372E-2</v>
      </c>
      <c r="C32" s="2">
        <v>1.5892702111189774E-2</v>
      </c>
      <c r="D32" s="4"/>
    </row>
    <row r="33" spans="1:4" x14ac:dyDescent="0.25">
      <c r="A33" s="9">
        <f t="shared" si="0"/>
        <v>1.0999999999999999</v>
      </c>
      <c r="B33" s="2">
        <v>0.10221240681397482</v>
      </c>
      <c r="C33" s="2">
        <v>1.7025950693969821E-2</v>
      </c>
      <c r="D33" s="4"/>
    </row>
    <row r="34" spans="1:4" x14ac:dyDescent="0.25">
      <c r="A34" s="9">
        <f t="shared" si="0"/>
        <v>1.2</v>
      </c>
      <c r="B34" s="2">
        <v>0.10839686956294209</v>
      </c>
      <c r="C34" s="2">
        <v>1.815919927674986E-2</v>
      </c>
      <c r="D34" s="4"/>
    </row>
    <row r="35" spans="1:4" x14ac:dyDescent="0.25">
      <c r="A35" s="9">
        <f t="shared" si="0"/>
        <v>1.3</v>
      </c>
      <c r="B35" s="2">
        <v>0.11484529343481646</v>
      </c>
      <c r="C35" s="2">
        <v>1.9292447859529903E-2</v>
      </c>
      <c r="D35" s="4"/>
    </row>
    <row r="36" spans="1:4" x14ac:dyDescent="0.25">
      <c r="A36" s="9">
        <f t="shared" si="0"/>
        <v>1.4000000000000001</v>
      </c>
      <c r="B36" s="2">
        <v>0.12151566313013452</v>
      </c>
      <c r="C36" s="2">
        <v>2.0425696442309946E-2</v>
      </c>
      <c r="D36" s="4"/>
    </row>
    <row r="37" spans="1:4" x14ac:dyDescent="0.25">
      <c r="A37" s="9">
        <f t="shared" si="0"/>
        <v>1.5000000000000002</v>
      </c>
      <c r="B37" s="2">
        <v>0.12837338593543135</v>
      </c>
      <c r="C37" s="2">
        <v>2.1558945025089992E-2</v>
      </c>
      <c r="D37" s="4"/>
    </row>
    <row r="38" spans="1:4" x14ac:dyDescent="0.25">
      <c r="A38" s="9"/>
      <c r="B38" s="2"/>
      <c r="C38" s="2"/>
      <c r="D38" s="4"/>
    </row>
    <row r="39" spans="1:4" x14ac:dyDescent="0.25">
      <c r="A39" s="9"/>
      <c r="B39" s="2"/>
      <c r="C39" s="2"/>
      <c r="D39" s="4"/>
    </row>
    <row r="40" spans="1:4" x14ac:dyDescent="0.25">
      <c r="A40" s="9"/>
      <c r="B40" s="2"/>
      <c r="C40" s="2"/>
      <c r="D40" s="4"/>
    </row>
    <row r="41" spans="1:4" x14ac:dyDescent="0.25">
      <c r="A41" s="9"/>
      <c r="B41" s="2"/>
      <c r="C41" s="2"/>
      <c r="D41" s="4"/>
    </row>
    <row r="42" spans="1:4" x14ac:dyDescent="0.25">
      <c r="A42" s="9"/>
      <c r="B42" s="2"/>
      <c r="C42" s="2"/>
      <c r="D42" s="4"/>
    </row>
    <row r="43" spans="1:4" x14ac:dyDescent="0.25">
      <c r="A43" s="9"/>
      <c r="B43" s="2"/>
      <c r="C43" s="2"/>
      <c r="D43" s="4"/>
    </row>
    <row r="44" spans="1:4" x14ac:dyDescent="0.25">
      <c r="A44" s="9"/>
      <c r="B44" s="2"/>
      <c r="C44" s="2"/>
      <c r="D44" s="4"/>
    </row>
    <row r="45" spans="1:4" x14ac:dyDescent="0.25">
      <c r="A45" s="9"/>
      <c r="B45" s="2"/>
      <c r="C45" s="2"/>
      <c r="D45" s="4"/>
    </row>
    <row r="46" spans="1:4" x14ac:dyDescent="0.25">
      <c r="A46" s="9"/>
      <c r="B46" s="2"/>
      <c r="C46" s="2"/>
      <c r="D46" s="4"/>
    </row>
    <row r="47" spans="1:4" x14ac:dyDescent="0.25">
      <c r="A47" s="9"/>
      <c r="B47" s="2"/>
      <c r="C47" s="2"/>
      <c r="D47" s="4"/>
    </row>
    <row r="48" spans="1:4" x14ac:dyDescent="0.25">
      <c r="A48" s="5"/>
      <c r="B48" s="2"/>
      <c r="C48" s="2"/>
      <c r="D48" s="4"/>
    </row>
    <row r="49" spans="1:4" x14ac:dyDescent="0.25">
      <c r="A49" s="5"/>
      <c r="B49" s="2"/>
      <c r="C49" s="2"/>
      <c r="D49" s="4"/>
    </row>
    <row r="50" spans="1:4" x14ac:dyDescent="0.25">
      <c r="A50" s="5"/>
      <c r="B50" s="2"/>
      <c r="C50" s="2"/>
      <c r="D50" s="4"/>
    </row>
    <row r="51" spans="1:4" x14ac:dyDescent="0.25">
      <c r="A51" s="5"/>
      <c r="B51" s="2"/>
      <c r="C51" s="2"/>
      <c r="D51" s="4"/>
    </row>
    <row r="52" spans="1:4" x14ac:dyDescent="0.25">
      <c r="A52" s="5"/>
      <c r="B52" s="2"/>
      <c r="C52" s="2"/>
      <c r="D52" s="4"/>
    </row>
    <row r="53" spans="1:4" x14ac:dyDescent="0.25">
      <c r="A53" s="5"/>
      <c r="B53" s="2"/>
      <c r="C53" s="2"/>
      <c r="D53" s="4"/>
    </row>
    <row r="54" spans="1:4" x14ac:dyDescent="0.25">
      <c r="A54" s="5"/>
      <c r="B54" s="2"/>
      <c r="C54" s="2"/>
      <c r="D54" s="4"/>
    </row>
    <row r="55" spans="1:4" x14ac:dyDescent="0.25">
      <c r="A55" s="5"/>
      <c r="B55" s="2"/>
      <c r="C55" s="2"/>
      <c r="D55" s="4"/>
    </row>
    <row r="56" spans="1:4" x14ac:dyDescent="0.25">
      <c r="A56" s="5"/>
      <c r="B56" s="2"/>
      <c r="C56" s="2"/>
      <c r="D56" s="4"/>
    </row>
    <row r="57" spans="1:4" x14ac:dyDescent="0.25">
      <c r="A57" s="5"/>
      <c r="B57" s="2"/>
      <c r="C57" s="2"/>
      <c r="D57" s="4"/>
    </row>
    <row r="58" spans="1:4" x14ac:dyDescent="0.25">
      <c r="A58" s="5"/>
      <c r="B58" s="2"/>
      <c r="C58" s="2"/>
      <c r="D58" s="4"/>
    </row>
    <row r="59" spans="1:4" x14ac:dyDescent="0.25">
      <c r="A59" s="5"/>
      <c r="B59" s="2"/>
      <c r="C59" s="2"/>
      <c r="D59" s="4"/>
    </row>
    <row r="60" spans="1:4" x14ac:dyDescent="0.25">
      <c r="A60" s="5"/>
      <c r="B60" s="2"/>
      <c r="C60" s="2"/>
      <c r="D60" s="4"/>
    </row>
    <row r="61" spans="1:4" x14ac:dyDescent="0.25">
      <c r="A61" s="5"/>
      <c r="B61" s="2"/>
      <c r="C61" s="2"/>
      <c r="D61" s="4"/>
    </row>
    <row r="62" spans="1:4" x14ac:dyDescent="0.25">
      <c r="A62" s="5"/>
      <c r="B62" s="2"/>
      <c r="C62" s="2"/>
      <c r="D62" s="4"/>
    </row>
    <row r="63" spans="1:4" x14ac:dyDescent="0.25">
      <c r="A63" s="5"/>
      <c r="B63" s="2"/>
      <c r="C63" s="2"/>
      <c r="D63" s="4"/>
    </row>
  </sheetData>
  <mergeCells count="1">
    <mergeCell ref="A1:H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93" orientation="landscape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2024-10-24T09:31:07Z</cp:lastPrinted>
  <dcterms:created xsi:type="dcterms:W3CDTF">2024-10-05T13:27:14Z</dcterms:created>
  <dcterms:modified xsi:type="dcterms:W3CDTF">2024-10-24T09:31:52Z</dcterms:modified>
</cp:coreProperties>
</file>