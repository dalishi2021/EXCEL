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61699F7D-3583-4C06-A6AA-AAFFE80408F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5" i="1" l="1"/>
  <c r="C65" i="1"/>
  <c r="G64" i="1"/>
  <c r="C64" i="1"/>
  <c r="G63" i="1"/>
  <c r="C63" i="1"/>
  <c r="G62" i="1"/>
  <c r="C62" i="1"/>
  <c r="G61" i="1"/>
  <c r="C61" i="1"/>
  <c r="G60" i="1"/>
  <c r="C60" i="1"/>
  <c r="G59" i="1"/>
  <c r="C59" i="1"/>
  <c r="G58" i="1"/>
  <c r="C58" i="1"/>
  <c r="G57" i="1"/>
  <c r="C57" i="1"/>
  <c r="G56" i="1"/>
  <c r="C56" i="1"/>
  <c r="G55" i="1"/>
  <c r="C55" i="1"/>
  <c r="G54" i="1"/>
  <c r="C54" i="1"/>
  <c r="G53" i="1"/>
  <c r="C53" i="1"/>
  <c r="G52" i="1"/>
  <c r="C52" i="1"/>
  <c r="G51" i="1"/>
  <c r="C51" i="1"/>
  <c r="G50" i="1"/>
  <c r="C50" i="1"/>
  <c r="G49" i="1"/>
  <c r="C49" i="1"/>
  <c r="G48" i="1"/>
  <c r="C48" i="1"/>
  <c r="G47" i="1"/>
  <c r="C47" i="1"/>
  <c r="G46" i="1"/>
  <c r="C46" i="1"/>
  <c r="G45" i="1"/>
  <c r="C45" i="1"/>
  <c r="G44" i="1"/>
  <c r="C44" i="1"/>
  <c r="G43" i="1"/>
  <c r="C43" i="1"/>
  <c r="G42" i="1"/>
  <c r="C42" i="1"/>
  <c r="G41" i="1"/>
  <c r="C41" i="1"/>
  <c r="G40" i="1"/>
  <c r="C40" i="1"/>
  <c r="G39" i="1"/>
  <c r="C39" i="1"/>
  <c r="G38" i="1"/>
  <c r="C38" i="1"/>
  <c r="G37" i="1"/>
  <c r="C37" i="1"/>
  <c r="G36" i="1"/>
  <c r="C36" i="1"/>
  <c r="G35" i="1"/>
  <c r="C35" i="1"/>
  <c r="G34" i="1"/>
  <c r="C34" i="1"/>
  <c r="G33" i="1"/>
  <c r="C33" i="1"/>
  <c r="G32" i="1"/>
  <c r="C32" i="1"/>
  <c r="G31" i="1"/>
  <c r="C31" i="1"/>
  <c r="G30" i="1"/>
  <c r="C30" i="1"/>
  <c r="G29" i="1"/>
  <c r="C29" i="1"/>
  <c r="G28" i="1"/>
  <c r="C28" i="1"/>
  <c r="G27" i="1"/>
  <c r="C27" i="1"/>
  <c r="G26" i="1"/>
  <c r="C26" i="1"/>
  <c r="G25" i="1"/>
  <c r="C25" i="1"/>
  <c r="G24" i="1"/>
  <c r="C24" i="1"/>
  <c r="G23" i="1"/>
  <c r="C23" i="1"/>
  <c r="G22" i="1"/>
  <c r="C22" i="1"/>
  <c r="G21" i="1"/>
  <c r="C21" i="1"/>
  <c r="G20" i="1"/>
  <c r="C20" i="1"/>
  <c r="G19" i="1"/>
  <c r="C19" i="1"/>
  <c r="G18" i="1"/>
  <c r="C18" i="1"/>
  <c r="G17" i="1"/>
  <c r="C17" i="1"/>
  <c r="G16" i="1"/>
  <c r="C16" i="1"/>
  <c r="G15" i="1"/>
  <c r="C15" i="1"/>
  <c r="G14" i="1"/>
  <c r="C14" i="1"/>
  <c r="G13" i="1"/>
  <c r="C13" i="1"/>
  <c r="G12" i="1"/>
  <c r="C12" i="1"/>
  <c r="G11" i="1"/>
  <c r="C11" i="1"/>
  <c r="G10" i="1"/>
  <c r="C10" i="1"/>
  <c r="G9" i="1"/>
  <c r="C9" i="1"/>
  <c r="G8" i="1"/>
  <c r="C8" i="1"/>
  <c r="G7" i="1"/>
  <c r="C7" i="1"/>
  <c r="G6" i="1"/>
  <c r="C6" i="1"/>
  <c r="B2" i="1"/>
  <c r="C2" i="1"/>
  <c r="H6" i="1"/>
  <c r="D6" i="1"/>
</calcChain>
</file>

<file path=xl/sharedStrings.xml><?xml version="1.0" encoding="utf-8"?>
<sst xmlns="http://schemas.openxmlformats.org/spreadsheetml/2006/main" count="8" uniqueCount="7">
  <si>
    <r>
      <t xml:space="preserve">COMPUTING THE BETA FOR PPG
</t>
    </r>
    <r>
      <rPr>
        <b/>
        <sz val="12"/>
        <rFont val="Arial"/>
        <family val="2"/>
      </rPr>
      <t>Uses monthly data, Dec. 1995 - Dec. 2000</t>
    </r>
  </si>
  <si>
    <t>Beta</t>
  </si>
  <si>
    <t>Date</t>
  </si>
  <si>
    <t>SP500
Close</t>
  </si>
  <si>
    <t>SP500
Return</t>
  </si>
  <si>
    <t>PPG
Close</t>
  </si>
  <si>
    <t>PPG
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</si>
</sst>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176" fontId="0" fillId="2" borderId="0" xfId="0" applyNumberFormat="1" applyFill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17" fontId="0" fillId="0" borderId="0" xfId="0" applyNumberFormat="1" applyAlignment="1"/>
    <xf numFmtId="2" fontId="0" fillId="0" borderId="0" xfId="0" applyNumberFormat="1" applyAlignment="1"/>
    <xf numFmtId="10" fontId="0" fillId="0" borderId="0" xfId="1" applyNumberFormat="1" applyFont="1" applyAlignme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Computing the</a:t>
            </a:r>
            <a:r>
              <a:rPr lang="en-US" altLang="zh-CN" b="1" baseline="0">
                <a:solidFill>
                  <a:schemeClr val="tx1"/>
                </a:solidFill>
              </a:rPr>
              <a:t> Beta for PPG</a:t>
            </a:r>
          </a:p>
          <a:p>
            <a:pPr>
              <a:defRPr/>
            </a:pPr>
            <a:r>
              <a:rPr lang="en-US" altLang="zh-CN" b="1">
                <a:solidFill>
                  <a:schemeClr val="tx1"/>
                </a:solidFill>
              </a:rPr>
              <a:t>using monthly price data for PPG and the SP500</a:t>
            </a:r>
            <a:endParaRPr lang="zh-CN" alt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9716128800041808E-2"/>
                  <c:y val="0.34231780728528838"/>
                </c:manualLayout>
              </c:layout>
              <c:numFmt formatCode="General" sourceLinked="0"/>
              <c:spPr>
                <a:solidFill>
                  <a:schemeClr val="lt1"/>
                </a:solidFill>
                <a:ln w="1270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Sheet1!$C$6:$C$65</c:f>
              <c:numCache>
                <c:formatCode>0.00%</c:formatCode>
                <c:ptCount val="60"/>
                <c:pt idx="0">
                  <c:v>3.2096688673788003E-2</c:v>
                </c:pt>
                <c:pt idx="1">
                  <c:v>6.9098163601865855E-3</c:v>
                </c:pt>
                <c:pt idx="2">
                  <c:v>7.8853845399401695E-3</c:v>
                </c:pt>
                <c:pt idx="3">
                  <c:v>1.3342046230175701E-2</c:v>
                </c:pt>
                <c:pt idx="4">
                  <c:v>2.2596159723396021E-2</c:v>
                </c:pt>
                <c:pt idx="5">
                  <c:v>2.2541528484939432E-3</c:v>
                </c:pt>
                <c:pt idx="6">
                  <c:v>-4.6827520786961854E-2</c:v>
                </c:pt>
                <c:pt idx="7">
                  <c:v>1.8639176083919788E-2</c:v>
                </c:pt>
                <c:pt idx="8">
                  <c:v>5.27853018507915E-2</c:v>
                </c:pt>
                <c:pt idx="9">
                  <c:v>2.5766181981528097E-2</c:v>
                </c:pt>
                <c:pt idx="10">
                  <c:v>7.0808964949664502E-2</c:v>
                </c:pt>
                <c:pt idx="11">
                  <c:v>-2.1739986636405875E-2</c:v>
                </c:pt>
                <c:pt idx="12">
                  <c:v>5.9510647522872405E-2</c:v>
                </c:pt>
                <c:pt idx="13">
                  <c:v>5.910047767196773E-3</c:v>
                </c:pt>
                <c:pt idx="14">
                  <c:v>-4.3548620471400873E-2</c:v>
                </c:pt>
                <c:pt idx="15">
                  <c:v>5.6763565069968873E-2</c:v>
                </c:pt>
                <c:pt idx="16">
                  <c:v>5.6925443550926928E-2</c:v>
                </c:pt>
                <c:pt idx="17">
                  <c:v>4.2535054616412785E-2</c:v>
                </c:pt>
                <c:pt idx="18">
                  <c:v>7.5242741666075974E-2</c:v>
                </c:pt>
                <c:pt idx="19">
                  <c:v>-5.9182865281095121E-2</c:v>
                </c:pt>
                <c:pt idx="20">
                  <c:v>5.1789019050444966E-2</c:v>
                </c:pt>
                <c:pt idx="21">
                  <c:v>-3.508604155478369E-2</c:v>
                </c:pt>
                <c:pt idx="22">
                  <c:v>4.3621422487943796E-2</c:v>
                </c:pt>
                <c:pt idx="23">
                  <c:v>1.5609171282679583E-2</c:v>
                </c:pt>
                <c:pt idx="24">
                  <c:v>1.0098972903237103E-2</c:v>
                </c:pt>
                <c:pt idx="25">
                  <c:v>6.8078428947376632E-2</c:v>
                </c:pt>
                <c:pt idx="26">
                  <c:v>4.8738429632941518E-2</c:v>
                </c:pt>
                <c:pt idx="27">
                  <c:v>9.0355256687094428E-3</c:v>
                </c:pt>
                <c:pt idx="28">
                  <c:v>-1.9005643420609574E-2</c:v>
                </c:pt>
                <c:pt idx="29">
                  <c:v>3.8680394888453609E-2</c:v>
                </c:pt>
                <c:pt idx="30">
                  <c:v>-1.1683381142634086E-2</c:v>
                </c:pt>
                <c:pt idx="31">
                  <c:v>-0.15758607007429418</c:v>
                </c:pt>
                <c:pt idx="32">
                  <c:v>6.052629920018749E-2</c:v>
                </c:pt>
                <c:pt idx="33">
                  <c:v>7.7233407495323633E-2</c:v>
                </c:pt>
                <c:pt idx="34">
                  <c:v>5.7444072007151667E-2</c:v>
                </c:pt>
                <c:pt idx="35">
                  <c:v>5.4843527731920916E-2</c:v>
                </c:pt>
                <c:pt idx="36">
                  <c:v>4.0190831279158935E-2</c:v>
                </c:pt>
                <c:pt idx="37">
                  <c:v>-3.2815090665377786E-2</c:v>
                </c:pt>
                <c:pt idx="38">
                  <c:v>3.8060600567156579E-2</c:v>
                </c:pt>
                <c:pt idx="39">
                  <c:v>3.7241815948836486E-2</c:v>
                </c:pt>
                <c:pt idx="40">
                  <c:v>-2.5287465853720853E-2</c:v>
                </c:pt>
                <c:pt idx="41">
                  <c:v>5.3008239791665523E-2</c:v>
                </c:pt>
                <c:pt idx="42">
                  <c:v>-3.2570815353280949E-2</c:v>
                </c:pt>
                <c:pt idx="43">
                  <c:v>-6.2737783777968726E-3</c:v>
                </c:pt>
                <c:pt idx="44">
                  <c:v>-2.8967267082334575E-2</c:v>
                </c:pt>
                <c:pt idx="45">
                  <c:v>6.0661766747015879E-2</c:v>
                </c:pt>
                <c:pt idx="46">
                  <c:v>1.8882472761026243E-2</c:v>
                </c:pt>
                <c:pt idx="47">
                  <c:v>5.6232799654105478E-2</c:v>
                </c:pt>
                <c:pt idx="48">
                  <c:v>-5.2244822952783904E-2</c:v>
                </c:pt>
                <c:pt idx="49">
                  <c:v>-2.0313062610448358E-2</c:v>
                </c:pt>
                <c:pt idx="50">
                  <c:v>9.2323812122223556E-2</c:v>
                </c:pt>
                <c:pt idx="51">
                  <c:v>-3.1279977258077872E-2</c:v>
                </c:pt>
                <c:pt idx="52">
                  <c:v>-2.2158698229963615E-2</c:v>
                </c:pt>
                <c:pt idx="53">
                  <c:v>2.3651631156730649E-2</c:v>
                </c:pt>
                <c:pt idx="54">
                  <c:v>-1.647625326436223E-2</c:v>
                </c:pt>
                <c:pt idx="55">
                  <c:v>5.8928157588211842E-2</c:v>
                </c:pt>
                <c:pt idx="56">
                  <c:v>-5.4966292284748544E-2</c:v>
                </c:pt>
                <c:pt idx="57">
                  <c:v>-4.9617849736629414E-3</c:v>
                </c:pt>
                <c:pt idx="58">
                  <c:v>-8.3456133710587313E-2</c:v>
                </c:pt>
                <c:pt idx="59">
                  <c:v>4.0451932227232121E-3</c:v>
                </c:pt>
              </c:numCache>
            </c:numRef>
          </c:xVal>
          <c:yVal>
            <c:numRef>
              <c:f>Sheet1!$G$6:$G$65</c:f>
              <c:numCache>
                <c:formatCode>0.00%</c:formatCode>
                <c:ptCount val="60"/>
                <c:pt idx="0">
                  <c:v>2.1621805513269508E-2</c:v>
                </c:pt>
                <c:pt idx="1">
                  <c:v>-1.7513733405854724E-3</c:v>
                </c:pt>
                <c:pt idx="2">
                  <c:v>5.2504757691653602E-2</c:v>
                </c:pt>
                <c:pt idx="3">
                  <c:v>3.5180184710351808E-2</c:v>
                </c:pt>
                <c:pt idx="4">
                  <c:v>2.8352604866780172E-2</c:v>
                </c:pt>
                <c:pt idx="5">
                  <c:v>-5.9719613677233642E-2</c:v>
                </c:pt>
                <c:pt idx="6">
                  <c:v>1.0203060003973216E-2</c:v>
                </c:pt>
                <c:pt idx="7">
                  <c:v>8.8296605483008193E-3</c:v>
                </c:pt>
                <c:pt idx="8">
                  <c:v>9.6460024905379027E-2</c:v>
                </c:pt>
                <c:pt idx="9">
                  <c:v>4.7146820226786165E-2</c:v>
                </c:pt>
                <c:pt idx="10">
                  <c:v>7.7457782961417684E-2</c:v>
                </c:pt>
                <c:pt idx="11">
                  <c:v>-8.7382515855503398E-2</c:v>
                </c:pt>
                <c:pt idx="12">
                  <c:v>-4.7900273809113575E-2</c:v>
                </c:pt>
                <c:pt idx="13">
                  <c:v>5.1857198846905789E-2</c:v>
                </c:pt>
                <c:pt idx="14">
                  <c:v>-3.6368095832980091E-2</c:v>
                </c:pt>
                <c:pt idx="15">
                  <c:v>6.9210533670950878E-3</c:v>
                </c:pt>
                <c:pt idx="16">
                  <c:v>7.2523196557941261E-2</c:v>
                </c:pt>
                <c:pt idx="17">
                  <c:v>0</c:v>
                </c:pt>
                <c:pt idx="18">
                  <c:v>9.6287166219705622E-2</c:v>
                </c:pt>
                <c:pt idx="19">
                  <c:v>-1.0824195993458068E-2</c:v>
                </c:pt>
                <c:pt idx="20">
                  <c:v>-4.9721528069856273E-3</c:v>
                </c:pt>
                <c:pt idx="21">
                  <c:v>-0.10171245140706869</c:v>
                </c:pt>
                <c:pt idx="22">
                  <c:v>2.8957367394927234E-2</c:v>
                </c:pt>
                <c:pt idx="23">
                  <c:v>-1.4122074717823159E-2</c:v>
                </c:pt>
                <c:pt idx="24">
                  <c:v>4.365483112901752E-3</c:v>
                </c:pt>
                <c:pt idx="25">
                  <c:v>0.12749669778841213</c:v>
                </c:pt>
                <c:pt idx="26">
                  <c:v>4.7089656774827425E-2</c:v>
                </c:pt>
                <c:pt idx="27">
                  <c:v>3.9681137967395232E-2</c:v>
                </c:pt>
                <c:pt idx="28">
                  <c:v>3.5604961297176753E-2</c:v>
                </c:pt>
                <c:pt idx="29">
                  <c:v>-4.6520449754902243E-2</c:v>
                </c:pt>
                <c:pt idx="30">
                  <c:v>-9.3155649091685222E-2</c:v>
                </c:pt>
                <c:pt idx="31">
                  <c:v>-0.21129388301613325</c:v>
                </c:pt>
                <c:pt idx="32">
                  <c:v>6.7520147707472181E-2</c:v>
                </c:pt>
                <c:pt idx="33">
                  <c:v>4.8082597127294992E-2</c:v>
                </c:pt>
                <c:pt idx="34">
                  <c:v>7.2338546380050064E-2</c:v>
                </c:pt>
                <c:pt idx="35">
                  <c:v>-5.0273542835728526E-2</c:v>
                </c:pt>
                <c:pt idx="36">
                  <c:v>-7.9326113891525454E-2</c:v>
                </c:pt>
                <c:pt idx="37">
                  <c:v>-2.4887012702095795E-2</c:v>
                </c:pt>
                <c:pt idx="38">
                  <c:v>-1.5729373180243793E-2</c:v>
                </c:pt>
                <c:pt idx="39">
                  <c:v>0.23671112833858421</c:v>
                </c:pt>
                <c:pt idx="40">
                  <c:v>-6.2026769560091025E-2</c:v>
                </c:pt>
                <c:pt idx="41">
                  <c:v>-2.7141825299271807E-2</c:v>
                </c:pt>
                <c:pt idx="42">
                  <c:v>9.4791926943331127E-3</c:v>
                </c:pt>
                <c:pt idx="43">
                  <c:v>1.3446458076599608E-2</c:v>
                </c:pt>
                <c:pt idx="44">
                  <c:v>-1.0411654837130155E-3</c:v>
                </c:pt>
                <c:pt idx="45">
                  <c:v>1.0363192986664447E-2</c:v>
                </c:pt>
                <c:pt idx="46">
                  <c:v>-2.8285570510582697E-2</c:v>
                </c:pt>
                <c:pt idx="47">
                  <c:v>6.6069855053595875E-2</c:v>
                </c:pt>
                <c:pt idx="48">
                  <c:v>-0.12769630147773786</c:v>
                </c:pt>
                <c:pt idx="49">
                  <c:v>-0.10142193142506288</c:v>
                </c:pt>
                <c:pt idx="50">
                  <c:v>5.7791927142579094E-2</c:v>
                </c:pt>
                <c:pt idx="51">
                  <c:v>3.8667870607181937E-2</c:v>
                </c:pt>
                <c:pt idx="52">
                  <c:v>-8.5386885922249273E-2</c:v>
                </c:pt>
                <c:pt idx="53">
                  <c:v>-0.11196737795021956</c:v>
                </c:pt>
                <c:pt idx="54">
                  <c:v>-8.5345002321538813E-2</c:v>
                </c:pt>
                <c:pt idx="55">
                  <c:v>5.2935948591305267E-3</c:v>
                </c:pt>
                <c:pt idx="56">
                  <c:v>-2.0651631967947181E-2</c:v>
                </c:pt>
                <c:pt idx="57">
                  <c:v>0.11725692338635739</c:v>
                </c:pt>
                <c:pt idx="58">
                  <c:v>-5.9214599406382538E-2</c:v>
                </c:pt>
                <c:pt idx="59">
                  <c:v>0.10521119756209001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93-42BC-9CD5-0EDF8CC63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905448"/>
        <c:axId val="1029904368"/>
      </c:scatterChart>
      <c:valAx>
        <c:axId val="1029905448"/>
        <c:scaling>
          <c:orientation val="minMax"/>
          <c:max val="0.1"/>
          <c:min val="-0.1600000000000000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>
                    <a:solidFill>
                      <a:schemeClr val="tx1"/>
                    </a:solidFill>
                  </a:rPr>
                  <a:t>SP500 return</a:t>
                </a:r>
                <a:endParaRPr lang="zh-CN" alt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9904368"/>
        <c:crosses val="autoZero"/>
        <c:crossBetween val="midCat"/>
      </c:valAx>
      <c:valAx>
        <c:axId val="1029904368"/>
        <c:scaling>
          <c:orientation val="minMax"/>
          <c:max val="0.25"/>
          <c:min val="-0.2200000000000000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>
                    <a:solidFill>
                      <a:schemeClr val="tx1"/>
                    </a:solidFill>
                  </a:rPr>
                  <a:t>PPG return</a:t>
                </a:r>
                <a:endParaRPr lang="zh-CN" altLang="en-US" sz="1400" b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81450047397237E-2"/>
              <c:y val="0.279297156132356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990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/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257175</xdr:colOff>
      <xdr:row>3</xdr:row>
      <xdr:rowOff>219075</xdr:rowOff>
    </xdr:from>
    <xdr:to>
      <xdr:col>33</xdr:col>
      <xdr:colOff>323850</xdr:colOff>
      <xdr:row>53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212F7E7-D6FD-3826-5101-6E07F0A9B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287125" y="781050"/>
          <a:ext cx="9810750" cy="8629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7</xdr:col>
      <xdr:colOff>101917</xdr:colOff>
      <xdr:row>12</xdr:row>
      <xdr:rowOff>25716</xdr:rowOff>
    </xdr:from>
    <xdr:to>
      <xdr:col>16</xdr:col>
      <xdr:colOff>76200</xdr:colOff>
      <xdr:row>34</xdr:row>
      <xdr:rowOff>171449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939251D-C598-620A-100C-86295D004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O65"/>
  <sheetViews>
    <sheetView tabSelected="1" zoomScaleNormal="100" workbookViewId="0">
      <selection activeCell="P39" sqref="P39"/>
    </sheetView>
  </sheetViews>
  <sheetFormatPr defaultRowHeight="13.8" x14ac:dyDescent="0.25"/>
  <cols>
    <col min="1" max="3" width="8.88671875" style="1"/>
    <col min="4" max="4" width="17.21875" style="1" bestFit="1" customWidth="1"/>
    <col min="5" max="7" width="8.88671875" style="1"/>
    <col min="8" max="8" width="13.44140625" style="1" bestFit="1" customWidth="1"/>
    <col min="9" max="15" width="8.88671875" style="1"/>
  </cols>
  <sheetData>
    <row r="1" spans="1:8" ht="17.399999999999999" x14ac:dyDescent="0.25">
      <c r="A1" s="9" t="s">
        <v>0</v>
      </c>
      <c r="B1" s="10"/>
      <c r="C1" s="10"/>
      <c r="D1" s="10"/>
      <c r="E1" s="10"/>
      <c r="F1" s="10"/>
      <c r="G1" s="10"/>
      <c r="H1" s="10"/>
    </row>
    <row r="2" spans="1:8" x14ac:dyDescent="0.25">
      <c r="A2" s="2" t="s">
        <v>1</v>
      </c>
      <c r="B2" s="3">
        <f>SLOPE(G6:G65,C6:C65)</f>
        <v>0.86717863603105427</v>
      </c>
      <c r="C2" s="1" t="str">
        <f ca="1">[1]!getformula(B2)</f>
        <v>&lt;--  =SLOPE(G6:G65,C6:C65)</v>
      </c>
    </row>
    <row r="4" spans="1:8" ht="26.4" x14ac:dyDescent="0.25">
      <c r="A4" s="4" t="s">
        <v>2</v>
      </c>
      <c r="B4" s="5" t="s">
        <v>3</v>
      </c>
      <c r="C4" s="5" t="s">
        <v>4</v>
      </c>
      <c r="D4" s="5"/>
      <c r="E4" s="4" t="s">
        <v>2</v>
      </c>
      <c r="F4" s="5" t="s">
        <v>5</v>
      </c>
      <c r="G4" s="5" t="s">
        <v>6</v>
      </c>
    </row>
    <row r="5" spans="1:8" x14ac:dyDescent="0.25">
      <c r="A5" s="6">
        <v>35034</v>
      </c>
      <c r="B5" s="1">
        <v>615.92999999999995</v>
      </c>
      <c r="E5" s="6">
        <v>35034</v>
      </c>
      <c r="F5" s="7">
        <v>38.980200000000004</v>
      </c>
    </row>
    <row r="6" spans="1:8" x14ac:dyDescent="0.25">
      <c r="A6" s="6">
        <v>35065</v>
      </c>
      <c r="B6" s="1">
        <v>636.02</v>
      </c>
      <c r="C6" s="8">
        <f>LN(B6/B5)</f>
        <v>3.2096688673788003E-2</v>
      </c>
      <c r="D6" s="1" t="str">
        <f ca="1">[1]!getformula(C6)</f>
        <v>&lt;--  =LN(B6/B5)</v>
      </c>
      <c r="E6" s="6">
        <v>35065</v>
      </c>
      <c r="F6" s="7">
        <v>39.8322</v>
      </c>
      <c r="G6" s="8">
        <f>LN(F6/F5)</f>
        <v>2.1621805513269508E-2</v>
      </c>
      <c r="H6" s="1" t="str">
        <f ca="1">[1]!getformula(G6)</f>
        <v>&lt;--  =LN(F6/F5)</v>
      </c>
    </row>
    <row r="7" spans="1:8" x14ac:dyDescent="0.25">
      <c r="A7" s="6">
        <v>35096</v>
      </c>
      <c r="B7" s="1">
        <v>640.42999999999995</v>
      </c>
      <c r="C7" s="8">
        <f t="shared" ref="C7:C65" si="0">LN(B7/B6)</f>
        <v>6.9098163601865855E-3</v>
      </c>
      <c r="D7" s="8"/>
      <c r="E7" s="6">
        <v>35096</v>
      </c>
      <c r="F7" s="7">
        <v>39.762500000000003</v>
      </c>
      <c r="G7" s="8">
        <f t="shared" ref="G7:G65" si="1">LN(F7/F6)</f>
        <v>-1.7513733405854724E-3</v>
      </c>
    </row>
    <row r="8" spans="1:8" x14ac:dyDescent="0.25">
      <c r="A8" s="6">
        <v>35125</v>
      </c>
      <c r="B8" s="1">
        <v>645.5</v>
      </c>
      <c r="C8" s="8">
        <f t="shared" si="0"/>
        <v>7.8853845399401695E-3</v>
      </c>
      <c r="D8" s="8"/>
      <c r="E8" s="6">
        <v>35125</v>
      </c>
      <c r="F8" s="7">
        <v>41.905999999999999</v>
      </c>
      <c r="G8" s="8">
        <f t="shared" si="1"/>
        <v>5.2504757691653602E-2</v>
      </c>
    </row>
    <row r="9" spans="1:8" x14ac:dyDescent="0.25">
      <c r="A9" s="6">
        <v>35156</v>
      </c>
      <c r="B9" s="1">
        <v>654.16999999999996</v>
      </c>
      <c r="C9" s="8">
        <f t="shared" si="0"/>
        <v>1.3342046230175701E-2</v>
      </c>
      <c r="D9" s="8"/>
      <c r="E9" s="6">
        <v>35156</v>
      </c>
      <c r="F9" s="7">
        <v>43.406500000000001</v>
      </c>
      <c r="G9" s="8">
        <f t="shared" si="1"/>
        <v>3.5180184710351808E-2</v>
      </c>
    </row>
    <row r="10" spans="1:8" x14ac:dyDescent="0.25">
      <c r="A10" s="6">
        <v>35186</v>
      </c>
      <c r="B10" s="1">
        <v>669.12</v>
      </c>
      <c r="C10" s="8">
        <f t="shared" si="0"/>
        <v>2.2596159723396021E-2</v>
      </c>
      <c r="D10" s="8"/>
      <c r="E10" s="6">
        <v>35186</v>
      </c>
      <c r="F10" s="7">
        <v>44.654800000000002</v>
      </c>
      <c r="G10" s="8">
        <f t="shared" si="1"/>
        <v>2.8352604866780172E-2</v>
      </c>
    </row>
    <row r="11" spans="1:8" x14ac:dyDescent="0.25">
      <c r="A11" s="6">
        <v>35217</v>
      </c>
      <c r="B11" s="1">
        <v>670.63</v>
      </c>
      <c r="C11" s="8">
        <f t="shared" si="0"/>
        <v>2.2541528484939432E-3</v>
      </c>
      <c r="D11" s="8"/>
      <c r="E11" s="6">
        <v>35217</v>
      </c>
      <c r="F11" s="7">
        <v>42.066099999999999</v>
      </c>
      <c r="G11" s="8">
        <f t="shared" si="1"/>
        <v>-5.9719613677233642E-2</v>
      </c>
    </row>
    <row r="12" spans="1:8" x14ac:dyDescent="0.25">
      <c r="A12" s="6">
        <v>35247</v>
      </c>
      <c r="B12" s="1">
        <v>639.95000000000005</v>
      </c>
      <c r="C12" s="8">
        <f t="shared" si="0"/>
        <v>-4.6827520786961854E-2</v>
      </c>
      <c r="D12" s="8"/>
      <c r="E12" s="6">
        <v>35247</v>
      </c>
      <c r="F12" s="7">
        <v>42.497500000000002</v>
      </c>
      <c r="G12" s="8">
        <f t="shared" si="1"/>
        <v>1.0203060003973216E-2</v>
      </c>
    </row>
    <row r="13" spans="1:8" x14ac:dyDescent="0.25">
      <c r="A13" s="6">
        <v>35278</v>
      </c>
      <c r="B13" s="1">
        <v>651.99</v>
      </c>
      <c r="C13" s="8">
        <f t="shared" si="0"/>
        <v>1.8639176083919788E-2</v>
      </c>
      <c r="D13" s="8"/>
      <c r="E13" s="6">
        <v>35278</v>
      </c>
      <c r="F13" s="7">
        <v>42.874400000000001</v>
      </c>
      <c r="G13" s="8">
        <f t="shared" si="1"/>
        <v>8.8296605483008193E-3</v>
      </c>
    </row>
    <row r="14" spans="1:8" x14ac:dyDescent="0.25">
      <c r="A14" s="6">
        <v>35309</v>
      </c>
      <c r="B14" s="1">
        <v>687.33</v>
      </c>
      <c r="C14" s="8">
        <f t="shared" si="0"/>
        <v>5.27853018507915E-2</v>
      </c>
      <c r="D14" s="8"/>
      <c r="E14" s="6">
        <v>35309</v>
      </c>
      <c r="F14" s="7">
        <v>47.216099999999997</v>
      </c>
      <c r="G14" s="8">
        <f t="shared" si="1"/>
        <v>9.6460024905379027E-2</v>
      </c>
    </row>
    <row r="15" spans="1:8" x14ac:dyDescent="0.25">
      <c r="A15" s="6">
        <v>35339</v>
      </c>
      <c r="B15" s="1">
        <v>705.27</v>
      </c>
      <c r="C15" s="8">
        <f t="shared" si="0"/>
        <v>2.5766181981528097E-2</v>
      </c>
      <c r="D15" s="8"/>
      <c r="E15" s="6">
        <v>35339</v>
      </c>
      <c r="F15" s="7">
        <v>49.4955</v>
      </c>
      <c r="G15" s="8">
        <f t="shared" si="1"/>
        <v>4.7146820226786165E-2</v>
      </c>
    </row>
    <row r="16" spans="1:8" x14ac:dyDescent="0.25">
      <c r="A16" s="6">
        <v>35370</v>
      </c>
      <c r="B16" s="1">
        <v>757.02</v>
      </c>
      <c r="C16" s="8">
        <f t="shared" si="0"/>
        <v>7.0808964949664502E-2</v>
      </c>
      <c r="D16" s="8"/>
      <c r="E16" s="6">
        <v>35370</v>
      </c>
      <c r="F16" s="7">
        <v>53.481699999999996</v>
      </c>
      <c r="G16" s="8">
        <f t="shared" si="1"/>
        <v>7.7457782961417684E-2</v>
      </c>
    </row>
    <row r="17" spans="1:7" x14ac:dyDescent="0.25">
      <c r="A17" s="6">
        <v>35400</v>
      </c>
      <c r="B17" s="1">
        <v>740.74</v>
      </c>
      <c r="C17" s="8">
        <f t="shared" si="0"/>
        <v>-2.1739986636405875E-2</v>
      </c>
      <c r="D17" s="8"/>
      <c r="E17" s="6">
        <v>35400</v>
      </c>
      <c r="F17" s="7">
        <v>49.006700000000002</v>
      </c>
      <c r="G17" s="8">
        <f t="shared" si="1"/>
        <v>-8.7382515855503398E-2</v>
      </c>
    </row>
    <row r="18" spans="1:7" x14ac:dyDescent="0.25">
      <c r="A18" s="6">
        <v>35431</v>
      </c>
      <c r="B18" s="1">
        <v>786.16</v>
      </c>
      <c r="C18" s="8">
        <f t="shared" si="0"/>
        <v>5.9510647522872405E-2</v>
      </c>
      <c r="D18" s="8"/>
      <c r="E18" s="6">
        <v>35431</v>
      </c>
      <c r="F18" s="7">
        <v>46.714599999999997</v>
      </c>
      <c r="G18" s="8">
        <f t="shared" si="1"/>
        <v>-4.7900273809113575E-2</v>
      </c>
    </row>
    <row r="19" spans="1:7" x14ac:dyDescent="0.25">
      <c r="A19" s="6">
        <v>35462</v>
      </c>
      <c r="B19" s="1">
        <v>790.82</v>
      </c>
      <c r="C19" s="8">
        <f t="shared" si="0"/>
        <v>5.910047767196773E-3</v>
      </c>
      <c r="D19" s="8"/>
      <c r="E19" s="6">
        <v>35462</v>
      </c>
      <c r="F19" s="7">
        <v>49.201000000000001</v>
      </c>
      <c r="G19" s="8">
        <f t="shared" si="1"/>
        <v>5.1857198846905789E-2</v>
      </c>
    </row>
    <row r="20" spans="1:7" x14ac:dyDescent="0.25">
      <c r="A20" s="6">
        <v>35490</v>
      </c>
      <c r="B20" s="1">
        <v>757.12</v>
      </c>
      <c r="C20" s="8">
        <f t="shared" si="0"/>
        <v>-4.3548620471400873E-2</v>
      </c>
      <c r="D20" s="8"/>
      <c r="E20" s="6">
        <v>35490</v>
      </c>
      <c r="F20" s="7">
        <v>47.443800000000003</v>
      </c>
      <c r="G20" s="8">
        <f t="shared" si="1"/>
        <v>-3.6368095832980091E-2</v>
      </c>
    </row>
    <row r="21" spans="1:7" x14ac:dyDescent="0.25">
      <c r="A21" s="6">
        <v>35521</v>
      </c>
      <c r="B21" s="1">
        <v>801.34</v>
      </c>
      <c r="C21" s="8">
        <f t="shared" si="0"/>
        <v>5.6763565069968873E-2</v>
      </c>
      <c r="D21" s="8"/>
      <c r="E21" s="6">
        <v>35521</v>
      </c>
      <c r="F21" s="7">
        <v>47.773299999999999</v>
      </c>
      <c r="G21" s="8">
        <f t="shared" si="1"/>
        <v>6.9210533670950878E-3</v>
      </c>
    </row>
    <row r="22" spans="1:7" x14ac:dyDescent="0.25">
      <c r="A22" s="6">
        <v>35551</v>
      </c>
      <c r="B22" s="1">
        <v>848.28</v>
      </c>
      <c r="C22" s="8">
        <f t="shared" si="0"/>
        <v>5.6925443550926928E-2</v>
      </c>
      <c r="D22" s="8"/>
      <c r="E22" s="6">
        <v>35551</v>
      </c>
      <c r="F22" s="7">
        <v>51.366700000000002</v>
      </c>
      <c r="G22" s="8">
        <f t="shared" si="1"/>
        <v>7.2523196557941261E-2</v>
      </c>
    </row>
    <row r="23" spans="1:7" x14ac:dyDescent="0.25">
      <c r="A23" s="6">
        <v>35582</v>
      </c>
      <c r="B23" s="1">
        <v>885.14</v>
      </c>
      <c r="C23" s="8">
        <f t="shared" si="0"/>
        <v>4.2535054616412785E-2</v>
      </c>
      <c r="D23" s="8"/>
      <c r="E23" s="6">
        <v>35582</v>
      </c>
      <c r="F23" s="7">
        <v>51.366700000000002</v>
      </c>
      <c r="G23" s="8">
        <f t="shared" si="1"/>
        <v>0</v>
      </c>
    </row>
    <row r="24" spans="1:7" x14ac:dyDescent="0.25">
      <c r="A24" s="6">
        <v>35612</v>
      </c>
      <c r="B24" s="1">
        <v>954.31</v>
      </c>
      <c r="C24" s="8">
        <f t="shared" si="0"/>
        <v>7.5242741666075974E-2</v>
      </c>
      <c r="D24" s="8"/>
      <c r="E24" s="6">
        <v>35612</v>
      </c>
      <c r="F24" s="7">
        <v>56.558599999999998</v>
      </c>
      <c r="G24" s="8">
        <f t="shared" si="1"/>
        <v>9.6287166219705622E-2</v>
      </c>
    </row>
    <row r="25" spans="1:7" x14ac:dyDescent="0.25">
      <c r="A25" s="6">
        <v>35643</v>
      </c>
      <c r="B25" s="1">
        <v>899.47</v>
      </c>
      <c r="C25" s="8">
        <f t="shared" si="0"/>
        <v>-5.9182865281095121E-2</v>
      </c>
      <c r="D25" s="8"/>
      <c r="E25" s="6">
        <v>35643</v>
      </c>
      <c r="F25" s="7">
        <v>55.9497</v>
      </c>
      <c r="G25" s="8">
        <f t="shared" si="1"/>
        <v>-1.0824195993458068E-2</v>
      </c>
    </row>
    <row r="26" spans="1:7" x14ac:dyDescent="0.25">
      <c r="A26" s="6">
        <v>35674</v>
      </c>
      <c r="B26" s="1">
        <v>947.28</v>
      </c>
      <c r="C26" s="8">
        <f t="shared" si="0"/>
        <v>5.1789019050444966E-2</v>
      </c>
      <c r="D26" s="8"/>
      <c r="E26" s="6">
        <v>35674</v>
      </c>
      <c r="F26" s="7">
        <v>55.672199999999997</v>
      </c>
      <c r="G26" s="8">
        <f t="shared" si="1"/>
        <v>-4.9721528069856273E-3</v>
      </c>
    </row>
    <row r="27" spans="1:7" x14ac:dyDescent="0.25">
      <c r="A27" s="6">
        <v>35704</v>
      </c>
      <c r="B27" s="1">
        <v>914.62</v>
      </c>
      <c r="C27" s="8">
        <f t="shared" si="0"/>
        <v>-3.508604155478369E-2</v>
      </c>
      <c r="D27" s="8"/>
      <c r="E27" s="6">
        <v>35704</v>
      </c>
      <c r="F27" s="7">
        <v>50.2881</v>
      </c>
      <c r="G27" s="8">
        <f t="shared" si="1"/>
        <v>-0.10171245140706869</v>
      </c>
    </row>
    <row r="28" spans="1:7" x14ac:dyDescent="0.25">
      <c r="A28" s="6">
        <v>35735</v>
      </c>
      <c r="B28" s="1">
        <v>955.4</v>
      </c>
      <c r="C28" s="8">
        <f t="shared" si="0"/>
        <v>4.3621422487943796E-2</v>
      </c>
      <c r="D28" s="8"/>
      <c r="E28" s="6">
        <v>35735</v>
      </c>
      <c r="F28" s="7">
        <v>51.765599999999999</v>
      </c>
      <c r="G28" s="8">
        <f t="shared" si="1"/>
        <v>2.8957367394927234E-2</v>
      </c>
    </row>
    <row r="29" spans="1:7" x14ac:dyDescent="0.25">
      <c r="A29" s="6">
        <v>35765</v>
      </c>
      <c r="B29" s="1">
        <v>970.43</v>
      </c>
      <c r="C29" s="8">
        <f t="shared" si="0"/>
        <v>1.5609171282679583E-2</v>
      </c>
      <c r="D29" s="8"/>
      <c r="E29" s="6">
        <v>35765</v>
      </c>
      <c r="F29" s="7">
        <v>51.039700000000003</v>
      </c>
      <c r="G29" s="8">
        <f t="shared" si="1"/>
        <v>-1.4122074717823159E-2</v>
      </c>
    </row>
    <row r="30" spans="1:7" x14ac:dyDescent="0.25">
      <c r="A30" s="6">
        <v>35796</v>
      </c>
      <c r="B30" s="1">
        <v>980.28</v>
      </c>
      <c r="C30" s="8">
        <f t="shared" si="0"/>
        <v>1.0098972903237103E-2</v>
      </c>
      <c r="D30" s="8"/>
      <c r="E30" s="6">
        <v>35796</v>
      </c>
      <c r="F30" s="7">
        <v>51.262999999999998</v>
      </c>
      <c r="G30" s="8">
        <f t="shared" si="1"/>
        <v>4.365483112901752E-3</v>
      </c>
    </row>
    <row r="31" spans="1:7" x14ac:dyDescent="0.25">
      <c r="A31" s="6">
        <v>35827</v>
      </c>
      <c r="B31" s="1">
        <v>1049.3399999999999</v>
      </c>
      <c r="C31" s="8">
        <f t="shared" si="0"/>
        <v>6.8078428947376632E-2</v>
      </c>
      <c r="D31" s="8"/>
      <c r="E31" s="6">
        <v>35827</v>
      </c>
      <c r="F31" s="7">
        <v>58.233800000000002</v>
      </c>
      <c r="G31" s="8">
        <f t="shared" si="1"/>
        <v>0.12749669778841213</v>
      </c>
    </row>
    <row r="32" spans="1:7" x14ac:dyDescent="0.25">
      <c r="A32" s="6">
        <v>35855</v>
      </c>
      <c r="B32" s="1">
        <v>1101.75</v>
      </c>
      <c r="C32" s="8">
        <f t="shared" si="0"/>
        <v>4.8738429632941518E-2</v>
      </c>
      <c r="D32" s="8"/>
      <c r="E32" s="6">
        <v>35855</v>
      </c>
      <c r="F32" s="7">
        <v>61.041600000000003</v>
      </c>
      <c r="G32" s="8">
        <f t="shared" si="1"/>
        <v>4.7089656774827425E-2</v>
      </c>
    </row>
    <row r="33" spans="1:7" x14ac:dyDescent="0.25">
      <c r="A33" s="6">
        <v>35886</v>
      </c>
      <c r="B33" s="1">
        <v>1111.75</v>
      </c>
      <c r="C33" s="8">
        <f t="shared" si="0"/>
        <v>9.0355256687094428E-3</v>
      </c>
      <c r="D33" s="8"/>
      <c r="E33" s="6">
        <v>35886</v>
      </c>
      <c r="F33" s="7">
        <v>63.512500000000003</v>
      </c>
      <c r="G33" s="8">
        <f t="shared" si="1"/>
        <v>3.9681137967395232E-2</v>
      </c>
    </row>
    <row r="34" spans="1:7" x14ac:dyDescent="0.25">
      <c r="A34" s="6">
        <v>35916</v>
      </c>
      <c r="B34" s="1">
        <v>1090.82</v>
      </c>
      <c r="C34" s="8">
        <f t="shared" si="0"/>
        <v>-1.9005643420609574E-2</v>
      </c>
      <c r="D34" s="8"/>
      <c r="E34" s="6">
        <v>35916</v>
      </c>
      <c r="F34" s="7">
        <v>65.814599999999999</v>
      </c>
      <c r="G34" s="8">
        <f t="shared" si="1"/>
        <v>3.5604961297176753E-2</v>
      </c>
    </row>
    <row r="35" spans="1:7" x14ac:dyDescent="0.25">
      <c r="A35" s="6">
        <v>35947</v>
      </c>
      <c r="B35" s="1">
        <v>1133.8399999999999</v>
      </c>
      <c r="C35" s="8">
        <f t="shared" si="0"/>
        <v>3.8680394888453609E-2</v>
      </c>
      <c r="D35" s="8"/>
      <c r="E35" s="6">
        <v>35947</v>
      </c>
      <c r="F35" s="7">
        <v>62.823</v>
      </c>
      <c r="G35" s="8">
        <f t="shared" si="1"/>
        <v>-4.6520449754902243E-2</v>
      </c>
    </row>
    <row r="36" spans="1:7" x14ac:dyDescent="0.25">
      <c r="A36" s="6">
        <v>35977</v>
      </c>
      <c r="B36" s="1">
        <v>1120.67</v>
      </c>
      <c r="C36" s="8">
        <f t="shared" si="0"/>
        <v>-1.1683381142634086E-2</v>
      </c>
      <c r="D36" s="8"/>
      <c r="E36" s="6">
        <v>35977</v>
      </c>
      <c r="F36" s="7">
        <v>57.234999999999999</v>
      </c>
      <c r="G36" s="8">
        <f t="shared" si="1"/>
        <v>-9.3155649091685222E-2</v>
      </c>
    </row>
    <row r="37" spans="1:7" x14ac:dyDescent="0.25">
      <c r="A37" s="6">
        <v>36008</v>
      </c>
      <c r="B37" s="1">
        <v>957.28</v>
      </c>
      <c r="C37" s="8">
        <f t="shared" si="0"/>
        <v>-0.15758607007429418</v>
      </c>
      <c r="D37" s="8"/>
      <c r="E37" s="6">
        <v>36008</v>
      </c>
      <c r="F37" s="7">
        <v>46.333799999999997</v>
      </c>
      <c r="G37" s="8">
        <f t="shared" si="1"/>
        <v>-0.21129388301613325</v>
      </c>
    </row>
    <row r="38" spans="1:7" x14ac:dyDescent="0.25">
      <c r="A38" s="6">
        <v>36039</v>
      </c>
      <c r="B38" s="1">
        <v>1017.01</v>
      </c>
      <c r="C38" s="8">
        <f t="shared" si="0"/>
        <v>6.052629920018749E-2</v>
      </c>
      <c r="D38" s="8"/>
      <c r="E38" s="6">
        <v>36039</v>
      </c>
      <c r="F38" s="7">
        <v>49.570300000000003</v>
      </c>
      <c r="G38" s="8">
        <f t="shared" si="1"/>
        <v>6.7520147707472181E-2</v>
      </c>
    </row>
    <row r="39" spans="1:7" x14ac:dyDescent="0.25">
      <c r="A39" s="6">
        <v>36069</v>
      </c>
      <c r="B39" s="1">
        <v>1098.67</v>
      </c>
      <c r="C39" s="8">
        <f t="shared" si="0"/>
        <v>7.7233407495323633E-2</v>
      </c>
      <c r="D39" s="8"/>
      <c r="E39" s="6">
        <v>36069</v>
      </c>
      <c r="F39" s="7">
        <v>52.012</v>
      </c>
      <c r="G39" s="8">
        <f t="shared" si="1"/>
        <v>4.8082597127294992E-2</v>
      </c>
    </row>
    <row r="40" spans="1:7" x14ac:dyDescent="0.25">
      <c r="A40" s="6">
        <v>36100</v>
      </c>
      <c r="B40" s="1">
        <v>1163.6300000000001</v>
      </c>
      <c r="C40" s="8">
        <f t="shared" si="0"/>
        <v>5.7444072007151667E-2</v>
      </c>
      <c r="D40" s="8"/>
      <c r="E40" s="6">
        <v>36100</v>
      </c>
      <c r="F40" s="7">
        <v>55.913899999999998</v>
      </c>
      <c r="G40" s="8">
        <f t="shared" si="1"/>
        <v>7.2338546380050064E-2</v>
      </c>
    </row>
    <row r="41" spans="1:7" x14ac:dyDescent="0.25">
      <c r="A41" s="6">
        <v>36130</v>
      </c>
      <c r="B41" s="1">
        <v>1229.23</v>
      </c>
      <c r="C41" s="8">
        <f t="shared" si="0"/>
        <v>5.4843527731920916E-2</v>
      </c>
      <c r="D41" s="8"/>
      <c r="E41" s="6">
        <v>36130</v>
      </c>
      <c r="F41" s="7">
        <v>53.172400000000003</v>
      </c>
      <c r="G41" s="8">
        <f t="shared" si="1"/>
        <v>-5.0273542835728526E-2</v>
      </c>
    </row>
    <row r="42" spans="1:7" x14ac:dyDescent="0.25">
      <c r="A42" s="6">
        <v>36161</v>
      </c>
      <c r="B42" s="1">
        <v>1279.6400000000001</v>
      </c>
      <c r="C42" s="8">
        <f t="shared" si="0"/>
        <v>4.0190831279158935E-2</v>
      </c>
      <c r="D42" s="8"/>
      <c r="E42" s="6">
        <v>36161</v>
      </c>
      <c r="F42" s="7">
        <v>49.117400000000004</v>
      </c>
      <c r="G42" s="8">
        <f t="shared" si="1"/>
        <v>-7.9326113891525454E-2</v>
      </c>
    </row>
    <row r="43" spans="1:7" x14ac:dyDescent="0.25">
      <c r="A43" s="6">
        <v>36192</v>
      </c>
      <c r="B43" s="1">
        <v>1238.33</v>
      </c>
      <c r="C43" s="8">
        <f t="shared" si="0"/>
        <v>-3.2815090665377786E-2</v>
      </c>
      <c r="D43" s="8"/>
      <c r="E43" s="6">
        <v>36192</v>
      </c>
      <c r="F43" s="7">
        <v>47.9101</v>
      </c>
      <c r="G43" s="8">
        <f t="shared" si="1"/>
        <v>-2.4887012702095795E-2</v>
      </c>
    </row>
    <row r="44" spans="1:7" x14ac:dyDescent="0.25">
      <c r="A44" s="6">
        <v>36220</v>
      </c>
      <c r="B44" s="1">
        <v>1286.3699999999999</v>
      </c>
      <c r="C44" s="8">
        <f t="shared" si="0"/>
        <v>3.8060600567156579E-2</v>
      </c>
      <c r="D44" s="8"/>
      <c r="E44" s="6">
        <v>36220</v>
      </c>
      <c r="F44" s="7">
        <v>47.162399999999998</v>
      </c>
      <c r="G44" s="8">
        <f t="shared" si="1"/>
        <v>-1.5729373180243793E-2</v>
      </c>
    </row>
    <row r="45" spans="1:7" x14ac:dyDescent="0.25">
      <c r="A45" s="6">
        <v>36251</v>
      </c>
      <c r="B45" s="1">
        <v>1335.18</v>
      </c>
      <c r="C45" s="8">
        <f t="shared" si="0"/>
        <v>3.7241815948836486E-2</v>
      </c>
      <c r="D45" s="8"/>
      <c r="E45" s="6">
        <v>36251</v>
      </c>
      <c r="F45" s="7">
        <v>59.758299999999998</v>
      </c>
      <c r="G45" s="8">
        <f t="shared" si="1"/>
        <v>0.23671112833858421</v>
      </c>
    </row>
    <row r="46" spans="1:7" x14ac:dyDescent="0.25">
      <c r="A46" s="6">
        <v>36281</v>
      </c>
      <c r="B46" s="1">
        <v>1301.8399999999999</v>
      </c>
      <c r="C46" s="8">
        <f t="shared" si="0"/>
        <v>-2.5287465853720853E-2</v>
      </c>
      <c r="D46" s="8"/>
      <c r="E46" s="6">
        <v>36281</v>
      </c>
      <c r="F46" s="7">
        <v>56.164299999999997</v>
      </c>
      <c r="G46" s="8">
        <f t="shared" si="1"/>
        <v>-6.2026769560091025E-2</v>
      </c>
    </row>
    <row r="47" spans="1:7" x14ac:dyDescent="0.25">
      <c r="A47" s="6">
        <v>36312</v>
      </c>
      <c r="B47" s="1">
        <v>1372.71</v>
      </c>
      <c r="C47" s="8">
        <f t="shared" si="0"/>
        <v>5.3008239791665523E-2</v>
      </c>
      <c r="D47" s="8"/>
      <c r="E47" s="6">
        <v>36312</v>
      </c>
      <c r="F47" s="7">
        <v>54.660400000000003</v>
      </c>
      <c r="G47" s="8">
        <f t="shared" si="1"/>
        <v>-2.7141825299271807E-2</v>
      </c>
    </row>
    <row r="48" spans="1:7" x14ac:dyDescent="0.25">
      <c r="A48" s="6">
        <v>36342</v>
      </c>
      <c r="B48" s="1">
        <v>1328.72</v>
      </c>
      <c r="C48" s="8">
        <f t="shared" si="0"/>
        <v>-3.2570815353280949E-2</v>
      </c>
      <c r="D48" s="8"/>
      <c r="E48" s="6">
        <v>36342</v>
      </c>
      <c r="F48" s="7">
        <v>55.180999999999997</v>
      </c>
      <c r="G48" s="8">
        <f t="shared" si="1"/>
        <v>9.4791926943331127E-3</v>
      </c>
    </row>
    <row r="49" spans="1:7" x14ac:dyDescent="0.25">
      <c r="A49" s="6">
        <v>36373</v>
      </c>
      <c r="B49" s="1">
        <v>1320.41</v>
      </c>
      <c r="C49" s="8">
        <f t="shared" si="0"/>
        <v>-6.2737783777968726E-3</v>
      </c>
      <c r="D49" s="8"/>
      <c r="E49" s="6">
        <v>36373</v>
      </c>
      <c r="F49" s="7">
        <v>55.927999999999997</v>
      </c>
      <c r="G49" s="8">
        <f t="shared" si="1"/>
        <v>1.3446458076599608E-2</v>
      </c>
    </row>
    <row r="50" spans="1:7" x14ac:dyDescent="0.25">
      <c r="A50" s="6">
        <v>36404</v>
      </c>
      <c r="B50" s="1">
        <v>1282.71</v>
      </c>
      <c r="C50" s="8">
        <f t="shared" si="0"/>
        <v>-2.8967267082334575E-2</v>
      </c>
      <c r="D50" s="8"/>
      <c r="E50" s="6">
        <v>36404</v>
      </c>
      <c r="F50" s="7">
        <v>55.869799999999998</v>
      </c>
      <c r="G50" s="8">
        <f t="shared" si="1"/>
        <v>-1.0411654837130155E-3</v>
      </c>
    </row>
    <row r="51" spans="1:7" x14ac:dyDescent="0.25">
      <c r="A51" s="6">
        <v>36434</v>
      </c>
      <c r="B51" s="1">
        <v>1362.93</v>
      </c>
      <c r="C51" s="8">
        <f t="shared" si="0"/>
        <v>6.0661766747015879E-2</v>
      </c>
      <c r="D51" s="8"/>
      <c r="E51" s="6">
        <v>36434</v>
      </c>
      <c r="F51" s="7">
        <v>56.451799999999999</v>
      </c>
      <c r="G51" s="8">
        <f t="shared" si="1"/>
        <v>1.0363192986664447E-2</v>
      </c>
    </row>
    <row r="52" spans="1:7" x14ac:dyDescent="0.25">
      <c r="A52" s="6">
        <v>36465</v>
      </c>
      <c r="B52" s="1">
        <v>1388.91</v>
      </c>
      <c r="C52" s="8">
        <f t="shared" si="0"/>
        <v>1.8882472761026243E-2</v>
      </c>
      <c r="D52" s="8"/>
      <c r="E52" s="6">
        <v>36465</v>
      </c>
      <c r="F52" s="7">
        <v>54.877400000000002</v>
      </c>
      <c r="G52" s="8">
        <f t="shared" si="1"/>
        <v>-2.8285570510582697E-2</v>
      </c>
    </row>
    <row r="53" spans="1:7" x14ac:dyDescent="0.25">
      <c r="A53" s="6">
        <v>36495</v>
      </c>
      <c r="B53" s="1">
        <v>1469.25</v>
      </c>
      <c r="C53" s="8">
        <f t="shared" si="0"/>
        <v>5.6232799654105478E-2</v>
      </c>
      <c r="D53" s="8"/>
      <c r="E53" s="6">
        <v>36495</v>
      </c>
      <c r="F53" s="7">
        <v>58.625599999999999</v>
      </c>
      <c r="G53" s="8">
        <f t="shared" si="1"/>
        <v>6.6069855053595875E-2</v>
      </c>
    </row>
    <row r="54" spans="1:7" x14ac:dyDescent="0.25">
      <c r="A54" s="6">
        <v>36526</v>
      </c>
      <c r="B54" s="1">
        <v>1394.46</v>
      </c>
      <c r="C54" s="8">
        <f t="shared" si="0"/>
        <v>-5.2244822952783904E-2</v>
      </c>
      <c r="D54" s="8"/>
      <c r="E54" s="6">
        <v>36526</v>
      </c>
      <c r="F54" s="7">
        <v>51.5976</v>
      </c>
      <c r="G54" s="8">
        <f t="shared" si="1"/>
        <v>-0.12769630147773786</v>
      </c>
    </row>
    <row r="55" spans="1:7" x14ac:dyDescent="0.25">
      <c r="A55" s="6">
        <v>36557</v>
      </c>
      <c r="B55" s="1">
        <v>1366.42</v>
      </c>
      <c r="C55" s="8">
        <f t="shared" si="0"/>
        <v>-2.0313062610448358E-2</v>
      </c>
      <c r="D55" s="8"/>
      <c r="E55" s="6">
        <v>36557</v>
      </c>
      <c r="F55" s="7">
        <v>46.621099999999998</v>
      </c>
      <c r="G55" s="8">
        <f t="shared" si="1"/>
        <v>-0.10142193142506288</v>
      </c>
    </row>
    <row r="56" spans="1:7" x14ac:dyDescent="0.25">
      <c r="A56" s="6">
        <v>36586</v>
      </c>
      <c r="B56" s="1">
        <v>1498.58</v>
      </c>
      <c r="C56" s="8">
        <f t="shared" si="0"/>
        <v>9.2323812122223556E-2</v>
      </c>
      <c r="D56" s="8"/>
      <c r="E56" s="6">
        <v>36586</v>
      </c>
      <c r="F56" s="7">
        <v>49.394799999999996</v>
      </c>
      <c r="G56" s="8">
        <f t="shared" si="1"/>
        <v>5.7791927142579094E-2</v>
      </c>
    </row>
    <row r="57" spans="1:7" x14ac:dyDescent="0.25">
      <c r="A57" s="6">
        <v>36617</v>
      </c>
      <c r="B57" s="1">
        <v>1452.43</v>
      </c>
      <c r="C57" s="8">
        <f t="shared" si="0"/>
        <v>-3.1279977258077872E-2</v>
      </c>
      <c r="D57" s="8"/>
      <c r="E57" s="6">
        <v>36617</v>
      </c>
      <c r="F57" s="7">
        <v>51.342199999999998</v>
      </c>
      <c r="G57" s="8">
        <f t="shared" si="1"/>
        <v>3.8667870607181937E-2</v>
      </c>
    </row>
    <row r="58" spans="1:7" x14ac:dyDescent="0.25">
      <c r="A58" s="6">
        <v>36647</v>
      </c>
      <c r="B58" s="1">
        <v>1420.6</v>
      </c>
      <c r="C58" s="8">
        <f t="shared" si="0"/>
        <v>-2.2158698229963615E-2</v>
      </c>
      <c r="D58" s="8"/>
      <c r="E58" s="6">
        <v>36647</v>
      </c>
      <c r="F58" s="7">
        <v>47.1402</v>
      </c>
      <c r="G58" s="8">
        <f t="shared" si="1"/>
        <v>-8.5386885922249273E-2</v>
      </c>
    </row>
    <row r="59" spans="1:7" x14ac:dyDescent="0.25">
      <c r="A59" s="6">
        <v>36678</v>
      </c>
      <c r="B59" s="1">
        <v>1454.6</v>
      </c>
      <c r="C59" s="8">
        <f t="shared" si="0"/>
        <v>2.3651631156730649E-2</v>
      </c>
      <c r="D59" s="8"/>
      <c r="E59" s="6">
        <v>36678</v>
      </c>
      <c r="F59" s="7">
        <v>42.146799999999999</v>
      </c>
      <c r="G59" s="8">
        <f t="shared" si="1"/>
        <v>-0.11196737795021956</v>
      </c>
    </row>
    <row r="60" spans="1:7" x14ac:dyDescent="0.25">
      <c r="A60" s="6">
        <v>36708</v>
      </c>
      <c r="B60" s="1">
        <v>1430.83</v>
      </c>
      <c r="C60" s="8">
        <f t="shared" si="0"/>
        <v>-1.647625326436223E-2</v>
      </c>
      <c r="D60" s="8"/>
      <c r="E60" s="6">
        <v>36708</v>
      </c>
      <c r="F60" s="7">
        <v>38.698999999999998</v>
      </c>
      <c r="G60" s="8">
        <f t="shared" si="1"/>
        <v>-8.5345002321538813E-2</v>
      </c>
    </row>
    <row r="61" spans="1:7" x14ac:dyDescent="0.25">
      <c r="A61" s="6">
        <v>36739</v>
      </c>
      <c r="B61" s="1">
        <v>1517.68</v>
      </c>
      <c r="C61" s="8">
        <f t="shared" si="0"/>
        <v>5.8928157588211842E-2</v>
      </c>
      <c r="D61" s="8"/>
      <c r="E61" s="6">
        <v>36739</v>
      </c>
      <c r="F61" s="7">
        <v>38.904400000000003</v>
      </c>
      <c r="G61" s="8">
        <f t="shared" si="1"/>
        <v>5.2935948591305267E-3</v>
      </c>
    </row>
    <row r="62" spans="1:7" x14ac:dyDescent="0.25">
      <c r="A62" s="6">
        <v>36770</v>
      </c>
      <c r="B62" s="1">
        <v>1436.51</v>
      </c>
      <c r="C62" s="8">
        <f t="shared" si="0"/>
        <v>-5.4966292284748544E-2</v>
      </c>
      <c r="D62" s="8"/>
      <c r="E62" s="6">
        <v>36770</v>
      </c>
      <c r="F62" s="7">
        <v>38.109200000000001</v>
      </c>
      <c r="G62" s="8">
        <f t="shared" si="1"/>
        <v>-2.0651631967947181E-2</v>
      </c>
    </row>
    <row r="63" spans="1:7" x14ac:dyDescent="0.25">
      <c r="A63" s="6">
        <v>36800</v>
      </c>
      <c r="B63" s="1">
        <v>1429.4</v>
      </c>
      <c r="C63" s="8">
        <f t="shared" si="0"/>
        <v>-4.9617849736629414E-3</v>
      </c>
      <c r="D63" s="8"/>
      <c r="E63" s="6">
        <v>36800</v>
      </c>
      <c r="F63" s="7">
        <v>42.850299999999997</v>
      </c>
      <c r="G63" s="8">
        <f t="shared" si="1"/>
        <v>0.11725692338635739</v>
      </c>
    </row>
    <row r="64" spans="1:7" x14ac:dyDescent="0.25">
      <c r="A64" s="6">
        <v>36831</v>
      </c>
      <c r="B64" s="1">
        <v>1314.95</v>
      </c>
      <c r="C64" s="8">
        <f t="shared" si="0"/>
        <v>-8.3456133710587313E-2</v>
      </c>
      <c r="D64" s="8"/>
      <c r="E64" s="6">
        <v>36831</v>
      </c>
      <c r="F64" s="7">
        <v>40.386600000000001</v>
      </c>
      <c r="G64" s="8">
        <f t="shared" si="1"/>
        <v>-5.9214599406382538E-2</v>
      </c>
    </row>
    <row r="65" spans="1:7" x14ac:dyDescent="0.25">
      <c r="A65" s="6">
        <v>36861</v>
      </c>
      <c r="B65" s="1">
        <v>1320.28</v>
      </c>
      <c r="C65" s="8">
        <f t="shared" si="0"/>
        <v>4.0451932227232121E-3</v>
      </c>
      <c r="D65" s="8"/>
      <c r="E65" s="6">
        <v>36861</v>
      </c>
      <c r="F65" s="7">
        <v>44.8673</v>
      </c>
      <c r="G65" s="8">
        <f t="shared" si="1"/>
        <v>0.10521119756209001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2024-10-16T08:30:10Z</dcterms:modified>
</cp:coreProperties>
</file>