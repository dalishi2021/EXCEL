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8F6DA937-BE06-445F-9706-555ABA828E8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C29" i="1"/>
  <c r="D29" i="1"/>
  <c r="E29" i="1"/>
  <c r="F29" i="1"/>
  <c r="G29" i="1"/>
  <c r="H29" i="1"/>
  <c r="I29" i="1"/>
  <c r="J29" i="1"/>
  <c r="K29" i="1"/>
  <c r="C35" i="1"/>
  <c r="D35" i="1"/>
  <c r="E35" i="1"/>
  <c r="F35" i="1"/>
  <c r="G35" i="1"/>
  <c r="H35" i="1"/>
  <c r="I35" i="1"/>
  <c r="J35" i="1"/>
  <c r="K35" i="1"/>
  <c r="C34" i="1"/>
  <c r="D34" i="1"/>
  <c r="E34" i="1"/>
  <c r="F34" i="1"/>
  <c r="G34" i="1"/>
  <c r="H34" i="1"/>
  <c r="I34" i="1"/>
  <c r="J34" i="1"/>
  <c r="K34" i="1"/>
  <c r="B34" i="1"/>
  <c r="B43" i="1" s="1"/>
  <c r="B33" i="1"/>
  <c r="B42" i="1" s="1"/>
  <c r="C33" i="1"/>
  <c r="D33" i="1"/>
  <c r="E33" i="1"/>
  <c r="F33" i="1"/>
  <c r="G33" i="1"/>
  <c r="H33" i="1"/>
  <c r="I33" i="1"/>
  <c r="J33" i="1"/>
  <c r="K33" i="1"/>
  <c r="F36" i="1"/>
  <c r="G36" i="1"/>
  <c r="B6" i="1"/>
  <c r="B50" i="1"/>
  <c r="B40" i="1"/>
  <c r="J37" i="1"/>
  <c r="I37" i="1"/>
  <c r="H37" i="1"/>
  <c r="G37" i="1"/>
  <c r="F37" i="1"/>
  <c r="E37" i="1"/>
  <c r="D37" i="1"/>
  <c r="C37" i="1"/>
  <c r="B37" i="1"/>
  <c r="J36" i="1"/>
  <c r="I36" i="1"/>
  <c r="H36" i="1"/>
  <c r="E36" i="1"/>
  <c r="D36" i="1"/>
  <c r="C36" i="1"/>
  <c r="B36" i="1"/>
  <c r="B45" i="1" s="1"/>
  <c r="B35" i="1"/>
  <c r="B44" i="1" s="1"/>
  <c r="K31" i="1"/>
  <c r="J31" i="1"/>
  <c r="I31" i="1"/>
  <c r="H31" i="1"/>
  <c r="G31" i="1"/>
  <c r="K30" i="1"/>
  <c r="J30" i="1"/>
  <c r="I30" i="1"/>
  <c r="H30" i="1"/>
  <c r="G30" i="1"/>
  <c r="F30" i="1"/>
  <c r="F31" i="1" s="1"/>
  <c r="E30" i="1"/>
  <c r="E31" i="1" s="1"/>
  <c r="D30" i="1"/>
  <c r="D31" i="1" s="1"/>
  <c r="C30" i="1"/>
  <c r="C31" i="1" s="1"/>
  <c r="B30" i="1"/>
  <c r="B31" i="1" s="1"/>
  <c r="L19" i="1"/>
  <c r="K19" i="1"/>
  <c r="J19" i="1"/>
  <c r="I19" i="1"/>
  <c r="H19" i="1"/>
  <c r="G19" i="1"/>
  <c r="F19" i="1"/>
  <c r="E19" i="1"/>
  <c r="D19" i="1"/>
  <c r="C19" i="1"/>
  <c r="B19" i="1"/>
  <c r="K17" i="1"/>
  <c r="J17" i="1"/>
  <c r="I17" i="1"/>
  <c r="H17" i="1"/>
  <c r="G17" i="1"/>
  <c r="F17" i="1"/>
  <c r="E17" i="1"/>
  <c r="D17" i="1"/>
  <c r="C17" i="1"/>
  <c r="B17" i="1"/>
  <c r="C42" i="1"/>
  <c r="C41" i="1"/>
  <c r="C44" i="1"/>
  <c r="C45" i="1"/>
  <c r="C40" i="1"/>
  <c r="C43" i="1"/>
  <c r="B41" i="1" l="1"/>
</calcChain>
</file>

<file path=xl/sharedStrings.xml><?xml version="1.0" encoding="utf-8"?>
<sst xmlns="http://schemas.openxmlformats.org/spreadsheetml/2006/main" count="51" uniqueCount="39">
  <si>
    <t>PPG CORP. INCOME STATEMENTS, 1991-2000 (Million $)</t>
  </si>
  <si>
    <t>Sales</t>
  </si>
  <si>
    <t>Cost of Goods Sold</t>
  </si>
  <si>
    <t xml:space="preserve">. </t>
  </si>
  <si>
    <t>Selling, General, and Administrative Expense</t>
  </si>
  <si>
    <t>Operating Income Before Depreciation</t>
  </si>
  <si>
    <t>Depreciation and Amortization</t>
  </si>
  <si>
    <t>Interest Expense</t>
  </si>
  <si>
    <t>Nonoperating Income (Expense) and Special Items</t>
  </si>
  <si>
    <t>Pretax Income</t>
  </si>
  <si>
    <t>Income Taxes - Total</t>
  </si>
  <si>
    <t>Minority Interest</t>
    <phoneticPr fontId="4" type="noConversion"/>
  </si>
  <si>
    <t>Income Before Extraordinary Items</t>
  </si>
  <si>
    <t>Extraordinary Items and Discontinued Operations</t>
    <phoneticPr fontId="4" type="noConversion"/>
  </si>
  <si>
    <t>Net Income (Loss)</t>
  </si>
  <si>
    <t>Cash Dividends</t>
  </si>
  <si>
    <t>Retained</t>
  </si>
  <si>
    <t>Dividends per share</t>
  </si>
  <si>
    <t>Earnings Per Share (Primary) - Including Extraordinary Items</t>
  </si>
  <si>
    <t>Earnings Per Share (Fully Diluted) - Excluding Extraordinary Items</t>
  </si>
  <si>
    <t>Earnings Per Share (Fully Diluted) - Including Extraordinary Items</t>
  </si>
  <si>
    <t>Profit and loss historical ratios</t>
  </si>
  <si>
    <t>COGS/Sales</t>
  </si>
  <si>
    <t>SG&amp;A/Sales</t>
  </si>
  <si>
    <t>Total costs/Sales (sum of above items)</t>
  </si>
  <si>
    <t>Depreciation/Gross fixed assets</t>
  </si>
  <si>
    <t>Interest expense/Average debt</t>
  </si>
  <si>
    <t>Incomes Taxes/Pretax Income</t>
  </si>
  <si>
    <t>Minority Interest/(Pretax - Taxes)</t>
  </si>
  <si>
    <t>Dividends/Net Income</t>
  </si>
  <si>
    <t>Profit and loss--model parameters</t>
  </si>
  <si>
    <t>Interest rate</t>
  </si>
  <si>
    <t>Tax rate</t>
  </si>
  <si>
    <t>Dividend growth</t>
  </si>
  <si>
    <t>&lt;-- See explanation in section 4.9</t>
  </si>
  <si>
    <t>Stock price, end-December 2001</t>
  </si>
  <si>
    <t>Earnings Per Share (Primary) - Excluding Extraordinary Items</t>
    <phoneticPr fontId="1" type="noConversion"/>
  </si>
  <si>
    <t>P/E multiple, trailing</t>
    <phoneticPr fontId="1" type="noConversion"/>
  </si>
  <si>
    <t>Common Shares Used to Calculate Primary EPS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</si>
</sst>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/>
    <xf numFmtId="0" fontId="5" fillId="0" borderId="0" xfId="0" applyFont="1" applyAlignment="1">
      <alignment horizontal="center"/>
    </xf>
    <xf numFmtId="0" fontId="4" fillId="0" borderId="0" xfId="0" applyFont="1" applyAlignment="1">
      <alignment wrapText="1"/>
    </xf>
    <xf numFmtId="3" fontId="4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3" fontId="4" fillId="0" borderId="0" xfId="0" applyNumberFormat="1" applyFont="1" applyAlignment="1"/>
    <xf numFmtId="2" fontId="4" fillId="0" borderId="0" xfId="0" applyNumberFormat="1" applyFont="1" applyAlignment="1"/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center" wrapText="1"/>
    </xf>
    <xf numFmtId="10" fontId="4" fillId="0" borderId="0" xfId="1" applyNumberFormat="1" applyFont="1" applyAlignment="1"/>
    <xf numFmtId="10" fontId="4" fillId="0" borderId="0" xfId="0" applyNumberFormat="1" applyFont="1" applyAlignment="1"/>
    <xf numFmtId="0" fontId="5" fillId="0" borderId="0" xfId="0" applyFont="1" applyAlignment="1">
      <alignment horizontal="right" wrapText="1"/>
    </xf>
    <xf numFmtId="3" fontId="4" fillId="2" borderId="0" xfId="0" applyNumberFormat="1" applyFont="1" applyFill="1" applyAlignment="1">
      <alignment horizontal="right" wrapText="1"/>
    </xf>
    <xf numFmtId="0" fontId="4" fillId="2" borderId="0" xfId="0" applyFont="1" applyFill="1" applyAlignment="1">
      <alignment wrapText="1"/>
    </xf>
    <xf numFmtId="10" fontId="6" fillId="0" borderId="0" xfId="1" applyNumberFormat="1" applyFont="1" applyAlignment="1"/>
    <xf numFmtId="10" fontId="6" fillId="0" borderId="0" xfId="0" applyNumberFormat="1" applyFont="1" applyAlignment="1"/>
    <xf numFmtId="0" fontId="7" fillId="3" borderId="0" xfId="0" applyFont="1" applyFill="1" applyAlignment="1">
      <alignment wrapText="1"/>
    </xf>
    <xf numFmtId="3" fontId="0" fillId="0" borderId="0" xfId="0" applyNumberFormat="1">
      <alignment vertical="center"/>
    </xf>
    <xf numFmtId="10" fontId="4" fillId="0" borderId="0" xfId="1" applyNumberFormat="1" applyFont="1" applyFill="1" applyAlignment="1"/>
    <xf numFmtId="3" fontId="4" fillId="4" borderId="0" xfId="0" applyNumberFormat="1" applyFont="1" applyFill="1" applyAlignment="1">
      <alignment horizontal="right" wrapText="1"/>
    </xf>
    <xf numFmtId="3" fontId="4" fillId="5" borderId="0" xfId="0" applyNumberFormat="1" applyFont="1" applyFill="1" applyAlignment="1">
      <alignment horizontal="right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horizont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1.xlsm" TargetMode="External"/><Relationship Id="rId1" Type="http://schemas.openxmlformats.org/officeDocument/2006/relationships/externalLinkPath" Target="chapter_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9">
          <cell r="B9">
            <v>7089</v>
          </cell>
          <cell r="C9">
            <v>6859</v>
          </cell>
          <cell r="D9">
            <v>6739</v>
          </cell>
          <cell r="E9">
            <v>6758</v>
          </cell>
          <cell r="F9">
            <v>6688.2</v>
          </cell>
          <cell r="G9">
            <v>6464</v>
          </cell>
          <cell r="H9">
            <v>6162.7</v>
          </cell>
          <cell r="I9">
            <v>6041.9</v>
          </cell>
          <cell r="J9">
            <v>6157.7</v>
          </cell>
          <cell r="K9">
            <v>6212.4</v>
          </cell>
        </row>
        <row r="23">
          <cell r="B23">
            <v>2971</v>
          </cell>
          <cell r="C23">
            <v>2790</v>
          </cell>
          <cell r="D23">
            <v>1718</v>
          </cell>
          <cell r="E23">
            <v>1701</v>
          </cell>
          <cell r="F23">
            <v>1482.2</v>
          </cell>
          <cell r="G23">
            <v>1220.8</v>
          </cell>
          <cell r="H23">
            <v>1144.0999999999999</v>
          </cell>
          <cell r="I23">
            <v>1129.0999999999999</v>
          </cell>
          <cell r="J23">
            <v>1306.7</v>
          </cell>
          <cell r="K23">
            <v>1573.6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M50"/>
  <sheetViews>
    <sheetView tabSelected="1" view="pageBreakPreview" zoomScale="175" zoomScaleNormal="145" zoomScaleSheetLayoutView="175" workbookViewId="0">
      <selection activeCell="C16" sqref="C16"/>
    </sheetView>
  </sheetViews>
  <sheetFormatPr defaultRowHeight="13.8" x14ac:dyDescent="0.25"/>
  <cols>
    <col min="1" max="1" width="36.5546875" style="2" customWidth="1"/>
    <col min="2" max="11" width="9.5546875" style="2" customWidth="1"/>
    <col min="12" max="12" width="8.33203125" style="2" customWidth="1"/>
    <col min="13" max="13" width="9.109375" bestFit="1" customWidth="1"/>
  </cols>
  <sheetData>
    <row r="1" spans="1:13" ht="17.399999999999999" x14ac:dyDescent="0.3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1"/>
    </row>
    <row r="2" spans="1:13" x14ac:dyDescent="0.25">
      <c r="B2" s="3">
        <v>2000</v>
      </c>
      <c r="C2" s="3">
        <v>1999</v>
      </c>
      <c r="D2" s="3">
        <v>1998</v>
      </c>
      <c r="E2" s="3">
        <v>1997</v>
      </c>
      <c r="F2" s="3">
        <v>1996</v>
      </c>
      <c r="G2" s="3">
        <v>1995</v>
      </c>
      <c r="H2" s="3">
        <v>1994</v>
      </c>
      <c r="I2" s="3">
        <v>1993</v>
      </c>
      <c r="J2" s="3">
        <v>1992</v>
      </c>
      <c r="K2" s="3">
        <v>1991</v>
      </c>
      <c r="L2" s="3">
        <v>1990</v>
      </c>
    </row>
    <row r="3" spans="1:13" x14ac:dyDescent="0.25">
      <c r="A3" s="4" t="s">
        <v>1</v>
      </c>
      <c r="B3" s="5">
        <v>8629</v>
      </c>
      <c r="C3" s="5">
        <v>7757</v>
      </c>
      <c r="D3" s="5">
        <v>7510</v>
      </c>
      <c r="E3" s="5">
        <v>7379</v>
      </c>
      <c r="F3" s="5">
        <v>7218.1</v>
      </c>
      <c r="G3" s="5">
        <v>7057.7</v>
      </c>
      <c r="H3" s="5">
        <v>6331.2</v>
      </c>
      <c r="I3" s="5">
        <v>5753.9</v>
      </c>
      <c r="J3" s="5">
        <v>5813.9</v>
      </c>
      <c r="K3" s="5">
        <v>5672.6</v>
      </c>
      <c r="L3" s="5">
        <v>5889</v>
      </c>
    </row>
    <row r="4" spans="1:13" x14ac:dyDescent="0.25">
      <c r="A4" s="4" t="s">
        <v>2</v>
      </c>
      <c r="B4" s="5">
        <v>5334</v>
      </c>
      <c r="C4" s="5">
        <v>4696</v>
      </c>
      <c r="D4" s="5">
        <v>4476</v>
      </c>
      <c r="E4" s="5">
        <v>4397</v>
      </c>
      <c r="F4" s="5">
        <v>4340.3</v>
      </c>
      <c r="G4" s="5">
        <v>4212.1000000000004</v>
      </c>
      <c r="H4" s="5">
        <v>3865.5</v>
      </c>
      <c r="I4" s="5">
        <v>3633.3</v>
      </c>
      <c r="J4" s="5">
        <v>3694.8</v>
      </c>
      <c r="K4" s="5">
        <v>3676.1</v>
      </c>
      <c r="L4" s="5" t="s">
        <v>3</v>
      </c>
    </row>
    <row r="5" spans="1:13" ht="26.4" x14ac:dyDescent="0.25">
      <c r="A5" s="4" t="s">
        <v>4</v>
      </c>
      <c r="B5" s="5">
        <v>1646</v>
      </c>
      <c r="C5" s="5">
        <v>1514</v>
      </c>
      <c r="D5" s="5">
        <v>1404</v>
      </c>
      <c r="E5" s="5">
        <v>1318</v>
      </c>
      <c r="F5" s="5">
        <v>1243.4000000000001</v>
      </c>
      <c r="G5" s="5">
        <v>1213.5</v>
      </c>
      <c r="H5" s="5">
        <v>1137.0999999999999</v>
      </c>
      <c r="I5" s="5">
        <v>1072.9000000000001</v>
      </c>
      <c r="J5" s="5">
        <v>1082.8</v>
      </c>
      <c r="K5" s="5">
        <v>1078.9000000000001</v>
      </c>
      <c r="L5" s="5">
        <v>1078.9000000000001</v>
      </c>
    </row>
    <row r="6" spans="1:13" x14ac:dyDescent="0.25">
      <c r="A6" s="4" t="s">
        <v>5</v>
      </c>
      <c r="B6" s="14">
        <f>B3-B4-B5</f>
        <v>1649</v>
      </c>
      <c r="C6" s="14">
        <v>1547</v>
      </c>
      <c r="D6" s="14">
        <v>1630</v>
      </c>
      <c r="E6" s="14">
        <v>1664</v>
      </c>
      <c r="F6" s="14">
        <v>1634.4</v>
      </c>
      <c r="G6" s="14">
        <v>1632.1</v>
      </c>
      <c r="H6" s="14">
        <v>1328.6</v>
      </c>
      <c r="I6" s="14">
        <v>1047.7</v>
      </c>
      <c r="J6" s="14">
        <v>1036.3</v>
      </c>
      <c r="K6" s="14">
        <v>917.6</v>
      </c>
      <c r="L6" s="14" t="s">
        <v>3</v>
      </c>
    </row>
    <row r="7" spans="1:13" x14ac:dyDescent="0.25">
      <c r="A7" s="4" t="s">
        <v>6</v>
      </c>
      <c r="B7" s="5">
        <v>447</v>
      </c>
      <c r="C7" s="5">
        <v>415</v>
      </c>
      <c r="D7" s="5">
        <v>354</v>
      </c>
      <c r="E7" s="5">
        <v>348</v>
      </c>
      <c r="F7" s="5">
        <v>340.2</v>
      </c>
      <c r="G7" s="5">
        <v>331.5</v>
      </c>
      <c r="H7" s="5">
        <v>317.5</v>
      </c>
      <c r="I7" s="5">
        <v>331.1</v>
      </c>
      <c r="J7" s="5">
        <v>351.5</v>
      </c>
      <c r="K7" s="5">
        <v>351.2</v>
      </c>
      <c r="L7" s="5" t="s">
        <v>3</v>
      </c>
    </row>
    <row r="8" spans="1:13" x14ac:dyDescent="0.25">
      <c r="A8" s="4" t="s">
        <v>7</v>
      </c>
      <c r="B8" s="5">
        <v>193</v>
      </c>
      <c r="C8" s="5">
        <v>142</v>
      </c>
      <c r="D8" s="5">
        <v>119</v>
      </c>
      <c r="E8" s="5">
        <v>115</v>
      </c>
      <c r="F8" s="5">
        <v>107.6</v>
      </c>
      <c r="G8" s="5">
        <v>93.2</v>
      </c>
      <c r="H8" s="5">
        <v>91.4</v>
      </c>
      <c r="I8" s="5">
        <v>109.1</v>
      </c>
      <c r="J8" s="5">
        <v>148.4</v>
      </c>
      <c r="K8" s="5">
        <v>168.7</v>
      </c>
      <c r="L8" s="5" t="s">
        <v>3</v>
      </c>
    </row>
    <row r="9" spans="1:13" ht="26.4" x14ac:dyDescent="0.25">
      <c r="A9" s="4" t="s">
        <v>8</v>
      </c>
      <c r="B9" s="5">
        <v>8</v>
      </c>
      <c r="C9" s="5">
        <v>-17</v>
      </c>
      <c r="D9" s="5">
        <v>137</v>
      </c>
      <c r="E9" s="5">
        <v>-26</v>
      </c>
      <c r="F9" s="5" t="s">
        <v>3</v>
      </c>
      <c r="G9" s="5" t="s">
        <v>3</v>
      </c>
      <c r="H9" s="5">
        <v>-64</v>
      </c>
      <c r="I9" s="5">
        <v>-63.4</v>
      </c>
      <c r="J9" s="5" t="s">
        <v>3</v>
      </c>
      <c r="K9" s="5">
        <v>-44.2</v>
      </c>
      <c r="L9" s="5" t="s">
        <v>3</v>
      </c>
    </row>
    <row r="10" spans="1:13" x14ac:dyDescent="0.25">
      <c r="A10" s="4" t="s">
        <v>9</v>
      </c>
      <c r="B10" s="21">
        <v>1017</v>
      </c>
      <c r="C10" s="21">
        <v>973</v>
      </c>
      <c r="D10" s="21">
        <v>1294</v>
      </c>
      <c r="E10" s="21">
        <v>1175</v>
      </c>
      <c r="F10" s="21">
        <v>1239.5999999999999</v>
      </c>
      <c r="G10" s="21">
        <v>1262.3</v>
      </c>
      <c r="H10" s="21">
        <v>855.7</v>
      </c>
      <c r="I10" s="21">
        <v>544.1</v>
      </c>
      <c r="J10" s="21">
        <v>541.79999999999995</v>
      </c>
      <c r="K10" s="14">
        <v>353.5</v>
      </c>
      <c r="L10" s="14">
        <v>353</v>
      </c>
      <c r="M10" s="19"/>
    </row>
    <row r="11" spans="1:13" x14ac:dyDescent="0.25">
      <c r="A11" s="4" t="s">
        <v>10</v>
      </c>
      <c r="B11" s="5">
        <v>369</v>
      </c>
      <c r="C11" s="5">
        <v>377</v>
      </c>
      <c r="D11" s="5">
        <v>466</v>
      </c>
      <c r="E11" s="5">
        <v>435</v>
      </c>
      <c r="F11" s="5">
        <v>471</v>
      </c>
      <c r="G11" s="5">
        <v>479.7</v>
      </c>
      <c r="H11" s="5">
        <v>325.2</v>
      </c>
      <c r="I11" s="5">
        <v>236.2</v>
      </c>
      <c r="J11" s="5">
        <v>218.4</v>
      </c>
      <c r="K11" s="5">
        <v>146.69999999999999</v>
      </c>
      <c r="L11" s="5">
        <v>147</v>
      </c>
      <c r="M11" s="19"/>
    </row>
    <row r="12" spans="1:13" x14ac:dyDescent="0.25">
      <c r="A12" s="4" t="s">
        <v>11</v>
      </c>
      <c r="B12" s="5">
        <v>28</v>
      </c>
      <c r="C12" s="5">
        <v>28</v>
      </c>
      <c r="D12" s="5">
        <v>27</v>
      </c>
      <c r="E12" s="5">
        <v>26</v>
      </c>
      <c r="F12" s="5">
        <v>24.6</v>
      </c>
      <c r="G12" s="5">
        <v>15</v>
      </c>
      <c r="H12" s="5">
        <v>15.9</v>
      </c>
      <c r="I12" s="5">
        <v>12.9</v>
      </c>
      <c r="J12" s="5">
        <v>4</v>
      </c>
      <c r="K12" s="5">
        <v>5.4</v>
      </c>
      <c r="L12" s="5">
        <v>5</v>
      </c>
    </row>
    <row r="13" spans="1:13" x14ac:dyDescent="0.25">
      <c r="A13" s="4" t="s">
        <v>12</v>
      </c>
      <c r="B13" s="22">
        <v>620</v>
      </c>
      <c r="C13" s="22">
        <v>568</v>
      </c>
      <c r="D13" s="22">
        <v>801</v>
      </c>
      <c r="E13" s="22">
        <v>714</v>
      </c>
      <c r="F13" s="22">
        <v>744</v>
      </c>
      <c r="G13" s="22">
        <v>767.6</v>
      </c>
      <c r="H13" s="22">
        <v>514.6</v>
      </c>
      <c r="I13" s="22">
        <v>295</v>
      </c>
      <c r="J13" s="22">
        <v>319.39999999999998</v>
      </c>
      <c r="K13" s="22">
        <v>201.4</v>
      </c>
      <c r="L13" s="22">
        <v>201</v>
      </c>
    </row>
    <row r="14" spans="1:13" ht="26.4" x14ac:dyDescent="0.25">
      <c r="A14" s="23" t="s">
        <v>13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-272.8</v>
      </c>
      <c r="J14" s="5">
        <v>0</v>
      </c>
      <c r="K14" s="5">
        <v>74.8</v>
      </c>
      <c r="L14" s="5">
        <v>75</v>
      </c>
    </row>
    <row r="15" spans="1:13" x14ac:dyDescent="0.25">
      <c r="A15" s="4" t="s">
        <v>14</v>
      </c>
      <c r="B15" s="6">
        <v>620</v>
      </c>
      <c r="C15" s="6">
        <v>568</v>
      </c>
      <c r="D15" s="6">
        <v>801</v>
      </c>
      <c r="E15" s="6">
        <v>714</v>
      </c>
      <c r="F15" s="6">
        <v>744</v>
      </c>
      <c r="G15" s="6">
        <v>767.6</v>
      </c>
      <c r="H15" s="6">
        <v>514.6</v>
      </c>
      <c r="I15" s="6">
        <v>22.2</v>
      </c>
      <c r="J15" s="6">
        <v>319.39999999999998</v>
      </c>
      <c r="K15" s="6">
        <v>276.2</v>
      </c>
      <c r="L15" s="6">
        <v>276</v>
      </c>
    </row>
    <row r="16" spans="1:13" x14ac:dyDescent="0.25">
      <c r="A16" s="4" t="s">
        <v>15</v>
      </c>
      <c r="B16" s="21">
        <v>276</v>
      </c>
      <c r="C16" s="21">
        <v>264</v>
      </c>
      <c r="D16" s="21">
        <v>252</v>
      </c>
      <c r="E16" s="21">
        <v>239</v>
      </c>
      <c r="F16" s="21">
        <v>236.6</v>
      </c>
      <c r="G16" s="21">
        <v>238.9</v>
      </c>
      <c r="H16" s="21">
        <v>237.8</v>
      </c>
      <c r="I16" s="21">
        <v>220.8</v>
      </c>
      <c r="J16" s="21">
        <v>199.6</v>
      </c>
      <c r="K16" s="14">
        <v>182.6</v>
      </c>
      <c r="L16" s="7"/>
    </row>
    <row r="17" spans="1:12" x14ac:dyDescent="0.25">
      <c r="A17" s="4" t="s">
        <v>16</v>
      </c>
      <c r="B17" s="5">
        <f>B15-B16</f>
        <v>344</v>
      </c>
      <c r="C17" s="5">
        <f t="shared" ref="C17:K17" si="0">C15-C16</f>
        <v>304</v>
      </c>
      <c r="D17" s="5">
        <f t="shared" si="0"/>
        <v>549</v>
      </c>
      <c r="E17" s="5">
        <f t="shared" si="0"/>
        <v>475</v>
      </c>
      <c r="F17" s="5">
        <f t="shared" si="0"/>
        <v>507.4</v>
      </c>
      <c r="G17" s="5">
        <f t="shared" si="0"/>
        <v>528.70000000000005</v>
      </c>
      <c r="H17" s="5">
        <f t="shared" si="0"/>
        <v>276.8</v>
      </c>
      <c r="I17" s="5">
        <f t="shared" si="0"/>
        <v>-198.60000000000002</v>
      </c>
      <c r="J17" s="5">
        <f t="shared" si="0"/>
        <v>119.79999999999998</v>
      </c>
      <c r="K17" s="5">
        <f t="shared" si="0"/>
        <v>93.6</v>
      </c>
      <c r="L17" s="6"/>
    </row>
    <row r="19" spans="1:12" x14ac:dyDescent="0.25">
      <c r="A19" s="4" t="s">
        <v>17</v>
      </c>
      <c r="B19" s="8">
        <f t="shared" ref="B19:H19" si="1">B16/B23</f>
        <v>1.6018572257690074</v>
      </c>
      <c r="C19" s="8">
        <f t="shared" si="1"/>
        <v>1.5189873417721518</v>
      </c>
      <c r="D19" s="8">
        <f t="shared" si="1"/>
        <v>1.423728813559322</v>
      </c>
      <c r="E19" s="8">
        <f t="shared" si="1"/>
        <v>1.3292547274749722</v>
      </c>
      <c r="F19" s="8">
        <f t="shared" si="1"/>
        <v>1.2598509052183173</v>
      </c>
      <c r="G19" s="8">
        <f t="shared" si="1"/>
        <v>1.1826732673267326</v>
      </c>
      <c r="H19" s="8">
        <f t="shared" si="1"/>
        <v>1.1222274657857481</v>
      </c>
      <c r="I19" s="8">
        <f>I16/I23/2</f>
        <v>1.0385700846660395</v>
      </c>
      <c r="J19" s="8">
        <f>J16/J23/2</f>
        <v>0.94062205466541005</v>
      </c>
      <c r="K19" s="8">
        <f>K16/K23/2</f>
        <v>0.85969868173258002</v>
      </c>
      <c r="L19" s="2">
        <f>L16/L23</f>
        <v>0</v>
      </c>
    </row>
    <row r="20" spans="1:12" x14ac:dyDescent="0.25">
      <c r="A20" s="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ht="26.4" x14ac:dyDescent="0.25">
      <c r="A21" s="15" t="s">
        <v>36</v>
      </c>
      <c r="B21" s="6">
        <v>3.6</v>
      </c>
      <c r="C21" s="6">
        <v>3.27</v>
      </c>
      <c r="D21" s="6">
        <v>4.5199999999999996</v>
      </c>
      <c r="E21" s="6">
        <v>3.97</v>
      </c>
      <c r="F21" s="6">
        <v>3.96</v>
      </c>
      <c r="G21" s="6">
        <v>3.8</v>
      </c>
      <c r="H21" s="6">
        <v>2.4300000000000002</v>
      </c>
      <c r="I21" s="6">
        <v>2.78</v>
      </c>
      <c r="J21" s="6">
        <v>3.01</v>
      </c>
      <c r="K21" s="6">
        <v>1.9</v>
      </c>
      <c r="L21" s="6">
        <v>0.95</v>
      </c>
    </row>
    <row r="22" spans="1:12" ht="26.4" x14ac:dyDescent="0.25">
      <c r="A22" s="15" t="s">
        <v>18</v>
      </c>
      <c r="B22" s="6">
        <v>3.6</v>
      </c>
      <c r="C22" s="6">
        <v>3.27</v>
      </c>
      <c r="D22" s="6">
        <v>4.5199999999999996</v>
      </c>
      <c r="E22" s="6">
        <v>3.97</v>
      </c>
      <c r="F22" s="6">
        <v>3.96</v>
      </c>
      <c r="G22" s="6">
        <v>3.8</v>
      </c>
      <c r="H22" s="6">
        <v>2.4300000000000002</v>
      </c>
      <c r="I22" s="6">
        <v>0.21</v>
      </c>
      <c r="J22" s="6">
        <v>3.01</v>
      </c>
      <c r="K22" s="6">
        <v>2.6</v>
      </c>
      <c r="L22" s="6">
        <v>1.3</v>
      </c>
    </row>
    <row r="23" spans="1:12" ht="26.4" x14ac:dyDescent="0.25">
      <c r="A23" s="15" t="s">
        <v>38</v>
      </c>
      <c r="B23" s="6">
        <v>172.3</v>
      </c>
      <c r="C23" s="6">
        <v>173.8</v>
      </c>
      <c r="D23" s="6">
        <v>177</v>
      </c>
      <c r="E23" s="6">
        <v>179.8</v>
      </c>
      <c r="F23" s="6">
        <v>187.8</v>
      </c>
      <c r="G23" s="6">
        <v>202</v>
      </c>
      <c r="H23" s="6">
        <v>211.9</v>
      </c>
      <c r="I23" s="6">
        <v>106.3</v>
      </c>
      <c r="J23" s="6">
        <v>106.1</v>
      </c>
      <c r="K23" s="6">
        <v>106.2</v>
      </c>
      <c r="L23" s="6">
        <v>212.4</v>
      </c>
    </row>
    <row r="24" spans="1:12" ht="26.4" x14ac:dyDescent="0.25">
      <c r="A24" s="15" t="s">
        <v>19</v>
      </c>
      <c r="B24" s="6">
        <v>3.57</v>
      </c>
      <c r="C24" s="6">
        <v>3.23</v>
      </c>
      <c r="D24" s="6">
        <v>4.4800000000000004</v>
      </c>
      <c r="E24" s="6">
        <v>3.94</v>
      </c>
      <c r="F24" s="6">
        <v>3.92</v>
      </c>
      <c r="G24" s="6">
        <v>3.76</v>
      </c>
      <c r="H24" s="6">
        <v>2.41</v>
      </c>
      <c r="I24" s="6">
        <v>2.75</v>
      </c>
      <c r="J24" s="6">
        <v>2.99</v>
      </c>
      <c r="K24" s="6" t="s">
        <v>3</v>
      </c>
      <c r="L24" s="6">
        <v>0.94</v>
      </c>
    </row>
    <row r="25" spans="1:12" ht="26.4" x14ac:dyDescent="0.25">
      <c r="A25" s="15" t="s">
        <v>20</v>
      </c>
      <c r="B25" s="6">
        <v>3.57</v>
      </c>
      <c r="C25" s="6">
        <v>3.23</v>
      </c>
      <c r="D25" s="6">
        <v>4.4800000000000004</v>
      </c>
      <c r="E25" s="6">
        <v>3.94</v>
      </c>
      <c r="F25" s="6">
        <v>3.92</v>
      </c>
      <c r="G25" s="6">
        <v>3.76</v>
      </c>
      <c r="H25" s="6">
        <v>2.41</v>
      </c>
      <c r="I25" s="6">
        <v>0.21</v>
      </c>
      <c r="J25" s="6">
        <v>2.99</v>
      </c>
      <c r="K25" s="6">
        <v>2.59</v>
      </c>
      <c r="L25" s="6">
        <v>1.29</v>
      </c>
    </row>
    <row r="28" spans="1:12" x14ac:dyDescent="0.25">
      <c r="A28" s="18" t="s">
        <v>21</v>
      </c>
      <c r="B28" s="10">
        <v>2000</v>
      </c>
      <c r="C28" s="10">
        <v>1999</v>
      </c>
      <c r="D28" s="10">
        <v>1998</v>
      </c>
      <c r="E28" s="10">
        <v>1997</v>
      </c>
      <c r="F28" s="10">
        <v>1996</v>
      </c>
      <c r="G28" s="10">
        <v>1995</v>
      </c>
      <c r="H28" s="10">
        <v>1994</v>
      </c>
      <c r="I28" s="10">
        <v>1993</v>
      </c>
      <c r="J28" s="10">
        <v>1992</v>
      </c>
      <c r="K28" s="10">
        <v>1991</v>
      </c>
      <c r="L28" s="6"/>
    </row>
    <row r="29" spans="1:12" x14ac:dyDescent="0.25">
      <c r="A29" s="4" t="s">
        <v>22</v>
      </c>
      <c r="B29" s="20">
        <f>B4/B$3</f>
        <v>0.61814810522656161</v>
      </c>
      <c r="C29" s="20">
        <f t="shared" ref="C29:K29" si="2">C4/C$3</f>
        <v>0.60538868119118217</v>
      </c>
      <c r="D29" s="20">
        <f t="shared" si="2"/>
        <v>0.59600532623169111</v>
      </c>
      <c r="E29" s="20">
        <f t="shared" si="2"/>
        <v>0.59588020056918278</v>
      </c>
      <c r="F29" s="20">
        <f t="shared" si="2"/>
        <v>0.60130782338842637</v>
      </c>
      <c r="G29" s="20">
        <f t="shared" si="2"/>
        <v>0.59680915879110763</v>
      </c>
      <c r="H29" s="20">
        <f t="shared" si="2"/>
        <v>0.61054776345716455</v>
      </c>
      <c r="I29" s="20">
        <f t="shared" si="2"/>
        <v>0.63144997306174955</v>
      </c>
      <c r="J29" s="20">
        <f t="shared" si="2"/>
        <v>0.63551144670530979</v>
      </c>
      <c r="K29" s="11">
        <f t="shared" si="2"/>
        <v>0.64804498818883749</v>
      </c>
      <c r="L29" s="11"/>
    </row>
    <row r="30" spans="1:12" x14ac:dyDescent="0.25">
      <c r="A30" s="2" t="s">
        <v>23</v>
      </c>
      <c r="B30" s="20">
        <f t="shared" ref="B30:K30" si="3">B5/B$3</f>
        <v>0.19075211496117742</v>
      </c>
      <c r="C30" s="20">
        <f t="shared" si="3"/>
        <v>0.19517854840788965</v>
      </c>
      <c r="D30" s="20">
        <f t="shared" si="3"/>
        <v>0.18695073235685752</v>
      </c>
      <c r="E30" s="20">
        <f t="shared" si="3"/>
        <v>0.17861498848082397</v>
      </c>
      <c r="F30" s="20">
        <f t="shared" si="3"/>
        <v>0.17226139842894944</v>
      </c>
      <c r="G30" s="20">
        <f t="shared" si="3"/>
        <v>0.17193986709551271</v>
      </c>
      <c r="H30" s="20">
        <f t="shared" si="3"/>
        <v>0.1796026029820571</v>
      </c>
      <c r="I30" s="20">
        <f t="shared" si="3"/>
        <v>0.18646483254835852</v>
      </c>
      <c r="J30" s="20">
        <f t="shared" si="3"/>
        <v>0.18624331343848363</v>
      </c>
      <c r="K30" s="11">
        <f t="shared" si="3"/>
        <v>0.19019497232309698</v>
      </c>
      <c r="L30" s="11"/>
    </row>
    <row r="31" spans="1:12" x14ac:dyDescent="0.25">
      <c r="A31" s="2" t="s">
        <v>24</v>
      </c>
      <c r="B31" s="12">
        <f t="shared" ref="B31:K31" si="4">B30+B29</f>
        <v>0.80890022018773899</v>
      </c>
      <c r="C31" s="12">
        <f t="shared" si="4"/>
        <v>0.80056722959907178</v>
      </c>
      <c r="D31" s="12">
        <f t="shared" si="4"/>
        <v>0.78295605858854866</v>
      </c>
      <c r="E31" s="12">
        <f t="shared" si="4"/>
        <v>0.77449518905000669</v>
      </c>
      <c r="F31" s="12">
        <f t="shared" si="4"/>
        <v>0.77356922181737575</v>
      </c>
      <c r="G31" s="12">
        <f t="shared" si="4"/>
        <v>0.76874902588662031</v>
      </c>
      <c r="H31" s="12">
        <f t="shared" si="4"/>
        <v>0.79015036643922165</v>
      </c>
      <c r="I31" s="12">
        <f t="shared" si="4"/>
        <v>0.8179148056101081</v>
      </c>
      <c r="J31" s="12">
        <f t="shared" si="4"/>
        <v>0.82175476014379345</v>
      </c>
      <c r="K31" s="12">
        <f t="shared" si="4"/>
        <v>0.8382399605119345</v>
      </c>
    </row>
    <row r="33" spans="1:11" x14ac:dyDescent="0.25">
      <c r="A33" s="2" t="s">
        <v>25</v>
      </c>
      <c r="B33" s="20">
        <f>B7/[1]Sheet1!B$9</f>
        <v>6.3055438002539141E-2</v>
      </c>
      <c r="C33" s="20">
        <f>C7/[1]Sheet1!C$9</f>
        <v>6.0504446712348739E-2</v>
      </c>
      <c r="D33" s="20">
        <f>D7/[1]Sheet1!D$9</f>
        <v>5.2530048968689715E-2</v>
      </c>
      <c r="E33" s="20">
        <f>E7/[1]Sheet1!E$9</f>
        <v>5.1494525007398637E-2</v>
      </c>
      <c r="F33" s="20">
        <f>F7/[1]Sheet1!F$9</f>
        <v>5.0865703776800934E-2</v>
      </c>
      <c r="G33" s="20">
        <f>G7/[1]Sheet1!G$9</f>
        <v>5.1284034653465344E-2</v>
      </c>
      <c r="H33" s="20">
        <f>H7/[1]Sheet1!H$9</f>
        <v>5.1519626137894105E-2</v>
      </c>
      <c r="I33" s="20">
        <f>I7/[1]Sheet1!I$9</f>
        <v>5.4800642182095044E-2</v>
      </c>
      <c r="J33" s="20">
        <f>J7/[1]Sheet1!J$9</f>
        <v>5.7083001770141452E-2</v>
      </c>
      <c r="K33" s="11">
        <f>K7/[1]Sheet1!K$9</f>
        <v>5.6532097096130322E-2</v>
      </c>
    </row>
    <row r="34" spans="1:11" x14ac:dyDescent="0.25">
      <c r="A34" s="2" t="s">
        <v>26</v>
      </c>
      <c r="B34" s="20">
        <f>B8/AVERAGE([1]Sheet1!B$23:C$23)</f>
        <v>6.7002256552681827E-2</v>
      </c>
      <c r="C34" s="20">
        <f>C8/AVERAGE([1]Sheet1!C$23:D$23)</f>
        <v>6.2999112688553682E-2</v>
      </c>
      <c r="D34" s="20">
        <f>D8/AVERAGE([1]Sheet1!D$23:E$23)</f>
        <v>6.9610997367651362E-2</v>
      </c>
      <c r="E34" s="20">
        <f>E8/AVERAGE([1]Sheet1!E$23:F$23)</f>
        <v>7.2254335260115612E-2</v>
      </c>
      <c r="F34" s="20">
        <f>F8/AVERAGE([1]Sheet1!F$23:G$23)</f>
        <v>7.9615242323344423E-2</v>
      </c>
      <c r="G34" s="20">
        <f>G8/AVERAGE([1]Sheet1!G$23:H$23)</f>
        <v>7.8819400397479825E-2</v>
      </c>
      <c r="H34" s="20">
        <f>H8/AVERAGE([1]Sheet1!H$23:I$23)</f>
        <v>8.0415273623086411E-2</v>
      </c>
      <c r="I34" s="20">
        <f>I8/AVERAGE([1]Sheet1!I$23:J$23)</f>
        <v>8.9580425322276044E-2</v>
      </c>
      <c r="J34" s="20">
        <f>J8/AVERAGE([1]Sheet1!J$23:K$23)</f>
        <v>0.10304482171995973</v>
      </c>
      <c r="K34" s="11">
        <f>K8/AVERAGE([1]Sheet1!K$23:L$23)</f>
        <v>0.10720640569395018</v>
      </c>
    </row>
    <row r="35" spans="1:11" x14ac:dyDescent="0.25">
      <c r="A35" s="2" t="s">
        <v>27</v>
      </c>
      <c r="B35" s="11">
        <f>B11/B10</f>
        <v>0.36283185840707965</v>
      </c>
      <c r="C35" s="11">
        <f t="shared" ref="C35:K35" si="5">C11/C10</f>
        <v>0.38746145940390547</v>
      </c>
      <c r="D35" s="11">
        <f t="shared" si="5"/>
        <v>0.36012364760432769</v>
      </c>
      <c r="E35" s="11">
        <f t="shared" si="5"/>
        <v>0.37021276595744679</v>
      </c>
      <c r="F35" s="11">
        <f t="shared" si="5"/>
        <v>0.37996127783155859</v>
      </c>
      <c r="G35" s="11">
        <f t="shared" si="5"/>
        <v>0.38002059732234811</v>
      </c>
      <c r="H35" s="11">
        <f t="shared" si="5"/>
        <v>0.3800397335514783</v>
      </c>
      <c r="I35" s="11">
        <f t="shared" si="5"/>
        <v>0.4341113765851865</v>
      </c>
      <c r="J35" s="11">
        <f t="shared" si="5"/>
        <v>0.4031007751937985</v>
      </c>
      <c r="K35" s="11">
        <f t="shared" si="5"/>
        <v>0.41499292786421493</v>
      </c>
    </row>
    <row r="36" spans="1:11" x14ac:dyDescent="0.25">
      <c r="A36" s="2" t="s">
        <v>28</v>
      </c>
      <c r="B36" s="11">
        <f>B12/(B10-B11)</f>
        <v>4.3209876543209874E-2</v>
      </c>
      <c r="C36" s="11">
        <f t="shared" ref="C36:J36" si="6">C12/(C10-C11)</f>
        <v>4.6979865771812082E-2</v>
      </c>
      <c r="D36" s="11">
        <f t="shared" si="6"/>
        <v>3.2608695652173912E-2</v>
      </c>
      <c r="E36" s="11">
        <f t="shared" si="6"/>
        <v>3.5135135135135137E-2</v>
      </c>
      <c r="F36" s="11">
        <f t="shared" si="6"/>
        <v>3.2006245120999227E-2</v>
      </c>
      <c r="G36" s="11">
        <f t="shared" si="6"/>
        <v>1.9166879631995912E-2</v>
      </c>
      <c r="H36" s="11">
        <f t="shared" si="6"/>
        <v>2.9971724787935909E-2</v>
      </c>
      <c r="I36" s="11">
        <f t="shared" si="6"/>
        <v>4.1896719714192919E-2</v>
      </c>
      <c r="J36" s="11">
        <f t="shared" si="6"/>
        <v>1.2368583797155226E-2</v>
      </c>
      <c r="K36" s="11"/>
    </row>
    <row r="37" spans="1:11" x14ac:dyDescent="0.25">
      <c r="A37" s="2" t="s">
        <v>29</v>
      </c>
      <c r="B37" s="11">
        <f>B16/B15</f>
        <v>0.44516129032258067</v>
      </c>
      <c r="C37" s="11">
        <f t="shared" ref="C37:J37" si="7">C16/C15</f>
        <v>0.46478873239436619</v>
      </c>
      <c r="D37" s="11">
        <f t="shared" si="7"/>
        <v>0.3146067415730337</v>
      </c>
      <c r="E37" s="11">
        <f t="shared" si="7"/>
        <v>0.33473389355742295</v>
      </c>
      <c r="F37" s="11">
        <f t="shared" si="7"/>
        <v>0.31801075268817203</v>
      </c>
      <c r="G37" s="11">
        <f t="shared" si="7"/>
        <v>0.31122980719124543</v>
      </c>
      <c r="H37" s="11">
        <f t="shared" si="7"/>
        <v>0.4621064904780412</v>
      </c>
      <c r="I37" s="11">
        <f t="shared" si="7"/>
        <v>9.9459459459459474</v>
      </c>
      <c r="J37" s="11">
        <f t="shared" si="7"/>
        <v>0.62492172824045089</v>
      </c>
      <c r="K37" s="11"/>
    </row>
    <row r="39" spans="1:11" x14ac:dyDescent="0.25">
      <c r="A39" s="18" t="s">
        <v>30</v>
      </c>
      <c r="B39" s="13"/>
    </row>
    <row r="40" spans="1:11" x14ac:dyDescent="0.25">
      <c r="A40" s="4" t="s">
        <v>22</v>
      </c>
      <c r="B40" s="11">
        <f>AVERAGE(B29:K29)</f>
        <v>0.61390934668112129</v>
      </c>
      <c r="C40" s="2" t="str">
        <f ca="1">[2]!getformula(B40)</f>
        <v>&lt;--  =AVERAGE(B29:K29)</v>
      </c>
    </row>
    <row r="41" spans="1:11" x14ac:dyDescent="0.25">
      <c r="A41" s="2" t="s">
        <v>23</v>
      </c>
      <c r="B41" s="11">
        <f>AVERAGE(B30:K30)</f>
        <v>0.18382033710232065</v>
      </c>
      <c r="C41" s="2" t="str">
        <f ca="1">[2]!getformula(B41)</f>
        <v>&lt;--  =AVERAGE(B30:K30)</v>
      </c>
    </row>
    <row r="42" spans="1:11" x14ac:dyDescent="0.25">
      <c r="A42" s="2" t="s">
        <v>25</v>
      </c>
      <c r="B42" s="16">
        <f>B33</f>
        <v>6.3055438002539141E-2</v>
      </c>
      <c r="C42" s="2" t="str">
        <f ca="1">[2]!getformula(B42)</f>
        <v>&lt;--  =B33</v>
      </c>
    </row>
    <row r="43" spans="1:11" x14ac:dyDescent="0.25">
      <c r="A43" s="2" t="s">
        <v>31</v>
      </c>
      <c r="B43" s="17">
        <f>B34</f>
        <v>6.7002256552681827E-2</v>
      </c>
      <c r="C43" s="2" t="str">
        <f ca="1">[2]!getformula(B43)</f>
        <v>&lt;--  =B34</v>
      </c>
    </row>
    <row r="44" spans="1:11" x14ac:dyDescent="0.25">
      <c r="A44" s="2" t="s">
        <v>32</v>
      </c>
      <c r="B44" s="17">
        <f>B35</f>
        <v>0.36283185840707965</v>
      </c>
      <c r="C44" s="2" t="str">
        <f ca="1">[2]!getformula(B44)</f>
        <v>&lt;--  =B35</v>
      </c>
    </row>
    <row r="45" spans="1:11" x14ac:dyDescent="0.25">
      <c r="A45" s="2" t="s">
        <v>28</v>
      </c>
      <c r="B45" s="17">
        <f>B36</f>
        <v>4.3209876543209874E-2</v>
      </c>
      <c r="C45" s="2" t="str">
        <f ca="1">[2]!getformula(B45)</f>
        <v>&lt;--  =B36</v>
      </c>
    </row>
    <row r="46" spans="1:11" x14ac:dyDescent="0.25">
      <c r="A46" s="2" t="s">
        <v>33</v>
      </c>
      <c r="B46" s="12">
        <v>4.1300000000000003E-2</v>
      </c>
      <c r="C46" s="2" t="s">
        <v>34</v>
      </c>
    </row>
    <row r="49" spans="1:2" x14ac:dyDescent="0.25">
      <c r="A49" s="2" t="s">
        <v>35</v>
      </c>
      <c r="B49" s="2">
        <v>46.31</v>
      </c>
    </row>
    <row r="50" spans="1:2" x14ac:dyDescent="0.25">
      <c r="A50" s="2" t="s">
        <v>37</v>
      </c>
      <c r="B50" s="8">
        <f>B49/B21</f>
        <v>12.863888888888889</v>
      </c>
    </row>
  </sheetData>
  <mergeCells count="1">
    <mergeCell ref="A1:K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2024-10-15T03:39:35Z</cp:lastPrinted>
  <dcterms:created xsi:type="dcterms:W3CDTF">2024-10-05T13:27:14Z</dcterms:created>
  <dcterms:modified xsi:type="dcterms:W3CDTF">2024-10-17T03:40:03Z</dcterms:modified>
</cp:coreProperties>
</file>