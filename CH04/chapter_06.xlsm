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5CF788A7-AE6E-4157-91D7-307991EB126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B3" i="1"/>
  <c r="B15" i="1" s="1"/>
  <c r="C15" i="1"/>
  <c r="D5" i="1"/>
  <c r="D3" i="1"/>
  <c r="D15" i="1"/>
</calcChain>
</file>

<file path=xl/sharedStrings.xml><?xml version="1.0" encoding="utf-8"?>
<sst xmlns="http://schemas.openxmlformats.org/spreadsheetml/2006/main" count="7" uniqueCount="7">
  <si>
    <t>PPG:  EARNINGS PER SHARE VERSUS EARNINGS</t>
  </si>
  <si>
    <t>Year</t>
  </si>
  <si>
    <t>Earnings
per share</t>
  </si>
  <si>
    <t>Profits
after taxes</t>
  </si>
  <si>
    <t>Compound growth</t>
  </si>
  <si>
    <t>Source:  Profit-loss 91-00 in this</t>
  </si>
  <si>
    <t>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</si>
</sst>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2" fontId="0" fillId="0" borderId="0" xfId="0" applyNumberFormat="1" applyAlignment="1"/>
    <xf numFmtId="1" fontId="0" fillId="0" borderId="0" xfId="0" applyNumberFormat="1" applyAlignment="1"/>
    <xf numFmtId="10" fontId="0" fillId="0" borderId="0" xfId="1" applyNumberFormat="1" applyFont="1" applyAlignment="1"/>
    <xf numFmtId="3" fontId="0" fillId="0" borderId="0" xfId="0" applyNumberFormat="1" applyAlignment="1"/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PPG:  EPS versus Profits</a:t>
            </a:r>
          </a:p>
        </c:rich>
      </c:tx>
      <c:layout>
        <c:manualLayout>
          <c:xMode val="edge"/>
          <c:yMode val="edge"/>
          <c:x val="0.31357572655234539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22456775061476"/>
          <c:y val="0.14197557609572442"/>
          <c:w val="0.67289827100245903"/>
          <c:h val="0.6111122623250745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Sheet1!$B$2</c:f>
              <c:strCache>
                <c:ptCount val="1"/>
                <c:pt idx="0">
                  <c:v>Earnings
per share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C0C0C0"/>
              </a:solidFill>
              <a:prstDash val="solid"/>
            </a:ln>
          </c:spPr>
          <c:invertIfNegative val="0"/>
          <c:cat>
            <c:strRef>
              <c:f>'[3]Page 155'!$A$2:$A$13</c:f>
              <c:strCache>
                <c:ptCount val="12"/>
                <c:pt idx="0">
                  <c:v>Year</c:v>
                </c:pt>
                <c:pt idx="1">
                  <c:v>1990</c:v>
                </c:pt>
                <c:pt idx="2">
                  <c:v>1991</c:v>
                </c:pt>
                <c:pt idx="3">
                  <c:v>1992</c:v>
                </c:pt>
                <c:pt idx="4">
                  <c:v>1993</c:v>
                </c:pt>
                <c:pt idx="5">
                  <c:v>1994</c:v>
                </c:pt>
                <c:pt idx="6">
                  <c:v>1995</c:v>
                </c:pt>
                <c:pt idx="7">
                  <c:v>1996</c:v>
                </c:pt>
                <c:pt idx="8">
                  <c:v>1997</c:v>
                </c:pt>
                <c:pt idx="9">
                  <c:v>1998</c:v>
                </c:pt>
                <c:pt idx="10">
                  <c:v>1999</c:v>
                </c:pt>
                <c:pt idx="11">
                  <c:v>2000</c:v>
                </c:pt>
              </c:strCache>
            </c:strRef>
          </c:cat>
          <c:val>
            <c:numRef>
              <c:f>Sheet1!$B$3:$B$13</c:f>
              <c:numCache>
                <c:formatCode>0.00</c:formatCode>
                <c:ptCount val="11"/>
                <c:pt idx="0">
                  <c:v>0.95</c:v>
                </c:pt>
                <c:pt idx="1">
                  <c:v>1.9</c:v>
                </c:pt>
                <c:pt idx="2">
                  <c:v>3.01</c:v>
                </c:pt>
                <c:pt idx="3">
                  <c:v>2.78</c:v>
                </c:pt>
                <c:pt idx="4">
                  <c:v>2.4300000000000002</c:v>
                </c:pt>
                <c:pt idx="5">
                  <c:v>3.8</c:v>
                </c:pt>
                <c:pt idx="6">
                  <c:v>3.96</c:v>
                </c:pt>
                <c:pt idx="7">
                  <c:v>3.97</c:v>
                </c:pt>
                <c:pt idx="8">
                  <c:v>4.5199999999999996</c:v>
                </c:pt>
                <c:pt idx="9">
                  <c:v>3.27</c:v>
                </c:pt>
                <c:pt idx="10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8-4C0E-94FC-69200E0F5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2090688"/>
        <c:axId val="1"/>
      </c:barChart>
      <c:lineChart>
        <c:grouping val="standard"/>
        <c:varyColors val="0"/>
        <c:ser>
          <c:idx val="0"/>
          <c:order val="1"/>
          <c:tx>
            <c:strRef>
              <c:f>Sheet1!$C$2</c:f>
              <c:strCache>
                <c:ptCount val="1"/>
                <c:pt idx="0">
                  <c:v>Profits
after taxes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Sheet1!$A$3:$A$13</c:f>
              <c:numCache>
                <c:formatCode>General</c:formatCode>
                <c:ptCount val="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</c:numCache>
            </c:numRef>
          </c:cat>
          <c:val>
            <c:numRef>
              <c:f>Sheet1!$C$3:$C$13</c:f>
              <c:numCache>
                <c:formatCode>0</c:formatCode>
                <c:ptCount val="11"/>
                <c:pt idx="0">
                  <c:v>201</c:v>
                </c:pt>
                <c:pt idx="1">
                  <c:v>201.4</c:v>
                </c:pt>
                <c:pt idx="2">
                  <c:v>319.39999999999998</c:v>
                </c:pt>
                <c:pt idx="3">
                  <c:v>295</c:v>
                </c:pt>
                <c:pt idx="4">
                  <c:v>514.6</c:v>
                </c:pt>
                <c:pt idx="5">
                  <c:v>767.6</c:v>
                </c:pt>
                <c:pt idx="6">
                  <c:v>744</c:v>
                </c:pt>
                <c:pt idx="7">
                  <c:v>714</c:v>
                </c:pt>
                <c:pt idx="8">
                  <c:v>801</c:v>
                </c:pt>
                <c:pt idx="9">
                  <c:v>568</c:v>
                </c:pt>
                <c:pt idx="10">
                  <c:v>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8-4C0E-94FC-69200E0F5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9620906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EPS</a:t>
                </a:r>
              </a:p>
            </c:rich>
          </c:tx>
          <c:layout>
            <c:manualLayout>
              <c:xMode val="edge"/>
              <c:yMode val="edge"/>
              <c:x val="1.9120458891013385E-2"/>
              <c:y val="0.395426208978779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62090688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Profits</a:t>
                </a:r>
              </a:p>
            </c:rich>
          </c:tx>
          <c:layout>
            <c:manualLayout>
              <c:xMode val="edge"/>
              <c:yMode val="edge"/>
              <c:x val="0.93690328861855932"/>
              <c:y val="0.372550048890947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0280422195110657"/>
          <c:y val="0.84876703100704809"/>
          <c:w val="0.4616829803822427"/>
          <c:h val="0.13580272496112769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0</xdr:rowOff>
    </xdr:from>
    <xdr:to>
      <xdr:col>5</xdr:col>
      <xdr:colOff>0</xdr:colOff>
      <xdr:row>34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A493A34D-E81E-4969-B600-30EC75128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2.xlsm" TargetMode="External"/><Relationship Id="rId1" Type="http://schemas.openxmlformats.org/officeDocument/2006/relationships/externalLinkPath" Target="chapter_02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3">
          <cell r="J13">
            <v>319.39999999999998</v>
          </cell>
        </row>
        <row r="21">
          <cell r="L21">
            <v>0.95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 mode mode "/>
      <sheetName val="Page 137, 140, 141"/>
      <sheetName val="Page 137, 140, 141 (中文)"/>
      <sheetName val="Page 138, top and page 139"/>
      <sheetName val="Page 138, top and page 139 (中文)"/>
      <sheetName val="Page 138, bottom"/>
      <sheetName val="Page 138, bottom (中文)"/>
      <sheetName val="Page 142"/>
      <sheetName val="Page 142 (中文)"/>
      <sheetName val="Page 144-146"/>
      <sheetName val="Page 144-146 (中文)"/>
      <sheetName val="page 147-150 and page 162"/>
      <sheetName val="page 147-150 and page 162（中文）"/>
      <sheetName val="Page 152"/>
      <sheetName val="Page 152 (中文)"/>
      <sheetName val="Page 155"/>
      <sheetName val="Page 155 (中文)"/>
      <sheetName val="Page 156"/>
      <sheetName val="Page 156 (中文)"/>
      <sheetName val="Page 158"/>
      <sheetName val="Page 158 (中文)"/>
      <sheetName val="Page 159, top"/>
      <sheetName val="Page 159, top (中文)"/>
      <sheetName val="Page 159, bottom"/>
      <sheetName val="Page 159, bottom (中文)"/>
      <sheetName val="Page 161"/>
      <sheetName val="Page 161 (中文)"/>
      <sheetName val="Acc Retained note"/>
      <sheetName val="Cash flow 91-00"/>
    </sheetNames>
    <sheetDataSet>
      <sheetData sheetId="0"/>
      <sheetData sheetId="1">
        <row r="3">
          <cell r="B3">
            <v>111</v>
          </cell>
        </row>
      </sheetData>
      <sheetData sheetId="2"/>
      <sheetData sheetId="3">
        <row r="8">
          <cell r="B8">
            <v>193</v>
          </cell>
        </row>
      </sheetData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>
        <row r="3">
          <cell r="A3">
            <v>1992</v>
          </cell>
        </row>
      </sheetData>
      <sheetData sheetId="14"/>
      <sheetData sheetId="15">
        <row r="2">
          <cell r="A2" t="str">
            <v>Year</v>
          </cell>
        </row>
        <row r="3">
          <cell r="A3">
            <v>1990</v>
          </cell>
        </row>
        <row r="4">
          <cell r="A4">
            <v>1991</v>
          </cell>
        </row>
        <row r="5">
          <cell r="A5">
            <v>1992</v>
          </cell>
        </row>
        <row r="6">
          <cell r="A6">
            <v>1993</v>
          </cell>
        </row>
        <row r="7">
          <cell r="A7">
            <v>1994</v>
          </cell>
        </row>
        <row r="8">
          <cell r="A8">
            <v>1995</v>
          </cell>
        </row>
        <row r="9">
          <cell r="A9">
            <v>1996</v>
          </cell>
        </row>
        <row r="10">
          <cell r="A10">
            <v>1997</v>
          </cell>
        </row>
        <row r="11">
          <cell r="A11">
            <v>1998</v>
          </cell>
        </row>
        <row r="12">
          <cell r="A12">
            <v>1999</v>
          </cell>
        </row>
        <row r="13">
          <cell r="A13">
            <v>2000</v>
          </cell>
        </row>
      </sheetData>
      <sheetData sheetId="16"/>
      <sheetData sheetId="17">
        <row r="20">
          <cell r="B20">
            <v>0.13341864582616836</v>
          </cell>
        </row>
      </sheetData>
      <sheetData sheetId="18"/>
      <sheetData sheetId="19">
        <row r="2">
          <cell r="B2">
            <v>0.86717863603105427</v>
          </cell>
        </row>
      </sheetData>
      <sheetData sheetId="20"/>
      <sheetData sheetId="21">
        <row r="5">
          <cell r="B5">
            <v>7.6562500000000006E-2</v>
          </cell>
        </row>
      </sheetData>
      <sheetData sheetId="22"/>
      <sheetData sheetId="23">
        <row r="7">
          <cell r="B7">
            <v>6.7002256552681827E-2</v>
          </cell>
        </row>
      </sheetData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F19"/>
  <sheetViews>
    <sheetView tabSelected="1" zoomScale="145" zoomScaleNormal="145" workbookViewId="0">
      <selection activeCell="J20" sqref="J20"/>
    </sheetView>
  </sheetViews>
  <sheetFormatPr defaultRowHeight="13.8" x14ac:dyDescent="0.25"/>
  <cols>
    <col min="1" max="1" width="17.6640625" style="1" customWidth="1"/>
    <col min="2" max="2" width="8.88671875" style="1"/>
    <col min="3" max="3" width="10.5546875" style="1" customWidth="1"/>
    <col min="4" max="4" width="19.5546875" style="1" bestFit="1" customWidth="1"/>
    <col min="5" max="5" width="17.6640625" style="1" customWidth="1"/>
    <col min="6" max="6" width="8.88671875" style="1"/>
  </cols>
  <sheetData>
    <row r="1" spans="1:5" ht="17.399999999999999" x14ac:dyDescent="0.3">
      <c r="A1" s="8" t="s">
        <v>0</v>
      </c>
      <c r="B1" s="8"/>
      <c r="C1" s="8"/>
      <c r="D1" s="8"/>
      <c r="E1" s="8"/>
    </row>
    <row r="2" spans="1:5" ht="39.6" x14ac:dyDescent="0.25">
      <c r="A2" s="2" t="s">
        <v>1</v>
      </c>
      <c r="B2" s="3" t="s">
        <v>2</v>
      </c>
      <c r="C2" s="3" t="s">
        <v>3</v>
      </c>
    </row>
    <row r="3" spans="1:5" x14ac:dyDescent="0.25">
      <c r="A3" s="1">
        <v>1990</v>
      </c>
      <c r="B3" s="4">
        <f>[1]Sheet1!$L$21</f>
        <v>0.95</v>
      </c>
      <c r="C3" s="5">
        <v>201</v>
      </c>
      <c r="D3" s="1" t="str">
        <f ca="1">_xlfn.FORMULATEXT(B3)</f>
        <v>=[chapter_02.xlsm]Sheet1!$L$21</v>
      </c>
    </row>
    <row r="4" spans="1:5" x14ac:dyDescent="0.25">
      <c r="A4" s="1">
        <v>1991</v>
      </c>
      <c r="B4" s="4">
        <v>1.9</v>
      </c>
      <c r="C4" s="5">
        <v>201.4</v>
      </c>
      <c r="D4" s="7"/>
    </row>
    <row r="5" spans="1:5" x14ac:dyDescent="0.25">
      <c r="A5" s="1">
        <v>1992</v>
      </c>
      <c r="B5" s="4">
        <v>3.01</v>
      </c>
      <c r="C5" s="5">
        <f>[1]Sheet1!$J$13</f>
        <v>319.39999999999998</v>
      </c>
      <c r="D5" s="1" t="str">
        <f ca="1">_xlfn.FORMULATEXT(C5)</f>
        <v>=[chapter_02.xlsm]Sheet1!$J$13</v>
      </c>
    </row>
    <row r="6" spans="1:5" x14ac:dyDescent="0.25">
      <c r="A6" s="1">
        <v>1993</v>
      </c>
      <c r="B6" s="4">
        <v>2.78</v>
      </c>
      <c r="C6" s="5">
        <v>295</v>
      </c>
    </row>
    <row r="7" spans="1:5" x14ac:dyDescent="0.25">
      <c r="A7" s="1">
        <v>1994</v>
      </c>
      <c r="B7" s="4">
        <v>2.4300000000000002</v>
      </c>
      <c r="C7" s="5">
        <v>514.6</v>
      </c>
    </row>
    <row r="8" spans="1:5" x14ac:dyDescent="0.25">
      <c r="A8" s="1">
        <v>1995</v>
      </c>
      <c r="B8" s="4">
        <v>3.8</v>
      </c>
      <c r="C8" s="5">
        <v>767.6</v>
      </c>
    </row>
    <row r="9" spans="1:5" x14ac:dyDescent="0.25">
      <c r="A9" s="1">
        <v>1996</v>
      </c>
      <c r="B9" s="4">
        <v>3.96</v>
      </c>
      <c r="C9" s="5">
        <v>744</v>
      </c>
    </row>
    <row r="10" spans="1:5" x14ac:dyDescent="0.25">
      <c r="A10" s="1">
        <v>1997</v>
      </c>
      <c r="B10" s="4">
        <v>3.97</v>
      </c>
      <c r="C10" s="5">
        <v>714</v>
      </c>
    </row>
    <row r="11" spans="1:5" x14ac:dyDescent="0.25">
      <c r="A11" s="1">
        <v>1998</v>
      </c>
      <c r="B11" s="4">
        <v>4.5199999999999996</v>
      </c>
      <c r="C11" s="5">
        <v>801</v>
      </c>
    </row>
    <row r="12" spans="1:5" x14ac:dyDescent="0.25">
      <c r="A12" s="1">
        <v>1999</v>
      </c>
      <c r="B12" s="4">
        <v>3.27</v>
      </c>
      <c r="C12" s="5">
        <v>568</v>
      </c>
    </row>
    <row r="13" spans="1:5" x14ac:dyDescent="0.25">
      <c r="A13" s="1">
        <v>2000</v>
      </c>
      <c r="B13" s="4">
        <v>3.6</v>
      </c>
      <c r="C13" s="5">
        <v>620</v>
      </c>
    </row>
    <row r="15" spans="1:5" x14ac:dyDescent="0.25">
      <c r="A15" s="1" t="s">
        <v>4</v>
      </c>
      <c r="B15" s="6">
        <f>(B13/B3)^(1/10)-1</f>
        <v>0.1425044217106155</v>
      </c>
      <c r="C15" s="6">
        <f>(C13/C3)^(1/10)-1</f>
        <v>0.11923056871168725</v>
      </c>
      <c r="D15" s="1" t="str">
        <f ca="1">[2]!getformula(C15)</f>
        <v>&lt;--  =(C13/C3)^(1/10)-1</v>
      </c>
    </row>
    <row r="18" spans="1:1" x14ac:dyDescent="0.25">
      <c r="A18" s="1" t="s">
        <v>5</v>
      </c>
    </row>
    <row r="19" spans="1:1" x14ac:dyDescent="0.25">
      <c r="A19" s="1" t="s">
        <v>6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2024-10-16T08:30:15Z</dcterms:modified>
</cp:coreProperties>
</file>