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4\"/>
    </mc:Choice>
  </mc:AlternateContent>
  <xr:revisionPtr revIDLastSave="0" documentId="13_ncr:1_{EB69AC9D-85AF-4BE0-B0DF-E45D1B55CFC6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2" i="1" l="1"/>
  <c r="D31" i="1"/>
  <c r="D29" i="1"/>
  <c r="D27" i="1"/>
  <c r="D23" i="1"/>
  <c r="B23" i="1"/>
  <c r="B24" i="1" s="1"/>
  <c r="B32" i="1" s="1"/>
  <c r="D21" i="1"/>
  <c r="D19" i="1"/>
  <c r="B12" i="1"/>
  <c r="E7" i="1"/>
  <c r="E6" i="1"/>
  <c r="B6" i="1"/>
  <c r="B7" i="1" s="1"/>
  <c r="B8" i="1" s="1"/>
  <c r="B11" i="1" s="1"/>
  <c r="B13" i="1" s="1"/>
  <c r="D18" i="1" s="1"/>
  <c r="E32" i="1"/>
  <c r="E28" i="1"/>
  <c r="E22" i="1"/>
  <c r="E19" i="1"/>
  <c r="E18" i="1"/>
  <c r="C13" i="1"/>
  <c r="C12" i="1"/>
  <c r="C11" i="1"/>
  <c r="D24" i="1" l="1"/>
  <c r="D28" i="1"/>
  <c r="B33" i="1"/>
  <c r="E8" i="1"/>
  <c r="D32" i="1" s="1"/>
  <c r="D33" i="1" s="1"/>
</calcChain>
</file>

<file path=xl/sharedStrings.xml><?xml version="1.0" encoding="utf-8"?>
<sst xmlns="http://schemas.openxmlformats.org/spreadsheetml/2006/main" count="41" uniqueCount="33">
  <si>
    <t>2006 P&amp;L for tax purposes</t>
  </si>
  <si>
    <t>2006 P&amp;L for reporting purposes</t>
  </si>
  <si>
    <t>Sales</t>
  </si>
  <si>
    <t>Costs</t>
  </si>
  <si>
    <t>Depreciation</t>
  </si>
  <si>
    <t>PBT</t>
  </si>
  <si>
    <t>Taxes (40%)</t>
  </si>
  <si>
    <t>PAT</t>
  </si>
  <si>
    <t>Cash flow</t>
  </si>
  <si>
    <t>Add back depreciation</t>
    <phoneticPr fontId="4" type="noConversion"/>
  </si>
  <si>
    <t>Balance Sheet</t>
  </si>
  <si>
    <t>Assets</t>
  </si>
  <si>
    <t>Cash</t>
  </si>
  <si>
    <t>Other current assets</t>
  </si>
  <si>
    <t>FA at cost</t>
  </si>
  <si>
    <t>Accumulated depreciation</t>
  </si>
  <si>
    <t>Net fixed assets</t>
  </si>
  <si>
    <t>Total assets</t>
  </si>
  <si>
    <t>Liabilities and equity</t>
  </si>
  <si>
    <t>Current liabilities</t>
  </si>
  <si>
    <t>Deferred taxes</t>
  </si>
  <si>
    <t>Debt</t>
  </si>
  <si>
    <t>Equity</t>
  </si>
  <si>
    <t xml:space="preserve">     Stock</t>
  </si>
  <si>
    <t xml:space="preserve">     Accumulated retained</t>
    <phoneticPr fontId="4" type="noConversion"/>
  </si>
  <si>
    <t>Total liabilities and equity</t>
  </si>
  <si>
    <t>Assumptions:</t>
  </si>
  <si>
    <t>1.  All COGS in cash</t>
    <phoneticPr fontId="4" type="noConversion"/>
  </si>
  <si>
    <t>2.  All Sales in cash</t>
  </si>
  <si>
    <t>3.  No new assets purchased</t>
  </si>
  <si>
    <t>4.  No debt repaid or taken out</t>
  </si>
  <si>
    <t>5.  No dividends paid or stock sold or repurchased</t>
  </si>
  <si>
    <t>DEFERRED TAXES AND ACCELERATED DEPRECIATION
An Example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</si>
</sst>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/>
    <xf numFmtId="0" fontId="3" fillId="0" borderId="0" xfId="0" applyFont="1" applyAlignment="1">
      <alignment horizontal="center"/>
    </xf>
    <xf numFmtId="0" fontId="3" fillId="0" borderId="0" xfId="0" applyFont="1" applyAlignment="1"/>
    <xf numFmtId="0" fontId="5" fillId="0" borderId="0" xfId="0" applyFont="1" applyAlignment="1"/>
    <xf numFmtId="0" fontId="3" fillId="0" borderId="0" xfId="0" applyFont="1" applyAlignment="1">
      <alignment horizontal="center"/>
    </xf>
    <xf numFmtId="0" fontId="4" fillId="0" borderId="0" xfId="0" applyFont="1" applyAlignment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266700</xdr:colOff>
      <xdr:row>19</xdr:row>
      <xdr:rowOff>53340</xdr:rowOff>
    </xdr:from>
    <xdr:to>
      <xdr:col>5</xdr:col>
      <xdr:colOff>1254204</xdr:colOff>
      <xdr:row>23</xdr:row>
      <xdr:rowOff>121920</xdr:rowOff>
    </xdr:to>
    <xdr:sp macro="" textlink="">
      <xdr:nvSpPr>
        <xdr:cNvPr id="2" name="Text Box 2">
          <a:extLst>
            <a:ext uri="{FF2B5EF4-FFF2-40B4-BE49-F238E27FC236}">
              <a16:creationId xmlns:a16="http://schemas.microsoft.com/office/drawing/2014/main" id="{BD228EFB-0627-4F9E-9887-A0EFD0F5FE75}"/>
            </a:ext>
          </a:extLst>
        </xdr:cNvPr>
        <xdr:cNvSpPr txBox="1">
          <a:spLocks noChangeArrowheads="1"/>
        </xdr:cNvSpPr>
      </xdr:nvSpPr>
      <xdr:spPr bwMode="auto">
        <a:xfrm>
          <a:off x="5724525" y="3695700"/>
          <a:ext cx="987504" cy="7524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zh-CN" sz="1000" b="0" i="0" strike="noStrike">
              <a:solidFill>
                <a:srgbClr val="000000"/>
              </a:solidFill>
              <a:latin typeface="Arial"/>
              <a:cs typeface="Arial"/>
            </a:rPr>
            <a:t>Depreciation is reported</a:t>
          </a:r>
        </a:p>
        <a:p>
          <a:pPr algn="l" rtl="0">
            <a:defRPr sz="1000"/>
          </a:pPr>
          <a:r>
            <a:rPr lang="en-US" altLang="zh-CN" sz="1000" b="0" i="0" strike="noStrike">
              <a:solidFill>
                <a:srgbClr val="000000"/>
              </a:solidFill>
              <a:latin typeface="Arial"/>
              <a:cs typeface="Arial"/>
            </a:rPr>
            <a:t>from the shareholder P&amp;L</a:t>
          </a:r>
        </a:p>
      </xdr:txBody>
    </xdr:sp>
    <xdr:clientData/>
  </xdr:twoCellAnchor>
  <xdr:twoCellAnchor>
    <xdr:from>
      <xdr:col>4</xdr:col>
      <xdr:colOff>0</xdr:colOff>
      <xdr:row>20</xdr:row>
      <xdr:rowOff>7620</xdr:rowOff>
    </xdr:from>
    <xdr:to>
      <xdr:col>5</xdr:col>
      <xdr:colOff>213360</xdr:colOff>
      <xdr:row>21</xdr:row>
      <xdr:rowOff>30480</xdr:rowOff>
    </xdr:to>
    <xdr:sp macro="" textlink="">
      <xdr:nvSpPr>
        <xdr:cNvPr id="3" name="Line 3">
          <a:extLst>
            <a:ext uri="{FF2B5EF4-FFF2-40B4-BE49-F238E27FC236}">
              <a16:creationId xmlns:a16="http://schemas.microsoft.com/office/drawing/2014/main" id="{CE78FF68-3871-4C00-985A-233BB2BB7BFA}"/>
            </a:ext>
          </a:extLst>
        </xdr:cNvPr>
        <xdr:cNvSpPr>
          <a:spLocks noChangeShapeType="1"/>
        </xdr:cNvSpPr>
      </xdr:nvSpPr>
      <xdr:spPr bwMode="auto">
        <a:xfrm flipH="1">
          <a:off x="4695825" y="3819525"/>
          <a:ext cx="971550" cy="1905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323850</xdr:colOff>
      <xdr:row>14</xdr:row>
      <xdr:rowOff>95250</xdr:rowOff>
    </xdr:from>
    <xdr:to>
      <xdr:col>5</xdr:col>
      <xdr:colOff>1195677</xdr:colOff>
      <xdr:row>18</xdr:row>
      <xdr:rowOff>171374</xdr:rowOff>
    </xdr:to>
    <xdr:sp macro="" textlink="">
      <xdr:nvSpPr>
        <xdr:cNvPr id="4" name="Text Box 4">
          <a:extLst>
            <a:ext uri="{FF2B5EF4-FFF2-40B4-BE49-F238E27FC236}">
              <a16:creationId xmlns:a16="http://schemas.microsoft.com/office/drawing/2014/main" id="{98CDE659-DD47-4B67-A590-8B244A08E0BF}"/>
            </a:ext>
          </a:extLst>
        </xdr:cNvPr>
        <xdr:cNvSpPr txBox="1">
          <a:spLocks noChangeArrowheads="1"/>
        </xdr:cNvSpPr>
      </xdr:nvSpPr>
      <xdr:spPr bwMode="auto">
        <a:xfrm>
          <a:off x="5777865" y="2844165"/>
          <a:ext cx="879447" cy="798119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zh-CN" sz="1000" b="0" i="0" strike="noStrike">
              <a:solidFill>
                <a:srgbClr val="000000"/>
              </a:solidFill>
              <a:latin typeface="Arial"/>
              <a:cs typeface="Arial"/>
            </a:rPr>
            <a:t>Cash balances grow by the cash flow (determined by the tax P&amp;L)</a:t>
          </a:r>
        </a:p>
      </xdr:txBody>
    </xdr:sp>
    <xdr:clientData/>
  </xdr:twoCellAnchor>
  <xdr:twoCellAnchor>
    <xdr:from>
      <xdr:col>3</xdr:col>
      <xdr:colOff>1082040</xdr:colOff>
      <xdr:row>16</xdr:row>
      <xdr:rowOff>7620</xdr:rowOff>
    </xdr:from>
    <xdr:to>
      <xdr:col>5</xdr:col>
      <xdr:colOff>320040</xdr:colOff>
      <xdr:row>17</xdr:row>
      <xdr:rowOff>15240</xdr:rowOff>
    </xdr:to>
    <xdr:sp macro="" textlink="">
      <xdr:nvSpPr>
        <xdr:cNvPr id="5" name="Line 5">
          <a:extLst>
            <a:ext uri="{FF2B5EF4-FFF2-40B4-BE49-F238E27FC236}">
              <a16:creationId xmlns:a16="http://schemas.microsoft.com/office/drawing/2014/main" id="{F6A7F1AE-1E5E-4376-9979-40E8AB2DADEA}"/>
            </a:ext>
          </a:extLst>
        </xdr:cNvPr>
        <xdr:cNvSpPr>
          <a:spLocks noChangeShapeType="1"/>
        </xdr:cNvSpPr>
      </xdr:nvSpPr>
      <xdr:spPr bwMode="auto">
        <a:xfrm flipH="1">
          <a:off x="4419600" y="3133725"/>
          <a:ext cx="1362075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365760</xdr:colOff>
      <xdr:row>27</xdr:row>
      <xdr:rowOff>64770</xdr:rowOff>
    </xdr:from>
    <xdr:to>
      <xdr:col>5</xdr:col>
      <xdr:colOff>1368496</xdr:colOff>
      <xdr:row>33</xdr:row>
      <xdr:rowOff>41910</xdr:rowOff>
    </xdr:to>
    <xdr:sp macro="" textlink="">
      <xdr:nvSpPr>
        <xdr:cNvPr id="6" name="Text Box 6">
          <a:extLst>
            <a:ext uri="{FF2B5EF4-FFF2-40B4-BE49-F238E27FC236}">
              <a16:creationId xmlns:a16="http://schemas.microsoft.com/office/drawing/2014/main" id="{E8D905B5-5E60-4E9F-B42C-2B5C6A084B32}"/>
            </a:ext>
          </a:extLst>
        </xdr:cNvPr>
        <xdr:cNvSpPr txBox="1">
          <a:spLocks noChangeArrowheads="1"/>
        </xdr:cNvSpPr>
      </xdr:nvSpPr>
      <xdr:spPr bwMode="auto">
        <a:xfrm>
          <a:off x="5819775" y="5073015"/>
          <a:ext cx="1006546" cy="10096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zh-CN" sz="1000" b="0" i="0" strike="noStrike">
              <a:solidFill>
                <a:srgbClr val="000000"/>
              </a:solidFill>
              <a:latin typeface="Arial"/>
              <a:cs typeface="Arial"/>
            </a:rPr>
            <a:t>Accumulated retained earnings grow by the PAT from the shareholder P&amp;L</a:t>
          </a:r>
        </a:p>
      </xdr:txBody>
    </xdr:sp>
    <xdr:clientData/>
  </xdr:twoCellAnchor>
  <xdr:twoCellAnchor>
    <xdr:from>
      <xdr:col>4</xdr:col>
      <xdr:colOff>0</xdr:colOff>
      <xdr:row>28</xdr:row>
      <xdr:rowOff>76200</xdr:rowOff>
    </xdr:from>
    <xdr:to>
      <xdr:col>5</xdr:col>
      <xdr:colOff>358140</xdr:colOff>
      <xdr:row>31</xdr:row>
      <xdr:rowOff>30480</xdr:rowOff>
    </xdr:to>
    <xdr:sp macro="" textlink="">
      <xdr:nvSpPr>
        <xdr:cNvPr id="7" name="Line 7">
          <a:extLst>
            <a:ext uri="{FF2B5EF4-FFF2-40B4-BE49-F238E27FC236}">
              <a16:creationId xmlns:a16="http://schemas.microsoft.com/office/drawing/2014/main" id="{4A6DEE90-1EB9-4B5D-8BAD-51C7304A8763}"/>
            </a:ext>
          </a:extLst>
        </xdr:cNvPr>
        <xdr:cNvSpPr>
          <a:spLocks noChangeShapeType="1"/>
        </xdr:cNvSpPr>
      </xdr:nvSpPr>
      <xdr:spPr bwMode="auto">
        <a:xfrm flipH="1">
          <a:off x="4695825" y="5257800"/>
          <a:ext cx="1123950" cy="466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320040</xdr:colOff>
      <xdr:row>34</xdr:row>
      <xdr:rowOff>30480</xdr:rowOff>
    </xdr:from>
    <xdr:to>
      <xdr:col>4</xdr:col>
      <xdr:colOff>544912</xdr:colOff>
      <xdr:row>38</xdr:row>
      <xdr:rowOff>95362</xdr:rowOff>
    </xdr:to>
    <xdr:sp macro="" textlink="">
      <xdr:nvSpPr>
        <xdr:cNvPr id="8" name="Text Box 8">
          <a:extLst>
            <a:ext uri="{FF2B5EF4-FFF2-40B4-BE49-F238E27FC236}">
              <a16:creationId xmlns:a16="http://schemas.microsoft.com/office/drawing/2014/main" id="{FE21A75E-0D36-42C2-8F11-741D46AB93FD}"/>
            </a:ext>
          </a:extLst>
        </xdr:cNvPr>
        <xdr:cNvSpPr txBox="1">
          <a:spLocks noChangeArrowheads="1"/>
        </xdr:cNvSpPr>
      </xdr:nvSpPr>
      <xdr:spPr bwMode="auto">
        <a:xfrm>
          <a:off x="2809875" y="6238875"/>
          <a:ext cx="2434672" cy="74877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zh-CN" sz="1000" b="0" i="0" strike="noStrike">
              <a:solidFill>
                <a:srgbClr val="000000"/>
              </a:solidFill>
              <a:latin typeface="Arial"/>
              <a:cs typeface="Arial"/>
            </a:rPr>
            <a:t>The PLUG!  Without this, the asset side of the balance sheet grows by 420 - 200= 220, whereas the liabilities/equity side grows by 180.</a:t>
          </a:r>
        </a:p>
      </xdr:txBody>
    </xdr:sp>
    <xdr:clientData/>
  </xdr:twoCellAnchor>
  <xdr:twoCellAnchor>
    <xdr:from>
      <xdr:col>2</xdr:col>
      <xdr:colOff>411480</xdr:colOff>
      <xdr:row>27</xdr:row>
      <xdr:rowOff>91440</xdr:rowOff>
    </xdr:from>
    <xdr:to>
      <xdr:col>3</xdr:col>
      <xdr:colOff>914400</xdr:colOff>
      <xdr:row>34</xdr:row>
      <xdr:rowOff>22860</xdr:rowOff>
    </xdr:to>
    <xdr:sp macro="" textlink="">
      <xdr:nvSpPr>
        <xdr:cNvPr id="9" name="Line 9">
          <a:extLst>
            <a:ext uri="{FF2B5EF4-FFF2-40B4-BE49-F238E27FC236}">
              <a16:creationId xmlns:a16="http://schemas.microsoft.com/office/drawing/2014/main" id="{D971F185-E04C-4A91-B05F-9E87C505C32B}"/>
            </a:ext>
          </a:extLst>
        </xdr:cNvPr>
        <xdr:cNvSpPr>
          <a:spLocks noChangeShapeType="1"/>
        </xdr:cNvSpPr>
      </xdr:nvSpPr>
      <xdr:spPr bwMode="auto">
        <a:xfrm flipV="1">
          <a:off x="2895600" y="5105400"/>
          <a:ext cx="1352550" cy="11239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144780</xdr:colOff>
          <xdr:row>4</xdr:row>
          <xdr:rowOff>121920</xdr:rowOff>
        </xdr:from>
        <xdr:to>
          <xdr:col>20</xdr:col>
          <xdr:colOff>129540</xdr:colOff>
          <xdr:row>46</xdr:row>
          <xdr:rowOff>15240</xdr:rowOff>
        </xdr:to>
        <xdr:pic>
          <xdr:nvPicPr>
            <xdr:cNvPr id="10" name="图片 9">
              <a:extLst>
                <a:ext uri="{FF2B5EF4-FFF2-40B4-BE49-F238E27FC236}">
                  <a16:creationId xmlns:a16="http://schemas.microsoft.com/office/drawing/2014/main" id="{0EFC8BA7-2907-C465-CBFB-7AA99DC412F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[1]Page 164-166'!$A$1:$F$40" spid="_x0000_s102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648700" y="868680"/>
              <a:ext cx="7292340" cy="72618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3</xdr:col>
      <xdr:colOff>1082040</xdr:colOff>
      <xdr:row>17</xdr:row>
      <xdr:rowOff>7620</xdr:rowOff>
    </xdr:from>
    <xdr:to>
      <xdr:col>5</xdr:col>
      <xdr:colOff>320040</xdr:colOff>
      <xdr:row>18</xdr:row>
      <xdr:rowOff>15240</xdr:rowOff>
    </xdr:to>
    <xdr:sp macro="" textlink="">
      <xdr:nvSpPr>
        <xdr:cNvPr id="11" name="Line 5">
          <a:extLst>
            <a:ext uri="{FF2B5EF4-FFF2-40B4-BE49-F238E27FC236}">
              <a16:creationId xmlns:a16="http://schemas.microsoft.com/office/drawing/2014/main" id="{A41ECCC2-D242-480B-94C6-AA1816FB1119}"/>
            </a:ext>
          </a:extLst>
        </xdr:cNvPr>
        <xdr:cNvSpPr>
          <a:spLocks noChangeShapeType="1"/>
        </xdr:cNvSpPr>
      </xdr:nvSpPr>
      <xdr:spPr bwMode="auto">
        <a:xfrm flipH="1">
          <a:off x="4422884" y="2814473"/>
          <a:ext cx="1359776" cy="18031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04appendix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04appendix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164-166"/>
      <sheetName val="Page 164-166（中文）"/>
      <sheetName val="Page 167"/>
      <sheetName val="Page 167 (中文)"/>
      <sheetName val="Page 169"/>
      <sheetName val="Page 169 (中文)"/>
      <sheetName val="Page 170-171"/>
      <sheetName val="Page 170-171 (中文)"/>
      <sheetName val="Page 172"/>
      <sheetName val="Page 172 (中文)"/>
      <sheetName val="Pages 173-174"/>
      <sheetName val="Pages 173-174 (中文)"/>
      <sheetName val="Page 175"/>
      <sheetName val="Page 175 (中文)"/>
      <sheetName val="Page 176"/>
      <sheetName val="Page 176 (中文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F40"/>
  <sheetViews>
    <sheetView tabSelected="1" zoomScale="145" zoomScaleNormal="145" workbookViewId="0">
      <selection activeCell="D21" sqref="D21"/>
    </sheetView>
  </sheetViews>
  <sheetFormatPr defaultRowHeight="13.8" x14ac:dyDescent="0.25"/>
  <cols>
    <col min="1" max="1" width="25.5546875" style="2" customWidth="1"/>
    <col min="2" max="2" width="10.6640625" style="2" customWidth="1"/>
    <col min="3" max="3" width="12.33203125" style="2" customWidth="1"/>
    <col min="4" max="4" width="19.88671875" style="2" customWidth="1"/>
    <col min="5" max="5" width="11.109375" style="2" customWidth="1"/>
    <col min="6" max="6" width="26.6640625" style="2" customWidth="1"/>
  </cols>
  <sheetData>
    <row r="1" spans="1:5" ht="17.399999999999999" x14ac:dyDescent="0.25">
      <c r="A1" s="1" t="s">
        <v>32</v>
      </c>
      <c r="B1" s="1"/>
      <c r="C1" s="1"/>
      <c r="D1" s="1"/>
      <c r="E1" s="1"/>
    </row>
    <row r="2" spans="1:5" x14ac:dyDescent="0.25">
      <c r="A2" s="3" t="s">
        <v>0</v>
      </c>
      <c r="B2" s="3"/>
      <c r="C2" s="4"/>
      <c r="D2" s="3" t="s">
        <v>1</v>
      </c>
      <c r="E2" s="3"/>
    </row>
    <row r="3" spans="1:5" x14ac:dyDescent="0.25">
      <c r="A3" s="2" t="s">
        <v>2</v>
      </c>
      <c r="B3" s="2">
        <v>1000</v>
      </c>
      <c r="D3" s="2" t="s">
        <v>2</v>
      </c>
      <c r="E3" s="2">
        <v>1000</v>
      </c>
    </row>
    <row r="4" spans="1:5" x14ac:dyDescent="0.25">
      <c r="A4" s="2" t="s">
        <v>3</v>
      </c>
      <c r="B4" s="2">
        <v>500</v>
      </c>
      <c r="D4" s="2" t="s">
        <v>3</v>
      </c>
      <c r="E4" s="2">
        <v>500</v>
      </c>
    </row>
    <row r="5" spans="1:5" x14ac:dyDescent="0.25">
      <c r="A5" s="2" t="s">
        <v>4</v>
      </c>
      <c r="B5" s="2">
        <v>300</v>
      </c>
      <c r="D5" s="2" t="s">
        <v>4</v>
      </c>
      <c r="E5" s="2">
        <v>250</v>
      </c>
    </row>
    <row r="6" spans="1:5" x14ac:dyDescent="0.25">
      <c r="A6" s="2" t="s">
        <v>5</v>
      </c>
      <c r="B6" s="2">
        <f>B3-B4-B5</f>
        <v>200</v>
      </c>
      <c r="D6" s="2" t="s">
        <v>5</v>
      </c>
      <c r="E6" s="2">
        <f>E3-E4-E5</f>
        <v>250</v>
      </c>
    </row>
    <row r="7" spans="1:5" x14ac:dyDescent="0.25">
      <c r="A7" s="2" t="s">
        <v>6</v>
      </c>
      <c r="B7" s="2">
        <f>0.4*B6</f>
        <v>80</v>
      </c>
      <c r="D7" s="2" t="s">
        <v>6</v>
      </c>
      <c r="E7" s="2">
        <f>0.4*E6</f>
        <v>100</v>
      </c>
    </row>
    <row r="8" spans="1:5" x14ac:dyDescent="0.25">
      <c r="A8" s="2" t="s">
        <v>7</v>
      </c>
      <c r="B8" s="2">
        <f>B6-B7</f>
        <v>120</v>
      </c>
      <c r="D8" s="2" t="s">
        <v>7</v>
      </c>
      <c r="E8" s="2">
        <f>E6-E7</f>
        <v>150</v>
      </c>
    </row>
    <row r="10" spans="1:5" x14ac:dyDescent="0.25">
      <c r="A10" s="4" t="s">
        <v>8</v>
      </c>
    </row>
    <row r="11" spans="1:5" x14ac:dyDescent="0.25">
      <c r="A11" s="2" t="s">
        <v>7</v>
      </c>
      <c r="B11" s="2">
        <f>B8</f>
        <v>120</v>
      </c>
      <c r="C11" s="2" t="str">
        <f ca="1">[2]!getformula(B11)</f>
        <v>&lt;--  =B8</v>
      </c>
    </row>
    <row r="12" spans="1:5" x14ac:dyDescent="0.25">
      <c r="A12" s="2" t="s">
        <v>9</v>
      </c>
      <c r="B12" s="2">
        <f>B5</f>
        <v>300</v>
      </c>
      <c r="C12" s="2" t="str">
        <f ca="1">[2]!getformula(B12)</f>
        <v>&lt;--  =B5</v>
      </c>
    </row>
    <row r="13" spans="1:5" x14ac:dyDescent="0.25">
      <c r="A13" s="2" t="s">
        <v>8</v>
      </c>
      <c r="B13" s="2">
        <f>B12+B11</f>
        <v>420</v>
      </c>
      <c r="C13" s="2" t="str">
        <f ca="1">[2]!getformula(B13)</f>
        <v>&lt;--  =B12+B11</v>
      </c>
    </row>
    <row r="15" spans="1:5" ht="15.6" x14ac:dyDescent="0.3">
      <c r="A15" s="5" t="s">
        <v>10</v>
      </c>
    </row>
    <row r="16" spans="1:5" x14ac:dyDescent="0.25">
      <c r="A16" s="3">
        <v>2005</v>
      </c>
      <c r="B16" s="3"/>
      <c r="D16" s="6">
        <v>2006</v>
      </c>
    </row>
    <row r="17" spans="1:5" x14ac:dyDescent="0.25">
      <c r="A17" s="4" t="s">
        <v>11</v>
      </c>
    </row>
    <row r="18" spans="1:5" x14ac:dyDescent="0.25">
      <c r="A18" s="7" t="s">
        <v>12</v>
      </c>
      <c r="B18" s="2">
        <v>0</v>
      </c>
      <c r="D18" s="2">
        <f>B18+B13</f>
        <v>420</v>
      </c>
      <c r="E18" s="2" t="str">
        <f ca="1">[2]!getformula(D18)</f>
        <v>&lt;--  =B18+B13</v>
      </c>
    </row>
    <row r="19" spans="1:5" x14ac:dyDescent="0.25">
      <c r="A19" s="2" t="s">
        <v>13</v>
      </c>
      <c r="B19" s="2">
        <v>0</v>
      </c>
      <c r="D19" s="2">
        <f>B19</f>
        <v>0</v>
      </c>
      <c r="E19" s="2" t="str">
        <f ca="1">[2]!getformula(D19)</f>
        <v>&lt;--  =B19</v>
      </c>
    </row>
    <row r="21" spans="1:5" x14ac:dyDescent="0.25">
      <c r="A21" s="2" t="s">
        <v>14</v>
      </c>
      <c r="B21" s="2">
        <v>500</v>
      </c>
      <c r="D21" s="2">
        <f>B21</f>
        <v>500</v>
      </c>
    </row>
    <row r="22" spans="1:5" x14ac:dyDescent="0.25">
      <c r="A22" s="2" t="s">
        <v>15</v>
      </c>
      <c r="B22" s="2">
        <v>0</v>
      </c>
      <c r="D22" s="2">
        <f>B22+E5</f>
        <v>250</v>
      </c>
      <c r="E22" s="2" t="str">
        <f ca="1">[2]!getformula(D22)</f>
        <v>&lt;--  =B22+E5</v>
      </c>
    </row>
    <row r="23" spans="1:5" x14ac:dyDescent="0.25">
      <c r="A23" s="2" t="s">
        <v>16</v>
      </c>
      <c r="B23" s="2">
        <f>B21-B22</f>
        <v>500</v>
      </c>
      <c r="D23" s="2">
        <f>D21-D22</f>
        <v>250</v>
      </c>
    </row>
    <row r="24" spans="1:5" x14ac:dyDescent="0.25">
      <c r="A24" s="4" t="s">
        <v>17</v>
      </c>
      <c r="B24" s="4">
        <f>B23+B19+B18</f>
        <v>500</v>
      </c>
      <c r="D24" s="4">
        <f>D23+D19+D18</f>
        <v>670</v>
      </c>
    </row>
    <row r="26" spans="1:5" x14ac:dyDescent="0.25">
      <c r="A26" s="4" t="s">
        <v>18</v>
      </c>
    </row>
    <row r="27" spans="1:5" x14ac:dyDescent="0.25">
      <c r="A27" s="2" t="s">
        <v>19</v>
      </c>
      <c r="B27" s="2">
        <v>0</v>
      </c>
      <c r="D27" s="2">
        <f>B27</f>
        <v>0</v>
      </c>
    </row>
    <row r="28" spans="1:5" x14ac:dyDescent="0.25">
      <c r="A28" s="7" t="s">
        <v>20</v>
      </c>
      <c r="B28" s="7">
        <v>0</v>
      </c>
      <c r="C28" s="7"/>
      <c r="D28" s="7">
        <f>E7-B7+B28</f>
        <v>20</v>
      </c>
      <c r="E28" s="7" t="str">
        <f ca="1">[2]!getformula(D28)</f>
        <v>&lt;--  =E7-B7+B28</v>
      </c>
    </row>
    <row r="29" spans="1:5" x14ac:dyDescent="0.25">
      <c r="A29" s="2" t="s">
        <v>21</v>
      </c>
      <c r="B29" s="2">
        <v>0</v>
      </c>
      <c r="D29" s="2">
        <f>B29</f>
        <v>0</v>
      </c>
    </row>
    <row r="30" spans="1:5" x14ac:dyDescent="0.25">
      <c r="A30" s="2" t="s">
        <v>22</v>
      </c>
    </row>
    <row r="31" spans="1:5" x14ac:dyDescent="0.25">
      <c r="A31" s="2" t="s">
        <v>23</v>
      </c>
      <c r="B31" s="2">
        <v>200</v>
      </c>
      <c r="D31" s="2">
        <f>B31</f>
        <v>200</v>
      </c>
    </row>
    <row r="32" spans="1:5" x14ac:dyDescent="0.25">
      <c r="A32" s="2" t="s">
        <v>24</v>
      </c>
      <c r="B32" s="2">
        <f>B24-B27-B29-B31</f>
        <v>300</v>
      </c>
      <c r="D32" s="2">
        <f>B32+E8</f>
        <v>450</v>
      </c>
      <c r="E32" s="2" t="str">
        <f ca="1">[2]!getformula(D32)</f>
        <v>&lt;--  =B32+E8</v>
      </c>
    </row>
    <row r="33" spans="1:4" x14ac:dyDescent="0.25">
      <c r="A33" s="4" t="s">
        <v>25</v>
      </c>
      <c r="B33" s="4">
        <f>SUM(B27:B32)</f>
        <v>500</v>
      </c>
      <c r="C33" s="4"/>
      <c r="D33" s="4">
        <f>SUM(D27:D32)</f>
        <v>670</v>
      </c>
    </row>
    <row r="35" spans="1:4" x14ac:dyDescent="0.25">
      <c r="A35" s="4" t="s">
        <v>26</v>
      </c>
    </row>
    <row r="36" spans="1:4" x14ac:dyDescent="0.25">
      <c r="A36" s="2" t="s">
        <v>27</v>
      </c>
    </row>
    <row r="37" spans="1:4" x14ac:dyDescent="0.25">
      <c r="A37" s="2" t="s">
        <v>28</v>
      </c>
    </row>
    <row r="38" spans="1:4" x14ac:dyDescent="0.25">
      <c r="A38" s="2" t="s">
        <v>29</v>
      </c>
    </row>
    <row r="39" spans="1:4" x14ac:dyDescent="0.25">
      <c r="A39" s="2" t="s">
        <v>30</v>
      </c>
    </row>
    <row r="40" spans="1:4" x14ac:dyDescent="0.25">
      <c r="A40" s="2" t="s">
        <v>31</v>
      </c>
    </row>
  </sheetData>
  <mergeCells count="4">
    <mergeCell ref="A1:E1"/>
    <mergeCell ref="A2:B2"/>
    <mergeCell ref="D2:E2"/>
    <mergeCell ref="A16:B16"/>
  </mergeCells>
  <phoneticPr fontId="1" type="noConversion"/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2024-10-17T11:07:20Z</dcterms:modified>
</cp:coreProperties>
</file>