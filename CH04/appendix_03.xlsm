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4\"/>
    </mc:Choice>
  </mc:AlternateContent>
  <xr:revisionPtr revIDLastSave="0" documentId="13_ncr:1_{D12ABA35-6FF6-4226-9C95-513385F33246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0" i="1" l="1"/>
  <c r="B39" i="1"/>
  <c r="B41" i="1" s="1"/>
  <c r="B37" i="1"/>
  <c r="B36" i="1"/>
  <c r="B33" i="1"/>
  <c r="B32" i="1"/>
  <c r="B31" i="1"/>
  <c r="B30" i="1"/>
  <c r="B27" i="1"/>
  <c r="B26" i="1"/>
  <c r="E10" i="1"/>
  <c r="B10" i="1"/>
  <c r="B11" i="1" s="1"/>
  <c r="B18" i="1" s="1"/>
  <c r="C41" i="1"/>
  <c r="C40" i="1"/>
  <c r="C39" i="1"/>
  <c r="C37" i="1"/>
  <c r="C36" i="1"/>
  <c r="C33" i="1"/>
  <c r="C32" i="1"/>
  <c r="C31" i="1"/>
  <c r="C30" i="1"/>
  <c r="C27" i="1"/>
  <c r="C26" i="1"/>
  <c r="B19" i="1" l="1"/>
  <c r="E11" i="1"/>
  <c r="E18" i="1" s="1"/>
  <c r="E19" i="1" s="1"/>
</calcChain>
</file>

<file path=xl/sharedStrings.xml><?xml version="1.0" encoding="utf-8"?>
<sst xmlns="http://schemas.openxmlformats.org/spreadsheetml/2006/main" count="50" uniqueCount="20">
  <si>
    <t>Company A</t>
  </si>
  <si>
    <t>Company B</t>
  </si>
  <si>
    <t>Assets</t>
  </si>
  <si>
    <t>Cash</t>
  </si>
  <si>
    <t>Current assets</t>
  </si>
  <si>
    <t>Plant property and equipment</t>
  </si>
  <si>
    <t xml:space="preserve">     At cost</t>
  </si>
  <si>
    <t xml:space="preserve">     Accumulated depreciation</t>
  </si>
  <si>
    <t xml:space="preserve">     Net PP&amp;E</t>
  </si>
  <si>
    <t>Total Assets</t>
  </si>
  <si>
    <t>Liabilities and equity</t>
  </si>
  <si>
    <t>Current liabilities</t>
  </si>
  <si>
    <t>Debt</t>
  </si>
  <si>
    <t>Equity</t>
  </si>
  <si>
    <t xml:space="preserve">      Common stock</t>
  </si>
  <si>
    <t xml:space="preserve">      Accumulated retained earnings</t>
  </si>
  <si>
    <t>Total liabilities</t>
  </si>
  <si>
    <t>Company A buys assets of Company B and assumes B's debt.  
Price = Book value of equity</t>
  </si>
  <si>
    <t>Purchase price</t>
  </si>
  <si>
    <t>GOODWILL ACCOUNTING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</si>
</sst>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3" fillId="0" borderId="0" xfId="0" applyFont="1" applyAlignment="1"/>
    <xf numFmtId="3" fontId="0" fillId="0" borderId="0" xfId="0" applyNumberFormat="1" applyAlignment="1"/>
    <xf numFmtId="0" fontId="0" fillId="0" borderId="0" xfId="0" applyAlignment="1"/>
    <xf numFmtId="0" fontId="4" fillId="0" borderId="0" xfId="0" applyFont="1" applyAlignment="1">
      <alignment horizontal="left" wrapText="1"/>
    </xf>
    <xf numFmtId="0" fontId="4" fillId="0" borderId="0" xfId="0" applyFont="1" applyAlignment="1">
      <alignment wrapText="1"/>
    </xf>
    <xf numFmtId="0" fontId="5" fillId="0" borderId="0" xfId="0" applyFont="1" applyAlignment="1"/>
    <xf numFmtId="3" fontId="5" fillId="0" borderId="0" xfId="0" applyNumberFormat="1" applyFont="1" applyAlignment="1"/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3</xdr:row>
          <xdr:rowOff>99060</xdr:rowOff>
        </xdr:from>
        <xdr:to>
          <xdr:col>17</xdr:col>
          <xdr:colOff>510541</xdr:colOff>
          <xdr:row>46</xdr:row>
          <xdr:rowOff>57150</xdr:rowOff>
        </xdr:to>
        <xdr:pic>
          <xdr:nvPicPr>
            <xdr:cNvPr id="2" name="图片 1">
              <a:extLst>
                <a:ext uri="{FF2B5EF4-FFF2-40B4-BE49-F238E27FC236}">
                  <a16:creationId xmlns:a16="http://schemas.microsoft.com/office/drawing/2014/main" id="{89BE2A9A-D8DF-F3EC-CF1F-F2DADEC9497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[1]Page 170-171'!$A$1:$E$42" spid="_x0000_s10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825740" y="670560"/>
              <a:ext cx="5775960" cy="75057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4appendix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4appendix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164-166"/>
      <sheetName val="Page 164-166（中文）"/>
      <sheetName val="Page 167"/>
      <sheetName val="Page 167 (中文)"/>
      <sheetName val="Page 169"/>
      <sheetName val="Page 169 (中文)"/>
      <sheetName val="Page 170-171"/>
      <sheetName val="Page 170-171 (中文)"/>
      <sheetName val="Page 172"/>
      <sheetName val="Page 172 (中文)"/>
      <sheetName val="Pages 173-174"/>
      <sheetName val="Pages 173-174 (中文)"/>
      <sheetName val="Page 175"/>
      <sheetName val="Page 175 (中文)"/>
      <sheetName val="Page 176"/>
      <sheetName val="Page 176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E41"/>
  <sheetViews>
    <sheetView tabSelected="1" zoomScale="130" zoomScaleNormal="130" workbookViewId="0">
      <selection activeCell="E31" sqref="E31"/>
    </sheetView>
  </sheetViews>
  <sheetFormatPr defaultRowHeight="13.8" x14ac:dyDescent="0.25"/>
  <cols>
    <col min="1" max="1" width="30.88671875" style="4" customWidth="1"/>
    <col min="2" max="2" width="9.109375" style="3" customWidth="1"/>
    <col min="3" max="3" width="9.109375" style="4" bestFit="1" customWidth="1"/>
    <col min="4" max="4" width="30.88671875" style="4" customWidth="1"/>
    <col min="5" max="5" width="8.88671875" style="4"/>
  </cols>
  <sheetData>
    <row r="1" spans="1:5" ht="17.399999999999999" x14ac:dyDescent="0.3">
      <c r="A1" s="1" t="s">
        <v>19</v>
      </c>
      <c r="B1" s="1"/>
      <c r="C1" s="1"/>
      <c r="D1" s="1"/>
      <c r="E1" s="1"/>
    </row>
    <row r="2" spans="1:5" x14ac:dyDescent="0.25">
      <c r="A2" s="2" t="s">
        <v>0</v>
      </c>
      <c r="D2" s="2" t="s">
        <v>1</v>
      </c>
      <c r="E2" s="3"/>
    </row>
    <row r="3" spans="1:5" x14ac:dyDescent="0.25">
      <c r="A3" s="2" t="s">
        <v>2</v>
      </c>
      <c r="D3" s="2" t="s">
        <v>2</v>
      </c>
      <c r="E3" s="3"/>
    </row>
    <row r="4" spans="1:5" x14ac:dyDescent="0.25">
      <c r="A4" s="4" t="s">
        <v>3</v>
      </c>
      <c r="B4" s="3">
        <v>10000</v>
      </c>
      <c r="D4" s="4" t="s">
        <v>3</v>
      </c>
      <c r="E4" s="3">
        <v>500</v>
      </c>
    </row>
    <row r="5" spans="1:5" x14ac:dyDescent="0.25">
      <c r="A5" s="4" t="s">
        <v>4</v>
      </c>
      <c r="B5" s="3">
        <v>12000</v>
      </c>
      <c r="D5" s="4" t="s">
        <v>4</v>
      </c>
      <c r="E5" s="3">
        <v>1000</v>
      </c>
    </row>
    <row r="6" spans="1:5" x14ac:dyDescent="0.25">
      <c r="E6" s="3"/>
    </row>
    <row r="7" spans="1:5" x14ac:dyDescent="0.25">
      <c r="A7" s="4" t="s">
        <v>5</v>
      </c>
      <c r="D7" s="4" t="s">
        <v>5</v>
      </c>
      <c r="E7" s="3"/>
    </row>
    <row r="8" spans="1:5" x14ac:dyDescent="0.25">
      <c r="A8" s="4" t="s">
        <v>6</v>
      </c>
      <c r="B8" s="3">
        <v>10000</v>
      </c>
      <c r="D8" s="4" t="s">
        <v>6</v>
      </c>
      <c r="E8" s="3">
        <v>1600</v>
      </c>
    </row>
    <row r="9" spans="1:5" x14ac:dyDescent="0.25">
      <c r="A9" s="4" t="s">
        <v>7</v>
      </c>
      <c r="B9" s="3">
        <v>-3000</v>
      </c>
      <c r="D9" s="4" t="s">
        <v>7</v>
      </c>
      <c r="E9" s="3">
        <v>-250</v>
      </c>
    </row>
    <row r="10" spans="1:5" x14ac:dyDescent="0.25">
      <c r="A10" s="4" t="s">
        <v>8</v>
      </c>
      <c r="B10" s="3">
        <f>B8+B9</f>
        <v>7000</v>
      </c>
      <c r="D10" s="4" t="s">
        <v>8</v>
      </c>
      <c r="E10" s="3">
        <f>E8+E9</f>
        <v>1350</v>
      </c>
    </row>
    <row r="11" spans="1:5" x14ac:dyDescent="0.25">
      <c r="A11" s="2" t="s">
        <v>9</v>
      </c>
      <c r="B11" s="3">
        <f>B10+B5+B4</f>
        <v>29000</v>
      </c>
      <c r="D11" s="2" t="s">
        <v>9</v>
      </c>
      <c r="E11" s="3">
        <f>E10+E5+E4</f>
        <v>2850</v>
      </c>
    </row>
    <row r="12" spans="1:5" x14ac:dyDescent="0.25">
      <c r="E12" s="3"/>
    </row>
    <row r="13" spans="1:5" x14ac:dyDescent="0.25">
      <c r="A13" s="2" t="s">
        <v>10</v>
      </c>
      <c r="D13" s="2" t="s">
        <v>10</v>
      </c>
      <c r="E13" s="3"/>
    </row>
    <row r="14" spans="1:5" x14ac:dyDescent="0.25">
      <c r="A14" s="4" t="s">
        <v>11</v>
      </c>
      <c r="B14" s="3">
        <v>10000</v>
      </c>
      <c r="D14" s="4" t="s">
        <v>11</v>
      </c>
      <c r="E14" s="3">
        <v>800</v>
      </c>
    </row>
    <row r="15" spans="1:5" x14ac:dyDescent="0.25">
      <c r="A15" s="4" t="s">
        <v>12</v>
      </c>
      <c r="B15" s="3">
        <v>3000</v>
      </c>
      <c r="D15" s="4" t="s">
        <v>12</v>
      </c>
      <c r="E15" s="3">
        <v>1000</v>
      </c>
    </row>
    <row r="16" spans="1:5" x14ac:dyDescent="0.25">
      <c r="A16" s="4" t="s">
        <v>13</v>
      </c>
      <c r="D16" s="4" t="s">
        <v>13</v>
      </c>
      <c r="E16" s="3"/>
    </row>
    <row r="17" spans="1:5" x14ac:dyDescent="0.25">
      <c r="A17" s="4" t="s">
        <v>14</v>
      </c>
      <c r="B17" s="3">
        <v>2000</v>
      </c>
      <c r="D17" s="4" t="s">
        <v>14</v>
      </c>
      <c r="E17" s="3">
        <v>1000</v>
      </c>
    </row>
    <row r="18" spans="1:5" x14ac:dyDescent="0.25">
      <c r="A18" s="4" t="s">
        <v>15</v>
      </c>
      <c r="B18" s="3">
        <f>B11-B14-B15-B17</f>
        <v>14000</v>
      </c>
      <c r="D18" s="4" t="s">
        <v>15</v>
      </c>
      <c r="E18" s="3">
        <f>E11-E14-E15-E17</f>
        <v>50</v>
      </c>
    </row>
    <row r="19" spans="1:5" x14ac:dyDescent="0.25">
      <c r="A19" s="2" t="s">
        <v>16</v>
      </c>
      <c r="B19" s="3">
        <f>SUM(B14:B18)</f>
        <v>29000</v>
      </c>
      <c r="D19" s="2" t="s">
        <v>16</v>
      </c>
      <c r="E19" s="3">
        <f>SUM(E14:E18)</f>
        <v>2850</v>
      </c>
    </row>
    <row r="22" spans="1:5" ht="15.6" x14ac:dyDescent="0.3">
      <c r="A22" s="5" t="s">
        <v>17</v>
      </c>
      <c r="B22" s="5"/>
      <c r="C22" s="5"/>
      <c r="D22" s="5"/>
      <c r="E22" s="6"/>
    </row>
    <row r="23" spans="1:5" x14ac:dyDescent="0.25">
      <c r="A23" s="7" t="s">
        <v>18</v>
      </c>
      <c r="B23" s="8">
        <v>1050</v>
      </c>
      <c r="C23" s="7"/>
      <c r="D23" s="7"/>
      <c r="E23" s="7"/>
    </row>
    <row r="24" spans="1:5" x14ac:dyDescent="0.25">
      <c r="A24" s="7"/>
      <c r="B24" s="8"/>
      <c r="C24" s="7"/>
      <c r="D24" s="7"/>
      <c r="E24" s="7"/>
    </row>
    <row r="25" spans="1:5" x14ac:dyDescent="0.25">
      <c r="A25" s="2" t="s">
        <v>2</v>
      </c>
    </row>
    <row r="26" spans="1:5" x14ac:dyDescent="0.25">
      <c r="A26" s="4" t="s">
        <v>3</v>
      </c>
      <c r="B26" s="3">
        <f>B4+E4-B23</f>
        <v>9450</v>
      </c>
      <c r="C26" s="4" t="str">
        <f ca="1">[2]!getformula(B26)</f>
        <v>&lt;--  =B4+E4-B23</v>
      </c>
    </row>
    <row r="27" spans="1:5" x14ac:dyDescent="0.25">
      <c r="A27" s="4" t="s">
        <v>4</v>
      </c>
      <c r="B27" s="3">
        <f>B5+E5</f>
        <v>13000</v>
      </c>
      <c r="C27" s="4" t="str">
        <f ca="1">[2]!getformula(B27)</f>
        <v>&lt;--  =B5+E5</v>
      </c>
    </row>
    <row r="29" spans="1:5" x14ac:dyDescent="0.25">
      <c r="A29" s="4" t="s">
        <v>5</v>
      </c>
    </row>
    <row r="30" spans="1:5" x14ac:dyDescent="0.25">
      <c r="A30" s="4" t="s">
        <v>6</v>
      </c>
      <c r="B30" s="3">
        <f>B8+E10</f>
        <v>11350</v>
      </c>
      <c r="C30" s="4" t="str">
        <f ca="1">[2]!getformula(B30)</f>
        <v>&lt;--  =B8+E10</v>
      </c>
    </row>
    <row r="31" spans="1:5" x14ac:dyDescent="0.25">
      <c r="A31" s="4" t="s">
        <v>7</v>
      </c>
      <c r="B31" s="3">
        <f>B9</f>
        <v>-3000</v>
      </c>
      <c r="C31" s="4" t="str">
        <f ca="1">[2]!getformula(B31)</f>
        <v>&lt;--  =B9</v>
      </c>
    </row>
    <row r="32" spans="1:5" x14ac:dyDescent="0.25">
      <c r="A32" s="4" t="s">
        <v>8</v>
      </c>
      <c r="B32" s="3">
        <f>SUM(B30:B31)</f>
        <v>8350</v>
      </c>
      <c r="C32" s="4" t="str">
        <f ca="1">[2]!getformula(B32)</f>
        <v>&lt;--  =SUM(B30:B31)</v>
      </c>
    </row>
    <row r="33" spans="1:3" x14ac:dyDescent="0.25">
      <c r="A33" s="2" t="s">
        <v>9</v>
      </c>
      <c r="B33" s="3">
        <f>B32+SUM(B26:B27)</f>
        <v>30800</v>
      </c>
      <c r="C33" s="4" t="str">
        <f ca="1">[2]!getformula(B33)</f>
        <v>&lt;--  =B32+SUM(B26:B27)</v>
      </c>
    </row>
    <row r="35" spans="1:3" x14ac:dyDescent="0.25">
      <c r="A35" s="2" t="s">
        <v>10</v>
      </c>
    </row>
    <row r="36" spans="1:3" x14ac:dyDescent="0.25">
      <c r="A36" s="4" t="s">
        <v>11</v>
      </c>
      <c r="B36" s="3">
        <f>B14+E14</f>
        <v>10800</v>
      </c>
      <c r="C36" s="4" t="str">
        <f ca="1">[2]!getformula(B36)</f>
        <v>&lt;--  =B14+E14</v>
      </c>
    </row>
    <row r="37" spans="1:3" x14ac:dyDescent="0.25">
      <c r="A37" s="4" t="s">
        <v>12</v>
      </c>
      <c r="B37" s="3">
        <f>B15+E15</f>
        <v>4000</v>
      </c>
      <c r="C37" s="4" t="str">
        <f ca="1">[2]!getformula(B37)</f>
        <v>&lt;--  =B15+E15</v>
      </c>
    </row>
    <row r="38" spans="1:3" x14ac:dyDescent="0.25">
      <c r="A38" s="4" t="s">
        <v>13</v>
      </c>
    </row>
    <row r="39" spans="1:3" x14ac:dyDescent="0.25">
      <c r="A39" s="4" t="s">
        <v>14</v>
      </c>
      <c r="B39" s="3">
        <f>B17</f>
        <v>2000</v>
      </c>
      <c r="C39" s="4" t="str">
        <f ca="1">[2]!getformula(B39)</f>
        <v>&lt;--  =B17</v>
      </c>
    </row>
    <row r="40" spans="1:3" x14ac:dyDescent="0.25">
      <c r="A40" s="4" t="s">
        <v>15</v>
      </c>
      <c r="B40" s="3">
        <f>B18</f>
        <v>14000</v>
      </c>
      <c r="C40" s="4" t="str">
        <f ca="1">[2]!getformula(B40)</f>
        <v>&lt;--  =B18</v>
      </c>
    </row>
    <row r="41" spans="1:3" x14ac:dyDescent="0.25">
      <c r="A41" s="2" t="s">
        <v>16</v>
      </c>
      <c r="B41" s="3">
        <f>SUM(B36:B40)</f>
        <v>30800</v>
      </c>
      <c r="C41" s="4" t="str">
        <f ca="1">[2]!getformula(B41)</f>
        <v>&lt;--  =SUM(B36:B40)</v>
      </c>
    </row>
  </sheetData>
  <mergeCells count="2">
    <mergeCell ref="A1:E1"/>
    <mergeCell ref="A22:D22"/>
  </mergeCells>
  <phoneticPr fontId="1" type="noConversion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2024-10-18T02:58:23Z</dcterms:modified>
</cp:coreProperties>
</file>