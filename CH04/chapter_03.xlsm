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4DC3A63A-4461-46A1-8D89-F2652299B98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" l="1"/>
  <c r="C13" i="1"/>
  <c r="C12" i="1"/>
  <c r="C11" i="1"/>
  <c r="C10" i="1"/>
  <c r="C9" i="1"/>
  <c r="C8" i="1"/>
  <c r="C7" i="1"/>
  <c r="C6" i="1"/>
  <c r="C5" i="1"/>
  <c r="C4" i="1"/>
  <c r="C15" i="1"/>
  <c r="D4" i="1"/>
</calcChain>
</file>

<file path=xl/sharedStrings.xml><?xml version="1.0" encoding="utf-8"?>
<sst xmlns="http://schemas.openxmlformats.org/spreadsheetml/2006/main" count="5" uniqueCount="5">
  <si>
    <t>PPG CORP. ANALYSIS OF SALES 1990-2000</t>
  </si>
  <si>
    <t>Year</t>
  </si>
  <si>
    <t>Sales</t>
  </si>
  <si>
    <t>Year-on-
year growth</t>
  </si>
  <si>
    <t>Compound growth rate
1990-2000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</si>
</sst>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 applyAlignment="1">
      <alignment horizontal="center" wrapText="1"/>
    </xf>
    <xf numFmtId="0" fontId="0" fillId="0" borderId="0" xfId="0" applyAlignme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5" fillId="0" borderId="0" xfId="0" applyFont="1" applyAlignment="1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5" fillId="0" borderId="0" xfId="0" applyFont="1" applyAlignment="1">
      <alignment wrapText="1"/>
    </xf>
    <xf numFmtId="3" fontId="5" fillId="0" borderId="0" xfId="0" applyNumberFormat="1" applyFont="1" applyAlignment="1">
      <alignment horizontal="right" wrapText="1"/>
    </xf>
    <xf numFmtId="10" fontId="0" fillId="0" borderId="0" xfId="1" applyNumberFormat="1" applyFont="1" applyAlignment="1">
      <alignment horizontal="center"/>
    </xf>
    <xf numFmtId="0" fontId="0" fillId="0" borderId="0" xfId="0" applyAlignment="1">
      <alignment wrapText="1"/>
    </xf>
    <xf numFmtId="10" fontId="0" fillId="0" borderId="0" xfId="1" applyNumberFormat="1" applyFont="1" applyAlignment="1"/>
    <xf numFmtId="10" fontId="0" fillId="0" borderId="0" xfId="1" applyNumberFormat="1" applyFont="1" applyBorder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>
                <a:solidFill>
                  <a:schemeClr val="tx1"/>
                </a:solidFill>
              </a:rPr>
              <a:t>PPG, Sales and Sales Growth, 1990-2000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Sheet1!$A$3:$A$13</c:f>
              <c:numCache>
                <c:formatCode>General</c:formatCode>
                <c:ptCount val="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</c:numCache>
            </c:numRef>
          </c:cat>
          <c:val>
            <c:numRef>
              <c:f>Sheet1!$B$3:$B$13</c:f>
              <c:numCache>
                <c:formatCode>#,##0</c:formatCode>
                <c:ptCount val="11"/>
                <c:pt idx="0">
                  <c:v>5889</c:v>
                </c:pt>
                <c:pt idx="1">
                  <c:v>5672.6</c:v>
                </c:pt>
                <c:pt idx="2">
                  <c:v>5813.9</c:v>
                </c:pt>
                <c:pt idx="3">
                  <c:v>5753.9</c:v>
                </c:pt>
                <c:pt idx="4">
                  <c:v>6331.2</c:v>
                </c:pt>
                <c:pt idx="5">
                  <c:v>7057.7</c:v>
                </c:pt>
                <c:pt idx="6">
                  <c:v>7218.1</c:v>
                </c:pt>
                <c:pt idx="7">
                  <c:v>7379</c:v>
                </c:pt>
                <c:pt idx="8">
                  <c:v>7510</c:v>
                </c:pt>
                <c:pt idx="9">
                  <c:v>7757</c:v>
                </c:pt>
                <c:pt idx="10">
                  <c:v>8629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C7-4768-8419-6993A08CB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2044008"/>
        <c:axId val="992045088"/>
      </c:barChart>
      <c:lineChart>
        <c:grouping val="standard"/>
        <c:varyColors val="0"/>
        <c:ser>
          <c:idx val="1"/>
          <c:order val="1"/>
          <c:tx>
            <c:strRef>
              <c:f>Sheet1!$C$2</c:f>
              <c:strCache>
                <c:ptCount val="1"/>
                <c:pt idx="0">
                  <c:v>Year-on-
year growth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Sheet1!$C$3:$C$13</c:f>
              <c:numCache>
                <c:formatCode>0.00%</c:formatCode>
                <c:ptCount val="11"/>
                <c:pt idx="1">
                  <c:v>-3.6746476481575807E-2</c:v>
                </c:pt>
                <c:pt idx="2">
                  <c:v>2.4909212706695216E-2</c:v>
                </c:pt>
                <c:pt idx="3">
                  <c:v>-1.0320094944873515E-2</c:v>
                </c:pt>
                <c:pt idx="4">
                  <c:v>0.10033194876518547</c:v>
                </c:pt>
                <c:pt idx="5">
                  <c:v>0.11474917867071022</c:v>
                </c:pt>
                <c:pt idx="6">
                  <c:v>2.2726950706320803E-2</c:v>
                </c:pt>
                <c:pt idx="7">
                  <c:v>2.229118466078317E-2</c:v>
                </c:pt>
                <c:pt idx="8">
                  <c:v>1.775308307358725E-2</c:v>
                </c:pt>
                <c:pt idx="9">
                  <c:v>3.2889480692410045E-2</c:v>
                </c:pt>
                <c:pt idx="10">
                  <c:v>0.11241459327059422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C7-4768-8419-6993A08CB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2044728"/>
        <c:axId val="992044368"/>
      </c:lineChart>
      <c:catAx>
        <c:axId val="99204400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2045088"/>
        <c:crosses val="autoZero"/>
        <c:auto val="1"/>
        <c:lblAlgn val="ctr"/>
        <c:lblOffset val="100"/>
        <c:noMultiLvlLbl val="0"/>
      </c:catAx>
      <c:valAx>
        <c:axId val="9920450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 b="1">
                    <a:solidFill>
                      <a:schemeClr val="tx1"/>
                    </a:solidFill>
                  </a:rPr>
                  <a:t>Sales($ million)</a:t>
                </a:r>
                <a:endParaRPr lang="zh-CN" altLang="en-US" sz="11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2044008"/>
        <c:crosses val="autoZero"/>
        <c:crossBetween val="between"/>
        <c:majorUnit val="1000"/>
      </c:valAx>
      <c:valAx>
        <c:axId val="9920443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 b="1">
                    <a:solidFill>
                      <a:schemeClr val="tx1"/>
                    </a:solidFill>
                  </a:rPr>
                  <a:t>Sales</a:t>
                </a:r>
                <a:r>
                  <a:rPr lang="en-US" altLang="zh-CN" sz="1100" b="1" baseline="0">
                    <a:solidFill>
                      <a:schemeClr val="tx1"/>
                    </a:solidFill>
                  </a:rPr>
                  <a:t> growth</a:t>
                </a:r>
                <a:endParaRPr lang="zh-CN" altLang="en-US" sz="11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in"/>
        <c:minorTickMark val="none"/>
        <c:tickLblPos val="nextTo"/>
        <c:spPr>
          <a:noFill/>
          <a:ln>
            <a:solidFill>
              <a:srgbClr val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2044728"/>
        <c:crosses val="max"/>
        <c:crossBetween val="between"/>
      </c:valAx>
      <c:catAx>
        <c:axId val="992044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99204436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588287</xdr:colOff>
      <xdr:row>3</xdr:row>
      <xdr:rowOff>109656</xdr:rowOff>
    </xdr:from>
    <xdr:to>
      <xdr:col>11</xdr:col>
      <xdr:colOff>495181</xdr:colOff>
      <xdr:row>17</xdr:row>
      <xdr:rowOff>78938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CB2ED870-E0CE-7DA4-304F-587A3FCB6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4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de mode mode "/>
      <sheetName val="Page 137, 140, 141"/>
      <sheetName val="Page 137, 140, 141 (中文)"/>
      <sheetName val="Page 138, top and page 139"/>
      <sheetName val="Page 138, top and page 139 (中文)"/>
      <sheetName val="Page 138, bottom"/>
      <sheetName val="Page 138, bottom (中文)"/>
      <sheetName val="Page 142"/>
      <sheetName val="Page 142 (中文)"/>
      <sheetName val="Page 144-146"/>
      <sheetName val="Page 144-146 (中文)"/>
      <sheetName val="page 147-150 and page 162"/>
      <sheetName val="page 147-150 and page 162（中文）"/>
      <sheetName val="Page 152"/>
      <sheetName val="Page 152 (中文)"/>
      <sheetName val="Page 155"/>
      <sheetName val="Page 155 (中文)"/>
      <sheetName val="Page 156"/>
      <sheetName val="Page 156 (中文)"/>
      <sheetName val="Page 158"/>
      <sheetName val="Page 158 (中文)"/>
      <sheetName val="Page 159, top"/>
      <sheetName val="Page 159, top (中文)"/>
      <sheetName val="Page 159, bottom"/>
      <sheetName val="Page 159, bottom (中文)"/>
      <sheetName val="Page 161"/>
      <sheetName val="Page 161 (中文)"/>
      <sheetName val="Acc Retained note"/>
      <sheetName val="Cash flow 91-00"/>
    </sheetNames>
    <sheetDataSet>
      <sheetData sheetId="0" refreshError="1"/>
      <sheetData sheetId="1">
        <row r="70">
          <cell r="B70">
            <v>0.18279300645638166</v>
          </cell>
        </row>
      </sheetData>
      <sheetData sheetId="2" refreshError="1"/>
      <sheetData sheetId="3">
        <row r="40">
          <cell r="B40">
            <v>0.61390934668112129</v>
          </cell>
        </row>
      </sheetData>
      <sheetData sheetId="4" refreshError="1"/>
      <sheetData sheetId="5">
        <row r="2">
          <cell r="B2" t="str">
            <v>Sales</v>
          </cell>
          <cell r="C2" t="str">
            <v>Year-on-
year growth</v>
          </cell>
        </row>
        <row r="3">
          <cell r="A3">
            <v>1990</v>
          </cell>
          <cell r="B3">
            <v>5889</v>
          </cell>
        </row>
        <row r="4">
          <cell r="A4">
            <v>1991</v>
          </cell>
          <cell r="B4">
            <v>5672.6</v>
          </cell>
          <cell r="C4">
            <v>-3.6746476481575807E-2</v>
          </cell>
        </row>
        <row r="5">
          <cell r="A5">
            <v>1992</v>
          </cell>
          <cell r="B5">
            <v>5813.9</v>
          </cell>
          <cell r="C5">
            <v>2.4909212706695216E-2</v>
          </cell>
        </row>
        <row r="6">
          <cell r="A6">
            <v>1993</v>
          </cell>
          <cell r="B6">
            <v>5753.9</v>
          </cell>
          <cell r="C6">
            <v>-1.0320094944873515E-2</v>
          </cell>
        </row>
        <row r="7">
          <cell r="A7">
            <v>1994</v>
          </cell>
          <cell r="B7">
            <v>6331.2</v>
          </cell>
          <cell r="C7">
            <v>0.10033194876518547</v>
          </cell>
        </row>
        <row r="8">
          <cell r="A8">
            <v>1995</v>
          </cell>
          <cell r="B8">
            <v>7057.7</v>
          </cell>
          <cell r="C8">
            <v>0.11474917867071022</v>
          </cell>
        </row>
        <row r="9">
          <cell r="A9">
            <v>1996</v>
          </cell>
          <cell r="B9">
            <v>7218.1</v>
          </cell>
          <cell r="C9">
            <v>2.2726950706320803E-2</v>
          </cell>
        </row>
        <row r="10">
          <cell r="A10">
            <v>1997</v>
          </cell>
          <cell r="B10">
            <v>7379</v>
          </cell>
          <cell r="C10">
            <v>2.229118466078317E-2</v>
          </cell>
        </row>
        <row r="11">
          <cell r="A11">
            <v>1998</v>
          </cell>
          <cell r="B11">
            <v>7510</v>
          </cell>
          <cell r="C11">
            <v>1.775308307358725E-2</v>
          </cell>
        </row>
        <row r="12">
          <cell r="A12">
            <v>1999</v>
          </cell>
          <cell r="B12">
            <v>7757</v>
          </cell>
          <cell r="C12">
            <v>3.2889480692410045E-2</v>
          </cell>
        </row>
        <row r="13">
          <cell r="A13">
            <v>2000</v>
          </cell>
          <cell r="B13">
            <v>8629</v>
          </cell>
          <cell r="C13">
            <v>0.11241459327059422</v>
          </cell>
        </row>
      </sheetData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>
        <row r="3">
          <cell r="B3">
            <v>3.8899999999999997E-2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32">
          <cell r="B32">
            <v>276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L15"/>
  <sheetViews>
    <sheetView tabSelected="1" zoomScale="160" zoomScaleNormal="160" workbookViewId="0">
      <selection activeCell="J21" sqref="J21"/>
    </sheetView>
  </sheetViews>
  <sheetFormatPr defaultRowHeight="13.8" x14ac:dyDescent="0.25"/>
  <cols>
    <col min="1" max="1" width="15.88671875" style="2" customWidth="1"/>
    <col min="2" max="2" width="8.88671875" style="2"/>
    <col min="3" max="3" width="11.88671875" style="2" customWidth="1"/>
    <col min="4" max="4" width="11.6640625" style="2" customWidth="1"/>
    <col min="5" max="10" width="8.88671875" style="2"/>
    <col min="11" max="11" width="14.88671875" style="2" customWidth="1"/>
    <col min="12" max="12" width="8.88671875" style="2"/>
  </cols>
  <sheetData>
    <row r="1" spans="1:12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2" ht="26.4" x14ac:dyDescent="0.25">
      <c r="A2" s="3" t="s">
        <v>1</v>
      </c>
      <c r="B2" s="3" t="s">
        <v>2</v>
      </c>
      <c r="C2" s="4" t="s">
        <v>3</v>
      </c>
      <c r="D2" s="5"/>
      <c r="E2" s="3"/>
      <c r="F2" s="3"/>
      <c r="G2" s="3"/>
      <c r="H2" s="3"/>
      <c r="I2" s="3"/>
      <c r="J2" s="3"/>
      <c r="K2" s="3"/>
      <c r="L2" s="3"/>
    </row>
    <row r="3" spans="1:12" x14ac:dyDescent="0.25">
      <c r="A3" s="6">
        <v>1990</v>
      </c>
      <c r="B3" s="7">
        <v>5889</v>
      </c>
      <c r="C3" s="6"/>
      <c r="D3" s="8"/>
      <c r="E3" s="9"/>
      <c r="F3" s="9"/>
      <c r="G3" s="9"/>
      <c r="H3" s="9"/>
      <c r="I3" s="9"/>
      <c r="J3" s="9"/>
      <c r="K3" s="9"/>
      <c r="L3" s="9"/>
    </row>
    <row r="4" spans="1:12" x14ac:dyDescent="0.25">
      <c r="A4" s="6">
        <v>1991</v>
      </c>
      <c r="B4" s="7">
        <v>5672.6</v>
      </c>
      <c r="C4" s="10">
        <f t="shared" ref="C4:C13" si="0">B4/B3-1</f>
        <v>-3.6746476481575807E-2</v>
      </c>
      <c r="D4" s="2" t="str">
        <f ca="1">[2]!getformula(C4)</f>
        <v>&lt;--  =B4/B3-1</v>
      </c>
    </row>
    <row r="5" spans="1:12" x14ac:dyDescent="0.25">
      <c r="A5" s="6">
        <v>1992</v>
      </c>
      <c r="B5" s="7">
        <v>5813.9</v>
      </c>
      <c r="C5" s="10">
        <f t="shared" si="0"/>
        <v>2.4909212706695216E-2</v>
      </c>
    </row>
    <row r="6" spans="1:12" x14ac:dyDescent="0.25">
      <c r="A6" s="6">
        <v>1993</v>
      </c>
      <c r="B6" s="7">
        <v>5753.9</v>
      </c>
      <c r="C6" s="10">
        <f t="shared" si="0"/>
        <v>-1.0320094944873515E-2</v>
      </c>
    </row>
    <row r="7" spans="1:12" x14ac:dyDescent="0.25">
      <c r="A7" s="6">
        <v>1994</v>
      </c>
      <c r="B7" s="7">
        <v>6331.2</v>
      </c>
      <c r="C7" s="10">
        <f t="shared" si="0"/>
        <v>0.10033194876518547</v>
      </c>
    </row>
    <row r="8" spans="1:12" x14ac:dyDescent="0.25">
      <c r="A8" s="6">
        <v>1995</v>
      </c>
      <c r="B8" s="7">
        <v>7057.7</v>
      </c>
      <c r="C8" s="10">
        <f t="shared" si="0"/>
        <v>0.11474917867071022</v>
      </c>
    </row>
    <row r="9" spans="1:12" x14ac:dyDescent="0.25">
      <c r="A9" s="6">
        <v>1996</v>
      </c>
      <c r="B9" s="7">
        <v>7218.1</v>
      </c>
      <c r="C9" s="10">
        <f t="shared" si="0"/>
        <v>2.2726950706320803E-2</v>
      </c>
    </row>
    <row r="10" spans="1:12" x14ac:dyDescent="0.25">
      <c r="A10" s="6">
        <v>1997</v>
      </c>
      <c r="B10" s="7">
        <v>7379</v>
      </c>
      <c r="C10" s="10">
        <f t="shared" si="0"/>
        <v>2.229118466078317E-2</v>
      </c>
    </row>
    <row r="11" spans="1:12" x14ac:dyDescent="0.25">
      <c r="A11" s="6">
        <v>1998</v>
      </c>
      <c r="B11" s="7">
        <v>7510</v>
      </c>
      <c r="C11" s="10">
        <f t="shared" si="0"/>
        <v>1.775308307358725E-2</v>
      </c>
    </row>
    <row r="12" spans="1:12" x14ac:dyDescent="0.25">
      <c r="A12" s="6">
        <v>1999</v>
      </c>
      <c r="B12" s="7">
        <v>7757</v>
      </c>
      <c r="C12" s="10">
        <f t="shared" si="0"/>
        <v>3.2889480692410045E-2</v>
      </c>
    </row>
    <row r="13" spans="1:12" x14ac:dyDescent="0.25">
      <c r="A13" s="6">
        <v>2000</v>
      </c>
      <c r="B13" s="7">
        <v>8629</v>
      </c>
      <c r="C13" s="10">
        <f t="shared" si="0"/>
        <v>0.11241459327059422</v>
      </c>
    </row>
    <row r="15" spans="1:12" ht="41.4" x14ac:dyDescent="0.25">
      <c r="A15" s="11" t="s">
        <v>4</v>
      </c>
      <c r="B15" s="12">
        <f>(B13/B3)^(1/10)-1</f>
        <v>3.894340704434307E-2</v>
      </c>
      <c r="C15" s="13" t="str">
        <f ca="1">[2]!getformula(B15)</f>
        <v>&lt;--  =(B13/B3)^(1/10)-1</v>
      </c>
      <c r="D15" s="13"/>
    </row>
  </sheetData>
  <mergeCells count="1">
    <mergeCell ref="A1:K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2024-10-15T09:23:27Z</dcterms:modified>
</cp:coreProperties>
</file>