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4\"/>
    </mc:Choice>
  </mc:AlternateContent>
  <xr:revisionPtr revIDLastSave="0" documentId="13_ncr:1_{D38BF63A-8E66-4EA9-85AD-4A3BB6C0FF1D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  <sheet name="Page 161" sheetId="2" r:id="rId2"/>
  </sheets>
  <externalReferences>
    <externalReference r:id="rId3"/>
    <externalReference r:id="rId4"/>
    <externalReference r:id="rId5"/>
    <externalReference r:id="rId6"/>
  </externalReferences>
  <definedNames>
    <definedName name="accruedexp_sales" localSheetId="0">Sheet1!$B$24</definedName>
    <definedName name="ap_sales" localSheetId="0">Sheet1!$B$23</definedName>
    <definedName name="ar_sales" localSheetId="0">Sheet1!$B$15</definedName>
    <definedName name="cogs_sales" localSheetId="0">Sheet1!$B$4</definedName>
    <definedName name="debt_assets">Sheet1!$B$27</definedName>
    <definedName name="depr_perc">Sheet1!$B$6</definedName>
    <definedName name="divgrowth">Sheet1!$B$9</definedName>
    <definedName name="growth">Sheet1!$B$3</definedName>
    <definedName name="interest">Sheet1!$B$7</definedName>
    <definedName name="inventory_sales" localSheetId="0">Sheet1!$B$16</definedName>
    <definedName name="minority">Sheet1!$B$8</definedName>
    <definedName name="otherassets_growth">Sheet1!$B$20</definedName>
    <definedName name="otherca_sales" localSheetId="0">Sheet1!$B$17</definedName>
    <definedName name="otherliab_growth">Sheet1!$B$30</definedName>
    <definedName name="ppe_sales" localSheetId="0">Sheet1!$B$18</definedName>
    <definedName name="sales2001">Sheet1!$C$34</definedName>
    <definedName name="sales2002">Sheet1!$D$34</definedName>
    <definedName name="sales2003">Sheet1!$E$34</definedName>
    <definedName name="sales2004">Sheet1!$F$34</definedName>
    <definedName name="sales2005">Sheet1!$G$34</definedName>
    <definedName name="sga_sales" localSheetId="0">Sheet1!$B$5</definedName>
    <definedName name="tax">Sheet1!$B$10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4" i="1" l="1"/>
  <c r="E34" i="1" s="1"/>
  <c r="F34" i="1" s="1"/>
  <c r="G34" i="1" s="1"/>
  <c r="D40" i="1"/>
  <c r="E40" i="1" s="1"/>
  <c r="F40" i="1" s="1"/>
  <c r="G40" i="1" s="1"/>
  <c r="B4" i="1"/>
  <c r="F35" i="1" s="1"/>
  <c r="G35" i="1" l="1"/>
  <c r="D35" i="1"/>
  <c r="E35" i="1"/>
  <c r="B17" i="1"/>
  <c r="B16" i="1"/>
  <c r="B27" i="1" l="1"/>
  <c r="B24" i="1"/>
  <c r="B23" i="1"/>
  <c r="B20" i="1"/>
  <c r="B18" i="1"/>
  <c r="B15" i="1"/>
  <c r="B30" i="1"/>
  <c r="B125" i="1"/>
  <c r="B123" i="1"/>
  <c r="B30" i="2"/>
  <c r="B25" i="2"/>
  <c r="B21" i="2"/>
  <c r="B20" i="2"/>
  <c r="B19" i="2"/>
  <c r="B14" i="2"/>
  <c r="B15" i="2" s="1"/>
  <c r="B9" i="2"/>
  <c r="B8" i="2"/>
  <c r="B7" i="2"/>
  <c r="B6" i="2"/>
  <c r="B5" i="2"/>
  <c r="B2" i="2"/>
  <c r="B4" i="2" s="1"/>
  <c r="D49" i="1"/>
  <c r="E49" i="1" s="1"/>
  <c r="D59" i="1"/>
  <c r="E59" i="1" s="1"/>
  <c r="F59" i="1" s="1"/>
  <c r="G59" i="1" s="1"/>
  <c r="C60" i="1"/>
  <c r="D60" i="1" s="1"/>
  <c r="E60" i="1" s="1"/>
  <c r="F60" i="1" s="1"/>
  <c r="G60" i="1" s="1"/>
  <c r="B79" i="1"/>
  <c r="C76" i="1"/>
  <c r="D76" i="1" s="1"/>
  <c r="E76" i="1" s="1"/>
  <c r="F76" i="1" s="1"/>
  <c r="G76" i="1" s="1"/>
  <c r="C75" i="1"/>
  <c r="C71" i="1"/>
  <c r="C106" i="1" s="1"/>
  <c r="C70" i="1"/>
  <c r="C105" i="1" s="1"/>
  <c r="C67" i="1"/>
  <c r="D67" i="1" s="1"/>
  <c r="E67" i="1" s="1"/>
  <c r="F67" i="1" s="1"/>
  <c r="G67" i="1" s="1"/>
  <c r="C59" i="1"/>
  <c r="C49" i="1"/>
  <c r="C40" i="1"/>
  <c r="B37" i="1"/>
  <c r="C34" i="1"/>
  <c r="A32" i="1"/>
  <c r="A21" i="1"/>
  <c r="A11" i="1"/>
  <c r="C21" i="2"/>
  <c r="C20" i="2"/>
  <c r="H10" i="1"/>
  <c r="C122" i="1"/>
  <c r="H7" i="1"/>
  <c r="C4" i="2"/>
  <c r="C25" i="2"/>
  <c r="C132" i="1"/>
  <c r="C125" i="1"/>
  <c r="C34" i="2"/>
  <c r="C32" i="2"/>
  <c r="C27" i="2"/>
  <c r="C8" i="2"/>
  <c r="C15" i="2"/>
  <c r="C26" i="2"/>
  <c r="C6" i="2"/>
  <c r="C16" i="2"/>
  <c r="C2" i="2"/>
  <c r="C5" i="2"/>
  <c r="C30" i="2"/>
  <c r="C31" i="2"/>
  <c r="H119" i="1"/>
  <c r="C7" i="2"/>
  <c r="H4" i="1"/>
  <c r="C114" i="1"/>
  <c r="H8" i="1"/>
  <c r="C22" i="2"/>
  <c r="H5" i="1"/>
  <c r="C19" i="2"/>
  <c r="H6" i="1"/>
  <c r="C9" i="2"/>
  <c r="D75" i="1" l="1"/>
  <c r="E75" i="1" s="1"/>
  <c r="C98" i="1"/>
  <c r="D71" i="1"/>
  <c r="E71" i="1" s="1"/>
  <c r="F71" i="1" s="1"/>
  <c r="G71" i="1" s="1"/>
  <c r="B22" i="2"/>
  <c r="B31" i="2"/>
  <c r="B32" i="2" s="1"/>
  <c r="B26" i="2"/>
  <c r="B27" i="2" s="1"/>
  <c r="D65" i="1"/>
  <c r="D70" i="1"/>
  <c r="E70" i="1" s="1"/>
  <c r="F70" i="1" s="1"/>
  <c r="G70" i="1" s="1"/>
  <c r="B16" i="2"/>
  <c r="F75" i="1"/>
  <c r="F49" i="1"/>
  <c r="B45" i="1"/>
  <c r="C65" i="1"/>
  <c r="C61" i="1"/>
  <c r="C57" i="1"/>
  <c r="C50" i="1"/>
  <c r="B10" i="1"/>
  <c r="B8" i="1"/>
  <c r="B5" i="1"/>
  <c r="H35" i="1"/>
  <c r="H39" i="1"/>
  <c r="H34" i="1"/>
  <c r="H38" i="1"/>
  <c r="H43" i="1"/>
  <c r="H37" i="1"/>
  <c r="H46" i="1"/>
  <c r="H36" i="1"/>
  <c r="H45" i="1"/>
  <c r="H41" i="1"/>
  <c r="H40" i="1"/>
  <c r="H42" i="1"/>
  <c r="H44" i="1"/>
  <c r="C36" i="1" l="1"/>
  <c r="D36" i="1"/>
  <c r="D37" i="1" s="1"/>
  <c r="G36" i="1"/>
  <c r="G37" i="1" s="1"/>
  <c r="E36" i="1"/>
  <c r="E37" i="1" s="1"/>
  <c r="F36" i="1"/>
  <c r="F37" i="1" s="1"/>
  <c r="B34" i="2"/>
  <c r="B114" i="1" s="1"/>
  <c r="D50" i="1"/>
  <c r="D57" i="1"/>
  <c r="E65" i="1"/>
  <c r="E57" i="1"/>
  <c r="E50" i="1"/>
  <c r="C90" i="1"/>
  <c r="D61" i="1"/>
  <c r="G75" i="1"/>
  <c r="G49" i="1"/>
  <c r="C45" i="1"/>
  <c r="D45" i="1" s="1"/>
  <c r="E45" i="1" s="1"/>
  <c r="F45" i="1" s="1"/>
  <c r="G45" i="1" s="1"/>
  <c r="B80" i="1"/>
  <c r="B57" i="1"/>
  <c r="B53" i="1"/>
  <c r="B62" i="1" s="1"/>
  <c r="B44" i="1"/>
  <c r="B46" i="1" s="1"/>
  <c r="H79" i="1"/>
  <c r="H72" i="1"/>
  <c r="H104" i="1"/>
  <c r="H78" i="1"/>
  <c r="H91" i="1"/>
  <c r="H66" i="1"/>
  <c r="H105" i="1"/>
  <c r="H49" i="1"/>
  <c r="H106" i="1"/>
  <c r="H76" i="1"/>
  <c r="H92" i="1"/>
  <c r="H103" i="1"/>
  <c r="H50" i="1"/>
  <c r="H77" i="1"/>
  <c r="H65" i="1"/>
  <c r="H56" i="1"/>
  <c r="H80" i="1"/>
  <c r="H62" i="1"/>
  <c r="H98" i="1"/>
  <c r="H57" i="1"/>
  <c r="H107" i="1"/>
  <c r="H89" i="1"/>
  <c r="H71" i="1"/>
  <c r="H51" i="1"/>
  <c r="H52" i="1"/>
  <c r="H75" i="1"/>
  <c r="H109" i="1"/>
  <c r="H67" i="1"/>
  <c r="H59" i="1"/>
  <c r="H108" i="1"/>
  <c r="H70" i="1"/>
  <c r="H60" i="1"/>
  <c r="H55" i="1"/>
  <c r="H88" i="1"/>
  <c r="H69" i="1"/>
  <c r="H99" i="1"/>
  <c r="H53" i="1"/>
  <c r="H87" i="1"/>
  <c r="H61" i="1"/>
  <c r="H85" i="1"/>
  <c r="H96" i="1"/>
  <c r="H90" i="1"/>
  <c r="H84" i="1"/>
  <c r="H100" i="1"/>
  <c r="C35" i="1" l="1"/>
  <c r="C37" i="1" s="1"/>
  <c r="C96" i="1"/>
  <c r="E61" i="1"/>
  <c r="D90" i="1"/>
  <c r="F65" i="1"/>
  <c r="F57" i="1"/>
  <c r="F50" i="1"/>
  <c r="G65" i="1" l="1"/>
  <c r="G57" i="1"/>
  <c r="G50" i="1"/>
  <c r="F61" i="1"/>
  <c r="E90" i="1"/>
  <c r="G61" i="1" l="1"/>
  <c r="G90" i="1" s="1"/>
  <c r="F90" i="1"/>
  <c r="B7" i="1" l="1"/>
  <c r="B6" i="1"/>
  <c r="C72" i="1" l="1"/>
  <c r="C107" i="1" l="1"/>
  <c r="D72" i="1"/>
  <c r="E72" i="1" s="1"/>
  <c r="F72" i="1" s="1"/>
  <c r="G72" i="1" s="1"/>
  <c r="C66" i="1" l="1"/>
  <c r="D66" i="1"/>
  <c r="E66" i="1"/>
  <c r="F66" i="1"/>
  <c r="G66" i="1"/>
  <c r="C51" i="1"/>
  <c r="D51" i="1"/>
  <c r="E51" i="1"/>
  <c r="F51" i="1"/>
  <c r="G51" i="1"/>
  <c r="C52" i="1"/>
  <c r="D52" i="1"/>
  <c r="E52" i="1"/>
  <c r="F52" i="1"/>
  <c r="G52" i="1"/>
  <c r="G87" i="1" l="1"/>
  <c r="G53" i="1"/>
  <c r="G62" i="1" s="1"/>
  <c r="G69" i="1" s="1"/>
  <c r="F53" i="1"/>
  <c r="F62" i="1" s="1"/>
  <c r="F69" i="1" s="1"/>
  <c r="G39" i="1" s="1"/>
  <c r="F87" i="1"/>
  <c r="D53" i="1"/>
  <c r="D62" i="1" s="1"/>
  <c r="D69" i="1" s="1"/>
  <c r="D87" i="1"/>
  <c r="E53" i="1"/>
  <c r="E62" i="1" s="1"/>
  <c r="E69" i="1" s="1"/>
  <c r="E87" i="1"/>
  <c r="C87" i="1"/>
  <c r="C53" i="1"/>
  <c r="C62" i="1" s="1"/>
  <c r="C69" i="1" s="1"/>
  <c r="G88" i="1"/>
  <c r="F88" i="1"/>
  <c r="E88" i="1"/>
  <c r="D88" i="1"/>
  <c r="C88" i="1"/>
  <c r="F39" i="1" l="1"/>
  <c r="F91" i="1" s="1"/>
  <c r="D39" i="1"/>
  <c r="E39" i="1"/>
  <c r="E91" i="1" s="1"/>
  <c r="G91" i="1"/>
  <c r="C104" i="1"/>
  <c r="D91" i="1"/>
  <c r="C39" i="1"/>
  <c r="C108" i="1" l="1"/>
  <c r="C91" i="1"/>
  <c r="C38" i="1" l="1"/>
  <c r="D38" i="1"/>
  <c r="E38" i="1"/>
  <c r="F38" i="1"/>
  <c r="G38" i="1"/>
  <c r="C41" i="1"/>
  <c r="D41" i="1"/>
  <c r="E41" i="1"/>
  <c r="F41" i="1"/>
  <c r="G41" i="1"/>
  <c r="C42" i="1"/>
  <c r="D42" i="1"/>
  <c r="E42" i="1"/>
  <c r="F42" i="1"/>
  <c r="G42" i="1"/>
  <c r="C43" i="1"/>
  <c r="D43" i="1"/>
  <c r="E43" i="1"/>
  <c r="F43" i="1"/>
  <c r="G43" i="1"/>
  <c r="C44" i="1"/>
  <c r="D44" i="1"/>
  <c r="E44" i="1"/>
  <c r="F44" i="1"/>
  <c r="G44" i="1"/>
  <c r="C46" i="1"/>
  <c r="D46" i="1"/>
  <c r="E46" i="1"/>
  <c r="F46" i="1"/>
  <c r="G46" i="1"/>
  <c r="C55" i="1"/>
  <c r="D55" i="1"/>
  <c r="E55" i="1"/>
  <c r="F55" i="1"/>
  <c r="G55" i="1"/>
  <c r="C56" i="1"/>
  <c r="D56" i="1"/>
  <c r="E56" i="1"/>
  <c r="F56" i="1"/>
  <c r="G56" i="1"/>
  <c r="C77" i="1"/>
  <c r="D77" i="1"/>
  <c r="E77" i="1"/>
  <c r="F77" i="1"/>
  <c r="G77" i="1"/>
  <c r="C78" i="1"/>
  <c r="D78" i="1"/>
  <c r="E78" i="1"/>
  <c r="F78" i="1"/>
  <c r="G78" i="1"/>
  <c r="C79" i="1"/>
  <c r="D79" i="1"/>
  <c r="E79" i="1"/>
  <c r="F79" i="1"/>
  <c r="G79" i="1"/>
  <c r="C80" i="1"/>
  <c r="D80" i="1"/>
  <c r="E80" i="1"/>
  <c r="F80" i="1"/>
  <c r="G80" i="1"/>
  <c r="C84" i="1"/>
  <c r="D84" i="1"/>
  <c r="E84" i="1"/>
  <c r="F84" i="1"/>
  <c r="G84" i="1"/>
  <c r="C85" i="1"/>
  <c r="D85" i="1"/>
  <c r="E85" i="1"/>
  <c r="F85" i="1"/>
  <c r="G85" i="1"/>
  <c r="C89" i="1"/>
  <c r="D89" i="1"/>
  <c r="E89" i="1"/>
  <c r="F89" i="1"/>
  <c r="G89" i="1"/>
  <c r="C92" i="1"/>
  <c r="D92" i="1"/>
  <c r="E92" i="1"/>
  <c r="F92" i="1"/>
  <c r="G92" i="1"/>
  <c r="C99" i="1"/>
  <c r="C100" i="1"/>
  <c r="C103" i="1"/>
  <c r="C109" i="1"/>
  <c r="C118" i="1"/>
  <c r="D118" i="1"/>
  <c r="E118" i="1"/>
  <c r="F118" i="1"/>
  <c r="G118" i="1"/>
  <c r="G119" i="1"/>
  <c r="C120" i="1"/>
  <c r="D120" i="1"/>
  <c r="E120" i="1"/>
  <c r="F120" i="1"/>
  <c r="G120" i="1"/>
  <c r="B122" i="1"/>
  <c r="B124" i="1"/>
  <c r="B126" i="1"/>
  <c r="B129" i="1"/>
  <c r="B132" i="1"/>
  <c r="B136" i="1"/>
</calcChain>
</file>

<file path=xl/sharedStrings.xml><?xml version="1.0" encoding="utf-8"?>
<sst xmlns="http://schemas.openxmlformats.org/spreadsheetml/2006/main" count="167" uniqueCount="151">
  <si>
    <t>PPG, FINANCIAL MODEL
first year only--2001</t>
  </si>
  <si>
    <t>Profit and loss assumptions</t>
  </si>
  <si>
    <t>Cell names</t>
  </si>
  <si>
    <t>Sales growth</t>
  </si>
  <si>
    <t>&lt;-- growth</t>
    <phoneticPr fontId="4" type="noConversion"/>
  </si>
  <si>
    <t>COGS/Sales</t>
  </si>
  <si>
    <t>&lt;-- cogs_sales</t>
  </si>
  <si>
    <t>SG&amp;A/Sales</t>
  </si>
  <si>
    <t>&lt;-- sga_sales</t>
  </si>
  <si>
    <t>Depreciation/Gross fixed assets</t>
  </si>
  <si>
    <t>&lt;-- depr_perc</t>
  </si>
  <si>
    <t>Interest rate</t>
  </si>
  <si>
    <t>&lt;-- interest</t>
  </si>
  <si>
    <t>Minority interest as % of PAT</t>
  </si>
  <si>
    <t>&lt;-- minority</t>
  </si>
  <si>
    <t>Growth rate of total dividends</t>
  </si>
  <si>
    <t>&lt;-- divgrowth</t>
  </si>
  <si>
    <t>Tax rate</t>
  </si>
  <si>
    <t>&lt;-- tax</t>
  </si>
  <si>
    <t>Balance sheet assumptions</t>
  </si>
  <si>
    <t>Assets</t>
  </si>
  <si>
    <t>Cash and short-term investments</t>
  </si>
  <si>
    <t>constant</t>
  </si>
  <si>
    <t>Receivables/Sales</t>
  </si>
  <si>
    <t>&lt;-- ar_sales</t>
  </si>
  <si>
    <t>Inventories/Sales</t>
  </si>
  <si>
    <t>&lt;-- inventory_sales</t>
  </si>
  <si>
    <t>Other Current Assets/Sales</t>
  </si>
  <si>
    <t>&lt;-- otherca_sales</t>
  </si>
  <si>
    <t>Property, Plant, Equipment, Net/Sales</t>
  </si>
  <si>
    <t>&lt;-- ppe_sales</t>
  </si>
  <si>
    <t>Investments and advances</t>
    <phoneticPr fontId="4" type="noConversion"/>
  </si>
  <si>
    <t>Other Assets, annual growth rate</t>
  </si>
  <si>
    <t>&lt;-- otherassets_growth</t>
  </si>
  <si>
    <t>Liabilities</t>
  </si>
  <si>
    <t>Accounts Payable/Sales</t>
  </si>
  <si>
    <t>&lt;-- ap_sales</t>
  </si>
  <si>
    <t>Accrued Expense/Sales</t>
  </si>
  <si>
    <t>&lt;-- accruedexp_sales</t>
  </si>
  <si>
    <t>Other Current Liabilities/Sales</t>
  </si>
  <si>
    <t>Debt/Assets</t>
  </si>
  <si>
    <t>&lt;-- debt_assets</t>
  </si>
  <si>
    <t>Deferred Taxes</t>
  </si>
  <si>
    <t>growth at sales growth</t>
  </si>
  <si>
    <t>Minority Interest</t>
  </si>
  <si>
    <t>Other liabilities, annual growth</t>
  </si>
  <si>
    <t>&lt;-- otherliab_growth</t>
  </si>
  <si>
    <t>Treasury stock</t>
  </si>
  <si>
    <t>plug</t>
  </si>
  <si>
    <t>PROFIT AND LOSS</t>
  </si>
  <si>
    <t>Sales</t>
  </si>
  <si>
    <t>Cost of Goods Sold</t>
  </si>
  <si>
    <t>Selling, General, and Administrative Expense</t>
  </si>
  <si>
    <t>Operating Income Before Depreciation</t>
  </si>
  <si>
    <t>Depreciation and Amortization</t>
  </si>
  <si>
    <t>Interest Expense</t>
  </si>
  <si>
    <t>Nonoperating Income (Expense) and Special Items</t>
  </si>
  <si>
    <t>Pretax Income</t>
  </si>
  <si>
    <t>Income Taxes - Total</t>
  </si>
  <si>
    <t>Net Income</t>
  </si>
  <si>
    <t>Dividend</t>
  </si>
  <si>
    <t>Retained earnings</t>
  </si>
  <si>
    <t>ASSETS</t>
  </si>
  <si>
    <t>Cash and Short-Term Investments</t>
  </si>
  <si>
    <t>Receivables</t>
  </si>
  <si>
    <t>Inventories - Total</t>
  </si>
  <si>
    <t>Other Current Assets</t>
  </si>
  <si>
    <t>Total Current Assets</t>
  </si>
  <si>
    <t>Property, Plant, and Equipment, Gross</t>
  </si>
  <si>
    <t>Depreciation, Depletion, and Amortization (Accumulated)</t>
  </si>
  <si>
    <t>Property, Plant, and Equipment, Net</t>
  </si>
  <si>
    <t>Investments and Advances</t>
  </si>
  <si>
    <t>Intangibles</t>
  </si>
  <si>
    <t>Other Assets</t>
  </si>
  <si>
    <t>TOTAL ASSETS</t>
  </si>
  <si>
    <t>LIABILITIES</t>
  </si>
  <si>
    <t>Accounts Payable</t>
  </si>
  <si>
    <t>Accrued Expense</t>
  </si>
  <si>
    <t>Other Current Liabilities</t>
  </si>
  <si>
    <t>Debt</t>
  </si>
  <si>
    <t>Other Liabilities</t>
  </si>
  <si>
    <t>EQUITY</t>
  </si>
  <si>
    <t>Common Stock</t>
  </si>
  <si>
    <t>Capital Surplus</t>
  </si>
  <si>
    <t>Retained Earnings</t>
  </si>
  <si>
    <t>Less: Treasury Stock</t>
  </si>
  <si>
    <t>Total stockholders equity</t>
  </si>
  <si>
    <t>TOTAL LIABILITIES AND EQUITY</t>
  </si>
  <si>
    <t>FREE CASH FLOW</t>
  </si>
  <si>
    <t>Profit after tax</t>
  </si>
  <si>
    <t>Add back depreciation</t>
  </si>
  <si>
    <t>Change in net working capital</t>
  </si>
  <si>
    <t xml:space="preserve">     Add increase in operating current liabilities</t>
  </si>
  <si>
    <t>Subtract increase in other assets</t>
  </si>
  <si>
    <t>Add back after-tax interest</t>
  </si>
  <si>
    <t>FCF</t>
  </si>
  <si>
    <t>What's paid out to shareholders?</t>
  </si>
  <si>
    <t>Calculating the share repurchases</t>
  </si>
  <si>
    <r>
      <t xml:space="preserve">     New stock raised </t>
    </r>
    <r>
      <rPr>
        <sz val="10"/>
        <rFont val="Arial"/>
        <family val="2"/>
      </rPr>
      <t>(</t>
    </r>
    <r>
      <rPr>
        <i/>
        <sz val="10"/>
        <rFont val="Arial"/>
        <family val="2"/>
      </rPr>
      <t>negative</t>
    </r>
    <r>
      <rPr>
        <sz val="11"/>
        <color theme="1"/>
        <rFont val="等线"/>
        <family val="2"/>
        <charset val="134"/>
        <scheme val="minor"/>
      </rPr>
      <t xml:space="preserve"> equity payout)</t>
    </r>
    <phoneticPr fontId="4" type="noConversion"/>
  </si>
  <si>
    <t>Paid out to shareholders =
    dividend - new stock 
    + additional treasury</t>
  </si>
  <si>
    <t>How was this financed?</t>
  </si>
  <si>
    <t>Free cash flow</t>
  </si>
  <si>
    <t>Additional debt financing</t>
  </si>
  <si>
    <t>Increase in deferred taxes</t>
  </si>
  <si>
    <t>Increase in other liabilities</t>
  </si>
  <si>
    <t>Interest after tax</t>
  </si>
  <si>
    <t>Paid out to shareholders</t>
  </si>
  <si>
    <t>Subtract capital expenditures</t>
    <phoneticPr fontId="1" type="noConversion"/>
  </si>
  <si>
    <t xml:space="preserve">      Subtract Increase in operating current assets</t>
    <phoneticPr fontId="1" type="noConversion"/>
  </si>
  <si>
    <r>
      <t xml:space="preserve">     Additional treasury stock (</t>
    </r>
    <r>
      <rPr>
        <b/>
        <sz val="11"/>
        <color theme="1"/>
        <rFont val="等线"/>
        <family val="3"/>
        <charset val="134"/>
        <scheme val="minor"/>
      </rPr>
      <t>positive</t>
    </r>
    <r>
      <rPr>
        <sz val="11"/>
        <color theme="1"/>
        <rFont val="等线"/>
        <family val="2"/>
        <charset val="134"/>
        <scheme val="minor"/>
      </rPr>
      <t xml:space="preserve"> equity payout)</t>
    </r>
    <phoneticPr fontId="1" type="noConversion"/>
  </si>
  <si>
    <t>Increase in minority interest</t>
    <phoneticPr fontId="1" type="noConversion"/>
  </si>
  <si>
    <t>Valuing PPG</t>
  </si>
  <si>
    <t>WACC</t>
  </si>
  <si>
    <t>Long-term free cash flow growth rate</t>
  </si>
  <si>
    <t>Year</t>
  </si>
  <si>
    <t>Terminal</t>
  </si>
  <si>
    <t>Total</t>
  </si>
  <si>
    <t>Discounted value</t>
  </si>
  <si>
    <t>Add back initial cash</t>
  </si>
  <si>
    <t>Firm value</t>
  </si>
  <si>
    <t>Subtract total debt value, Dec.00</t>
  </si>
  <si>
    <t>Implied equity value</t>
  </si>
  <si>
    <t>Number of shares outstanding, Dec.00</t>
  </si>
  <si>
    <t>Implied value per share</t>
  </si>
  <si>
    <t>Market price per share, Dec. 00</t>
  </si>
  <si>
    <t>PPG over or under-valued?</t>
  </si>
  <si>
    <t>DATA TABLE:  SENSITIVITY OF PPG'S STOCK VALUATION
TO WACC AND LONG-TERM GROWTH RATE</t>
  </si>
  <si>
    <t>Long-term FCF growth ↓</t>
  </si>
  <si>
    <t>WACC --&gt;</t>
  </si>
  <si>
    <t>COMPUTING THE WEIGHTED AVERAGE COST 
OF CAPITAL (WACC) FOR PPG</t>
  </si>
  <si>
    <t>Shares outstanding (million)</t>
  </si>
  <si>
    <t>Share price, end 2000</t>
  </si>
  <si>
    <t>Equity value, E</t>
  </si>
  <si>
    <t>Net debt, D</t>
  </si>
  <si>
    <r>
      <t>Cost of debt, r</t>
    </r>
    <r>
      <rPr>
        <vertAlign val="subscript"/>
        <sz val="10"/>
        <rFont val="Arial"/>
        <family val="2"/>
      </rPr>
      <t>D</t>
    </r>
  </si>
  <si>
    <r>
      <t>PPG's tax rate, T</t>
    </r>
    <r>
      <rPr>
        <vertAlign val="subscript"/>
        <sz val="10"/>
        <rFont val="Arial"/>
        <family val="2"/>
      </rPr>
      <t>C</t>
    </r>
  </si>
  <si>
    <r>
      <t>Market risk free rate, r</t>
    </r>
    <r>
      <rPr>
        <vertAlign val="subscript"/>
        <sz val="10"/>
        <rFont val="Arial"/>
        <family val="2"/>
      </rPr>
      <t>f</t>
    </r>
    <phoneticPr fontId="15" type="noConversion"/>
  </si>
  <si>
    <r>
      <t>Expected market return, E(r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  <charset val="177"/>
      </rPr>
      <t>)</t>
    </r>
    <phoneticPr fontId="15" type="noConversion"/>
  </si>
  <si>
    <t>WACC based on Gordon per-share dividends and interest from financial statements</t>
  </si>
  <si>
    <t>Stock price, 31dec00</t>
  </si>
  <si>
    <t>Dividend, 2000</t>
  </si>
  <si>
    <t>Anticipated dividend growth</t>
  </si>
  <si>
    <r>
      <t>Cost of equity, r</t>
    </r>
    <r>
      <rPr>
        <vertAlign val="subscript"/>
        <sz val="10"/>
        <rFont val="Arial"/>
        <family val="2"/>
      </rPr>
      <t>E</t>
    </r>
  </si>
  <si>
    <t>WACC based on Gordon equity payouts and interest from financial statements</t>
  </si>
  <si>
    <t>Total equity payout, 2000</t>
  </si>
  <si>
    <t>Anticipated growth of this payout</t>
  </si>
  <si>
    <t>WACC based on classic CAPM and interest from financial statements</t>
  </si>
  <si>
    <t>PPG beta</t>
  </si>
  <si>
    <t>WACC based on tax-adjusted CAPM and interest from financial statements</t>
  </si>
  <si>
    <t>Estimated WACC?</t>
  </si>
  <si>
    <t>?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</si>
</sst>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 * #,##0.00_ ;_ * \-#,##0.00_ ;_ * &quot;-&quot;??_ ;_ @_ "/>
    <numFmt numFmtId="176" formatCode=";;"/>
    <numFmt numFmtId="177" formatCode=";;;"/>
    <numFmt numFmtId="178" formatCode="_(* #,##0.00_);_(* \(#,##0.00\);_(* &quot;-&quot;??_);_(@_)"/>
    <numFmt numFmtId="179" formatCode="_(* #,##0_);_(* \(#,##0\);_(* &quot;-&quot;??_);_(@_)"/>
    <numFmt numFmtId="180" formatCode="0.000%"/>
    <numFmt numFmtId="181" formatCode="0.0000"/>
  </numFmts>
  <fonts count="1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i/>
      <sz val="10"/>
      <name val="Arial"/>
      <family val="2"/>
    </font>
    <font>
      <sz val="11"/>
      <color rgb="FFFF0000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rgb="FFFF0000"/>
      <name val="Arial"/>
      <family val="2"/>
    </font>
    <font>
      <sz val="1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0"/>
      <name val="Arial"/>
      <family val="2"/>
      <charset val="177"/>
    </font>
    <font>
      <vertAlign val="subscript"/>
      <sz val="10"/>
      <name val="Arial"/>
      <family val="2"/>
    </font>
    <font>
      <sz val="8"/>
      <name val="Arial"/>
      <family val="2"/>
      <charset val="177"/>
    </font>
    <font>
      <b/>
      <sz val="11"/>
      <color rgb="FFFF0000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>
      <alignment vertical="center"/>
    </xf>
    <xf numFmtId="43" fontId="11" fillId="0" borderId="0" applyFont="0" applyFill="0" applyBorder="0" applyAlignment="0" applyProtection="0">
      <alignment vertical="center"/>
    </xf>
    <xf numFmtId="0" fontId="13" fillId="0" borderId="0"/>
    <xf numFmtId="0" fontId="4" fillId="0" borderId="0"/>
    <xf numFmtId="9" fontId="4" fillId="0" borderId="0" applyFont="0" applyFill="0" applyBorder="0" applyAlignment="0" applyProtection="0"/>
  </cellStyleXfs>
  <cellXfs count="71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0" borderId="0" xfId="0" applyAlignment="1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/>
    </xf>
    <xf numFmtId="0" fontId="4" fillId="0" borderId="0" xfId="0" applyFont="1" applyAlignment="1">
      <alignment wrapText="1"/>
    </xf>
    <xf numFmtId="10" fontId="0" fillId="0" borderId="0" xfId="0" applyNumberFormat="1" applyAlignment="1"/>
    <xf numFmtId="176" fontId="0" fillId="0" borderId="0" xfId="0" applyNumberFormat="1" applyAlignment="1"/>
    <xf numFmtId="0" fontId="4" fillId="0" borderId="0" xfId="0" applyFont="1" applyAlignment="1"/>
    <xf numFmtId="177" fontId="0" fillId="0" borderId="0" xfId="0" applyNumberFormat="1" applyAlignment="1"/>
    <xf numFmtId="0" fontId="3" fillId="0" borderId="0" xfId="0" applyFont="1" applyAlignment="1"/>
    <xf numFmtId="9" fontId="0" fillId="0" borderId="0" xfId="0" applyNumberFormat="1" applyAlignment="1">
      <alignment horizontal="center"/>
    </xf>
    <xf numFmtId="0" fontId="5" fillId="0" borderId="0" xfId="0" applyFont="1" applyAlignment="1"/>
    <xf numFmtId="3" fontId="4" fillId="0" borderId="0" xfId="0" applyNumberFormat="1" applyFont="1" applyAlignment="1">
      <alignment horizontal="right" wrapText="1"/>
    </xf>
    <xf numFmtId="3" fontId="0" fillId="0" borderId="0" xfId="0" applyNumberFormat="1" applyAlignment="1"/>
    <xf numFmtId="0" fontId="5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3" fontId="4" fillId="0" borderId="0" xfId="0" applyNumberFormat="1" applyFont="1" applyAlignment="1"/>
    <xf numFmtId="0" fontId="0" fillId="0" borderId="0" xfId="0" applyAlignment="1">
      <alignment wrapText="1"/>
    </xf>
    <xf numFmtId="0" fontId="5" fillId="2" borderId="0" xfId="0" applyFont="1" applyFill="1" applyAlignment="1"/>
    <xf numFmtId="0" fontId="3" fillId="2" borderId="0" xfId="0" applyFont="1" applyFill="1" applyAlignment="1">
      <alignment horizontal="center"/>
    </xf>
    <xf numFmtId="0" fontId="3" fillId="2" borderId="0" xfId="0" applyFont="1" applyFill="1" applyAlignment="1"/>
    <xf numFmtId="0" fontId="3" fillId="3" borderId="0" xfId="0" applyFont="1" applyFill="1" applyAlignment="1"/>
    <xf numFmtId="0" fontId="3" fillId="3" borderId="0" xfId="0" applyFont="1" applyFill="1" applyAlignment="1">
      <alignment wrapText="1"/>
    </xf>
    <xf numFmtId="0" fontId="4" fillId="0" borderId="0" xfId="0" applyFont="1" applyAlignment="1">
      <alignment horizontal="center"/>
    </xf>
    <xf numFmtId="0" fontId="8" fillId="4" borderId="0" xfId="0" applyFont="1" applyFill="1" applyAlignment="1">
      <alignment horizontal="center"/>
    </xf>
    <xf numFmtId="10" fontId="8" fillId="4" borderId="0" xfId="0" applyNumberFormat="1" applyFont="1" applyFill="1" applyAlignment="1">
      <alignment horizontal="center"/>
    </xf>
    <xf numFmtId="0" fontId="0" fillId="4" borderId="0" xfId="0" applyFill="1" applyAlignment="1"/>
    <xf numFmtId="0" fontId="4" fillId="5" borderId="0" xfId="0" applyFont="1" applyFill="1" applyAlignment="1">
      <alignment wrapText="1"/>
    </xf>
    <xf numFmtId="3" fontId="4" fillId="5" borderId="0" xfId="0" applyNumberFormat="1" applyFont="1" applyFill="1" applyAlignment="1">
      <alignment horizontal="right" wrapText="1"/>
    </xf>
    <xf numFmtId="3" fontId="0" fillId="5" borderId="0" xfId="0" applyNumberFormat="1" applyFill="1" applyAlignment="1"/>
    <xf numFmtId="0" fontId="9" fillId="0" borderId="0" xfId="0" applyFont="1" applyAlignment="1">
      <alignment wrapText="1"/>
    </xf>
    <xf numFmtId="3" fontId="9" fillId="0" borderId="0" xfId="0" applyNumberFormat="1" applyFont="1" applyAlignment="1">
      <alignment horizontal="right" wrapText="1"/>
    </xf>
    <xf numFmtId="3" fontId="7" fillId="0" borderId="0" xfId="0" applyNumberFormat="1" applyFont="1" applyAlignment="1"/>
    <xf numFmtId="3" fontId="7" fillId="5" borderId="0" xfId="0" applyNumberFormat="1" applyFont="1" applyFill="1" applyAlignment="1"/>
    <xf numFmtId="3" fontId="10" fillId="0" borderId="0" xfId="0" applyNumberFormat="1" applyFont="1" applyAlignment="1"/>
    <xf numFmtId="0" fontId="7" fillId="0" borderId="0" xfId="0" applyFont="1" applyAlignment="1"/>
    <xf numFmtId="179" fontId="0" fillId="0" borderId="0" xfId="1" applyNumberFormat="1" applyFont="1" applyAlignment="1"/>
    <xf numFmtId="37" fontId="0" fillId="0" borderId="0" xfId="0" applyNumberFormat="1" applyAlignment="1"/>
    <xf numFmtId="4" fontId="4" fillId="0" borderId="0" xfId="0" applyNumberFormat="1" applyFont="1" applyAlignment="1">
      <alignment horizontal="right" wrapText="1"/>
    </xf>
    <xf numFmtId="178" fontId="0" fillId="6" borderId="0" xfId="0" applyNumberFormat="1" applyFill="1" applyAlignment="1"/>
    <xf numFmtId="2" fontId="0" fillId="0" borderId="0" xfId="0" applyNumberFormat="1" applyAlignment="1"/>
    <xf numFmtId="178" fontId="0" fillId="0" borderId="0" xfId="0" applyNumberFormat="1" applyAlignment="1"/>
    <xf numFmtId="9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3" fillId="0" borderId="0" xfId="2"/>
    <xf numFmtId="3" fontId="13" fillId="0" borderId="0" xfId="2" applyNumberFormat="1"/>
    <xf numFmtId="10" fontId="13" fillId="0" borderId="0" xfId="2" applyNumberFormat="1"/>
    <xf numFmtId="0" fontId="3" fillId="0" borderId="0" xfId="2" applyFont="1"/>
    <xf numFmtId="0" fontId="4" fillId="0" borderId="0" xfId="3"/>
    <xf numFmtId="2" fontId="4" fillId="0" borderId="0" xfId="3" applyNumberFormat="1"/>
    <xf numFmtId="10" fontId="4" fillId="0" borderId="0" xfId="3" applyNumberFormat="1"/>
    <xf numFmtId="0" fontId="13" fillId="6" borderId="0" xfId="2" applyFill="1"/>
    <xf numFmtId="10" fontId="13" fillId="6" borderId="0" xfId="4" applyNumberFormat="1" applyFont="1" applyFill="1"/>
    <xf numFmtId="180" fontId="13" fillId="0" borderId="0" xfId="4" applyNumberFormat="1" applyFont="1" applyFill="1"/>
    <xf numFmtId="1" fontId="4" fillId="0" borderId="0" xfId="3" applyNumberFormat="1"/>
    <xf numFmtId="0" fontId="4" fillId="0" borderId="0" xfId="2" applyFont="1"/>
    <xf numFmtId="181" fontId="13" fillId="0" borderId="0" xfId="2" applyNumberFormat="1"/>
    <xf numFmtId="10" fontId="13" fillId="0" borderId="0" xfId="4" applyNumberFormat="1" applyFont="1"/>
    <xf numFmtId="0" fontId="3" fillId="6" borderId="0" xfId="2" applyFont="1" applyFill="1"/>
    <xf numFmtId="10" fontId="13" fillId="6" borderId="0" xfId="2" applyNumberFormat="1" applyFill="1"/>
    <xf numFmtId="10" fontId="16" fillId="0" borderId="0" xfId="0" applyNumberFormat="1" applyFont="1" applyAlignment="1"/>
    <xf numFmtId="9" fontId="16" fillId="0" borderId="0" xfId="0" applyNumberFormat="1" applyFont="1" applyAlignment="1"/>
    <xf numFmtId="0" fontId="16" fillId="0" borderId="0" xfId="0" applyFont="1" applyAlignment="1"/>
    <xf numFmtId="37" fontId="17" fillId="0" borderId="0" xfId="0" applyNumberFormat="1" applyFont="1" applyAlignment="1"/>
    <xf numFmtId="0" fontId="7" fillId="0" borderId="0" xfId="0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0" xfId="2" applyFont="1" applyAlignment="1">
      <alignment horizontal="center" vertical="center" wrapText="1"/>
    </xf>
    <xf numFmtId="0" fontId="2" fillId="0" borderId="0" xfId="2" applyFont="1" applyAlignment="1">
      <alignment horizontal="center" vertical="center"/>
    </xf>
  </cellXfs>
  <cellStyles count="5">
    <cellStyle name="Normal_Cascade Corp" xfId="2" xr:uid="{86C196D1-86DF-445C-BB33-F36CEC87F299}"/>
    <cellStyle name="百分比 2" xfId="4" xr:uid="{E069349D-8DB7-45F6-B808-AC08629CA041}"/>
    <cellStyle name="常规" xfId="0" builtinId="0"/>
    <cellStyle name="常规 2" xfId="3" xr:uid="{DE2E766F-FDB1-454E-86DD-60F192904DC0}"/>
    <cellStyle name="千位分隔" xfId="1" builtinId="3"/>
  </cellStyles>
  <dxfs count="1">
    <dxf>
      <fill>
        <patternFill>
          <bgColor indexed="1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133</xdr:row>
      <xdr:rowOff>60960</xdr:rowOff>
    </xdr:from>
    <xdr:to>
      <xdr:col>0</xdr:col>
      <xdr:colOff>1607129</xdr:colOff>
      <xdr:row>133</xdr:row>
      <xdr:rowOff>228600</xdr:rowOff>
    </xdr:to>
    <xdr:sp macro="" textlink="">
      <xdr:nvSpPr>
        <xdr:cNvPr id="3" name="Text Box 1">
          <a:extLst>
            <a:ext uri="{FF2B5EF4-FFF2-40B4-BE49-F238E27FC236}">
              <a16:creationId xmlns:a16="http://schemas.microsoft.com/office/drawing/2014/main" id="{B372C799-1C48-44BF-B15C-BC2C962501F5}"/>
            </a:ext>
          </a:extLst>
        </xdr:cNvPr>
        <xdr:cNvSpPr txBox="1">
          <a:spLocks noChangeArrowheads="1"/>
        </xdr:cNvSpPr>
      </xdr:nvSpPr>
      <xdr:spPr bwMode="auto">
        <a:xfrm>
          <a:off x="396240" y="20450175"/>
          <a:ext cx="1212794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=IF(B96&gt;B97,B111,"nmf")</a:t>
          </a:r>
        </a:p>
      </xdr:txBody>
    </xdr:sp>
    <xdr:clientData/>
  </xdr:twoCellAnchor>
  <xdr:twoCellAnchor>
    <xdr:from>
      <xdr:col>0</xdr:col>
      <xdr:colOff>1615440</xdr:colOff>
      <xdr:row>133</xdr:row>
      <xdr:rowOff>121920</xdr:rowOff>
    </xdr:from>
    <xdr:to>
      <xdr:col>1</xdr:col>
      <xdr:colOff>274320</xdr:colOff>
      <xdr:row>135</xdr:row>
      <xdr:rowOff>45720</xdr:rowOff>
    </xdr:to>
    <xdr:sp macro="" textlink="">
      <xdr:nvSpPr>
        <xdr:cNvPr id="4" name="Line 2">
          <a:extLst>
            <a:ext uri="{FF2B5EF4-FFF2-40B4-BE49-F238E27FC236}">
              <a16:creationId xmlns:a16="http://schemas.microsoft.com/office/drawing/2014/main" id="{DFA1DF92-C09D-443C-915A-950C52AEA6C1}"/>
            </a:ext>
          </a:extLst>
        </xdr:cNvPr>
        <xdr:cNvSpPr>
          <a:spLocks noChangeShapeType="1"/>
        </xdr:cNvSpPr>
      </xdr:nvSpPr>
      <xdr:spPr bwMode="auto">
        <a:xfrm>
          <a:off x="1619250" y="20516850"/>
          <a:ext cx="1133475" cy="447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68818</xdr:colOff>
      <xdr:row>132</xdr:row>
      <xdr:rowOff>168115</xdr:rowOff>
    </xdr:from>
    <xdr:to>
      <xdr:col>0</xdr:col>
      <xdr:colOff>1980247</xdr:colOff>
      <xdr:row>135</xdr:row>
      <xdr:rowOff>61436</xdr:rowOff>
    </xdr:to>
    <xdr:sp macro="" textlink="">
      <xdr:nvSpPr>
        <xdr:cNvPr id="5" name="Text Box 3">
          <a:extLst>
            <a:ext uri="{FF2B5EF4-FFF2-40B4-BE49-F238E27FC236}">
              <a16:creationId xmlns:a16="http://schemas.microsoft.com/office/drawing/2014/main" id="{C2CCEC6B-989C-4C5C-9DE2-6181AE69BDAA}"/>
            </a:ext>
          </a:extLst>
        </xdr:cNvPr>
        <xdr:cNvSpPr txBox="1">
          <a:spLocks noChangeArrowheads="1"/>
        </xdr:cNvSpPr>
      </xdr:nvSpPr>
      <xdr:spPr bwMode="auto">
        <a:xfrm>
          <a:off x="68818" y="24575928"/>
          <a:ext cx="1911429" cy="41124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=IF(B96&gt;B97,B111,"nmf")</a:t>
          </a:r>
        </a:p>
      </xdr:txBody>
    </xdr:sp>
    <xdr:clientData/>
  </xdr:twoCellAnchor>
  <xdr:twoCellAnchor>
    <xdr:from>
      <xdr:col>0</xdr:col>
      <xdr:colOff>1615440</xdr:colOff>
      <xdr:row>133</xdr:row>
      <xdr:rowOff>121920</xdr:rowOff>
    </xdr:from>
    <xdr:to>
      <xdr:col>1</xdr:col>
      <xdr:colOff>274320</xdr:colOff>
      <xdr:row>135</xdr:row>
      <xdr:rowOff>45720</xdr:rowOff>
    </xdr:to>
    <xdr:sp macro="" textlink="">
      <xdr:nvSpPr>
        <xdr:cNvPr id="6" name="Line 4">
          <a:extLst>
            <a:ext uri="{FF2B5EF4-FFF2-40B4-BE49-F238E27FC236}">
              <a16:creationId xmlns:a16="http://schemas.microsoft.com/office/drawing/2014/main" id="{B020E2F7-3F50-4EE1-9821-7910B0834BBD}"/>
            </a:ext>
          </a:extLst>
        </xdr:cNvPr>
        <xdr:cNvSpPr>
          <a:spLocks noChangeShapeType="1"/>
        </xdr:cNvSpPr>
      </xdr:nvSpPr>
      <xdr:spPr bwMode="auto">
        <a:xfrm>
          <a:off x="1619250" y="20516850"/>
          <a:ext cx="1133475" cy="447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04\chapter_02.xlsm" TargetMode="External"/><Relationship Id="rId1" Type="http://schemas.openxmlformats.org/officeDocument/2006/relationships/externalLinkPath" Target="chapter_02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04\chapter_01.xlsm" TargetMode="External"/><Relationship Id="rId1" Type="http://schemas.openxmlformats.org/officeDocument/2006/relationships/externalLinkPath" Target="chapter_01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4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6">
          <cell r="B16">
            <v>276</v>
          </cell>
        </row>
        <row r="40">
          <cell r="B40">
            <v>0.61390934668112129</v>
          </cell>
        </row>
        <row r="41">
          <cell r="B41">
            <v>0.18382033710232065</v>
          </cell>
        </row>
        <row r="42">
          <cell r="B42">
            <v>6.3055438002539141E-2</v>
          </cell>
        </row>
        <row r="43">
          <cell r="B43">
            <v>6.7002256552681827E-2</v>
          </cell>
        </row>
        <row r="44">
          <cell r="B44">
            <v>0.36283185840707965</v>
          </cell>
        </row>
        <row r="45">
          <cell r="B45">
            <v>4.3209876543209874E-2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71">
          <cell r="B71">
            <v>0.18279300645638166</v>
          </cell>
        </row>
        <row r="72">
          <cell r="B72">
            <v>0.12239396312101744</v>
          </cell>
        </row>
        <row r="73">
          <cell r="B73">
            <v>3.2065766582264128E-2</v>
          </cell>
        </row>
        <row r="78">
          <cell r="B78">
            <v>0.34082744234557888</v>
          </cell>
        </row>
        <row r="80">
          <cell r="B80">
            <v>7.9337461297802614E-2</v>
          </cell>
        </row>
        <row r="83">
          <cell r="B83">
            <v>8.4953714425516982E-2</v>
          </cell>
        </row>
        <row r="84">
          <cell r="B84">
            <v>7.2454550833975645E-2</v>
          </cell>
        </row>
        <row r="87">
          <cell r="B87">
            <v>0.32</v>
          </cell>
        </row>
        <row r="90">
          <cell r="B90">
            <v>0.12533297743866578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ode mode mode "/>
      <sheetName val="Page 137, 140, 141"/>
      <sheetName val="Page 137, 140, 141 (中文)"/>
      <sheetName val="Page 138, top and page 139"/>
      <sheetName val="Page 138, top and page 139 (中文)"/>
      <sheetName val="Page 138, bottom"/>
      <sheetName val="Page 138, bottom (中文)"/>
      <sheetName val="Page 142"/>
      <sheetName val="Page 142 (中文)"/>
      <sheetName val="Page 144-146"/>
      <sheetName val="Page 144-146 (中文)"/>
      <sheetName val="page 147-150 and page 162"/>
      <sheetName val="page 147-150 and page 162（中文）"/>
      <sheetName val="Page 152"/>
      <sheetName val="Page 152 (中文)"/>
      <sheetName val="Page 155"/>
      <sheetName val="Page 155 (中文)"/>
      <sheetName val="Page 156"/>
      <sheetName val="Page 156 (中文)"/>
      <sheetName val="Page 158"/>
      <sheetName val="Page 158 (中文)"/>
      <sheetName val="Page 159, top"/>
      <sheetName val="Page 159, top (中文)"/>
      <sheetName val="Page 159, bottom"/>
      <sheetName val="Page 159, bottom (中文)"/>
      <sheetName val="Page 161"/>
      <sheetName val="Page 161 (中文)"/>
      <sheetName val="Acc Retained note"/>
      <sheetName val="Cash flow 91-00"/>
    </sheetNames>
    <sheetDataSet>
      <sheetData sheetId="0"/>
      <sheetData sheetId="1">
        <row r="3">
          <cell r="B3">
            <v>111</v>
          </cell>
        </row>
        <row r="23">
          <cell r="B23">
            <v>2971</v>
          </cell>
        </row>
        <row r="24">
          <cell r="B24">
            <v>543</v>
          </cell>
        </row>
        <row r="25">
          <cell r="B25">
            <v>128</v>
          </cell>
        </row>
        <row r="26">
          <cell r="B26">
            <v>1004</v>
          </cell>
        </row>
        <row r="36">
          <cell r="B36">
            <v>168.22</v>
          </cell>
        </row>
      </sheetData>
      <sheetData sheetId="2"/>
      <sheetData sheetId="3">
        <row r="35">
          <cell r="B35">
            <v>0.36283185840707965</v>
          </cell>
        </row>
      </sheetData>
      <sheetData sheetId="4"/>
      <sheetData sheetId="5"/>
      <sheetData sheetId="6"/>
      <sheetData sheetId="9"/>
      <sheetData sheetId="10"/>
      <sheetData sheetId="11"/>
      <sheetData sheetId="12"/>
      <sheetData sheetId="13">
        <row r="11">
          <cell r="F11">
            <v>518</v>
          </cell>
        </row>
        <row r="13">
          <cell r="B13">
            <v>6.8811408710489408E-2</v>
          </cell>
          <cell r="F13">
            <v>0.11907430517493345</v>
          </cell>
        </row>
      </sheetData>
      <sheetData sheetId="14"/>
      <sheetData sheetId="15"/>
      <sheetData sheetId="16"/>
      <sheetData sheetId="17">
        <row r="20">
          <cell r="B20">
            <v>0.13341864582616836</v>
          </cell>
        </row>
      </sheetData>
      <sheetData sheetId="18"/>
      <sheetData sheetId="19">
        <row r="2">
          <cell r="B2">
            <v>0.86717863603105427</v>
          </cell>
        </row>
      </sheetData>
      <sheetData sheetId="20"/>
      <sheetData sheetId="21">
        <row r="5">
          <cell r="B5">
            <v>7.6562500000000006E-2</v>
          </cell>
        </row>
        <row r="6">
          <cell r="B6">
            <v>5.1416666666666703E-3</v>
          </cell>
        </row>
      </sheetData>
      <sheetData sheetId="22"/>
      <sheetData sheetId="23">
        <row r="7">
          <cell r="B7">
            <v>6.7002256552681827E-2</v>
          </cell>
        </row>
      </sheetData>
      <sheetData sheetId="24"/>
      <sheetData sheetId="25"/>
      <sheetData sheetId="26"/>
      <sheetData sheetId="27"/>
      <sheetData sheetId="2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L145"/>
  <sheetViews>
    <sheetView tabSelected="1" topLeftCell="A112" zoomScale="160" zoomScaleNormal="160" workbookViewId="0">
      <selection activeCell="G127" sqref="G127"/>
    </sheetView>
  </sheetViews>
  <sheetFormatPr defaultRowHeight="13.8" x14ac:dyDescent="0.25"/>
  <cols>
    <col min="1" max="1" width="36.109375" style="2" customWidth="1"/>
    <col min="2" max="7" width="12.6640625" style="2" customWidth="1"/>
    <col min="8" max="8" width="32.33203125" style="2" customWidth="1"/>
    <col min="9" max="12" width="8.88671875" style="2"/>
  </cols>
  <sheetData>
    <row r="1" spans="1:11" ht="59.4" customHeight="1" x14ac:dyDescent="0.3">
      <c r="A1" s="67" t="s">
        <v>0</v>
      </c>
      <c r="B1" s="67"/>
      <c r="C1" s="67"/>
      <c r="D1" s="67"/>
      <c r="E1" s="67"/>
      <c r="F1" s="67"/>
      <c r="G1" s="67"/>
      <c r="H1" s="67"/>
      <c r="I1" s="1"/>
      <c r="J1" s="1"/>
      <c r="K1" s="1"/>
    </row>
    <row r="2" spans="1:11" x14ac:dyDescent="0.25">
      <c r="A2" s="23" t="s">
        <v>1</v>
      </c>
      <c r="C2" s="4" t="s">
        <v>2</v>
      </c>
      <c r="D2" s="4"/>
      <c r="E2" s="4"/>
      <c r="F2" s="4"/>
      <c r="G2" s="4"/>
    </row>
    <row r="3" spans="1:11" x14ac:dyDescent="0.25">
      <c r="A3" s="5" t="s">
        <v>3</v>
      </c>
      <c r="B3" s="6">
        <v>3.8899999999999997E-2</v>
      </c>
      <c r="C3" s="2" t="s">
        <v>4</v>
      </c>
      <c r="H3" s="7"/>
    </row>
    <row r="4" spans="1:11" x14ac:dyDescent="0.25">
      <c r="A4" s="5" t="s">
        <v>5</v>
      </c>
      <c r="B4" s="6">
        <f>[1]Sheet1!$B$40</f>
        <v>0.61390934668112129</v>
      </c>
      <c r="C4" s="2" t="s">
        <v>6</v>
      </c>
      <c r="H4" s="7" t="str">
        <f t="shared" ref="H4:H10" ca="1" si="0">_xlfn.FORMULATEXT(B4)</f>
        <v>='D:\lizhengdong\交易框架\5_工具箱\_书库\编程\Excel\CH04\[chapter_02.xlsm]Sheet1'!$B$40</v>
      </c>
    </row>
    <row r="5" spans="1:11" x14ac:dyDescent="0.25">
      <c r="A5" s="8" t="s">
        <v>7</v>
      </c>
      <c r="B5" s="6">
        <f>[1]Sheet1!$B$41</f>
        <v>0.18382033710232065</v>
      </c>
      <c r="C5" s="2" t="s">
        <v>8</v>
      </c>
      <c r="H5" s="9" t="str">
        <f t="shared" ca="1" si="0"/>
        <v>='D:\lizhengdong\交易框架\5_工具箱\_书库\编程\Excel\CH04\[chapter_02.xlsm]Sheet1'!$B$41</v>
      </c>
    </row>
    <row r="6" spans="1:11" x14ac:dyDescent="0.25">
      <c r="A6" s="8" t="s">
        <v>9</v>
      </c>
      <c r="B6" s="6">
        <f>[1]Sheet1!$B$42</f>
        <v>6.3055438002539141E-2</v>
      </c>
      <c r="C6" s="2" t="s">
        <v>10</v>
      </c>
      <c r="H6" s="9" t="str">
        <f t="shared" ca="1" si="0"/>
        <v>='D:\lizhengdong\交易框架\5_工具箱\_书库\编程\Excel\CH04\[chapter_02.xlsm]Sheet1'!$B$42</v>
      </c>
    </row>
    <row r="7" spans="1:11" x14ac:dyDescent="0.25">
      <c r="A7" s="2" t="s">
        <v>11</v>
      </c>
      <c r="B7" s="6">
        <f>[1]Sheet1!$B$43</f>
        <v>6.7002256552681827E-2</v>
      </c>
      <c r="C7" s="2" t="s">
        <v>12</v>
      </c>
      <c r="H7" s="9" t="str">
        <f t="shared" ca="1" si="0"/>
        <v>='D:\lizhengdong\交易框架\5_工具箱\_书库\编程\Excel\CH04\[chapter_02.xlsm]Sheet1'!$B$43</v>
      </c>
    </row>
    <row r="8" spans="1:11" x14ac:dyDescent="0.25">
      <c r="A8" s="2" t="s">
        <v>13</v>
      </c>
      <c r="B8" s="6">
        <f>[1]Sheet1!$B$45</f>
        <v>4.3209876543209874E-2</v>
      </c>
      <c r="C8" s="2" t="s">
        <v>14</v>
      </c>
      <c r="H8" s="9" t="str">
        <f t="shared" ca="1" si="0"/>
        <v>='D:\lizhengdong\交易框架\5_工具箱\_书库\编程\Excel\CH04\[chapter_02.xlsm]Sheet1'!$B$45</v>
      </c>
    </row>
    <row r="9" spans="1:11" x14ac:dyDescent="0.25">
      <c r="A9" s="8" t="s">
        <v>15</v>
      </c>
      <c r="B9" s="6">
        <v>4.1300000000000003E-2</v>
      </c>
      <c r="C9" s="2" t="s">
        <v>16</v>
      </c>
      <c r="H9" s="9"/>
    </row>
    <row r="10" spans="1:11" x14ac:dyDescent="0.25">
      <c r="A10" s="8" t="s">
        <v>17</v>
      </c>
      <c r="B10" s="6">
        <f>[1]Sheet1!$B$44</f>
        <v>0.36283185840707965</v>
      </c>
      <c r="C10" s="2" t="s">
        <v>18</v>
      </c>
      <c r="H10" s="9" t="str">
        <f t="shared" ca="1" si="0"/>
        <v>='D:\lizhengdong\交易框架\5_工具箱\_书库\编程\Excel\CH04\[chapter_02.xlsm]Sheet1'!$B$44</v>
      </c>
    </row>
    <row r="11" spans="1:11" x14ac:dyDescent="0.25">
      <c r="A11" s="24">
        <f>COUNTA(A3:A10)</f>
        <v>8</v>
      </c>
    </row>
    <row r="12" spans="1:11" x14ac:dyDescent="0.25">
      <c r="A12" s="22" t="s">
        <v>19</v>
      </c>
    </row>
    <row r="13" spans="1:11" x14ac:dyDescent="0.25">
      <c r="A13" s="10" t="s">
        <v>20</v>
      </c>
    </row>
    <row r="14" spans="1:11" x14ac:dyDescent="0.25">
      <c r="A14" s="8" t="s">
        <v>21</v>
      </c>
      <c r="B14" s="25" t="s">
        <v>22</v>
      </c>
    </row>
    <row r="15" spans="1:11" x14ac:dyDescent="0.25">
      <c r="A15" s="2" t="s">
        <v>23</v>
      </c>
      <c r="B15" s="6">
        <f>[2]Sheet1!$B$71</f>
        <v>0.18279300645638166</v>
      </c>
      <c r="C15" s="2" t="s">
        <v>24</v>
      </c>
      <c r="H15" s="9"/>
    </row>
    <row r="16" spans="1:11" x14ac:dyDescent="0.25">
      <c r="A16" s="2" t="s">
        <v>25</v>
      </c>
      <c r="B16" s="6">
        <f>[2]Sheet1!$B$72</f>
        <v>0.12239396312101744</v>
      </c>
      <c r="C16" s="2" t="s">
        <v>26</v>
      </c>
      <c r="H16" s="9"/>
    </row>
    <row r="17" spans="1:8" x14ac:dyDescent="0.25">
      <c r="A17" s="2" t="s">
        <v>27</v>
      </c>
      <c r="B17" s="6">
        <f>[2]Sheet1!$B$73</f>
        <v>3.2065766582264128E-2</v>
      </c>
      <c r="C17" s="2" t="s">
        <v>28</v>
      </c>
      <c r="H17" s="9"/>
    </row>
    <row r="18" spans="1:8" x14ac:dyDescent="0.25">
      <c r="A18" s="2" t="s">
        <v>29</v>
      </c>
      <c r="B18" s="6">
        <f>[2]Sheet1!$B$78</f>
        <v>0.34082744234557888</v>
      </c>
      <c r="C18" s="2" t="s">
        <v>30</v>
      </c>
      <c r="H18" s="9"/>
    </row>
    <row r="19" spans="1:8" x14ac:dyDescent="0.25">
      <c r="A19" s="27" t="s">
        <v>31</v>
      </c>
      <c r="B19" s="26" t="s">
        <v>22</v>
      </c>
      <c r="H19" s="9"/>
    </row>
    <row r="20" spans="1:8" x14ac:dyDescent="0.25">
      <c r="A20" s="5" t="s">
        <v>32</v>
      </c>
      <c r="B20" s="6">
        <f>[2]Sheet1!$B$80</f>
        <v>7.9337461297802614E-2</v>
      </c>
      <c r="C20" s="2" t="s">
        <v>33</v>
      </c>
      <c r="H20" s="9"/>
    </row>
    <row r="21" spans="1:8" x14ac:dyDescent="0.25">
      <c r="A21" s="24">
        <f>COUNTA(A14:A20)</f>
        <v>7</v>
      </c>
      <c r="B21" s="6"/>
      <c r="H21" s="9"/>
    </row>
    <row r="22" spans="1:8" x14ac:dyDescent="0.25">
      <c r="A22" s="22" t="s">
        <v>34</v>
      </c>
      <c r="B22" s="6"/>
      <c r="H22" s="9"/>
    </row>
    <row r="23" spans="1:8" x14ac:dyDescent="0.25">
      <c r="A23" s="2" t="s">
        <v>35</v>
      </c>
      <c r="B23" s="6">
        <f>[2]Sheet1!$B$83</f>
        <v>8.4953714425516982E-2</v>
      </c>
      <c r="C23" s="2" t="s">
        <v>36</v>
      </c>
      <c r="H23" s="9"/>
    </row>
    <row r="24" spans="1:8" x14ac:dyDescent="0.25">
      <c r="A24" s="2" t="s">
        <v>37</v>
      </c>
      <c r="B24" s="6">
        <f>[2]Sheet1!$B$84</f>
        <v>7.2454550833975645E-2</v>
      </c>
      <c r="C24" s="2" t="s">
        <v>38</v>
      </c>
      <c r="H24" s="9"/>
    </row>
    <row r="25" spans="1:8" x14ac:dyDescent="0.25">
      <c r="A25" s="2" t="s">
        <v>39</v>
      </c>
      <c r="B25" s="26" t="s">
        <v>22</v>
      </c>
      <c r="H25" s="9"/>
    </row>
    <row r="26" spans="1:8" x14ac:dyDescent="0.25">
      <c r="B26" s="6"/>
      <c r="H26" s="9"/>
    </row>
    <row r="27" spans="1:8" x14ac:dyDescent="0.25">
      <c r="A27" s="2" t="s">
        <v>40</v>
      </c>
      <c r="B27" s="6">
        <f>[2]Sheet1!$B$87</f>
        <v>0.32</v>
      </c>
      <c r="C27" s="2" t="s">
        <v>41</v>
      </c>
      <c r="H27" s="9"/>
    </row>
    <row r="28" spans="1:8" x14ac:dyDescent="0.25">
      <c r="A28" s="2" t="s">
        <v>42</v>
      </c>
      <c r="B28" s="2" t="s">
        <v>43</v>
      </c>
    </row>
    <row r="29" spans="1:8" x14ac:dyDescent="0.25">
      <c r="A29" s="2" t="s">
        <v>44</v>
      </c>
      <c r="B29" s="25" t="s">
        <v>22</v>
      </c>
    </row>
    <row r="30" spans="1:8" x14ac:dyDescent="0.25">
      <c r="A30" s="2" t="s">
        <v>45</v>
      </c>
      <c r="B30" s="6">
        <f>[2]Sheet1!$B$90</f>
        <v>0.12533297743866578</v>
      </c>
      <c r="C30" s="2" t="s">
        <v>46</v>
      </c>
      <c r="H30" s="7"/>
    </row>
    <row r="31" spans="1:8" x14ac:dyDescent="0.25">
      <c r="A31" s="2" t="s">
        <v>47</v>
      </c>
      <c r="B31" s="11" t="s">
        <v>48</v>
      </c>
    </row>
    <row r="32" spans="1:8" x14ac:dyDescent="0.25">
      <c r="A32" s="24">
        <f>COUNTA(A23:A31)</f>
        <v>8</v>
      </c>
    </row>
    <row r="33" spans="1:12" ht="15.6" x14ac:dyDescent="0.3">
      <c r="A33" s="19" t="s">
        <v>49</v>
      </c>
      <c r="B33" s="20">
        <v>2000</v>
      </c>
      <c r="C33" s="20">
        <v>2001</v>
      </c>
      <c r="D33" s="20">
        <v>2002</v>
      </c>
      <c r="E33" s="20">
        <v>2003</v>
      </c>
      <c r="F33" s="20">
        <v>2004</v>
      </c>
      <c r="G33" s="20">
        <v>2005</v>
      </c>
      <c r="H33" s="21"/>
      <c r="I33" s="10"/>
      <c r="J33" s="10"/>
      <c r="K33" s="10"/>
      <c r="L33" s="10"/>
    </row>
    <row r="34" spans="1:12" x14ac:dyDescent="0.25">
      <c r="A34" s="5" t="s">
        <v>50</v>
      </c>
      <c r="B34" s="13">
        <v>8629</v>
      </c>
      <c r="C34" s="14">
        <f>B34*(1+growth)</f>
        <v>8964.668099999999</v>
      </c>
      <c r="D34" s="14">
        <f>C34*(1+growth)</f>
        <v>9313.3936890899986</v>
      </c>
      <c r="E34" s="14">
        <f>D34*(1+growth)</f>
        <v>9675.6847035955998</v>
      </c>
      <c r="F34" s="14">
        <f>E34*(1+growth)</f>
        <v>10052.068838565468</v>
      </c>
      <c r="G34" s="14">
        <f>F34*(1+growth)</f>
        <v>10443.094316385665</v>
      </c>
      <c r="H34" s="14" t="str">
        <f t="shared" ref="H34:H46" ca="1" si="1">_xlfn.FORMULATEXT(C34)</f>
        <v>=B34*(1+growth)</v>
      </c>
      <c r="I34" s="14"/>
      <c r="J34" s="14"/>
      <c r="K34" s="14"/>
      <c r="L34" s="14"/>
    </row>
    <row r="35" spans="1:12" x14ac:dyDescent="0.25">
      <c r="A35" s="5" t="s">
        <v>51</v>
      </c>
      <c r="B35" s="13">
        <v>5334</v>
      </c>
      <c r="C35" s="14">
        <f>sales2001*cogs_sales</f>
        <v>5503.4935364840885</v>
      </c>
      <c r="D35" s="14">
        <f>sales2002*cogs_sales</f>
        <v>5717.5794350533188</v>
      </c>
      <c r="E35" s="14">
        <f>sales2003*cogs_sales</f>
        <v>5939.993275076893</v>
      </c>
      <c r="F35" s="14">
        <f>sales2004*cogs_sales</f>
        <v>6171.0590134773847</v>
      </c>
      <c r="G35" s="14">
        <f>sales2005*cogs_sales</f>
        <v>6411.1132091016543</v>
      </c>
      <c r="H35" s="14" t="str">
        <f t="shared" ca="1" si="1"/>
        <v>=sales2001*cogs_sales</v>
      </c>
      <c r="I35" s="14"/>
      <c r="J35" s="14"/>
      <c r="K35" s="14"/>
      <c r="L35" s="14"/>
    </row>
    <row r="36" spans="1:12" ht="26.4" x14ac:dyDescent="0.25">
      <c r="A36" s="5" t="s">
        <v>52</v>
      </c>
      <c r="B36" s="13">
        <v>1646</v>
      </c>
      <c r="C36" s="14">
        <f>sales2001*sga_sales</f>
        <v>1647.8883121524202</v>
      </c>
      <c r="D36" s="14">
        <f>sales2002*sga_sales</f>
        <v>1711.9911674951493</v>
      </c>
      <c r="E36" s="14">
        <f>sales2003*sga_sales</f>
        <v>1778.5876239107106</v>
      </c>
      <c r="F36" s="14">
        <f>sales2004*sga_sales</f>
        <v>1847.7746824808373</v>
      </c>
      <c r="G36" s="14">
        <f>sales2005*sga_sales</f>
        <v>1919.6531176293418</v>
      </c>
      <c r="H36" s="14" t="str">
        <f t="shared" ca="1" si="1"/>
        <v>=sales2001*sga_sales</v>
      </c>
      <c r="I36" s="14"/>
      <c r="J36" s="14"/>
      <c r="K36" s="14"/>
      <c r="L36" s="14"/>
    </row>
    <row r="37" spans="1:12" x14ac:dyDescent="0.25">
      <c r="A37" s="28" t="s">
        <v>53</v>
      </c>
      <c r="B37" s="29">
        <f>B34-B35-B36</f>
        <v>1649</v>
      </c>
      <c r="C37" s="30">
        <f>sales2001-C35-C36</f>
        <v>1813.2862513634902</v>
      </c>
      <c r="D37" s="30">
        <f>sales2002-D35-D36</f>
        <v>1883.8230865415305</v>
      </c>
      <c r="E37" s="30">
        <f>sales2003-E35-E36</f>
        <v>1957.1038046079962</v>
      </c>
      <c r="F37" s="30">
        <f>sales2004-F35-F36</f>
        <v>2033.2351426072464</v>
      </c>
      <c r="G37" s="30">
        <f>sales2005-G35-G36</f>
        <v>2112.3279896546683</v>
      </c>
      <c r="H37" s="30" t="str">
        <f t="shared" ca="1" si="1"/>
        <v>=sales2001-C35-C36</v>
      </c>
      <c r="I37" s="14"/>
      <c r="J37" s="14"/>
      <c r="K37" s="14"/>
      <c r="L37" s="14"/>
    </row>
    <row r="38" spans="1:12" x14ac:dyDescent="0.25">
      <c r="A38" s="5" t="s">
        <v>54</v>
      </c>
      <c r="B38" s="13">
        <v>447</v>
      </c>
      <c r="C38" s="14">
        <f ca="1">depr_perc*(B55+C55)/2</f>
        <v>465.27601706357871</v>
      </c>
      <c r="D38" s="14">
        <f ca="1">depr_perc*(C55+D55)/2</f>
        <v>503.16284588722664</v>
      </c>
      <c r="E38" s="14">
        <f ca="1">depr_perc*(D55+E55)/2</f>
        <v>543.81180583353068</v>
      </c>
      <c r="F38" s="14">
        <f ca="1">depr_perc*(E55+F55)/2</f>
        <v>587.41422481200277</v>
      </c>
      <c r="G38" s="14">
        <f ca="1">depr_perc*(F55+G55)/2</f>
        <v>634.17433472509333</v>
      </c>
      <c r="H38" s="14" t="str">
        <f t="shared" ca="1" si="1"/>
        <v>=depr_perc*(B55+C55)/2</v>
      </c>
      <c r="I38" s="14"/>
      <c r="J38" s="14"/>
      <c r="K38" s="14"/>
      <c r="L38" s="14"/>
    </row>
    <row r="39" spans="1:12" x14ac:dyDescent="0.25">
      <c r="A39" s="5" t="s">
        <v>55</v>
      </c>
      <c r="B39" s="13">
        <v>193</v>
      </c>
      <c r="C39" s="33">
        <f>(B69+C69)/2*interest</f>
        <v>199.93590385790645</v>
      </c>
      <c r="D39" s="33">
        <f>(C69+D69)/2*interest</f>
        <v>204.32626514864762</v>
      </c>
      <c r="E39" s="33">
        <f>(D69+E69)/2*interest</f>
        <v>211.53920236971157</v>
      </c>
      <c r="F39" s="33">
        <f>(E69+F69)/2*interest</f>
        <v>219.11539196461118</v>
      </c>
      <c r="G39" s="33">
        <f>(F69+G69)/2*interest</f>
        <v>227.07552320847475</v>
      </c>
      <c r="H39" s="14" t="str">
        <f t="shared" ca="1" si="1"/>
        <v>=(B69+C69)/2*interest</v>
      </c>
      <c r="I39" s="14"/>
      <c r="J39" s="14"/>
      <c r="K39" s="14"/>
      <c r="L39" s="14"/>
    </row>
    <row r="40" spans="1:12" ht="26.4" x14ac:dyDescent="0.25">
      <c r="A40" s="5" t="s">
        <v>56</v>
      </c>
      <c r="B40" s="13">
        <v>8</v>
      </c>
      <c r="C40" s="14">
        <f>B40</f>
        <v>8</v>
      </c>
      <c r="D40" s="14">
        <f t="shared" ref="D40:G40" si="2">C40</f>
        <v>8</v>
      </c>
      <c r="E40" s="14">
        <f t="shared" si="2"/>
        <v>8</v>
      </c>
      <c r="F40" s="14">
        <f t="shared" si="2"/>
        <v>8</v>
      </c>
      <c r="G40" s="14">
        <f t="shared" si="2"/>
        <v>8</v>
      </c>
      <c r="H40" s="14" t="str">
        <f t="shared" ca="1" si="1"/>
        <v>=B40</v>
      </c>
      <c r="I40" s="14"/>
      <c r="J40" s="14"/>
      <c r="K40" s="14"/>
      <c r="L40" s="14"/>
    </row>
    <row r="41" spans="1:12" x14ac:dyDescent="0.25">
      <c r="A41" s="28" t="s">
        <v>57</v>
      </c>
      <c r="B41" s="29">
        <v>1017</v>
      </c>
      <c r="C41" s="30">
        <f ca="1">C37-C38-C39-C40</f>
        <v>1140.0743304420052</v>
      </c>
      <c r="D41" s="30">
        <f t="shared" ref="D41:G41" ca="1" si="3">D37-D38-D39-D40</f>
        <v>1168.3339755056563</v>
      </c>
      <c r="E41" s="30">
        <f t="shared" ca="1" si="3"/>
        <v>1193.7527964047538</v>
      </c>
      <c r="F41" s="30">
        <f t="shared" ca="1" si="3"/>
        <v>1218.7055258306323</v>
      </c>
      <c r="G41" s="30">
        <f t="shared" ca="1" si="3"/>
        <v>1243.0781317211001</v>
      </c>
      <c r="H41" s="30" t="str">
        <f t="shared" ca="1" si="1"/>
        <v>=C37-C38-C39-C40</v>
      </c>
      <c r="I41" s="14"/>
      <c r="J41" s="14"/>
      <c r="K41" s="14"/>
      <c r="L41" s="14"/>
    </row>
    <row r="42" spans="1:12" x14ac:dyDescent="0.25">
      <c r="A42" s="5" t="s">
        <v>58</v>
      </c>
      <c r="B42" s="13">
        <v>369</v>
      </c>
      <c r="C42" s="14">
        <f ca="1">C41*tax</f>
        <v>413.65528803647982</v>
      </c>
      <c r="D42" s="14">
        <f ca="1">D41*tax</f>
        <v>423.90878757284878</v>
      </c>
      <c r="E42" s="14">
        <f ca="1">E41*tax</f>
        <v>433.13154559818503</v>
      </c>
      <c r="F42" s="14">
        <f ca="1">F41*tax</f>
        <v>442.1851907881055</v>
      </c>
      <c r="G42" s="14">
        <f ca="1">G41*tax</f>
        <v>451.02834867756729</v>
      </c>
      <c r="H42" s="14" t="str">
        <f t="shared" ca="1" si="1"/>
        <v>=C41*tax</v>
      </c>
      <c r="I42" s="14"/>
      <c r="J42" s="14"/>
      <c r="K42" s="14"/>
      <c r="L42" s="14"/>
    </row>
    <row r="43" spans="1:12" x14ac:dyDescent="0.25">
      <c r="A43" s="31" t="s">
        <v>44</v>
      </c>
      <c r="B43" s="32">
        <v>28</v>
      </c>
      <c r="C43" s="33">
        <f ca="1">C42*minority</f>
        <v>17.873993927502212</v>
      </c>
      <c r="D43" s="33">
        <f ca="1">D42*minority</f>
        <v>18.317046376604576</v>
      </c>
      <c r="E43" s="33">
        <f ca="1">E42*minority</f>
        <v>18.715560612267254</v>
      </c>
      <c r="F43" s="33">
        <f ca="1">F42*minority</f>
        <v>19.106767503189744</v>
      </c>
      <c r="G43" s="33">
        <f ca="1">G42*minority</f>
        <v>19.488879263845501</v>
      </c>
      <c r="H43" s="14" t="str">
        <f t="shared" ca="1" si="1"/>
        <v>=C42*minority</v>
      </c>
      <c r="I43" s="14"/>
      <c r="J43" s="14"/>
      <c r="K43" s="14"/>
      <c r="L43" s="14"/>
    </row>
    <row r="44" spans="1:12" x14ac:dyDescent="0.25">
      <c r="A44" s="28" t="s">
        <v>59</v>
      </c>
      <c r="B44" s="30">
        <f>B41-B42-B43</f>
        <v>620</v>
      </c>
      <c r="C44" s="34">
        <f ca="1">C41-C42-C43</f>
        <v>708.54504847802332</v>
      </c>
      <c r="D44" s="34">
        <f t="shared" ref="D44:G44" ca="1" si="4">D41-D42-D43</f>
        <v>726.10814155620301</v>
      </c>
      <c r="E44" s="34">
        <f t="shared" ca="1" si="4"/>
        <v>741.90569019430143</v>
      </c>
      <c r="F44" s="34">
        <f t="shared" ca="1" si="4"/>
        <v>757.41356753933701</v>
      </c>
      <c r="G44" s="34">
        <f t="shared" ca="1" si="4"/>
        <v>772.56090377968735</v>
      </c>
      <c r="H44" s="30" t="str">
        <f t="shared" ca="1" si="1"/>
        <v>=C41-C42-C43</v>
      </c>
      <c r="I44" s="14"/>
      <c r="J44" s="14"/>
      <c r="K44" s="14"/>
      <c r="L44" s="14"/>
    </row>
    <row r="45" spans="1:12" x14ac:dyDescent="0.25">
      <c r="A45" s="5" t="s">
        <v>60</v>
      </c>
      <c r="B45" s="14">
        <f>[1]Sheet1!$B$16</f>
        <v>276</v>
      </c>
      <c r="C45" s="14">
        <f>B45*(1+divgrowth)</f>
        <v>287.39880000000005</v>
      </c>
      <c r="D45" s="14">
        <f>C45*(1+divgrowth)</f>
        <v>299.26837044000007</v>
      </c>
      <c r="E45" s="14">
        <f>D45*(1+divgrowth)</f>
        <v>311.62815413917212</v>
      </c>
      <c r="F45" s="14">
        <f>E45*(1+divgrowth)</f>
        <v>324.49839690511999</v>
      </c>
      <c r="G45" s="14">
        <f>F45*(1+divgrowth)</f>
        <v>337.90018069730149</v>
      </c>
      <c r="H45" s="14" t="str">
        <f t="shared" ca="1" si="1"/>
        <v>=B45*(1+divgrowth)</v>
      </c>
      <c r="I45" s="14"/>
      <c r="J45" s="14"/>
      <c r="K45" s="14"/>
      <c r="L45" s="14"/>
    </row>
    <row r="46" spans="1:12" x14ac:dyDescent="0.25">
      <c r="A46" s="5" t="s">
        <v>61</v>
      </c>
      <c r="B46" s="14">
        <f>B44-B45</f>
        <v>344</v>
      </c>
      <c r="C46" s="33">
        <f ca="1">C44-C45</f>
        <v>421.14624847802327</v>
      </c>
      <c r="D46" s="33">
        <f t="shared" ref="D46:G46" ca="1" si="5">D44-D45</f>
        <v>426.83977111620294</v>
      </c>
      <c r="E46" s="33">
        <f t="shared" ca="1" si="5"/>
        <v>430.2775360551293</v>
      </c>
      <c r="F46" s="33">
        <f t="shared" ca="1" si="5"/>
        <v>432.91517063421702</v>
      </c>
      <c r="G46" s="33">
        <f t="shared" ca="1" si="5"/>
        <v>434.66072308238586</v>
      </c>
      <c r="H46" s="14" t="str">
        <f t="shared" ca="1" si="1"/>
        <v>=C44-C45</v>
      </c>
      <c r="I46" s="14"/>
      <c r="J46" s="14"/>
      <c r="K46" s="14"/>
      <c r="L46" s="14"/>
    </row>
    <row r="47" spans="1:12" x14ac:dyDescent="0.25">
      <c r="A47" s="5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</row>
    <row r="48" spans="1:12" ht="15.6" x14ac:dyDescent="0.3">
      <c r="A48" s="15" t="s">
        <v>62</v>
      </c>
      <c r="B48" s="20">
        <v>2000</v>
      </c>
      <c r="C48" s="20">
        <v>2001</v>
      </c>
      <c r="D48" s="20">
        <v>2002</v>
      </c>
      <c r="E48" s="20">
        <v>2003</v>
      </c>
      <c r="F48" s="20">
        <v>2004</v>
      </c>
      <c r="G48" s="20">
        <v>2005</v>
      </c>
      <c r="H48" s="14"/>
      <c r="I48" s="10"/>
      <c r="J48" s="10"/>
      <c r="K48" s="10"/>
      <c r="L48" s="10"/>
    </row>
    <row r="49" spans="1:12" x14ac:dyDescent="0.25">
      <c r="A49" s="5" t="s">
        <v>63</v>
      </c>
      <c r="B49" s="13">
        <v>111</v>
      </c>
      <c r="C49" s="14">
        <f>B49</f>
        <v>111</v>
      </c>
      <c r="D49" s="14">
        <f t="shared" ref="D49:G49" si="6">C49</f>
        <v>111</v>
      </c>
      <c r="E49" s="14">
        <f t="shared" si="6"/>
        <v>111</v>
      </c>
      <c r="F49" s="14">
        <f t="shared" si="6"/>
        <v>111</v>
      </c>
      <c r="G49" s="14">
        <f t="shared" si="6"/>
        <v>111</v>
      </c>
      <c r="H49" s="14" t="str">
        <f ca="1">[3]!getformula(C49)</f>
        <v>&lt;--  =B49</v>
      </c>
      <c r="I49" s="14"/>
      <c r="J49" s="14"/>
      <c r="K49" s="14"/>
      <c r="L49" s="14"/>
    </row>
    <row r="50" spans="1:12" x14ac:dyDescent="0.25">
      <c r="A50" s="5" t="s">
        <v>64</v>
      </c>
      <c r="B50" s="13">
        <v>1563</v>
      </c>
      <c r="C50" s="14">
        <f>sales2001*ar_sales</f>
        <v>1638.6786338826184</v>
      </c>
      <c r="D50" s="14">
        <f>sales2002*ar_sales</f>
        <v>1702.4232327406523</v>
      </c>
      <c r="E50" s="14">
        <f>sales2003*ar_sales</f>
        <v>1768.6474964942638</v>
      </c>
      <c r="F50" s="14">
        <f>sales2004*ar_sales</f>
        <v>1837.4478841078906</v>
      </c>
      <c r="G50" s="14">
        <f>sales2005*ar_sales</f>
        <v>1908.9246067996874</v>
      </c>
      <c r="H50" s="14" t="str">
        <f ca="1">[3]!getformula(C50)</f>
        <v>&lt;--  =sales2001*ar_sales</v>
      </c>
      <c r="I50" s="14"/>
      <c r="J50" s="14"/>
      <c r="K50" s="14"/>
      <c r="L50" s="14"/>
    </row>
    <row r="51" spans="1:12" x14ac:dyDescent="0.25">
      <c r="A51" s="5" t="s">
        <v>65</v>
      </c>
      <c r="B51" s="13">
        <v>1121</v>
      </c>
      <c r="C51" s="14">
        <f>sales2001*inventory_sales</f>
        <v>1097.2212568235614</v>
      </c>
      <c r="D51" s="14">
        <f>sales2002*inventory_sales</f>
        <v>1139.9031637139979</v>
      </c>
      <c r="E51" s="14">
        <f>sales2003*inventory_sales</f>
        <v>1184.2453967824724</v>
      </c>
      <c r="F51" s="14">
        <f>sales2004*inventory_sales</f>
        <v>1230.3125427173106</v>
      </c>
      <c r="G51" s="14">
        <f>sales2005*inventory_sales</f>
        <v>1278.1717006290139</v>
      </c>
      <c r="H51" s="14" t="str">
        <f ca="1">[3]!getformula(C51)</f>
        <v>&lt;--  =sales2001*inventory_sales</v>
      </c>
      <c r="I51" s="14"/>
      <c r="J51" s="14"/>
      <c r="K51" s="14"/>
      <c r="L51" s="14"/>
    </row>
    <row r="52" spans="1:12" x14ac:dyDescent="0.25">
      <c r="A52" s="5" t="s">
        <v>66</v>
      </c>
      <c r="B52" s="13">
        <v>298</v>
      </c>
      <c r="C52" s="35">
        <f>sales2001*otherca_sales</f>
        <v>287.45895478206921</v>
      </c>
      <c r="D52" s="35">
        <f>sales2002*otherca_sales</f>
        <v>298.64110812309173</v>
      </c>
      <c r="E52" s="35">
        <f>sales2003*otherca_sales</f>
        <v>310.25824722907998</v>
      </c>
      <c r="F52" s="35">
        <f>sales2004*otherca_sales</f>
        <v>322.32729304629117</v>
      </c>
      <c r="G52" s="35">
        <f>sales2005*otherca_sales</f>
        <v>334.86582474579188</v>
      </c>
      <c r="H52" s="14" t="str">
        <f ca="1">[3]!getformula(C52)</f>
        <v>&lt;--  =sales2001*otherca_sales</v>
      </c>
      <c r="I52" s="14"/>
      <c r="J52" s="14"/>
      <c r="K52" s="14"/>
      <c r="L52" s="14"/>
    </row>
    <row r="53" spans="1:12" x14ac:dyDescent="0.25">
      <c r="A53" s="5" t="s">
        <v>67</v>
      </c>
      <c r="B53" s="14">
        <f>SUM(B49:B52)</f>
        <v>3093</v>
      </c>
      <c r="C53" s="14">
        <f>SUM(C49:C52)</f>
        <v>3134.3588454882488</v>
      </c>
      <c r="D53" s="14">
        <f t="shared" ref="D53:G53" si="7">SUM(D49:D52)</f>
        <v>3251.9675045777421</v>
      </c>
      <c r="E53" s="14">
        <f t="shared" si="7"/>
        <v>3374.1511405058163</v>
      </c>
      <c r="F53" s="14">
        <f t="shared" si="7"/>
        <v>3501.0877198714925</v>
      </c>
      <c r="G53" s="14">
        <f t="shared" si="7"/>
        <v>3632.962132174493</v>
      </c>
      <c r="H53" s="14" t="str">
        <f ca="1">[3]!getformula(C53)</f>
        <v>&lt;--  =SUM(C49:C52)</v>
      </c>
      <c r="I53" s="14"/>
      <c r="J53" s="14"/>
      <c r="K53" s="14"/>
      <c r="L53" s="14"/>
    </row>
    <row r="54" spans="1:12" x14ac:dyDescent="0.25">
      <c r="A54" s="5"/>
      <c r="B54" s="13"/>
      <c r="C54" s="14"/>
      <c r="D54" s="14"/>
      <c r="E54" s="14"/>
      <c r="F54" s="14"/>
      <c r="G54" s="14"/>
      <c r="H54" s="14"/>
      <c r="I54" s="14"/>
      <c r="J54" s="14"/>
      <c r="K54" s="14"/>
      <c r="L54" s="14"/>
    </row>
    <row r="55" spans="1:12" x14ac:dyDescent="0.25">
      <c r="A55" s="5" t="s">
        <v>68</v>
      </c>
      <c r="B55" s="13">
        <v>7089</v>
      </c>
      <c r="C55" s="14">
        <f ca="1">C56+C57</f>
        <v>7668.6809170635788</v>
      </c>
      <c r="D55" s="14">
        <f t="shared" ref="D55:G55" ca="1" si="8">D56+D57</f>
        <v>8290.6990135608048</v>
      </c>
      <c r="E55" s="14">
        <f t="shared" ca="1" si="8"/>
        <v>8957.9895392530634</v>
      </c>
      <c r="F55" s="14">
        <f t="shared" ca="1" si="8"/>
        <v>9673.6858061262992</v>
      </c>
      <c r="G55" s="14">
        <f t="shared" ca="1" si="8"/>
        <v>10441.132354348809</v>
      </c>
      <c r="H55" s="14" t="str">
        <f ca="1">[3]!getformula(C55)</f>
        <v>&lt;--  =C56+C57</v>
      </c>
      <c r="I55" s="14"/>
      <c r="J55" s="14"/>
      <c r="K55" s="14"/>
      <c r="L55" s="14"/>
    </row>
    <row r="56" spans="1:12" ht="26.4" x14ac:dyDescent="0.25">
      <c r="A56" s="5" t="s">
        <v>69</v>
      </c>
      <c r="B56" s="13">
        <v>4148</v>
      </c>
      <c r="C56" s="14">
        <f ca="1">B56+C38</f>
        <v>4613.2760170635784</v>
      </c>
      <c r="D56" s="14">
        <f t="shared" ref="D56:G56" ca="1" si="9">C56+D38</f>
        <v>5116.4388629508048</v>
      </c>
      <c r="E56" s="14">
        <f t="shared" ca="1" si="9"/>
        <v>5660.2506687843352</v>
      </c>
      <c r="F56" s="14">
        <f t="shared" ca="1" si="9"/>
        <v>6247.6648935963376</v>
      </c>
      <c r="G56" s="14">
        <f t="shared" ca="1" si="9"/>
        <v>6881.8392283214307</v>
      </c>
      <c r="H56" s="14" t="str">
        <f ca="1">[3]!getformula(C56)</f>
        <v>&lt;--  =B56+C38</v>
      </c>
      <c r="I56" s="14"/>
      <c r="J56" s="14"/>
      <c r="K56" s="14"/>
      <c r="L56" s="14"/>
    </row>
    <row r="57" spans="1:12" x14ac:dyDescent="0.25">
      <c r="A57" s="5" t="s">
        <v>70</v>
      </c>
      <c r="B57" s="13">
        <f>B55-B56</f>
        <v>2941</v>
      </c>
      <c r="C57" s="14">
        <f>sales2001*ppe_sales</f>
        <v>3055.4049</v>
      </c>
      <c r="D57" s="14">
        <f>sales2002*ppe_sales</f>
        <v>3174.2601506099995</v>
      </c>
      <c r="E57" s="14">
        <f>sales2003*ppe_sales</f>
        <v>3297.7388704687287</v>
      </c>
      <c r="F57" s="14">
        <f>sales2004*ppe_sales</f>
        <v>3426.0209125299621</v>
      </c>
      <c r="G57" s="14">
        <f>sales2005*ppe_sales</f>
        <v>3559.2931260273776</v>
      </c>
      <c r="H57" s="14" t="str">
        <f ca="1">[3]!getformula(C57)</f>
        <v>&lt;--  =sales2001*ppe_sales</v>
      </c>
      <c r="I57" s="14"/>
      <c r="J57" s="14"/>
      <c r="K57" s="14"/>
      <c r="L57" s="14"/>
    </row>
    <row r="58" spans="1:12" x14ac:dyDescent="0.25">
      <c r="A58" s="5"/>
      <c r="B58" s="13"/>
      <c r="C58" s="14"/>
      <c r="D58" s="14"/>
      <c r="E58" s="14"/>
      <c r="F58" s="14"/>
      <c r="G58" s="14"/>
      <c r="H58" s="14"/>
      <c r="I58" s="14"/>
      <c r="J58" s="14"/>
      <c r="K58" s="14"/>
      <c r="L58" s="14"/>
    </row>
    <row r="59" spans="1:12" x14ac:dyDescent="0.25">
      <c r="A59" s="5" t="s">
        <v>71</v>
      </c>
      <c r="B59" s="13">
        <v>320</v>
      </c>
      <c r="C59" s="14">
        <f>B59</f>
        <v>320</v>
      </c>
      <c r="D59" s="14">
        <f t="shared" ref="D59:G59" si="10">C59</f>
        <v>320</v>
      </c>
      <c r="E59" s="14">
        <f t="shared" si="10"/>
        <v>320</v>
      </c>
      <c r="F59" s="14">
        <f t="shared" si="10"/>
        <v>320</v>
      </c>
      <c r="G59" s="14">
        <f t="shared" si="10"/>
        <v>320</v>
      </c>
      <c r="H59" s="14" t="str">
        <f ca="1">[3]!getformula(C59)</f>
        <v>&lt;--  =B59</v>
      </c>
      <c r="I59" s="14"/>
      <c r="J59" s="14"/>
      <c r="K59" s="14"/>
      <c r="L59" s="14"/>
    </row>
    <row r="60" spans="1:12" x14ac:dyDescent="0.25">
      <c r="A60" s="31" t="s">
        <v>72</v>
      </c>
      <c r="B60" s="32">
        <v>1700</v>
      </c>
      <c r="C60" s="33">
        <f>B60</f>
        <v>1700</v>
      </c>
      <c r="D60" s="33">
        <f t="shared" ref="D60:G60" si="11">C60</f>
        <v>1700</v>
      </c>
      <c r="E60" s="33">
        <f t="shared" si="11"/>
        <v>1700</v>
      </c>
      <c r="F60" s="33">
        <f t="shared" si="11"/>
        <v>1700</v>
      </c>
      <c r="G60" s="33">
        <f t="shared" si="11"/>
        <v>1700</v>
      </c>
      <c r="H60" s="33" t="str">
        <f ca="1">[3]!getformula(C60)</f>
        <v>&lt;--  =B60</v>
      </c>
      <c r="I60" s="14"/>
      <c r="J60" s="14"/>
      <c r="K60" s="14"/>
      <c r="L60" s="14"/>
    </row>
    <row r="61" spans="1:12" x14ac:dyDescent="0.25">
      <c r="A61" s="5" t="s">
        <v>73</v>
      </c>
      <c r="B61" s="13">
        <v>1071</v>
      </c>
      <c r="C61" s="14">
        <f>B61*(1+otherassets_growth)</f>
        <v>1155.9704210499467</v>
      </c>
      <c r="D61" s="14">
        <f>C61*(1+otherassets_growth)</f>
        <v>1247.6821795914013</v>
      </c>
      <c r="E61" s="14">
        <f>D61*(1+otherassets_growth)</f>
        <v>1346.6701162266922</v>
      </c>
      <c r="F61" s="14">
        <f>E61*(1+otherassets_growth)</f>
        <v>1453.5115044537347</v>
      </c>
      <c r="G61" s="14">
        <f>F61*(1+otherassets_growth)</f>
        <v>1568.8294171842438</v>
      </c>
      <c r="H61" s="14" t="str">
        <f ca="1">[3]!getformula(C61)</f>
        <v>&lt;--  =B61*(1+otherassets_growth)</v>
      </c>
      <c r="I61" s="14"/>
      <c r="J61" s="14"/>
      <c r="K61" s="14"/>
      <c r="L61" s="14"/>
    </row>
    <row r="62" spans="1:12" x14ac:dyDescent="0.25">
      <c r="A62" s="3" t="s">
        <v>74</v>
      </c>
      <c r="B62" s="13">
        <f>SUM(B57:B61)+B53</f>
        <v>9125</v>
      </c>
      <c r="C62" s="13">
        <f>SUM(C57:C61)+C53</f>
        <v>9365.7341665381955</v>
      </c>
      <c r="D62" s="13">
        <f t="shared" ref="D62:G62" si="12">SUM(D57:D61)+D53</f>
        <v>9693.9098347791441</v>
      </c>
      <c r="E62" s="13">
        <f t="shared" si="12"/>
        <v>10038.560127201239</v>
      </c>
      <c r="F62" s="13">
        <f t="shared" si="12"/>
        <v>10400.620136855188</v>
      </c>
      <c r="G62" s="13">
        <f t="shared" si="12"/>
        <v>10781.084675386115</v>
      </c>
      <c r="H62" s="14" t="str">
        <f ca="1">[3]!getformula(C62)</f>
        <v>&lt;--  =SUM(C57:C61)+C53</v>
      </c>
      <c r="I62" s="14"/>
      <c r="J62" s="14"/>
      <c r="K62" s="14"/>
      <c r="L62" s="14"/>
    </row>
    <row r="63" spans="1:12" x14ac:dyDescent="0.25">
      <c r="A63" s="5"/>
      <c r="B63" s="13"/>
      <c r="C63" s="14"/>
      <c r="D63" s="14"/>
      <c r="E63" s="14"/>
      <c r="F63" s="14"/>
      <c r="G63" s="14"/>
      <c r="H63" s="14"/>
      <c r="I63" s="14"/>
      <c r="J63" s="14"/>
      <c r="K63" s="14"/>
      <c r="L63" s="14"/>
    </row>
    <row r="64" spans="1:12" ht="15.6" x14ac:dyDescent="0.3">
      <c r="A64" s="15" t="s">
        <v>75</v>
      </c>
      <c r="B64" s="20">
        <v>2000</v>
      </c>
      <c r="C64" s="20">
        <v>2001</v>
      </c>
      <c r="D64" s="20">
        <v>2002</v>
      </c>
      <c r="E64" s="20">
        <v>2003</v>
      </c>
      <c r="F64" s="20">
        <v>2004</v>
      </c>
      <c r="G64" s="20">
        <v>2005</v>
      </c>
      <c r="H64" s="14"/>
      <c r="I64" s="10"/>
      <c r="J64" s="10"/>
      <c r="K64" s="10"/>
      <c r="L64" s="10"/>
    </row>
    <row r="65" spans="1:12" x14ac:dyDescent="0.25">
      <c r="A65" s="5" t="s">
        <v>76</v>
      </c>
      <c r="B65" s="13">
        <v>764</v>
      </c>
      <c r="C65" s="13">
        <f>sales2001*ap_sales</f>
        <v>761.58185368694183</v>
      </c>
      <c r="D65" s="13">
        <f>sales2002*ap_sales</f>
        <v>791.20738779536384</v>
      </c>
      <c r="E65" s="13">
        <f>sales2003*ap_sales</f>
        <v>821.98535518060351</v>
      </c>
      <c r="F65" s="13">
        <f>sales2004*ap_sales</f>
        <v>853.96058549712893</v>
      </c>
      <c r="G65" s="13">
        <f>sales2005*ap_sales</f>
        <v>887.17965227296725</v>
      </c>
      <c r="H65" s="14" t="str">
        <f ca="1">[3]!getformula(C65)</f>
        <v>&lt;--  =sales2001*ap_sales</v>
      </c>
      <c r="I65" s="13"/>
      <c r="J65" s="13"/>
      <c r="K65" s="13"/>
      <c r="L65" s="13"/>
    </row>
    <row r="66" spans="1:12" x14ac:dyDescent="0.25">
      <c r="A66" s="5" t="s">
        <v>77</v>
      </c>
      <c r="B66" s="13">
        <v>606</v>
      </c>
      <c r="C66" s="13">
        <f>sales2001*accruedexp_sales</f>
        <v>649.53100056116978</v>
      </c>
      <c r="D66" s="13">
        <f>sales2002*accruedexp_sales</f>
        <v>674.79775648299926</v>
      </c>
      <c r="E66" s="13">
        <f>sales2003*accruedexp_sales</f>
        <v>701.04738921018793</v>
      </c>
      <c r="F66" s="13">
        <f>sales2004*accruedexp_sales</f>
        <v>728.31813265046424</v>
      </c>
      <c r="G66" s="13">
        <f>sales2005*accruedexp_sales</f>
        <v>756.64970801056722</v>
      </c>
      <c r="H66" s="14" t="str">
        <f ca="1">[3]!getformula(C66)</f>
        <v>&lt;--  =sales2001*accruedexp_sales</v>
      </c>
      <c r="I66" s="13"/>
      <c r="J66" s="13"/>
      <c r="K66" s="13"/>
      <c r="L66" s="13"/>
    </row>
    <row r="67" spans="1:12" x14ac:dyDescent="0.25">
      <c r="A67" s="5" t="s">
        <v>78</v>
      </c>
      <c r="B67" s="13">
        <v>12</v>
      </c>
      <c r="C67" s="13">
        <f>B67</f>
        <v>12</v>
      </c>
      <c r="D67" s="13">
        <f t="shared" ref="D67:G67" si="13">C67</f>
        <v>12</v>
      </c>
      <c r="E67" s="13">
        <f t="shared" si="13"/>
        <v>12</v>
      </c>
      <c r="F67" s="13">
        <f t="shared" si="13"/>
        <v>12</v>
      </c>
      <c r="G67" s="13">
        <f t="shared" si="13"/>
        <v>12</v>
      </c>
      <c r="H67" s="14" t="str">
        <f ca="1">[3]!getformula(C67)</f>
        <v>&lt;--  =B67</v>
      </c>
      <c r="I67" s="13"/>
      <c r="J67" s="13"/>
      <c r="K67" s="13"/>
      <c r="L67" s="13"/>
    </row>
    <row r="68" spans="1:12" x14ac:dyDescent="0.25">
      <c r="A68" s="16"/>
      <c r="B68" s="13"/>
      <c r="C68" s="13"/>
      <c r="D68" s="13"/>
      <c r="E68" s="13"/>
      <c r="F68" s="13"/>
      <c r="G68" s="13"/>
      <c r="H68" s="14"/>
      <c r="I68" s="13"/>
      <c r="J68" s="13"/>
      <c r="K68" s="13"/>
      <c r="L68" s="13"/>
    </row>
    <row r="69" spans="1:12" x14ac:dyDescent="0.25">
      <c r="A69" s="5" t="s">
        <v>79</v>
      </c>
      <c r="B69" s="13">
        <v>2971</v>
      </c>
      <c r="C69" s="13">
        <f>C62*debt_assets</f>
        <v>2997.0349332922228</v>
      </c>
      <c r="D69" s="13">
        <f>D62*debt_assets</f>
        <v>3102.0511471293262</v>
      </c>
      <c r="E69" s="13">
        <f>E62*debt_assets</f>
        <v>3212.3392407043966</v>
      </c>
      <c r="F69" s="13">
        <f>F62*debt_assets</f>
        <v>3328.1984437936603</v>
      </c>
      <c r="G69" s="13">
        <f>G62*debt_assets</f>
        <v>3449.947096123557</v>
      </c>
      <c r="H69" s="14" t="str">
        <f ca="1">[3]!getformula(C69)</f>
        <v>&lt;--  =C62*debt_assets</v>
      </c>
      <c r="I69" s="13"/>
      <c r="J69" s="13"/>
      <c r="K69" s="13"/>
      <c r="L69" s="13"/>
    </row>
    <row r="70" spans="1:12" x14ac:dyDescent="0.25">
      <c r="A70" s="5" t="s">
        <v>42</v>
      </c>
      <c r="B70" s="13">
        <v>543</v>
      </c>
      <c r="C70" s="13">
        <f>B70*(1+growth)</f>
        <v>564.12270000000001</v>
      </c>
      <c r="D70" s="13">
        <f>C70*(1+growth)</f>
        <v>586.06707302999996</v>
      </c>
      <c r="E70" s="13">
        <f>D70*(1+growth)</f>
        <v>608.86508217086691</v>
      </c>
      <c r="F70" s="13">
        <f>E70*(1+growth)</f>
        <v>632.5499338673136</v>
      </c>
      <c r="G70" s="13">
        <f>F70*(1+growth)</f>
        <v>657.15612629475208</v>
      </c>
      <c r="H70" s="14" t="str">
        <f ca="1">[3]!getformula(C70)</f>
        <v>&lt;--  =B70*(1+growth)</v>
      </c>
      <c r="I70" s="13"/>
      <c r="J70" s="13"/>
      <c r="K70" s="13"/>
      <c r="L70" s="13"/>
    </row>
    <row r="71" spans="1:12" x14ac:dyDescent="0.25">
      <c r="A71" s="5" t="s">
        <v>44</v>
      </c>
      <c r="B71" s="13">
        <v>128</v>
      </c>
      <c r="C71" s="13">
        <f>B71</f>
        <v>128</v>
      </c>
      <c r="D71" s="13">
        <f t="shared" ref="D71:G71" si="14">C71</f>
        <v>128</v>
      </c>
      <c r="E71" s="13">
        <f t="shared" si="14"/>
        <v>128</v>
      </c>
      <c r="F71" s="13">
        <f t="shared" si="14"/>
        <v>128</v>
      </c>
      <c r="G71" s="13">
        <f t="shared" si="14"/>
        <v>128</v>
      </c>
      <c r="H71" s="14" t="str">
        <f ca="1">[3]!getformula(C71)</f>
        <v>&lt;--  =B71</v>
      </c>
      <c r="I71" s="13"/>
      <c r="J71" s="13"/>
      <c r="K71" s="13"/>
      <c r="L71" s="13"/>
    </row>
    <row r="72" spans="1:12" x14ac:dyDescent="0.25">
      <c r="A72" s="5" t="s">
        <v>80</v>
      </c>
      <c r="B72" s="13">
        <v>1004</v>
      </c>
      <c r="C72" s="13">
        <f>B72*(1+otherliab_growth)</f>
        <v>1129.8343093484204</v>
      </c>
      <c r="D72" s="13">
        <f>C72*(1+otherliab_growth)</f>
        <v>1271.4398073514167</v>
      </c>
      <c r="E72" s="13">
        <f>D72*(1+otherliab_growth)</f>
        <v>1430.7931440408133</v>
      </c>
      <c r="F72" s="13">
        <f>E72*(1+otherliab_growth)</f>
        <v>1610.1187088822783</v>
      </c>
      <c r="G72" s="13">
        <f>F72*(1+otherliab_growth)</f>
        <v>1811.9196806961945</v>
      </c>
      <c r="H72" s="14" t="str">
        <f ca="1">[3]!getformula(C72)</f>
        <v>&lt;--  =B72*(1+otherliab_growth)</v>
      </c>
      <c r="I72" s="13"/>
      <c r="J72" s="13"/>
      <c r="K72" s="13"/>
      <c r="L72" s="13"/>
    </row>
    <row r="73" spans="1:12" x14ac:dyDescent="0.25">
      <c r="A73" s="5"/>
      <c r="B73" s="13"/>
      <c r="C73" s="13"/>
      <c r="D73" s="13"/>
      <c r="E73" s="13"/>
      <c r="F73" s="13"/>
      <c r="G73" s="13"/>
      <c r="H73" s="14"/>
      <c r="I73" s="13"/>
      <c r="J73" s="13"/>
      <c r="K73" s="13"/>
      <c r="L73" s="13"/>
    </row>
    <row r="74" spans="1:12" ht="15.6" x14ac:dyDescent="0.3">
      <c r="A74" s="15" t="s">
        <v>81</v>
      </c>
      <c r="B74" s="17"/>
      <c r="C74" s="17"/>
      <c r="D74" s="17"/>
      <c r="E74" s="17"/>
      <c r="F74" s="17"/>
      <c r="G74" s="17"/>
      <c r="H74" s="14"/>
      <c r="I74" s="17"/>
      <c r="J74" s="17"/>
      <c r="K74" s="17"/>
      <c r="L74" s="17"/>
    </row>
    <row r="75" spans="1:12" x14ac:dyDescent="0.25">
      <c r="A75" s="5" t="s">
        <v>82</v>
      </c>
      <c r="B75" s="13">
        <v>484</v>
      </c>
      <c r="C75" s="32">
        <f>B75</f>
        <v>484</v>
      </c>
      <c r="D75" s="32">
        <f t="shared" ref="D75:G75" si="15">C75</f>
        <v>484</v>
      </c>
      <c r="E75" s="32">
        <f t="shared" si="15"/>
        <v>484</v>
      </c>
      <c r="F75" s="32">
        <f t="shared" si="15"/>
        <v>484</v>
      </c>
      <c r="G75" s="32">
        <f t="shared" si="15"/>
        <v>484</v>
      </c>
      <c r="H75" s="14" t="str">
        <f t="shared" ref="H75:H80" ca="1" si="16">[3]!getformula(C75)</f>
        <v>&lt;--  =B75</v>
      </c>
      <c r="I75" s="13"/>
      <c r="J75" s="13"/>
      <c r="K75" s="13"/>
      <c r="L75" s="13"/>
    </row>
    <row r="76" spans="1:12" x14ac:dyDescent="0.25">
      <c r="A76" s="5" t="s">
        <v>83</v>
      </c>
      <c r="B76" s="13">
        <v>102</v>
      </c>
      <c r="C76" s="32">
        <f>B76</f>
        <v>102</v>
      </c>
      <c r="D76" s="32">
        <f t="shared" ref="D76:G76" si="17">C76</f>
        <v>102</v>
      </c>
      <c r="E76" s="32">
        <f t="shared" si="17"/>
        <v>102</v>
      </c>
      <c r="F76" s="32">
        <f t="shared" si="17"/>
        <v>102</v>
      </c>
      <c r="G76" s="32">
        <f t="shared" si="17"/>
        <v>102</v>
      </c>
      <c r="H76" s="14" t="str">
        <f t="shared" ca="1" si="16"/>
        <v>&lt;--  =B76</v>
      </c>
      <c r="I76" s="13"/>
      <c r="J76" s="13"/>
      <c r="K76" s="13"/>
      <c r="L76" s="13"/>
    </row>
    <row r="77" spans="1:12" x14ac:dyDescent="0.25">
      <c r="A77" s="5" t="s">
        <v>84</v>
      </c>
      <c r="B77" s="13">
        <v>6019</v>
      </c>
      <c r="C77" s="13">
        <f ca="1">B77+C46</f>
        <v>6440.1462484780232</v>
      </c>
      <c r="D77" s="13">
        <f t="shared" ref="D77:G77" ca="1" si="18">C77+D46</f>
        <v>6866.9860195942265</v>
      </c>
      <c r="E77" s="13">
        <f t="shared" ca="1" si="18"/>
        <v>7297.263555649356</v>
      </c>
      <c r="F77" s="13">
        <f t="shared" ca="1" si="18"/>
        <v>7730.1787262835733</v>
      </c>
      <c r="G77" s="13">
        <f t="shared" ca="1" si="18"/>
        <v>8164.8394493659589</v>
      </c>
      <c r="H77" s="14" t="str">
        <f t="shared" ca="1" si="16"/>
        <v>&lt;--  =B77+C46</v>
      </c>
      <c r="I77" s="13"/>
      <c r="J77" s="13"/>
      <c r="K77" s="13"/>
      <c r="L77" s="13"/>
    </row>
    <row r="78" spans="1:12" x14ac:dyDescent="0.25">
      <c r="A78" s="5" t="s">
        <v>85</v>
      </c>
      <c r="B78" s="13">
        <v>3508</v>
      </c>
      <c r="C78" s="13">
        <f ca="1">-C62+SUM(C65:C77)</f>
        <v>3902.5168788285828</v>
      </c>
      <c r="D78" s="13">
        <f t="shared" ref="D78:G78" ca="1" si="19">-D62+SUM(D65:D77)</f>
        <v>4324.6393566041879</v>
      </c>
      <c r="E78" s="13">
        <f t="shared" ca="1" si="19"/>
        <v>4759.7336397549843</v>
      </c>
      <c r="F78" s="13">
        <f t="shared" ca="1" si="19"/>
        <v>5208.7043941192296</v>
      </c>
      <c r="G78" s="13">
        <f t="shared" ca="1" si="19"/>
        <v>5672.6070373778821</v>
      </c>
      <c r="H78" s="14" t="str">
        <f t="shared" ca="1" si="16"/>
        <v>&lt;--  =-C62+SUM(C65:C77)</v>
      </c>
      <c r="I78" s="13"/>
      <c r="J78" s="13"/>
      <c r="K78" s="13"/>
      <c r="L78" s="13"/>
    </row>
    <row r="79" spans="1:12" x14ac:dyDescent="0.25">
      <c r="A79" s="5" t="s">
        <v>86</v>
      </c>
      <c r="B79" s="13">
        <f>SUM(B75:B77)-B78</f>
        <v>3097</v>
      </c>
      <c r="C79" s="13">
        <f ca="1">SUM(C75:C77)-C78</f>
        <v>3123.6293696494404</v>
      </c>
      <c r="D79" s="13">
        <f t="shared" ref="D79:G79" ca="1" si="20">SUM(D75:D77)-D78</f>
        <v>3128.3466629900386</v>
      </c>
      <c r="E79" s="13">
        <f t="shared" ca="1" si="20"/>
        <v>3123.5299158943717</v>
      </c>
      <c r="F79" s="13">
        <f t="shared" ca="1" si="20"/>
        <v>3107.4743321643437</v>
      </c>
      <c r="G79" s="13">
        <f t="shared" ca="1" si="20"/>
        <v>3078.2324119880759</v>
      </c>
      <c r="H79" s="14" t="str">
        <f t="shared" ca="1" si="16"/>
        <v>&lt;--  =SUM(C75:C77)-C78</v>
      </c>
      <c r="I79" s="13"/>
      <c r="J79" s="13"/>
      <c r="K79" s="13"/>
      <c r="L79" s="13"/>
    </row>
    <row r="80" spans="1:12" x14ac:dyDescent="0.25">
      <c r="A80" s="3" t="s">
        <v>87</v>
      </c>
      <c r="B80" s="13">
        <f>SUM(B65:B72)+B79</f>
        <v>9125</v>
      </c>
      <c r="C80" s="13">
        <f ca="1">SUM(C65:C72)+C79</f>
        <v>9365.7341665381937</v>
      </c>
      <c r="D80" s="13">
        <f t="shared" ref="D80:G80" ca="1" si="21">SUM(D65:D72)+D79</f>
        <v>9693.9098347791441</v>
      </c>
      <c r="E80" s="13">
        <f t="shared" ca="1" si="21"/>
        <v>10038.560127201239</v>
      </c>
      <c r="F80" s="13">
        <f t="shared" ca="1" si="21"/>
        <v>10400.620136855188</v>
      </c>
      <c r="G80" s="13">
        <f t="shared" ca="1" si="21"/>
        <v>10781.084675386115</v>
      </c>
      <c r="H80" s="14" t="str">
        <f t="shared" ca="1" si="16"/>
        <v>&lt;--  =SUM(C65:C72)+C79</v>
      </c>
      <c r="I80" s="13"/>
      <c r="J80" s="13"/>
      <c r="K80" s="13"/>
      <c r="L80" s="13"/>
    </row>
    <row r="81" spans="1:12" x14ac:dyDescent="0.25">
      <c r="C81" s="14"/>
      <c r="D81" s="14"/>
      <c r="E81" s="14"/>
      <c r="F81" s="14"/>
      <c r="G81" s="14"/>
      <c r="H81" s="14"/>
      <c r="I81" s="14"/>
      <c r="J81" s="14"/>
      <c r="K81" s="14"/>
      <c r="L81" s="14"/>
    </row>
    <row r="82" spans="1:12" x14ac:dyDescent="0.25">
      <c r="C82" s="14"/>
      <c r="D82" s="14"/>
      <c r="E82" s="14"/>
      <c r="F82" s="14"/>
      <c r="G82" s="14"/>
      <c r="H82" s="14"/>
      <c r="I82" s="14"/>
      <c r="J82" s="14"/>
      <c r="K82" s="14"/>
      <c r="L82" s="14"/>
    </row>
    <row r="83" spans="1:12" ht="15.6" x14ac:dyDescent="0.3">
      <c r="A83" s="12" t="s">
        <v>88</v>
      </c>
      <c r="C83" s="20">
        <v>2001</v>
      </c>
      <c r="D83" s="20">
        <v>2002</v>
      </c>
      <c r="E83" s="20">
        <v>2003</v>
      </c>
      <c r="F83" s="20">
        <v>2004</v>
      </c>
      <c r="G83" s="20">
        <v>2005</v>
      </c>
      <c r="H83" s="14"/>
      <c r="I83" s="10"/>
      <c r="J83" s="10"/>
      <c r="K83" s="10"/>
      <c r="L83" s="10"/>
    </row>
    <row r="84" spans="1:12" x14ac:dyDescent="0.25">
      <c r="A84" s="2" t="s">
        <v>89</v>
      </c>
      <c r="C84" s="14">
        <f ca="1">C44</f>
        <v>708.54504847802332</v>
      </c>
      <c r="D84" s="14">
        <f t="shared" ref="D84:G84" ca="1" si="22">D44</f>
        <v>726.10814155620301</v>
      </c>
      <c r="E84" s="14">
        <f t="shared" ca="1" si="22"/>
        <v>741.90569019430143</v>
      </c>
      <c r="F84" s="14">
        <f t="shared" ca="1" si="22"/>
        <v>757.41356753933701</v>
      </c>
      <c r="G84" s="14">
        <f t="shared" ca="1" si="22"/>
        <v>772.56090377968735</v>
      </c>
      <c r="H84" s="14" t="str">
        <f ca="1">[3]!getformula(C84)</f>
        <v>&lt;--  =C44</v>
      </c>
      <c r="I84" s="14"/>
      <c r="J84" s="14"/>
      <c r="K84" s="14"/>
      <c r="L84" s="14"/>
    </row>
    <row r="85" spans="1:12" x14ac:dyDescent="0.25">
      <c r="A85" s="2" t="s">
        <v>90</v>
      </c>
      <c r="C85" s="14">
        <f ca="1">C38</f>
        <v>465.27601706357871</v>
      </c>
      <c r="D85" s="14">
        <f t="shared" ref="D85:G85" ca="1" si="23">D38</f>
        <v>503.16284588722664</v>
      </c>
      <c r="E85" s="14">
        <f t="shared" ca="1" si="23"/>
        <v>543.81180583353068</v>
      </c>
      <c r="F85" s="14">
        <f t="shared" ca="1" si="23"/>
        <v>587.41422481200277</v>
      </c>
      <c r="G85" s="14">
        <f t="shared" ca="1" si="23"/>
        <v>634.17433472509333</v>
      </c>
      <c r="H85" s="14" t="str">
        <f ca="1">[3]!getformula(C85)</f>
        <v>&lt;--  =C38</v>
      </c>
      <c r="I85" s="14"/>
      <c r="J85" s="14"/>
      <c r="K85" s="14"/>
      <c r="L85" s="14"/>
    </row>
    <row r="86" spans="1:12" x14ac:dyDescent="0.25">
      <c r="A86" s="2" t="s">
        <v>91</v>
      </c>
      <c r="C86" s="14"/>
      <c r="D86" s="14"/>
      <c r="E86" s="14"/>
      <c r="F86" s="14"/>
      <c r="G86" s="14"/>
      <c r="H86" s="14"/>
      <c r="I86" s="14"/>
      <c r="J86" s="14"/>
      <c r="K86" s="14"/>
      <c r="L86" s="14"/>
    </row>
    <row r="87" spans="1:12" x14ac:dyDescent="0.25">
      <c r="A87" s="36" t="s">
        <v>108</v>
      </c>
      <c r="C87" s="14">
        <f>-(SUM(C50:C52)-SUM(B50:B52))</f>
        <v>-41.358845488248789</v>
      </c>
      <c r="D87" s="14">
        <f t="shared" ref="D87:G87" si="24">-(SUM(D50:D52)-SUM(C50:C52))</f>
        <v>-117.60865908949336</v>
      </c>
      <c r="E87" s="14">
        <f t="shared" si="24"/>
        <v>-122.18363592807418</v>
      </c>
      <c r="F87" s="14">
        <f t="shared" si="24"/>
        <v>-126.93657936567615</v>
      </c>
      <c r="G87" s="14">
        <f t="shared" si="24"/>
        <v>-131.87441230300055</v>
      </c>
      <c r="H87" s="14" t="str">
        <f t="shared" ref="H87:H92" ca="1" si="25">[3]!getformula(C87)</f>
        <v>&lt;--  =-(SUM(C50:C52)-SUM(B50:B52))</v>
      </c>
      <c r="I87" s="14"/>
      <c r="J87" s="14"/>
      <c r="K87" s="14"/>
      <c r="L87" s="14"/>
    </row>
    <row r="88" spans="1:12" x14ac:dyDescent="0.25">
      <c r="A88" s="2" t="s">
        <v>92</v>
      </c>
      <c r="C88" s="14">
        <f>SUM(C65:C67)-SUM(B65:B67)</f>
        <v>41.112854248111489</v>
      </c>
      <c r="D88" s="14">
        <f t="shared" ref="D88:G88" si="26">SUM(D65:D67)-SUM(C65:C67)</f>
        <v>54.892290030251615</v>
      </c>
      <c r="E88" s="14">
        <f t="shared" si="26"/>
        <v>57.027600112428217</v>
      </c>
      <c r="F88" s="14">
        <f t="shared" si="26"/>
        <v>59.245973756801959</v>
      </c>
      <c r="G88" s="14">
        <f t="shared" si="26"/>
        <v>61.550642135941189</v>
      </c>
      <c r="H88" s="14" t="str">
        <f t="shared" ca="1" si="25"/>
        <v>&lt;--  =SUM(C65:C67)-SUM(B65:B67)</v>
      </c>
      <c r="I88" s="14"/>
      <c r="J88" s="14"/>
      <c r="K88" s="14"/>
      <c r="L88" s="14"/>
    </row>
    <row r="89" spans="1:12" x14ac:dyDescent="0.25">
      <c r="A89" s="2" t="s">
        <v>107</v>
      </c>
      <c r="C89" s="14">
        <f ca="1">-(C55-B55)</f>
        <v>-579.68091706357882</v>
      </c>
      <c r="D89" s="14">
        <f t="shared" ref="D89:G89" ca="1" si="27">-(D55-C55)</f>
        <v>-622.018096497226</v>
      </c>
      <c r="E89" s="14">
        <f t="shared" ca="1" si="27"/>
        <v>-667.2905256922586</v>
      </c>
      <c r="F89" s="14">
        <f t="shared" ca="1" si="27"/>
        <v>-715.6962668732358</v>
      </c>
      <c r="G89" s="14">
        <f t="shared" ca="1" si="27"/>
        <v>-767.44654822250959</v>
      </c>
      <c r="H89" s="14" t="str">
        <f t="shared" ca="1" si="25"/>
        <v>&lt;--  =-(C55-B55)</v>
      </c>
      <c r="I89" s="14"/>
      <c r="J89" s="14"/>
      <c r="K89" s="14"/>
      <c r="L89" s="14"/>
    </row>
    <row r="90" spans="1:12" x14ac:dyDescent="0.25">
      <c r="A90" s="2" t="s">
        <v>93</v>
      </c>
      <c r="C90" s="14">
        <f>-(C61-B61)</f>
        <v>-84.970421049946708</v>
      </c>
      <c r="D90" s="14">
        <f t="shared" ref="D90:G90" si="28">-(D61-C61)</f>
        <v>-91.711758541454628</v>
      </c>
      <c r="E90" s="14">
        <f t="shared" si="28"/>
        <v>-98.987936635290907</v>
      </c>
      <c r="F90" s="14">
        <f t="shared" si="28"/>
        <v>-106.84138822704244</v>
      </c>
      <c r="G90" s="14">
        <f t="shared" si="28"/>
        <v>-115.31791273050908</v>
      </c>
      <c r="H90" s="14" t="str">
        <f t="shared" ca="1" si="25"/>
        <v>&lt;--  =-(C61-B61)</v>
      </c>
      <c r="I90" s="14"/>
      <c r="J90" s="14"/>
      <c r="K90" s="14"/>
      <c r="L90" s="14"/>
    </row>
    <row r="91" spans="1:12" x14ac:dyDescent="0.25">
      <c r="A91" s="2" t="s">
        <v>94</v>
      </c>
      <c r="C91" s="14">
        <f>(1-tax)*C39</f>
        <v>127.39278829884304</v>
      </c>
      <c r="D91" s="14">
        <f>(1-tax)*D39</f>
        <v>130.19018664338608</v>
      </c>
      <c r="E91" s="14">
        <f>(1-tax)*E39</f>
        <v>134.78604044795782</v>
      </c>
      <c r="F91" s="14">
        <f>(1-tax)*F39</f>
        <v>139.61334709249562</v>
      </c>
      <c r="G91" s="14">
        <f>(1-tax)*G39</f>
        <v>144.68528912398392</v>
      </c>
      <c r="H91" s="14" t="str">
        <f t="shared" ca="1" si="25"/>
        <v>&lt;--  =(1-tax)*C39</v>
      </c>
      <c r="I91" s="14"/>
      <c r="J91" s="14"/>
      <c r="K91" s="14"/>
      <c r="L91" s="14"/>
    </row>
    <row r="92" spans="1:12" x14ac:dyDescent="0.25">
      <c r="A92" s="2" t="s">
        <v>95</v>
      </c>
      <c r="C92" s="14">
        <f ca="1">SUM(C84:C91)</f>
        <v>636.3165244867821</v>
      </c>
      <c r="D92" s="14">
        <f t="shared" ref="D92:G92" ca="1" si="29">SUM(D84:D91)</f>
        <v>583.01494998889348</v>
      </c>
      <c r="E92" s="14">
        <f t="shared" ca="1" si="29"/>
        <v>589.06903833259446</v>
      </c>
      <c r="F92" s="14">
        <f t="shared" ca="1" si="29"/>
        <v>594.21287873468282</v>
      </c>
      <c r="G92" s="14">
        <f t="shared" ca="1" si="29"/>
        <v>598.33229650868657</v>
      </c>
      <c r="H92" s="14" t="str">
        <f t="shared" ca="1" si="25"/>
        <v>&lt;--  =SUM(C84:C91)</v>
      </c>
      <c r="I92" s="14"/>
      <c r="J92" s="14"/>
      <c r="K92" s="14"/>
      <c r="L92" s="14"/>
    </row>
    <row r="93" spans="1:12" x14ac:dyDescent="0.25">
      <c r="H93" s="14"/>
    </row>
    <row r="94" spans="1:12" x14ac:dyDescent="0.25">
      <c r="H94" s="14"/>
    </row>
    <row r="95" spans="1:12" ht="15.6" x14ac:dyDescent="0.3">
      <c r="A95" s="12" t="s">
        <v>96</v>
      </c>
      <c r="C95" s="4">
        <v>2001</v>
      </c>
      <c r="D95" s="4"/>
      <c r="E95" s="4"/>
      <c r="F95" s="4"/>
      <c r="G95" s="4"/>
      <c r="H95" s="14"/>
    </row>
    <row r="96" spans="1:12" x14ac:dyDescent="0.25">
      <c r="A96" s="2" t="s">
        <v>60</v>
      </c>
      <c r="C96" s="14">
        <f>C45</f>
        <v>287.39880000000005</v>
      </c>
      <c r="D96" s="14"/>
      <c r="E96" s="14"/>
      <c r="F96" s="14"/>
      <c r="G96" s="14"/>
      <c r="H96" s="14" t="str">
        <f ca="1">[3]!getformula(C96)</f>
        <v>&lt;--  =C45</v>
      </c>
    </row>
    <row r="97" spans="1:8" x14ac:dyDescent="0.25">
      <c r="A97" s="2" t="s">
        <v>97</v>
      </c>
    </row>
    <row r="98" spans="1:8" x14ac:dyDescent="0.25">
      <c r="A98" s="2" t="s">
        <v>98</v>
      </c>
      <c r="C98" s="14">
        <f>SUM(C75:C76)-SUM(B75:B76)</f>
        <v>0</v>
      </c>
      <c r="D98" s="14"/>
      <c r="E98" s="14"/>
      <c r="F98" s="14"/>
      <c r="G98" s="14"/>
      <c r="H98" s="2" t="str">
        <f ca="1">[3]!getformula(C98)</f>
        <v>&lt;--  =SUM(C75:C76)-SUM(B75:B76)</v>
      </c>
    </row>
    <row r="99" spans="1:8" x14ac:dyDescent="0.25">
      <c r="A99" s="2" t="s">
        <v>109</v>
      </c>
      <c r="C99" s="14">
        <f ca="1">C78-B78</f>
        <v>394.51687882858278</v>
      </c>
      <c r="D99" s="14"/>
      <c r="E99" s="14"/>
      <c r="F99" s="14"/>
      <c r="G99" s="14"/>
      <c r="H99" s="2" t="str">
        <f ca="1">[3]!getformula(C99)</f>
        <v>&lt;--  =C78-B78</v>
      </c>
    </row>
    <row r="100" spans="1:8" ht="41.4" x14ac:dyDescent="0.25">
      <c r="A100" s="18" t="s">
        <v>99</v>
      </c>
      <c r="C100" s="14">
        <f ca="1">C96-C98+C99</f>
        <v>681.91567882858283</v>
      </c>
      <c r="D100" s="14"/>
      <c r="E100" s="14"/>
      <c r="F100" s="14"/>
      <c r="G100" s="14"/>
      <c r="H100" s="2" t="str">
        <f ca="1">[3]!getformula(C100)</f>
        <v>&lt;--  =C96-C98+C99</v>
      </c>
    </row>
    <row r="102" spans="1:8" x14ac:dyDescent="0.25">
      <c r="A102" s="10" t="s">
        <v>100</v>
      </c>
    </row>
    <row r="103" spans="1:8" x14ac:dyDescent="0.25">
      <c r="A103" s="2" t="s">
        <v>101</v>
      </c>
      <c r="C103" s="14">
        <f ca="1">C92</f>
        <v>636.3165244867821</v>
      </c>
      <c r="D103" s="14"/>
      <c r="E103" s="14"/>
      <c r="F103" s="14"/>
      <c r="G103" s="14"/>
      <c r="H103" s="2" t="str">
        <f t="shared" ref="H103:H109" ca="1" si="30">[3]!getformula(C103)</f>
        <v>&lt;--  =C92</v>
      </c>
    </row>
    <row r="104" spans="1:8" x14ac:dyDescent="0.25">
      <c r="A104" s="36" t="s">
        <v>102</v>
      </c>
      <c r="C104" s="14">
        <f>C69-B69</f>
        <v>26.034933292222831</v>
      </c>
      <c r="D104" s="14"/>
      <c r="E104" s="14"/>
      <c r="F104" s="14"/>
      <c r="G104" s="14"/>
      <c r="H104" s="2" t="str">
        <f t="shared" ca="1" si="30"/>
        <v>&lt;--  =C69-B69</v>
      </c>
    </row>
    <row r="105" spans="1:8" x14ac:dyDescent="0.25">
      <c r="A105" s="2" t="s">
        <v>103</v>
      </c>
      <c r="C105" s="14">
        <f>C70-B70</f>
        <v>21.122700000000009</v>
      </c>
      <c r="D105" s="14"/>
      <c r="E105" s="14"/>
      <c r="F105" s="14"/>
      <c r="G105" s="14"/>
      <c r="H105" s="2" t="str">
        <f t="shared" ca="1" si="30"/>
        <v>&lt;--  =C70-B70</v>
      </c>
    </row>
    <row r="106" spans="1:8" x14ac:dyDescent="0.25">
      <c r="A106" s="2" t="s">
        <v>110</v>
      </c>
      <c r="C106" s="14">
        <f>C71-B71</f>
        <v>0</v>
      </c>
      <c r="D106" s="14"/>
      <c r="E106" s="14"/>
      <c r="F106" s="14"/>
      <c r="G106" s="14"/>
      <c r="H106" s="2" t="str">
        <f t="shared" ca="1" si="30"/>
        <v>&lt;--  =C71-B71</v>
      </c>
    </row>
    <row r="107" spans="1:8" x14ac:dyDescent="0.25">
      <c r="A107" s="2" t="s">
        <v>104</v>
      </c>
      <c r="C107" s="14">
        <f>C72-B72</f>
        <v>125.83430934842045</v>
      </c>
      <c r="D107" s="14"/>
      <c r="E107" s="14"/>
      <c r="F107" s="14"/>
      <c r="G107" s="14"/>
      <c r="H107" s="2" t="str">
        <f t="shared" ca="1" si="30"/>
        <v>&lt;--  =C72-B72</v>
      </c>
    </row>
    <row r="108" spans="1:8" x14ac:dyDescent="0.25">
      <c r="A108" s="36" t="s">
        <v>105</v>
      </c>
      <c r="C108" s="14">
        <f>(1-tax)*C39</f>
        <v>127.39278829884304</v>
      </c>
      <c r="D108" s="14"/>
      <c r="E108" s="14"/>
      <c r="F108" s="14"/>
      <c r="G108" s="14"/>
      <c r="H108" s="2" t="str">
        <f t="shared" ca="1" si="30"/>
        <v>&lt;--  =(1-tax)*C39</v>
      </c>
    </row>
    <row r="109" spans="1:8" x14ac:dyDescent="0.25">
      <c r="A109" s="2" t="s">
        <v>106</v>
      </c>
      <c r="C109" s="14">
        <f ca="1">C100</f>
        <v>681.91567882858283</v>
      </c>
      <c r="D109" s="14"/>
      <c r="E109" s="14"/>
      <c r="F109" s="14"/>
      <c r="G109" s="14"/>
      <c r="H109" s="2" t="str">
        <f t="shared" ca="1" si="30"/>
        <v>&lt;--  =C100</v>
      </c>
    </row>
    <row r="113" spans="1:9" ht="15.6" x14ac:dyDescent="0.3">
      <c r="A113" s="12" t="s">
        <v>111</v>
      </c>
    </row>
    <row r="114" spans="1:9" x14ac:dyDescent="0.25">
      <c r="A114" s="64" t="s">
        <v>112</v>
      </c>
      <c r="B114" s="62">
        <f>'Page 161'!B34</f>
        <v>7.4658170079831929E-2</v>
      </c>
      <c r="C114" s="2" t="str">
        <f ca="1">_xlfn.FORMULATEXT(B114)</f>
        <v>='Page 161'!B34</v>
      </c>
    </row>
    <row r="115" spans="1:9" x14ac:dyDescent="0.25">
      <c r="A115" s="2" t="s">
        <v>113</v>
      </c>
      <c r="B115" s="63">
        <v>0.04</v>
      </c>
      <c r="C115" s="2" t="s">
        <v>150</v>
      </c>
    </row>
    <row r="117" spans="1:9" x14ac:dyDescent="0.25">
      <c r="A117" s="2" t="s">
        <v>114</v>
      </c>
      <c r="C117" s="4">
        <v>2001</v>
      </c>
      <c r="D117" s="4">
        <v>2002</v>
      </c>
      <c r="E117" s="4">
        <v>2003</v>
      </c>
      <c r="F117" s="4">
        <v>2004</v>
      </c>
      <c r="G117" s="4">
        <v>2005</v>
      </c>
      <c r="H117" s="10"/>
      <c r="I117" s="10"/>
    </row>
    <row r="118" spans="1:9" x14ac:dyDescent="0.25">
      <c r="A118" s="2" t="s">
        <v>95</v>
      </c>
      <c r="C118" s="14">
        <f t="shared" ref="C118:G118" ca="1" si="31">C92</f>
        <v>636.3165244867821</v>
      </c>
      <c r="D118" s="14">
        <f t="shared" ca="1" si="31"/>
        <v>583.01494998889348</v>
      </c>
      <c r="E118" s="14">
        <f t="shared" ca="1" si="31"/>
        <v>589.06903833259446</v>
      </c>
      <c r="F118" s="14">
        <f t="shared" ca="1" si="31"/>
        <v>594.21287873468282</v>
      </c>
      <c r="G118" s="14">
        <f t="shared" ca="1" si="31"/>
        <v>598.33229650868657</v>
      </c>
      <c r="H118" s="14"/>
      <c r="I118" s="14"/>
    </row>
    <row r="119" spans="1:9" x14ac:dyDescent="0.25">
      <c r="A119" s="2" t="s">
        <v>115</v>
      </c>
      <c r="G119" s="14">
        <f ca="1">G118*(1+B115)/(B114-B115)</f>
        <v>17954.369400799354</v>
      </c>
      <c r="H119" s="2" t="str">
        <f ca="1">[3]!getformula(G119)</f>
        <v>&lt;--  =G118*(1+B115)/(B114-B115)</v>
      </c>
    </row>
    <row r="120" spans="1:9" x14ac:dyDescent="0.25">
      <c r="A120" s="2" t="s">
        <v>116</v>
      </c>
      <c r="C120" s="14">
        <f ca="1">C119+C118</f>
        <v>636.3165244867821</v>
      </c>
      <c r="D120" s="14">
        <f ca="1">D119+D118</f>
        <v>583.01494998889348</v>
      </c>
      <c r="E120" s="14">
        <f ca="1">E119+E118</f>
        <v>589.06903833259446</v>
      </c>
      <c r="F120" s="14">
        <f ca="1">F119+F118</f>
        <v>594.21287873468282</v>
      </c>
      <c r="G120" s="14">
        <f ca="1">G119+G118</f>
        <v>18552.701697308043</v>
      </c>
      <c r="H120" s="14"/>
      <c r="I120" s="14"/>
    </row>
    <row r="122" spans="1:9" x14ac:dyDescent="0.25">
      <c r="A122" s="2" t="s">
        <v>117</v>
      </c>
      <c r="B122" s="37">
        <f ca="1">NPV(B114,C120:G120)*(1+B114)^0.5</f>
        <v>15509.104377747353</v>
      </c>
      <c r="C122" s="2" t="str">
        <f ca="1">[3]!getformula(B122)</f>
        <v>&lt;--  =NPV(B114,C120:G120)*(1+B114)^0.5</v>
      </c>
    </row>
    <row r="123" spans="1:9" x14ac:dyDescent="0.25">
      <c r="A123" s="2" t="s">
        <v>118</v>
      </c>
      <c r="B123" s="14">
        <f>$B$49</f>
        <v>111</v>
      </c>
    </row>
    <row r="124" spans="1:9" x14ac:dyDescent="0.25">
      <c r="A124" s="2" t="s">
        <v>119</v>
      </c>
      <c r="B124" s="38">
        <f ca="1">B123+B122</f>
        <v>15620.104377747353</v>
      </c>
    </row>
    <row r="125" spans="1:9" x14ac:dyDescent="0.25">
      <c r="A125" s="36" t="s">
        <v>120</v>
      </c>
      <c r="B125" s="65">
        <f>SUM(B69:B72)</f>
        <v>4646</v>
      </c>
      <c r="C125" s="2" t="str">
        <f ca="1">[3]!getformula(B125)&amp;" -- this is controversial!"</f>
        <v>&lt;--  =SUM(B69:B72) -- this is controversial!</v>
      </c>
    </row>
    <row r="126" spans="1:9" x14ac:dyDescent="0.25">
      <c r="A126" s="2" t="s">
        <v>121</v>
      </c>
      <c r="B126" s="38">
        <f ca="1">B124-B125</f>
        <v>10974.104377747353</v>
      </c>
    </row>
    <row r="128" spans="1:9" x14ac:dyDescent="0.25">
      <c r="A128" s="2" t="s">
        <v>122</v>
      </c>
      <c r="B128" s="39">
        <v>168.22</v>
      </c>
    </row>
    <row r="129" spans="1:8" x14ac:dyDescent="0.25">
      <c r="A129" s="2" t="s">
        <v>123</v>
      </c>
      <c r="B129" s="40">
        <f ca="1">B126/B128</f>
        <v>65.236620959144886</v>
      </c>
    </row>
    <row r="131" spans="1:8" x14ac:dyDescent="0.25">
      <c r="A131" s="2" t="s">
        <v>124</v>
      </c>
      <c r="B131" s="41">
        <v>46.3125</v>
      </c>
    </row>
    <row r="132" spans="1:8" x14ac:dyDescent="0.25">
      <c r="A132" s="2" t="s">
        <v>125</v>
      </c>
      <c r="B132" s="66" t="str">
        <f ca="1">IF(B129&gt;B131*1.1,"undervalued",IF(B129&lt;B131/1.1,"overvalued","ok"))</f>
        <v>undervalued</v>
      </c>
      <c r="C132" s="2" t="str">
        <f ca="1">[3]!getformula(B132)</f>
        <v>&lt;--  =IF(B129&gt;B131*1.1,"undervalued",IF(B129&lt;B131/1.1,"overvalued","ok"))</v>
      </c>
    </row>
    <row r="134" spans="1:8" x14ac:dyDescent="0.25">
      <c r="C134" s="68" t="s">
        <v>126</v>
      </c>
      <c r="D134" s="68"/>
      <c r="E134" s="68"/>
      <c r="F134" s="68"/>
      <c r="G134" s="68"/>
      <c r="H134" s="68"/>
    </row>
    <row r="135" spans="1:8" x14ac:dyDescent="0.25">
      <c r="D135" s="10" t="s">
        <v>127</v>
      </c>
      <c r="E135" s="10"/>
      <c r="F135" s="10"/>
    </row>
    <row r="136" spans="1:8" x14ac:dyDescent="0.25">
      <c r="B136" s="42">
        <f ca="1">IF(B114&gt;B115,B129,"nmf")</f>
        <v>65.236620959144886</v>
      </c>
      <c r="C136" s="43">
        <v>0.01</v>
      </c>
      <c r="D136" s="43">
        <v>0.03</v>
      </c>
      <c r="E136" s="43">
        <v>0.04</v>
      </c>
      <c r="F136" s="43">
        <v>0.05</v>
      </c>
      <c r="G136" s="43">
        <v>0.06</v>
      </c>
      <c r="H136" s="43">
        <v>7.0000000000000007E-2</v>
      </c>
    </row>
    <row r="137" spans="1:8" x14ac:dyDescent="0.25">
      <c r="B137" s="43">
        <v>0.06</v>
      </c>
      <c r="C137" s="44">
        <f t="dataTable" ref="C137:H145" dt2D="1" dtr="1" r1="B115" r2="B114" ca="1"/>
        <v>43.81162645464746</v>
      </c>
      <c r="D137" s="44">
        <v>82.486867146037113</v>
      </c>
      <c r="E137" s="44">
        <v>130.83091801027419</v>
      </c>
      <c r="F137" s="44">
        <v>275.86307060298549</v>
      </c>
      <c r="G137" s="44" t="str">
        <v>nmf</v>
      </c>
      <c r="H137" s="44" t="str">
        <v>nmf</v>
      </c>
    </row>
    <row r="138" spans="1:8" x14ac:dyDescent="0.25">
      <c r="B138" s="43">
        <v>7.0000000000000007E-2</v>
      </c>
      <c r="C138" s="44">
        <v>32.354869097788537</v>
      </c>
      <c r="D138" s="44">
        <v>55.745414531103677</v>
      </c>
      <c r="E138" s="44">
        <v>79.135959964418817</v>
      </c>
      <c r="F138" s="44">
        <v>125.91705083104907</v>
      </c>
      <c r="G138" s="44">
        <v>266.26032343093965</v>
      </c>
      <c r="H138" s="44" t="str">
        <v>nmf</v>
      </c>
    </row>
    <row r="139" spans="1:8" x14ac:dyDescent="0.25">
      <c r="A139" s="45" t="s">
        <v>128</v>
      </c>
      <c r="B139" s="43">
        <v>0.08</v>
      </c>
      <c r="C139" s="44">
        <v>24.169726091307322</v>
      </c>
      <c r="D139" s="44">
        <v>39.69515561386352</v>
      </c>
      <c r="E139" s="44">
        <v>53.279906446100213</v>
      </c>
      <c r="F139" s="44">
        <v>75.921157833161345</v>
      </c>
      <c r="G139" s="44">
        <v>121.20366060728358</v>
      </c>
      <c r="H139" s="44">
        <v>257.05116892965049</v>
      </c>
    </row>
    <row r="140" spans="1:8" x14ac:dyDescent="0.25">
      <c r="B140" s="43">
        <v>0.09</v>
      </c>
      <c r="C140" s="44">
        <v>18.029371955614042</v>
      </c>
      <c r="D140" s="44">
        <v>28.990640869803777</v>
      </c>
      <c r="E140" s="44">
        <v>37.759656001155548</v>
      </c>
      <c r="F140" s="44">
        <v>50.913178698183231</v>
      </c>
      <c r="G140" s="44">
        <v>72.835716526562678</v>
      </c>
      <c r="H140" s="44">
        <v>116.68079218332164</v>
      </c>
    </row>
    <row r="141" spans="1:8" x14ac:dyDescent="0.25">
      <c r="B141" s="43">
        <v>0.1</v>
      </c>
      <c r="C141" s="44">
        <v>13.252236055736537</v>
      </c>
      <c r="D141" s="44">
        <v>21.340957230038473</v>
      </c>
      <c r="E141" s="44">
        <v>27.407498110764937</v>
      </c>
      <c r="F141" s="44">
        <v>35.90065534378197</v>
      </c>
      <c r="G141" s="44">
        <v>48.640391193307508</v>
      </c>
      <c r="H141" s="44">
        <v>69.873284275850125</v>
      </c>
    </row>
    <row r="142" spans="1:8" x14ac:dyDescent="0.25">
      <c r="B142" s="43">
        <v>0.11</v>
      </c>
      <c r="C142" s="44">
        <v>9.4293752203483781</v>
      </c>
      <c r="D142" s="44">
        <v>15.600643120160763</v>
      </c>
      <c r="E142" s="44">
        <v>20.008691620026742</v>
      </c>
      <c r="F142" s="44">
        <v>25.886089619848082</v>
      </c>
      <c r="G142" s="44">
        <v>34.114446819597916</v>
      </c>
      <c r="H142" s="44">
        <v>46.456982619222728</v>
      </c>
    </row>
    <row r="143" spans="1:8" x14ac:dyDescent="0.25">
      <c r="B143" s="43">
        <v>0.12</v>
      </c>
      <c r="C143" s="44">
        <v>6.300552202593197</v>
      </c>
      <c r="D143" s="44">
        <v>11.133326786290434</v>
      </c>
      <c r="E143" s="44">
        <v>14.4558593125823</v>
      </c>
      <c r="F143" s="44">
        <v>18.72768684638611</v>
      </c>
      <c r="G143" s="44">
        <v>24.423456891457864</v>
      </c>
      <c r="H143" s="44">
        <v>32.39753495455831</v>
      </c>
    </row>
    <row r="144" spans="1:8" x14ac:dyDescent="0.25">
      <c r="B144" s="43">
        <v>0.13</v>
      </c>
      <c r="C144" s="44">
        <v>3.6922749084868229</v>
      </c>
      <c r="D144" s="44">
        <v>7.5571816087280368</v>
      </c>
      <c r="E144" s="44">
        <v>10.133786075555513</v>
      </c>
      <c r="F144" s="44">
        <v>13.354541659089849</v>
      </c>
      <c r="G144" s="44">
        <v>17.495513123633998</v>
      </c>
      <c r="H144" s="44">
        <v>23.016808409692871</v>
      </c>
    </row>
    <row r="145" spans="2:8" x14ac:dyDescent="0.25">
      <c r="B145" s="43">
        <v>0.14000000000000001</v>
      </c>
      <c r="C145" s="44">
        <v>1.4844329027997298</v>
      </c>
      <c r="D145" s="44">
        <v>4.6292239577562722</v>
      </c>
      <c r="E145" s="44">
        <v>6.673338143478019</v>
      </c>
      <c r="F145" s="44">
        <v>9.1716999260268341</v>
      </c>
      <c r="G145" s="44">
        <v>12.294652154212837</v>
      </c>
      <c r="H145" s="44">
        <v>16.30987644759486</v>
      </c>
    </row>
  </sheetData>
  <mergeCells count="2">
    <mergeCell ref="A1:H1"/>
    <mergeCell ref="C134:H134"/>
  </mergeCells>
  <phoneticPr fontId="1" type="noConversion"/>
  <conditionalFormatting sqref="C137:H145">
    <cfRule type="cellIs" dxfId="0" priority="1" stopIfTrue="1" operator="greaterThan">
      <formula>$B$113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1548E-14CF-483A-8B16-E53A2D7CD0D4}">
  <sheetPr codeName="Sheet8"/>
  <dimension ref="A1:C34"/>
  <sheetViews>
    <sheetView zoomScale="130" zoomScaleNormal="130" workbookViewId="0">
      <selection activeCell="D26" sqref="D26"/>
    </sheetView>
  </sheetViews>
  <sheetFormatPr defaultColWidth="9.109375" defaultRowHeight="13.2" x14ac:dyDescent="0.25"/>
  <cols>
    <col min="1" max="1" width="30.109375" style="46" customWidth="1"/>
    <col min="2" max="2" width="17.5546875" style="46" bestFit="1" customWidth="1"/>
    <col min="3" max="3" width="68.33203125" style="46" bestFit="1" customWidth="1"/>
    <col min="4" max="256" width="9.109375" style="46"/>
    <col min="257" max="257" width="30.109375" style="46" customWidth="1"/>
    <col min="258" max="258" width="17.5546875" style="46" bestFit="1" customWidth="1"/>
    <col min="259" max="259" width="68.33203125" style="46" bestFit="1" customWidth="1"/>
    <col min="260" max="512" width="9.109375" style="46"/>
    <col min="513" max="513" width="30.109375" style="46" customWidth="1"/>
    <col min="514" max="514" width="17.5546875" style="46" bestFit="1" customWidth="1"/>
    <col min="515" max="515" width="68.33203125" style="46" bestFit="1" customWidth="1"/>
    <col min="516" max="768" width="9.109375" style="46"/>
    <col min="769" max="769" width="30.109375" style="46" customWidth="1"/>
    <col min="770" max="770" width="17.5546875" style="46" bestFit="1" customWidth="1"/>
    <col min="771" max="771" width="68.33203125" style="46" bestFit="1" customWidth="1"/>
    <col min="772" max="1024" width="9.109375" style="46"/>
    <col min="1025" max="1025" width="30.109375" style="46" customWidth="1"/>
    <col min="1026" max="1026" width="17.5546875" style="46" bestFit="1" customWidth="1"/>
    <col min="1027" max="1027" width="68.33203125" style="46" bestFit="1" customWidth="1"/>
    <col min="1028" max="1280" width="9.109375" style="46"/>
    <col min="1281" max="1281" width="30.109375" style="46" customWidth="1"/>
    <col min="1282" max="1282" width="17.5546875" style="46" bestFit="1" customWidth="1"/>
    <col min="1283" max="1283" width="68.33203125" style="46" bestFit="1" customWidth="1"/>
    <col min="1284" max="1536" width="9.109375" style="46"/>
    <col min="1537" max="1537" width="30.109375" style="46" customWidth="1"/>
    <col min="1538" max="1538" width="17.5546875" style="46" bestFit="1" customWidth="1"/>
    <col min="1539" max="1539" width="68.33203125" style="46" bestFit="1" customWidth="1"/>
    <col min="1540" max="1792" width="9.109375" style="46"/>
    <col min="1793" max="1793" width="30.109375" style="46" customWidth="1"/>
    <col min="1794" max="1794" width="17.5546875" style="46" bestFit="1" customWidth="1"/>
    <col min="1795" max="1795" width="68.33203125" style="46" bestFit="1" customWidth="1"/>
    <col min="1796" max="2048" width="9.109375" style="46"/>
    <col min="2049" max="2049" width="30.109375" style="46" customWidth="1"/>
    <col min="2050" max="2050" width="17.5546875" style="46" bestFit="1" customWidth="1"/>
    <col min="2051" max="2051" width="68.33203125" style="46" bestFit="1" customWidth="1"/>
    <col min="2052" max="2304" width="9.109375" style="46"/>
    <col min="2305" max="2305" width="30.109375" style="46" customWidth="1"/>
    <col min="2306" max="2306" width="17.5546875" style="46" bestFit="1" customWidth="1"/>
    <col min="2307" max="2307" width="68.33203125" style="46" bestFit="1" customWidth="1"/>
    <col min="2308" max="2560" width="9.109375" style="46"/>
    <col min="2561" max="2561" width="30.109375" style="46" customWidth="1"/>
    <col min="2562" max="2562" width="17.5546875" style="46" bestFit="1" customWidth="1"/>
    <col min="2563" max="2563" width="68.33203125" style="46" bestFit="1" customWidth="1"/>
    <col min="2564" max="2816" width="9.109375" style="46"/>
    <col min="2817" max="2817" width="30.109375" style="46" customWidth="1"/>
    <col min="2818" max="2818" width="17.5546875" style="46" bestFit="1" customWidth="1"/>
    <col min="2819" max="2819" width="68.33203125" style="46" bestFit="1" customWidth="1"/>
    <col min="2820" max="3072" width="9.109375" style="46"/>
    <col min="3073" max="3073" width="30.109375" style="46" customWidth="1"/>
    <col min="3074" max="3074" width="17.5546875" style="46" bestFit="1" customWidth="1"/>
    <col min="3075" max="3075" width="68.33203125" style="46" bestFit="1" customWidth="1"/>
    <col min="3076" max="3328" width="9.109375" style="46"/>
    <col min="3329" max="3329" width="30.109375" style="46" customWidth="1"/>
    <col min="3330" max="3330" width="17.5546875" style="46" bestFit="1" customWidth="1"/>
    <col min="3331" max="3331" width="68.33203125" style="46" bestFit="1" customWidth="1"/>
    <col min="3332" max="3584" width="9.109375" style="46"/>
    <col min="3585" max="3585" width="30.109375" style="46" customWidth="1"/>
    <col min="3586" max="3586" width="17.5546875" style="46" bestFit="1" customWidth="1"/>
    <col min="3587" max="3587" width="68.33203125" style="46" bestFit="1" customWidth="1"/>
    <col min="3588" max="3840" width="9.109375" style="46"/>
    <col min="3841" max="3841" width="30.109375" style="46" customWidth="1"/>
    <col min="3842" max="3842" width="17.5546875" style="46" bestFit="1" customWidth="1"/>
    <col min="3843" max="3843" width="68.33203125" style="46" bestFit="1" customWidth="1"/>
    <col min="3844" max="4096" width="9.109375" style="46"/>
    <col min="4097" max="4097" width="30.109375" style="46" customWidth="1"/>
    <col min="4098" max="4098" width="17.5546875" style="46" bestFit="1" customWidth="1"/>
    <col min="4099" max="4099" width="68.33203125" style="46" bestFit="1" customWidth="1"/>
    <col min="4100" max="4352" width="9.109375" style="46"/>
    <col min="4353" max="4353" width="30.109375" style="46" customWidth="1"/>
    <col min="4354" max="4354" width="17.5546875" style="46" bestFit="1" customWidth="1"/>
    <col min="4355" max="4355" width="68.33203125" style="46" bestFit="1" customWidth="1"/>
    <col min="4356" max="4608" width="9.109375" style="46"/>
    <col min="4609" max="4609" width="30.109375" style="46" customWidth="1"/>
    <col min="4610" max="4610" width="17.5546875" style="46" bestFit="1" customWidth="1"/>
    <col min="4611" max="4611" width="68.33203125" style="46" bestFit="1" customWidth="1"/>
    <col min="4612" max="4864" width="9.109375" style="46"/>
    <col min="4865" max="4865" width="30.109375" style="46" customWidth="1"/>
    <col min="4866" max="4866" width="17.5546875" style="46" bestFit="1" customWidth="1"/>
    <col min="4867" max="4867" width="68.33203125" style="46" bestFit="1" customWidth="1"/>
    <col min="4868" max="5120" width="9.109375" style="46"/>
    <col min="5121" max="5121" width="30.109375" style="46" customWidth="1"/>
    <col min="5122" max="5122" width="17.5546875" style="46" bestFit="1" customWidth="1"/>
    <col min="5123" max="5123" width="68.33203125" style="46" bestFit="1" customWidth="1"/>
    <col min="5124" max="5376" width="9.109375" style="46"/>
    <col min="5377" max="5377" width="30.109375" style="46" customWidth="1"/>
    <col min="5378" max="5378" width="17.5546875" style="46" bestFit="1" customWidth="1"/>
    <col min="5379" max="5379" width="68.33203125" style="46" bestFit="1" customWidth="1"/>
    <col min="5380" max="5632" width="9.109375" style="46"/>
    <col min="5633" max="5633" width="30.109375" style="46" customWidth="1"/>
    <col min="5634" max="5634" width="17.5546875" style="46" bestFit="1" customWidth="1"/>
    <col min="5635" max="5635" width="68.33203125" style="46" bestFit="1" customWidth="1"/>
    <col min="5636" max="5888" width="9.109375" style="46"/>
    <col min="5889" max="5889" width="30.109375" style="46" customWidth="1"/>
    <col min="5890" max="5890" width="17.5546875" style="46" bestFit="1" customWidth="1"/>
    <col min="5891" max="5891" width="68.33203125" style="46" bestFit="1" customWidth="1"/>
    <col min="5892" max="6144" width="9.109375" style="46"/>
    <col min="6145" max="6145" width="30.109375" style="46" customWidth="1"/>
    <col min="6146" max="6146" width="17.5546875" style="46" bestFit="1" customWidth="1"/>
    <col min="6147" max="6147" width="68.33203125" style="46" bestFit="1" customWidth="1"/>
    <col min="6148" max="6400" width="9.109375" style="46"/>
    <col min="6401" max="6401" width="30.109375" style="46" customWidth="1"/>
    <col min="6402" max="6402" width="17.5546875" style="46" bestFit="1" customWidth="1"/>
    <col min="6403" max="6403" width="68.33203125" style="46" bestFit="1" customWidth="1"/>
    <col min="6404" max="6656" width="9.109375" style="46"/>
    <col min="6657" max="6657" width="30.109375" style="46" customWidth="1"/>
    <col min="6658" max="6658" width="17.5546875" style="46" bestFit="1" customWidth="1"/>
    <col min="6659" max="6659" width="68.33203125" style="46" bestFit="1" customWidth="1"/>
    <col min="6660" max="6912" width="9.109375" style="46"/>
    <col min="6913" max="6913" width="30.109375" style="46" customWidth="1"/>
    <col min="6914" max="6914" width="17.5546875" style="46" bestFit="1" customWidth="1"/>
    <col min="6915" max="6915" width="68.33203125" style="46" bestFit="1" customWidth="1"/>
    <col min="6916" max="7168" width="9.109375" style="46"/>
    <col min="7169" max="7169" width="30.109375" style="46" customWidth="1"/>
    <col min="7170" max="7170" width="17.5546875" style="46" bestFit="1" customWidth="1"/>
    <col min="7171" max="7171" width="68.33203125" style="46" bestFit="1" customWidth="1"/>
    <col min="7172" max="7424" width="9.109375" style="46"/>
    <col min="7425" max="7425" width="30.109375" style="46" customWidth="1"/>
    <col min="7426" max="7426" width="17.5546875" style="46" bestFit="1" customWidth="1"/>
    <col min="7427" max="7427" width="68.33203125" style="46" bestFit="1" customWidth="1"/>
    <col min="7428" max="7680" width="9.109375" style="46"/>
    <col min="7681" max="7681" width="30.109375" style="46" customWidth="1"/>
    <col min="7682" max="7682" width="17.5546875" style="46" bestFit="1" customWidth="1"/>
    <col min="7683" max="7683" width="68.33203125" style="46" bestFit="1" customWidth="1"/>
    <col min="7684" max="7936" width="9.109375" style="46"/>
    <col min="7937" max="7937" width="30.109375" style="46" customWidth="1"/>
    <col min="7938" max="7938" width="17.5546875" style="46" bestFit="1" customWidth="1"/>
    <col min="7939" max="7939" width="68.33203125" style="46" bestFit="1" customWidth="1"/>
    <col min="7940" max="8192" width="9.109375" style="46"/>
    <col min="8193" max="8193" width="30.109375" style="46" customWidth="1"/>
    <col min="8194" max="8194" width="17.5546875" style="46" bestFit="1" customWidth="1"/>
    <col min="8195" max="8195" width="68.33203125" style="46" bestFit="1" customWidth="1"/>
    <col min="8196" max="8448" width="9.109375" style="46"/>
    <col min="8449" max="8449" width="30.109375" style="46" customWidth="1"/>
    <col min="8450" max="8450" width="17.5546875" style="46" bestFit="1" customWidth="1"/>
    <col min="8451" max="8451" width="68.33203125" style="46" bestFit="1" customWidth="1"/>
    <col min="8452" max="8704" width="9.109375" style="46"/>
    <col min="8705" max="8705" width="30.109375" style="46" customWidth="1"/>
    <col min="8706" max="8706" width="17.5546875" style="46" bestFit="1" customWidth="1"/>
    <col min="8707" max="8707" width="68.33203125" style="46" bestFit="1" customWidth="1"/>
    <col min="8708" max="8960" width="9.109375" style="46"/>
    <col min="8961" max="8961" width="30.109375" style="46" customWidth="1"/>
    <col min="8962" max="8962" width="17.5546875" style="46" bestFit="1" customWidth="1"/>
    <col min="8963" max="8963" width="68.33203125" style="46" bestFit="1" customWidth="1"/>
    <col min="8964" max="9216" width="9.109375" style="46"/>
    <col min="9217" max="9217" width="30.109375" style="46" customWidth="1"/>
    <col min="9218" max="9218" width="17.5546875" style="46" bestFit="1" customWidth="1"/>
    <col min="9219" max="9219" width="68.33203125" style="46" bestFit="1" customWidth="1"/>
    <col min="9220" max="9472" width="9.109375" style="46"/>
    <col min="9473" max="9473" width="30.109375" style="46" customWidth="1"/>
    <col min="9474" max="9474" width="17.5546875" style="46" bestFit="1" customWidth="1"/>
    <col min="9475" max="9475" width="68.33203125" style="46" bestFit="1" customWidth="1"/>
    <col min="9476" max="9728" width="9.109375" style="46"/>
    <col min="9729" max="9729" width="30.109375" style="46" customWidth="1"/>
    <col min="9730" max="9730" width="17.5546875" style="46" bestFit="1" customWidth="1"/>
    <col min="9731" max="9731" width="68.33203125" style="46" bestFit="1" customWidth="1"/>
    <col min="9732" max="9984" width="9.109375" style="46"/>
    <col min="9985" max="9985" width="30.109375" style="46" customWidth="1"/>
    <col min="9986" max="9986" width="17.5546875" style="46" bestFit="1" customWidth="1"/>
    <col min="9987" max="9987" width="68.33203125" style="46" bestFit="1" customWidth="1"/>
    <col min="9988" max="10240" width="9.109375" style="46"/>
    <col min="10241" max="10241" width="30.109375" style="46" customWidth="1"/>
    <col min="10242" max="10242" width="17.5546875" style="46" bestFit="1" customWidth="1"/>
    <col min="10243" max="10243" width="68.33203125" style="46" bestFit="1" customWidth="1"/>
    <col min="10244" max="10496" width="9.109375" style="46"/>
    <col min="10497" max="10497" width="30.109375" style="46" customWidth="1"/>
    <col min="10498" max="10498" width="17.5546875" style="46" bestFit="1" customWidth="1"/>
    <col min="10499" max="10499" width="68.33203125" style="46" bestFit="1" customWidth="1"/>
    <col min="10500" max="10752" width="9.109375" style="46"/>
    <col min="10753" max="10753" width="30.109375" style="46" customWidth="1"/>
    <col min="10754" max="10754" width="17.5546875" style="46" bestFit="1" customWidth="1"/>
    <col min="10755" max="10755" width="68.33203125" style="46" bestFit="1" customWidth="1"/>
    <col min="10756" max="11008" width="9.109375" style="46"/>
    <col min="11009" max="11009" width="30.109375" style="46" customWidth="1"/>
    <col min="11010" max="11010" width="17.5546875" style="46" bestFit="1" customWidth="1"/>
    <col min="11011" max="11011" width="68.33203125" style="46" bestFit="1" customWidth="1"/>
    <col min="11012" max="11264" width="9.109375" style="46"/>
    <col min="11265" max="11265" width="30.109375" style="46" customWidth="1"/>
    <col min="11266" max="11266" width="17.5546875" style="46" bestFit="1" customWidth="1"/>
    <col min="11267" max="11267" width="68.33203125" style="46" bestFit="1" customWidth="1"/>
    <col min="11268" max="11520" width="9.109375" style="46"/>
    <col min="11521" max="11521" width="30.109375" style="46" customWidth="1"/>
    <col min="11522" max="11522" width="17.5546875" style="46" bestFit="1" customWidth="1"/>
    <col min="11523" max="11523" width="68.33203125" style="46" bestFit="1" customWidth="1"/>
    <col min="11524" max="11776" width="9.109375" style="46"/>
    <col min="11777" max="11777" width="30.109375" style="46" customWidth="1"/>
    <col min="11778" max="11778" width="17.5546875" style="46" bestFit="1" customWidth="1"/>
    <col min="11779" max="11779" width="68.33203125" style="46" bestFit="1" customWidth="1"/>
    <col min="11780" max="12032" width="9.109375" style="46"/>
    <col min="12033" max="12033" width="30.109375" style="46" customWidth="1"/>
    <col min="12034" max="12034" width="17.5546875" style="46" bestFit="1" customWidth="1"/>
    <col min="12035" max="12035" width="68.33203125" style="46" bestFit="1" customWidth="1"/>
    <col min="12036" max="12288" width="9.109375" style="46"/>
    <col min="12289" max="12289" width="30.109375" style="46" customWidth="1"/>
    <col min="12290" max="12290" width="17.5546875" style="46" bestFit="1" customWidth="1"/>
    <col min="12291" max="12291" width="68.33203125" style="46" bestFit="1" customWidth="1"/>
    <col min="12292" max="12544" width="9.109375" style="46"/>
    <col min="12545" max="12545" width="30.109375" style="46" customWidth="1"/>
    <col min="12546" max="12546" width="17.5546875" style="46" bestFit="1" customWidth="1"/>
    <col min="12547" max="12547" width="68.33203125" style="46" bestFit="1" customWidth="1"/>
    <col min="12548" max="12800" width="9.109375" style="46"/>
    <col min="12801" max="12801" width="30.109375" style="46" customWidth="1"/>
    <col min="12802" max="12802" width="17.5546875" style="46" bestFit="1" customWidth="1"/>
    <col min="12803" max="12803" width="68.33203125" style="46" bestFit="1" customWidth="1"/>
    <col min="12804" max="13056" width="9.109375" style="46"/>
    <col min="13057" max="13057" width="30.109375" style="46" customWidth="1"/>
    <col min="13058" max="13058" width="17.5546875" style="46" bestFit="1" customWidth="1"/>
    <col min="13059" max="13059" width="68.33203125" style="46" bestFit="1" customWidth="1"/>
    <col min="13060" max="13312" width="9.109375" style="46"/>
    <col min="13313" max="13313" width="30.109375" style="46" customWidth="1"/>
    <col min="13314" max="13314" width="17.5546875" style="46" bestFit="1" customWidth="1"/>
    <col min="13315" max="13315" width="68.33203125" style="46" bestFit="1" customWidth="1"/>
    <col min="13316" max="13568" width="9.109375" style="46"/>
    <col min="13569" max="13569" width="30.109375" style="46" customWidth="1"/>
    <col min="13570" max="13570" width="17.5546875" style="46" bestFit="1" customWidth="1"/>
    <col min="13571" max="13571" width="68.33203125" style="46" bestFit="1" customWidth="1"/>
    <col min="13572" max="13824" width="9.109375" style="46"/>
    <col min="13825" max="13825" width="30.109375" style="46" customWidth="1"/>
    <col min="13826" max="13826" width="17.5546875" style="46" bestFit="1" customWidth="1"/>
    <col min="13827" max="13827" width="68.33203125" style="46" bestFit="1" customWidth="1"/>
    <col min="13828" max="14080" width="9.109375" style="46"/>
    <col min="14081" max="14081" width="30.109375" style="46" customWidth="1"/>
    <col min="14082" max="14082" width="17.5546875" style="46" bestFit="1" customWidth="1"/>
    <col min="14083" max="14083" width="68.33203125" style="46" bestFit="1" customWidth="1"/>
    <col min="14084" max="14336" width="9.109375" style="46"/>
    <col min="14337" max="14337" width="30.109375" style="46" customWidth="1"/>
    <col min="14338" max="14338" width="17.5546875" style="46" bestFit="1" customWidth="1"/>
    <col min="14339" max="14339" width="68.33203125" style="46" bestFit="1" customWidth="1"/>
    <col min="14340" max="14592" width="9.109375" style="46"/>
    <col min="14593" max="14593" width="30.109375" style="46" customWidth="1"/>
    <col min="14594" max="14594" width="17.5546875" style="46" bestFit="1" customWidth="1"/>
    <col min="14595" max="14595" width="68.33203125" style="46" bestFit="1" customWidth="1"/>
    <col min="14596" max="14848" width="9.109375" style="46"/>
    <col min="14849" max="14849" width="30.109375" style="46" customWidth="1"/>
    <col min="14850" max="14850" width="17.5546875" style="46" bestFit="1" customWidth="1"/>
    <col min="14851" max="14851" width="68.33203125" style="46" bestFit="1" customWidth="1"/>
    <col min="14852" max="15104" width="9.109375" style="46"/>
    <col min="15105" max="15105" width="30.109375" style="46" customWidth="1"/>
    <col min="15106" max="15106" width="17.5546875" style="46" bestFit="1" customWidth="1"/>
    <col min="15107" max="15107" width="68.33203125" style="46" bestFit="1" customWidth="1"/>
    <col min="15108" max="15360" width="9.109375" style="46"/>
    <col min="15361" max="15361" width="30.109375" style="46" customWidth="1"/>
    <col min="15362" max="15362" width="17.5546875" style="46" bestFit="1" customWidth="1"/>
    <col min="15363" max="15363" width="68.33203125" style="46" bestFit="1" customWidth="1"/>
    <col min="15364" max="15616" width="9.109375" style="46"/>
    <col min="15617" max="15617" width="30.109375" style="46" customWidth="1"/>
    <col min="15618" max="15618" width="17.5546875" style="46" bestFit="1" customWidth="1"/>
    <col min="15619" max="15619" width="68.33203125" style="46" bestFit="1" customWidth="1"/>
    <col min="15620" max="15872" width="9.109375" style="46"/>
    <col min="15873" max="15873" width="30.109375" style="46" customWidth="1"/>
    <col min="15874" max="15874" width="17.5546875" style="46" bestFit="1" customWidth="1"/>
    <col min="15875" max="15875" width="68.33203125" style="46" bestFit="1" customWidth="1"/>
    <col min="15876" max="16128" width="9.109375" style="46"/>
    <col min="16129" max="16129" width="30.109375" style="46" customWidth="1"/>
    <col min="16130" max="16130" width="17.5546875" style="46" bestFit="1" customWidth="1"/>
    <col min="16131" max="16131" width="68.33203125" style="46" bestFit="1" customWidth="1"/>
    <col min="16132" max="16384" width="9.109375" style="46"/>
  </cols>
  <sheetData>
    <row r="1" spans="1:3" ht="42" customHeight="1" x14ac:dyDescent="0.25">
      <c r="A1" s="69" t="s">
        <v>129</v>
      </c>
      <c r="B1" s="70"/>
      <c r="C1" s="70"/>
    </row>
    <row r="2" spans="1:3" x14ac:dyDescent="0.25">
      <c r="A2" s="46" t="s">
        <v>130</v>
      </c>
      <c r="B2" s="47">
        <f>'[4]Page 137, 140, 141'!B36</f>
        <v>168.22</v>
      </c>
      <c r="C2" s="46" t="str">
        <f ca="1">[3]!getformula(B2)</f>
        <v>&lt;--  ='[fm3_chapter04.xls]Page 137, 140, 141'!B36</v>
      </c>
    </row>
    <row r="3" spans="1:3" x14ac:dyDescent="0.25">
      <c r="A3" s="46" t="s">
        <v>131</v>
      </c>
      <c r="B3" s="46">
        <v>46.314999999999998</v>
      </c>
    </row>
    <row r="4" spans="1:3" x14ac:dyDescent="0.25">
      <c r="A4" s="46" t="s">
        <v>132</v>
      </c>
      <c r="B4" s="47">
        <f>B2*B3</f>
        <v>7791.1092999999992</v>
      </c>
      <c r="C4" s="46" t="str">
        <f t="shared" ref="C4:C9" ca="1" si="0">[3]!getformula(B4)</f>
        <v>&lt;--  =B2*B3</v>
      </c>
    </row>
    <row r="5" spans="1:3" x14ac:dyDescent="0.25">
      <c r="A5" s="46" t="s">
        <v>133</v>
      </c>
      <c r="B5" s="47">
        <f>SUM('[4]Page 137, 140, 141'!B23:B26)-'[4]Page 137, 140, 141'!B3</f>
        <v>4535</v>
      </c>
      <c r="C5" s="46" t="str">
        <f t="shared" ca="1" si="0"/>
        <v>&lt;--  =SUM('[fm3_chapter04.xls]Page 137, 140, 141'!B23:B26)-'[fm3_chapter04.xls]Page 137, 140, 141'!B3</v>
      </c>
    </row>
    <row r="6" spans="1:3" ht="15.6" x14ac:dyDescent="0.35">
      <c r="A6" s="46" t="s">
        <v>134</v>
      </c>
      <c r="B6" s="48">
        <f>'[4]Page 159, bottom'!B7</f>
        <v>6.7002256552681827E-2</v>
      </c>
      <c r="C6" s="46" t="str">
        <f t="shared" ca="1" si="0"/>
        <v>&lt;--  ='[fm3_chapter04.xls]Page 159, bottom'!B7</v>
      </c>
    </row>
    <row r="7" spans="1:3" ht="15.6" x14ac:dyDescent="0.35">
      <c r="A7" s="46" t="s">
        <v>135</v>
      </c>
      <c r="B7" s="48">
        <f>'[4]Page 138, top and page 139'!B35</f>
        <v>0.36283185840707965</v>
      </c>
      <c r="C7" s="46" t="str">
        <f t="shared" ca="1" si="0"/>
        <v>&lt;--  ='[fm3_chapter04.xls]Page 138, top and page 139'!B35</v>
      </c>
    </row>
    <row r="8" spans="1:3" ht="15.6" x14ac:dyDescent="0.35">
      <c r="A8" s="46" t="s">
        <v>136</v>
      </c>
      <c r="B8" s="48">
        <f>'[4]Page 159, top'!B6</f>
        <v>5.1416666666666703E-3</v>
      </c>
      <c r="C8" s="46" t="str">
        <f t="shared" ca="1" si="0"/>
        <v>&lt;--  ='[fm3_chapter04.xls]Page 159, top'!B6</v>
      </c>
    </row>
    <row r="9" spans="1:3" ht="15.6" x14ac:dyDescent="0.35">
      <c r="A9" s="46" t="s">
        <v>137</v>
      </c>
      <c r="B9" s="48">
        <f>'[4]Page 159, top'!B5</f>
        <v>7.6562500000000006E-2</v>
      </c>
      <c r="C9" s="46" t="str">
        <f t="shared" ca="1" si="0"/>
        <v>&lt;--  ='[fm3_chapter04.xls]Page 159, top'!B5</v>
      </c>
    </row>
    <row r="11" spans="1:3" x14ac:dyDescent="0.25">
      <c r="A11" s="49" t="s">
        <v>138</v>
      </c>
    </row>
    <row r="12" spans="1:3" x14ac:dyDescent="0.25">
      <c r="A12" s="50" t="s">
        <v>139</v>
      </c>
      <c r="B12" s="51">
        <v>46.3125</v>
      </c>
    </row>
    <row r="13" spans="1:3" x14ac:dyDescent="0.25">
      <c r="A13" s="50" t="s">
        <v>140</v>
      </c>
      <c r="B13" s="51">
        <v>1.6</v>
      </c>
    </row>
    <row r="14" spans="1:3" x14ac:dyDescent="0.25">
      <c r="A14" s="50" t="s">
        <v>141</v>
      </c>
      <c r="B14" s="52">
        <f>'[4]Page 152'!$B$13</f>
        <v>6.8811408710489408E-2</v>
      </c>
    </row>
    <row r="15" spans="1:3" ht="15.6" x14ac:dyDescent="0.35">
      <c r="A15" s="46" t="s">
        <v>142</v>
      </c>
      <c r="B15" s="48">
        <f>B13*(1+B14)/B12+B14</f>
        <v>0.10573660717606098</v>
      </c>
      <c r="C15" s="46" t="str">
        <f ca="1">[3]!getformula(B15)</f>
        <v>&lt;--  =B13*(1+B14)/B12+B14</v>
      </c>
    </row>
    <row r="16" spans="1:3" x14ac:dyDescent="0.25">
      <c r="A16" s="53" t="s">
        <v>112</v>
      </c>
      <c r="B16" s="54">
        <f>$B$4/($B$4+$B$5)*B15+$B$5/($B$4+$B$5)*$B$6*(1-$B$7)</f>
        <v>8.2541239346379316E-2</v>
      </c>
      <c r="C16" s="46" t="str">
        <f ca="1">[3]!getformula(B16)</f>
        <v>&lt;--  =$B$4/($B$4+$B$5)*B15+$B$5/($B$4+$B$5)*$B$6*(1-$B$7)</v>
      </c>
    </row>
    <row r="17" spans="1:3" x14ac:dyDescent="0.25">
      <c r="B17" s="55"/>
    </row>
    <row r="18" spans="1:3" x14ac:dyDescent="0.25">
      <c r="A18" s="49" t="s">
        <v>143</v>
      </c>
    </row>
    <row r="19" spans="1:3" x14ac:dyDescent="0.25">
      <c r="A19" s="50" t="s">
        <v>144</v>
      </c>
      <c r="B19" s="56">
        <f>'[4]Page 152'!$F$11</f>
        <v>518</v>
      </c>
      <c r="C19" s="46" t="str">
        <f ca="1">[3]!getformula(B19)</f>
        <v>&lt;--  ='[fm3_chapter04.xls]Page 152'!$F$11</v>
      </c>
    </row>
    <row r="20" spans="1:3" x14ac:dyDescent="0.25">
      <c r="A20" s="50" t="s">
        <v>145</v>
      </c>
      <c r="B20" s="52">
        <f>'[4]Page 152'!$F$13</f>
        <v>0.11907430517493345</v>
      </c>
      <c r="C20" s="46" t="str">
        <f ca="1">[3]!getformula(B20)</f>
        <v>&lt;--  ='[fm3_chapter04.xls]Page 152'!$F$13</v>
      </c>
    </row>
    <row r="21" spans="1:3" ht="15.6" x14ac:dyDescent="0.35">
      <c r="A21" s="46" t="s">
        <v>142</v>
      </c>
      <c r="B21" s="48">
        <f>'[4]Page 156'!B20</f>
        <v>0.13341864582616836</v>
      </c>
      <c r="C21" s="46" t="str">
        <f ca="1">[3]!getformula(B21)</f>
        <v>&lt;--  ='[fm3_chapter04.xls]Page 156'!B20</v>
      </c>
    </row>
    <row r="22" spans="1:3" x14ac:dyDescent="0.25">
      <c r="A22" s="53" t="s">
        <v>112</v>
      </c>
      <c r="B22" s="54">
        <f>$B$4/($B$4+$B$5)*B21+$B$5/($B$4+$B$5)*$B$6*(1-$B$7)</f>
        <v>0.10003855204421586</v>
      </c>
      <c r="C22" s="46" t="str">
        <f ca="1">[3]!getformula(B22)</f>
        <v>&lt;--  =$B$4/($B$4+$B$5)*B21+$B$5/($B$4+$B$5)*$B$6*(1-$B$7)</v>
      </c>
    </row>
    <row r="23" spans="1:3" x14ac:dyDescent="0.25">
      <c r="B23" s="55"/>
    </row>
    <row r="24" spans="1:3" x14ac:dyDescent="0.25">
      <c r="A24" s="49" t="s">
        <v>146</v>
      </c>
    </row>
    <row r="25" spans="1:3" x14ac:dyDescent="0.25">
      <c r="A25" s="57" t="s">
        <v>147</v>
      </c>
      <c r="B25" s="58">
        <f>'[4]Page 158'!B2</f>
        <v>0.86717863603105427</v>
      </c>
      <c r="C25" s="46" t="str">
        <f ca="1">[3]!getformula(B25)</f>
        <v>&lt;--  ='[fm3_chapter04.xls]Page 158'!B2</v>
      </c>
    </row>
    <row r="26" spans="1:3" ht="15.6" x14ac:dyDescent="0.35">
      <c r="A26" s="50" t="s">
        <v>142</v>
      </c>
      <c r="B26" s="59">
        <f>B8+B25*(B9-B8)</f>
        <v>6.7076287500867929E-2</v>
      </c>
      <c r="C26" s="46" t="str">
        <f ca="1">[3]!getformula(B26)</f>
        <v>&lt;--  =B8+B25*(B9-B8)</v>
      </c>
    </row>
    <row r="27" spans="1:3" x14ac:dyDescent="0.25">
      <c r="A27" s="53" t="s">
        <v>112</v>
      </c>
      <c r="B27" s="54">
        <f>$B$4/($B$4+$B$5)*B26+$B$5/($B$4+$B$5)*$B$6*(1-$B$7)</f>
        <v>5.8104755064808854E-2</v>
      </c>
      <c r="C27" s="46" t="str">
        <f ca="1">[3]!getformula(B27)</f>
        <v>&lt;--  =$B$4/($B$4+$B$5)*B26+$B$5/($B$4+$B$5)*$B$6*(1-$B$7)</v>
      </c>
    </row>
    <row r="29" spans="1:3" x14ac:dyDescent="0.25">
      <c r="A29" s="49" t="s">
        <v>148</v>
      </c>
    </row>
    <row r="30" spans="1:3" x14ac:dyDescent="0.25">
      <c r="A30" s="57" t="s">
        <v>147</v>
      </c>
      <c r="B30" s="58">
        <f>'[4]Page 158'!B2</f>
        <v>0.86717863603105427</v>
      </c>
      <c r="C30" s="46" t="str">
        <f ca="1">[3]!getformula(B30)</f>
        <v>&lt;--  ='[fm3_chapter04.xls]Page 158'!B2</v>
      </c>
    </row>
    <row r="31" spans="1:3" ht="15.6" x14ac:dyDescent="0.35">
      <c r="A31" s="50" t="s">
        <v>142</v>
      </c>
      <c r="B31" s="59">
        <f>B8*(1-B7)+B30*(B9-B8*(1-B7))</f>
        <v>6.6828501214413472E-2</v>
      </c>
      <c r="C31" s="46" t="str">
        <f ca="1">[3]!getformula(B31)</f>
        <v>&lt;--  =B8*(1-B7)+B30*(B9-B8*(1-B7))</v>
      </c>
    </row>
    <row r="32" spans="1:3" x14ac:dyDescent="0.25">
      <c r="A32" s="53" t="s">
        <v>112</v>
      </c>
      <c r="B32" s="54">
        <f>$B$4/($B$4+$B$5)*B31+$B$5/($B$4+$B$5)*$B$6*(1-$B$7)</f>
        <v>5.7948133863923688E-2</v>
      </c>
      <c r="C32" s="46" t="str">
        <f ca="1">[3]!getformula(B32)</f>
        <v>&lt;--  =$B$4/($B$4+$B$5)*B31+$B$5/($B$4+$B$5)*$B$6*(1-$B$7)</v>
      </c>
    </row>
    <row r="34" spans="1:3" x14ac:dyDescent="0.25">
      <c r="A34" s="60" t="s">
        <v>149</v>
      </c>
      <c r="B34" s="61">
        <f>AVERAGE(B16,B22,B27,B32)</f>
        <v>7.4658170079831929E-2</v>
      </c>
      <c r="C34" s="46" t="str">
        <f ca="1">[3]!getformula(B34)</f>
        <v>&lt;--  =AVERAGE(B16,B22,B27,B32)</v>
      </c>
    </row>
  </sheetData>
  <mergeCells count="1">
    <mergeCell ref="A1:C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22</vt:i4>
      </vt:variant>
    </vt:vector>
  </HeadingPairs>
  <TitlesOfParts>
    <vt:vector size="24" baseType="lpstr">
      <vt:lpstr>Sheet1</vt:lpstr>
      <vt:lpstr>Page 161</vt:lpstr>
      <vt:lpstr>Sheet1!accruedexp_sales</vt:lpstr>
      <vt:lpstr>Sheet1!ap_sales</vt:lpstr>
      <vt:lpstr>Sheet1!ar_sales</vt:lpstr>
      <vt:lpstr>Sheet1!cogs_sales</vt:lpstr>
      <vt:lpstr>debt_assets</vt:lpstr>
      <vt:lpstr>depr_perc</vt:lpstr>
      <vt:lpstr>divgrowth</vt:lpstr>
      <vt:lpstr>growth</vt:lpstr>
      <vt:lpstr>interest</vt:lpstr>
      <vt:lpstr>Sheet1!inventory_sales</vt:lpstr>
      <vt:lpstr>minority</vt:lpstr>
      <vt:lpstr>otherassets_growth</vt:lpstr>
      <vt:lpstr>Sheet1!otherca_sales</vt:lpstr>
      <vt:lpstr>otherliab_growth</vt:lpstr>
      <vt:lpstr>Sheet1!ppe_sales</vt:lpstr>
      <vt:lpstr>sales2001</vt:lpstr>
      <vt:lpstr>sales2002</vt:lpstr>
      <vt:lpstr>sales2003</vt:lpstr>
      <vt:lpstr>sales2004</vt:lpstr>
      <vt:lpstr>sales2005</vt:lpstr>
      <vt:lpstr>Sheet1!sga_sales</vt:lpstr>
      <vt:lpstr>tax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2024-10-16T09:55:40Z</dcterms:modified>
</cp:coreProperties>
</file>