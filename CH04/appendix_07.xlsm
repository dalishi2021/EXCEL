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D88FBD66-8CB1-4DA6-9695-F669E9AA18A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 l="1"/>
  <c r="B41" i="1" s="1"/>
  <c r="B39" i="1"/>
  <c r="B38" i="1"/>
  <c r="B37" i="1"/>
  <c r="B36" i="1"/>
  <c r="B35" i="1"/>
  <c r="B34" i="1"/>
  <c r="B33" i="1"/>
  <c r="E35" i="1"/>
  <c r="G34" i="1"/>
  <c r="E34" i="1"/>
  <c r="G33" i="1"/>
  <c r="E33" i="1"/>
  <c r="E37" i="1" s="1"/>
  <c r="C29" i="1"/>
  <c r="E24" i="1"/>
  <c r="B24" i="1"/>
  <c r="G23" i="1"/>
  <c r="E23" i="1"/>
  <c r="B23" i="1"/>
  <c r="G22" i="1"/>
  <c r="E22" i="1"/>
  <c r="E25" i="1" s="1"/>
  <c r="B22" i="1"/>
  <c r="G17" i="1"/>
  <c r="B17" i="1"/>
  <c r="I16" i="1"/>
  <c r="I17" i="1" s="1"/>
  <c r="D16" i="1"/>
  <c r="G8" i="1"/>
  <c r="G9" i="1" s="1"/>
  <c r="G7" i="1"/>
  <c r="B7" i="1"/>
  <c r="B8" i="1" s="1"/>
  <c r="C41" i="1"/>
  <c r="C40" i="1"/>
  <c r="C39" i="1"/>
  <c r="H36" i="1"/>
  <c r="H35" i="1"/>
  <c r="H23" i="1"/>
  <c r="H24" i="1"/>
  <c r="H25" i="1"/>
  <c r="H22" i="1"/>
  <c r="B26" i="1" l="1"/>
  <c r="B9" i="1"/>
  <c r="G24" i="1"/>
  <c r="B25" i="1"/>
  <c r="G35" i="1"/>
  <c r="G10" i="1"/>
  <c r="D17" i="1"/>
  <c r="G25" i="1" s="1"/>
  <c r="G11" i="1" l="1"/>
  <c r="B27" i="1"/>
  <c r="B10" i="1"/>
  <c r="G36" i="1"/>
  <c r="G37" i="1" s="1"/>
  <c r="B28" i="1" l="1"/>
  <c r="B11" i="1"/>
  <c r="B29" i="1" s="1"/>
</calcChain>
</file>

<file path=xl/sharedStrings.xml><?xml version="1.0" encoding="utf-8"?>
<sst xmlns="http://schemas.openxmlformats.org/spreadsheetml/2006/main" count="83" uniqueCount="25">
  <si>
    <t>MINORITY INTEREST</t>
  </si>
  <si>
    <t>Company A</t>
  </si>
  <si>
    <t>Company B</t>
  </si>
  <si>
    <t>Profit and loss</t>
  </si>
  <si>
    <t>Sales</t>
  </si>
  <si>
    <t>COGS</t>
  </si>
  <si>
    <t>Depreciation</t>
  </si>
  <si>
    <t>Interest</t>
  </si>
  <si>
    <t>PBT</t>
  </si>
  <si>
    <t>Taxes</t>
  </si>
  <si>
    <t>PAT</t>
  </si>
  <si>
    <t>Retained</t>
  </si>
  <si>
    <t>Assets</t>
  </si>
  <si>
    <t>Liabilities</t>
  </si>
  <si>
    <t>Cash</t>
  </si>
  <si>
    <t>CL</t>
  </si>
  <si>
    <t>CA</t>
  </si>
  <si>
    <t>Debt</t>
  </si>
  <si>
    <t>NFA</t>
  </si>
  <si>
    <t>Equity</t>
  </si>
  <si>
    <t>Total assets</t>
  </si>
  <si>
    <t>Total liabilities</t>
  </si>
  <si>
    <t>Consolidation--100% ownership</t>
  </si>
  <si>
    <t>Consolidation--90% ownership</t>
  </si>
  <si>
    <t>Minority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</si>
</sst>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4" fillId="0" borderId="0" xfId="0" applyFont="1" applyAlignment="1"/>
    <xf numFmtId="0" fontId="5" fillId="0" borderId="0" xfId="0" applyFont="1" applyAlignment="1"/>
    <xf numFmtId="0" fontId="0" fillId="0" borderId="0" xfId="0" applyAlignment="1"/>
    <xf numFmtId="0" fontId="6" fillId="0" borderId="0" xfId="0" applyFont="1" applyAlignment="1"/>
    <xf numFmtId="0" fontId="0" fillId="3" borderId="0" xfId="0" applyFill="1" applyAlignment="1"/>
    <xf numFmtId="0" fontId="6" fillId="3" borderId="0" xfId="0" applyFont="1" applyFill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350520</xdr:colOff>
          <xdr:row>5</xdr:row>
          <xdr:rowOff>144780</xdr:rowOff>
        </xdr:from>
        <xdr:to>
          <xdr:col>24</xdr:col>
          <xdr:colOff>342900</xdr:colOff>
          <xdr:row>49</xdr:row>
          <xdr:rowOff>55245</xdr:rowOff>
        </xdr:to>
        <xdr:pic>
          <xdr:nvPicPr>
            <xdr:cNvPr id="2" name="图片 1">
              <a:extLst>
                <a:ext uri="{FF2B5EF4-FFF2-40B4-BE49-F238E27FC236}">
                  <a16:creationId xmlns:a16="http://schemas.microsoft.com/office/drawing/2014/main" id="{63BEFA34-6B2B-3904-1D8C-DE13D8E005B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176'!$A$1:$I$44" spid="_x0000_s10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479280" y="1089660"/>
              <a:ext cx="7307580" cy="76809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appendix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appendix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164-166"/>
      <sheetName val="Page 164-166（中文）"/>
      <sheetName val="Page 167"/>
      <sheetName val="Page 167 (中文)"/>
      <sheetName val="Page 169"/>
      <sheetName val="Page 169 (中文)"/>
      <sheetName val="Page 170-171"/>
      <sheetName val="Page 170-171 (中文)"/>
      <sheetName val="Page 172"/>
      <sheetName val="Page 172 (中文)"/>
      <sheetName val="Pages 173-174"/>
      <sheetName val="Pages 173-174 (中文)"/>
      <sheetName val="Page 175"/>
      <sheetName val="Page 175 (中文)"/>
      <sheetName val="Page 176"/>
      <sheetName val="Page 17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41"/>
  <sheetViews>
    <sheetView tabSelected="1" topLeftCell="A4" zoomScale="145" zoomScaleNormal="145" workbookViewId="0">
      <selection activeCell="L13" sqref="L13"/>
    </sheetView>
  </sheetViews>
  <sheetFormatPr defaultRowHeight="13.8" x14ac:dyDescent="0.25"/>
  <cols>
    <col min="1" max="1" width="15.6640625" style="5" customWidth="1"/>
    <col min="2" max="2" width="8.88671875" style="5"/>
    <col min="3" max="3" width="13.5546875" style="5" customWidth="1"/>
    <col min="4" max="4" width="12.5546875" style="5" customWidth="1"/>
    <col min="5" max="5" width="8.88671875" style="5"/>
    <col min="6" max="6" width="14.6640625" style="5" customWidth="1"/>
    <col min="7" max="7" width="8.88671875" style="5"/>
    <col min="8" max="8" width="14.44140625" style="5" customWidth="1"/>
    <col min="9" max="9" width="8.88671875" style="5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ht="15.6" x14ac:dyDescent="0.3">
      <c r="A2" s="2" t="s">
        <v>1</v>
      </c>
      <c r="B2" s="2"/>
      <c r="C2" s="2"/>
      <c r="D2" s="2"/>
      <c r="E2" s="3"/>
      <c r="F2" s="2" t="s">
        <v>2</v>
      </c>
      <c r="G2" s="2"/>
      <c r="H2" s="2"/>
      <c r="I2" s="2"/>
    </row>
    <row r="3" spans="1:9" x14ac:dyDescent="0.25">
      <c r="A3" s="4" t="s">
        <v>3</v>
      </c>
      <c r="F3" s="4" t="s">
        <v>3</v>
      </c>
    </row>
    <row r="4" spans="1:9" x14ac:dyDescent="0.25">
      <c r="A4" s="6" t="s">
        <v>4</v>
      </c>
      <c r="B4" s="6">
        <v>1000</v>
      </c>
      <c r="F4" s="6" t="s">
        <v>4</v>
      </c>
      <c r="G4" s="6">
        <v>100</v>
      </c>
    </row>
    <row r="5" spans="1:9" x14ac:dyDescent="0.25">
      <c r="A5" s="6" t="s">
        <v>5</v>
      </c>
      <c r="B5" s="6">
        <v>500</v>
      </c>
      <c r="F5" s="6" t="s">
        <v>5</v>
      </c>
      <c r="G5" s="6">
        <v>55</v>
      </c>
    </row>
    <row r="6" spans="1:9" x14ac:dyDescent="0.25">
      <c r="A6" s="6" t="s">
        <v>6</v>
      </c>
      <c r="B6" s="6">
        <v>100</v>
      </c>
      <c r="F6" s="6" t="s">
        <v>6</v>
      </c>
      <c r="G6" s="6">
        <v>8</v>
      </c>
    </row>
    <row r="7" spans="1:9" x14ac:dyDescent="0.25">
      <c r="A7" s="6" t="s">
        <v>7</v>
      </c>
      <c r="B7" s="6">
        <f>10%*D15</f>
        <v>50</v>
      </c>
      <c r="F7" s="6" t="s">
        <v>7</v>
      </c>
      <c r="G7" s="6">
        <f>10%*I15</f>
        <v>2</v>
      </c>
    </row>
    <row r="8" spans="1:9" x14ac:dyDescent="0.25">
      <c r="A8" s="6" t="s">
        <v>8</v>
      </c>
      <c r="B8" s="6">
        <f>B4-SUM(B5:B7)</f>
        <v>350</v>
      </c>
      <c r="F8" s="6" t="s">
        <v>8</v>
      </c>
      <c r="G8" s="6">
        <f>G4-SUM(G5:G7)</f>
        <v>35</v>
      </c>
    </row>
    <row r="9" spans="1:9" x14ac:dyDescent="0.25">
      <c r="A9" s="6" t="s">
        <v>9</v>
      </c>
      <c r="B9" s="6">
        <f>0.4*B8</f>
        <v>140</v>
      </c>
      <c r="F9" s="6" t="s">
        <v>9</v>
      </c>
      <c r="G9" s="6">
        <f>0.4*G8</f>
        <v>14</v>
      </c>
    </row>
    <row r="10" spans="1:9" x14ac:dyDescent="0.25">
      <c r="A10" s="6" t="s">
        <v>10</v>
      </c>
      <c r="B10" s="6">
        <f>B8-B9</f>
        <v>210</v>
      </c>
      <c r="F10" s="6" t="s">
        <v>10</v>
      </c>
      <c r="G10" s="6">
        <f>G8-G9</f>
        <v>21</v>
      </c>
    </row>
    <row r="11" spans="1:9" x14ac:dyDescent="0.25">
      <c r="A11" s="6" t="s">
        <v>11</v>
      </c>
      <c r="B11" s="6">
        <f>B10</f>
        <v>210</v>
      </c>
      <c r="F11" s="6" t="s">
        <v>11</v>
      </c>
      <c r="G11" s="8">
        <f>G10</f>
        <v>21</v>
      </c>
    </row>
    <row r="12" spans="1:9" x14ac:dyDescent="0.25">
      <c r="A12" s="4"/>
      <c r="B12" s="6"/>
      <c r="F12" s="4"/>
    </row>
    <row r="13" spans="1:9" x14ac:dyDescent="0.25">
      <c r="A13" s="4" t="s">
        <v>12</v>
      </c>
      <c r="C13" s="4" t="s">
        <v>13</v>
      </c>
      <c r="F13" s="4" t="s">
        <v>12</v>
      </c>
      <c r="H13" s="4" t="s">
        <v>13</v>
      </c>
    </row>
    <row r="14" spans="1:9" x14ac:dyDescent="0.25">
      <c r="A14" s="5" t="s">
        <v>14</v>
      </c>
      <c r="B14" s="5">
        <v>100</v>
      </c>
      <c r="C14" s="5" t="s">
        <v>15</v>
      </c>
      <c r="D14" s="5">
        <v>300</v>
      </c>
      <c r="F14" s="5" t="s">
        <v>14</v>
      </c>
      <c r="G14" s="5">
        <v>10</v>
      </c>
      <c r="H14" s="5" t="s">
        <v>15</v>
      </c>
      <c r="I14" s="5">
        <v>30</v>
      </c>
    </row>
    <row r="15" spans="1:9" x14ac:dyDescent="0.25">
      <c r="A15" s="5" t="s">
        <v>16</v>
      </c>
      <c r="B15" s="5">
        <v>500</v>
      </c>
      <c r="C15" s="5" t="s">
        <v>17</v>
      </c>
      <c r="D15" s="5">
        <v>500</v>
      </c>
      <c r="F15" s="5" t="s">
        <v>16</v>
      </c>
      <c r="G15" s="5">
        <v>50</v>
      </c>
      <c r="H15" s="5" t="s">
        <v>17</v>
      </c>
      <c r="I15" s="5">
        <v>20</v>
      </c>
    </row>
    <row r="16" spans="1:9" x14ac:dyDescent="0.25">
      <c r="A16" s="5" t="s">
        <v>18</v>
      </c>
      <c r="B16" s="5">
        <v>1000</v>
      </c>
      <c r="C16" s="5" t="s">
        <v>19</v>
      </c>
      <c r="D16" s="5">
        <f>B17-D14-D15</f>
        <v>800</v>
      </c>
      <c r="F16" s="5" t="s">
        <v>18</v>
      </c>
      <c r="G16" s="5">
        <v>100</v>
      </c>
      <c r="H16" s="5" t="s">
        <v>19</v>
      </c>
      <c r="I16" s="7">
        <f>G17-I14-I15</f>
        <v>110</v>
      </c>
    </row>
    <row r="17" spans="1:9" x14ac:dyDescent="0.25">
      <c r="A17" s="4" t="s">
        <v>20</v>
      </c>
      <c r="B17" s="4">
        <f>SUM(B14:B16)</f>
        <v>1600</v>
      </c>
      <c r="C17" s="4" t="s">
        <v>21</v>
      </c>
      <c r="D17" s="4">
        <f>SUM(D14:D16)</f>
        <v>1600</v>
      </c>
      <c r="F17" s="4" t="s">
        <v>20</v>
      </c>
      <c r="G17" s="4">
        <f>SUM(G14:G16)</f>
        <v>160</v>
      </c>
      <c r="H17" s="4" t="s">
        <v>21</v>
      </c>
      <c r="I17" s="4">
        <f>SUM(I14:I16)</f>
        <v>160</v>
      </c>
    </row>
    <row r="20" spans="1:9" ht="15.6" x14ac:dyDescent="0.3">
      <c r="A20" s="2" t="s">
        <v>22</v>
      </c>
      <c r="B20" s="2"/>
      <c r="C20" s="2"/>
      <c r="D20" s="2"/>
      <c r="E20" s="2"/>
      <c r="F20" s="2"/>
      <c r="G20" s="2"/>
      <c r="H20" s="2"/>
    </row>
    <row r="21" spans="1:9" x14ac:dyDescent="0.25">
      <c r="A21" s="4" t="s">
        <v>3</v>
      </c>
      <c r="D21" s="4" t="s">
        <v>12</v>
      </c>
      <c r="F21" s="4" t="s">
        <v>13</v>
      </c>
    </row>
    <row r="22" spans="1:9" x14ac:dyDescent="0.25">
      <c r="A22" s="6" t="s">
        <v>4</v>
      </c>
      <c r="B22" s="6">
        <f t="shared" ref="B22:B29" si="0">B4+G4</f>
        <v>1100</v>
      </c>
      <c r="D22" s="5" t="s">
        <v>14</v>
      </c>
      <c r="E22" s="5">
        <f>B14+G14</f>
        <v>110</v>
      </c>
      <c r="F22" s="5" t="s">
        <v>15</v>
      </c>
      <c r="G22" s="5">
        <f>D14+I14</f>
        <v>330</v>
      </c>
      <c r="H22" s="5" t="str">
        <f ca="1">[2]!getformula(G22)</f>
        <v>&lt;--  =D14+I14</v>
      </c>
    </row>
    <row r="23" spans="1:9" x14ac:dyDescent="0.25">
      <c r="A23" s="6" t="s">
        <v>5</v>
      </c>
      <c r="B23" s="6">
        <f t="shared" si="0"/>
        <v>555</v>
      </c>
      <c r="D23" s="5" t="s">
        <v>16</v>
      </c>
      <c r="E23" s="5">
        <f>B15+G15</f>
        <v>550</v>
      </c>
      <c r="F23" s="5" t="s">
        <v>17</v>
      </c>
      <c r="G23" s="5">
        <f>D15+I15</f>
        <v>520</v>
      </c>
      <c r="H23" s="5" t="str">
        <f ca="1">[2]!getformula(G23)</f>
        <v>&lt;--  =D15+I15</v>
      </c>
    </row>
    <row r="24" spans="1:9" x14ac:dyDescent="0.25">
      <c r="A24" s="6" t="s">
        <v>6</v>
      </c>
      <c r="B24" s="6">
        <f t="shared" si="0"/>
        <v>108</v>
      </c>
      <c r="D24" s="5" t="s">
        <v>18</v>
      </c>
      <c r="E24" s="5">
        <f>B16+G16</f>
        <v>1100</v>
      </c>
      <c r="F24" s="5" t="s">
        <v>19</v>
      </c>
      <c r="G24" s="5">
        <f>D16+I16</f>
        <v>910</v>
      </c>
      <c r="H24" s="5" t="str">
        <f ca="1">[2]!getformula(G24)</f>
        <v>&lt;--  =D16+I16</v>
      </c>
    </row>
    <row r="25" spans="1:9" x14ac:dyDescent="0.25">
      <c r="A25" s="6" t="s">
        <v>7</v>
      </c>
      <c r="B25" s="6">
        <f t="shared" si="0"/>
        <v>52</v>
      </c>
      <c r="D25" s="4" t="s">
        <v>20</v>
      </c>
      <c r="E25" s="4">
        <f>SUM(E22:E24)</f>
        <v>1760</v>
      </c>
      <c r="F25" s="4" t="s">
        <v>21</v>
      </c>
      <c r="G25" s="4">
        <f>D17+I17</f>
        <v>1760</v>
      </c>
      <c r="H25" s="5" t="str">
        <f ca="1">[2]!getformula(G25)</f>
        <v>&lt;--  =D17+I17</v>
      </c>
    </row>
    <row r="26" spans="1:9" x14ac:dyDescent="0.25">
      <c r="A26" s="6" t="s">
        <v>8</v>
      </c>
      <c r="B26" s="6">
        <f t="shared" si="0"/>
        <v>385</v>
      </c>
    </row>
    <row r="27" spans="1:9" x14ac:dyDescent="0.25">
      <c r="A27" s="6" t="s">
        <v>9</v>
      </c>
      <c r="B27" s="6">
        <f t="shared" si="0"/>
        <v>154</v>
      </c>
    </row>
    <row r="28" spans="1:9" x14ac:dyDescent="0.25">
      <c r="A28" s="6" t="s">
        <v>10</v>
      </c>
      <c r="B28" s="6">
        <f t="shared" si="0"/>
        <v>231</v>
      </c>
    </row>
    <row r="29" spans="1:9" x14ac:dyDescent="0.25">
      <c r="A29" s="6" t="s">
        <v>11</v>
      </c>
      <c r="B29" s="6">
        <f t="shared" si="0"/>
        <v>231</v>
      </c>
      <c r="C29" s="5" t="e">
        <f ca="1">getformula(B29)</f>
        <v>#NAME?</v>
      </c>
    </row>
    <row r="30" spans="1:9" x14ac:dyDescent="0.25">
      <c r="A30" s="4"/>
    </row>
    <row r="31" spans="1:9" ht="15.6" x14ac:dyDescent="0.3">
      <c r="A31" s="2" t="s">
        <v>23</v>
      </c>
      <c r="B31" s="2"/>
      <c r="C31" s="2"/>
      <c r="D31" s="2"/>
      <c r="E31" s="2"/>
      <c r="F31" s="2"/>
      <c r="G31" s="2"/>
      <c r="H31" s="2"/>
    </row>
    <row r="32" spans="1:9" x14ac:dyDescent="0.25">
      <c r="A32" s="4" t="s">
        <v>3</v>
      </c>
      <c r="D32" s="4" t="s">
        <v>12</v>
      </c>
      <c r="F32" s="4" t="s">
        <v>13</v>
      </c>
    </row>
    <row r="33" spans="1:8" x14ac:dyDescent="0.25">
      <c r="A33" s="6" t="s">
        <v>4</v>
      </c>
      <c r="B33" s="6">
        <f>B4+G4</f>
        <v>1100</v>
      </c>
      <c r="D33" s="5" t="s">
        <v>14</v>
      </c>
      <c r="E33" s="5">
        <f>B14+G14</f>
        <v>110</v>
      </c>
      <c r="F33" s="5" t="s">
        <v>15</v>
      </c>
      <c r="G33" s="5">
        <f>D14+I14</f>
        <v>330</v>
      </c>
    </row>
    <row r="34" spans="1:8" x14ac:dyDescent="0.25">
      <c r="A34" s="6" t="s">
        <v>5</v>
      </c>
      <c r="B34" s="6">
        <f>B5+G5</f>
        <v>555</v>
      </c>
      <c r="D34" s="5" t="s">
        <v>16</v>
      </c>
      <c r="E34" s="5">
        <f>B15+G15</f>
        <v>550</v>
      </c>
      <c r="F34" s="5" t="s">
        <v>17</v>
      </c>
      <c r="G34" s="5">
        <f>D15+I15</f>
        <v>520</v>
      </c>
    </row>
    <row r="35" spans="1:8" x14ac:dyDescent="0.25">
      <c r="A35" s="6" t="s">
        <v>6</v>
      </c>
      <c r="B35" s="6">
        <f>B6+G6</f>
        <v>108</v>
      </c>
      <c r="D35" s="5" t="s">
        <v>18</v>
      </c>
      <c r="E35" s="5">
        <f>B16+G16</f>
        <v>1100</v>
      </c>
      <c r="F35" s="5" t="s">
        <v>24</v>
      </c>
      <c r="G35" s="7">
        <f>10%*I16</f>
        <v>11</v>
      </c>
      <c r="H35" s="5" t="str">
        <f ca="1">[2]!getformula(G35)</f>
        <v>&lt;--  =10%*I16</v>
      </c>
    </row>
    <row r="36" spans="1:8" x14ac:dyDescent="0.25">
      <c r="A36" s="6" t="s">
        <v>7</v>
      </c>
      <c r="B36" s="6">
        <f>B7+G7</f>
        <v>52</v>
      </c>
      <c r="F36" s="5" t="s">
        <v>19</v>
      </c>
      <c r="G36" s="5">
        <f>D16+I16-G35</f>
        <v>899</v>
      </c>
      <c r="H36" s="5" t="str">
        <f ca="1">[2]!getformula(G36)</f>
        <v>&lt;--  =D16+I16-G35</v>
      </c>
    </row>
    <row r="37" spans="1:8" x14ac:dyDescent="0.25">
      <c r="A37" s="6" t="s">
        <v>8</v>
      </c>
      <c r="B37" s="6">
        <f>B8+G8</f>
        <v>385</v>
      </c>
      <c r="D37" s="4" t="s">
        <v>20</v>
      </c>
      <c r="E37" s="4">
        <f>SUM(E33:E35)</f>
        <v>1760</v>
      </c>
      <c r="F37" s="4" t="s">
        <v>21</v>
      </c>
      <c r="G37" s="4">
        <f>SUM(G33:G36)</f>
        <v>1760</v>
      </c>
    </row>
    <row r="38" spans="1:8" x14ac:dyDescent="0.25">
      <c r="A38" s="6" t="s">
        <v>9</v>
      </c>
      <c r="B38" s="6">
        <f>B9+G9</f>
        <v>154</v>
      </c>
    </row>
    <row r="39" spans="1:8" x14ac:dyDescent="0.25">
      <c r="A39" s="6" t="s">
        <v>10</v>
      </c>
      <c r="B39" s="6">
        <f>B10+G10</f>
        <v>231</v>
      </c>
      <c r="C39" s="5" t="str">
        <f ca="1">[2]!getformula(B39)</f>
        <v>&lt;--  =B10+G10</v>
      </c>
    </row>
    <row r="40" spans="1:8" x14ac:dyDescent="0.25">
      <c r="A40" s="6" t="s">
        <v>24</v>
      </c>
      <c r="B40" s="8">
        <f>G11*0.1</f>
        <v>2.1</v>
      </c>
      <c r="C40" s="5" t="str">
        <f ca="1">[2]!getformula(B40)</f>
        <v>&lt;--  =G11*0.1</v>
      </c>
    </row>
    <row r="41" spans="1:8" x14ac:dyDescent="0.25">
      <c r="A41" s="6" t="s">
        <v>11</v>
      </c>
      <c r="B41" s="6">
        <f>B39-B40</f>
        <v>228.9</v>
      </c>
      <c r="C41" s="5" t="str">
        <f ca="1">[2]!getformula(B41)</f>
        <v>&lt;--  =B39-B40</v>
      </c>
    </row>
  </sheetData>
  <mergeCells count="5">
    <mergeCell ref="A1:I1"/>
    <mergeCell ref="A2:D2"/>
    <mergeCell ref="F2:I2"/>
    <mergeCell ref="A20:H20"/>
    <mergeCell ref="A31:H3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2024-10-18T05:36:53Z</dcterms:modified>
</cp:coreProperties>
</file>