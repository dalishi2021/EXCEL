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4\"/>
    </mc:Choice>
  </mc:AlternateContent>
  <xr:revisionPtr revIDLastSave="0" documentId="13_ncr:1_{63C03F3A-9B22-499B-A848-2B5908F5C01C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1" l="1"/>
  <c r="B3" i="1"/>
  <c r="B5" i="1" s="1"/>
  <c r="B2" i="1"/>
  <c r="C7" i="1"/>
  <c r="C5" i="1"/>
  <c r="C4" i="1"/>
  <c r="C3" i="1"/>
  <c r="B7" i="1" l="1"/>
</calcChain>
</file>

<file path=xl/sharedStrings.xml><?xml version="1.0" encoding="utf-8"?>
<sst xmlns="http://schemas.openxmlformats.org/spreadsheetml/2006/main" count="6" uniqueCount="6">
  <si>
    <r>
      <t>COMPUTING PPG's COST OF DEBT, r</t>
    </r>
    <r>
      <rPr>
        <b/>
        <vertAlign val="subscript"/>
        <sz val="14"/>
        <rFont val="Arial"/>
        <family val="2"/>
      </rPr>
      <t>D</t>
    </r>
  </si>
  <si>
    <t>Year 2000 interest expense
from PPG's income statement</t>
  </si>
  <si>
    <t>Year 2000 debt,
   from PPG's balance sheet</t>
  </si>
  <si>
    <t>Year 1999 debt,
   from PPG's balance sheet</t>
  </si>
  <si>
    <t>Average debt</t>
  </si>
  <si>
    <r>
      <t>Cost of debt, r</t>
    </r>
    <r>
      <rPr>
        <vertAlign val="subscript"/>
        <sz val="10"/>
        <rFont val="Arial"/>
        <family val="2"/>
      </rPr>
      <t>D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</si>
</sst>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vertAlign val="subscript"/>
      <sz val="14"/>
      <name val="Arial"/>
      <family val="2"/>
    </font>
    <font>
      <vertAlign val="subscript"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0" fillId="0" borderId="0" xfId="0" applyAlignment="1">
      <alignment wrapText="1"/>
    </xf>
    <xf numFmtId="3" fontId="0" fillId="0" borderId="0" xfId="0" applyNumberFormat="1" applyAlignment="1"/>
    <xf numFmtId="0" fontId="0" fillId="0" borderId="0" xfId="0" applyAlignment="1"/>
    <xf numFmtId="0" fontId="0" fillId="2" borderId="0" xfId="0" applyFill="1" applyAlignment="1">
      <alignment wrapText="1"/>
    </xf>
    <xf numFmtId="10" fontId="0" fillId="2" borderId="0" xfId="1" applyNumberFormat="1" applyFont="1" applyFill="1" applyAlignment="1"/>
    <xf numFmtId="0" fontId="3" fillId="0" borderId="0" xfId="0" applyFont="1" applyAlignment="1">
      <alignment horizontal="center" vertical="center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04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04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ode mode mode "/>
      <sheetName val="Page 137, 140, 141"/>
      <sheetName val="Page 137, 140, 141 (中文)"/>
      <sheetName val="Page 138, top and page 139"/>
      <sheetName val="Page 138, top and page 139 (中文)"/>
      <sheetName val="Page 138, bottom"/>
      <sheetName val="Page 138, bottom (中文)"/>
      <sheetName val="Page 142"/>
      <sheetName val="Page 142 (中文)"/>
      <sheetName val="Page 144-146"/>
      <sheetName val="Page 144-146 (中文)"/>
      <sheetName val="page 147-150 and page 162"/>
      <sheetName val="page 147-150 and page 162（中文）"/>
      <sheetName val="Page 152"/>
      <sheetName val="Page 152 (中文)"/>
      <sheetName val="Page 155"/>
      <sheetName val="Page 155 (中文)"/>
      <sheetName val="Page 156"/>
      <sheetName val="Page 156 (中文)"/>
      <sheetName val="Page 158"/>
      <sheetName val="Page 158 (中文)"/>
      <sheetName val="Page 159, top"/>
      <sheetName val="Page 159, top (中文)"/>
      <sheetName val="Page 159, bottom"/>
      <sheetName val="Page 159, bottom (中文)"/>
      <sheetName val="Page 161"/>
      <sheetName val="Page 161 (中文)"/>
      <sheetName val="Acc Retained note"/>
      <sheetName val="Cash flow 91-00"/>
    </sheetNames>
    <sheetDataSet>
      <sheetData sheetId="0"/>
      <sheetData sheetId="1">
        <row r="3">
          <cell r="B3">
            <v>111</v>
          </cell>
        </row>
        <row r="23">
          <cell r="B23">
            <v>2971</v>
          </cell>
          <cell r="C23">
            <v>2790</v>
          </cell>
        </row>
      </sheetData>
      <sheetData sheetId="2"/>
      <sheetData sheetId="3">
        <row r="8">
          <cell r="B8">
            <v>193</v>
          </cell>
        </row>
      </sheetData>
      <sheetData sheetId="4"/>
      <sheetData sheetId="5"/>
      <sheetData sheetId="6"/>
      <sheetData sheetId="7" refreshError="1"/>
      <sheetData sheetId="8" refreshError="1"/>
      <sheetData sheetId="9"/>
      <sheetData sheetId="10"/>
      <sheetData sheetId="11"/>
      <sheetData sheetId="12"/>
      <sheetData sheetId="13">
        <row r="3">
          <cell r="A3">
            <v>1992</v>
          </cell>
        </row>
      </sheetData>
      <sheetData sheetId="14"/>
      <sheetData sheetId="15">
        <row r="2">
          <cell r="A2" t="str">
            <v>Year</v>
          </cell>
        </row>
      </sheetData>
      <sheetData sheetId="16"/>
      <sheetData sheetId="17">
        <row r="20">
          <cell r="B20">
            <v>0.13341864582616836</v>
          </cell>
        </row>
      </sheetData>
      <sheetData sheetId="18"/>
      <sheetData sheetId="19">
        <row r="2">
          <cell r="B2">
            <v>0.86717863603105427</v>
          </cell>
        </row>
      </sheetData>
      <sheetData sheetId="20"/>
      <sheetData sheetId="21">
        <row r="5">
          <cell r="B5">
            <v>7.6562500000000006E-2</v>
          </cell>
        </row>
      </sheetData>
      <sheetData sheetId="22"/>
      <sheetData sheetId="23">
        <row r="7">
          <cell r="B7">
            <v>6.7002256552681827E-2</v>
          </cell>
        </row>
      </sheetData>
      <sheetData sheetId="24"/>
      <sheetData sheetId="25"/>
      <sheetData sheetId="26"/>
      <sheetData sheetId="27"/>
      <sheetData sheetId="2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C7"/>
  <sheetViews>
    <sheetView tabSelected="1" workbookViewId="0">
      <selection activeCell="O26" sqref="O26"/>
    </sheetView>
  </sheetViews>
  <sheetFormatPr defaultRowHeight="13.8" x14ac:dyDescent="0.25"/>
  <cols>
    <col min="1" max="1" width="26.88671875" style="3" customWidth="1"/>
    <col min="2" max="2" width="8.88671875" style="3"/>
    <col min="3" max="3" width="32" style="3" bestFit="1" customWidth="1"/>
  </cols>
  <sheetData>
    <row r="1" spans="1:3" ht="21" x14ac:dyDescent="0.25">
      <c r="A1" s="6" t="s">
        <v>0</v>
      </c>
      <c r="B1" s="6"/>
      <c r="C1" s="6"/>
    </row>
    <row r="2" spans="1:3" ht="27.6" x14ac:dyDescent="0.25">
      <c r="A2" s="1" t="s">
        <v>1</v>
      </c>
      <c r="B2" s="2">
        <f>'[1]Page 138, top and page 139'!B8</f>
        <v>193</v>
      </c>
    </row>
    <row r="3" spans="1:3" ht="27.6" x14ac:dyDescent="0.25">
      <c r="A3" s="1" t="s">
        <v>2</v>
      </c>
      <c r="B3" s="2">
        <f>'[1]Page 137, 140, 141'!B23</f>
        <v>2971</v>
      </c>
      <c r="C3" s="3" t="str">
        <f ca="1">[2]!getformula(B3)</f>
        <v>&lt;--  ='D:\lizhengdong\交易框架\5_工具箱\_书库\编程\Excel\财务金融建模第三版（用ECCEL工具）\Chapter files\[fm3_chapter04.xls]Page 137, 140, 141'!B23</v>
      </c>
    </row>
    <row r="4" spans="1:3" ht="27.6" x14ac:dyDescent="0.25">
      <c r="A4" s="1" t="s">
        <v>3</v>
      </c>
      <c r="B4" s="2">
        <f>'[1]Page 137, 140, 141'!C23</f>
        <v>2790</v>
      </c>
      <c r="C4" s="3" t="str">
        <f ca="1">[2]!getformula(B4)</f>
        <v>&lt;--  ='D:\lizhengdong\交易框架\5_工具箱\_书库\编程\Excel\财务金融建模第三版（用ECCEL工具）\Chapter files\[fm3_chapter04.xls]Page 137, 140, 141'!C23</v>
      </c>
    </row>
    <row r="5" spans="1:3" x14ac:dyDescent="0.25">
      <c r="A5" s="1" t="s">
        <v>4</v>
      </c>
      <c r="B5" s="2">
        <f>AVERAGE(B3:B4)</f>
        <v>2880.5</v>
      </c>
      <c r="C5" s="3" t="str">
        <f ca="1">[2]!getformula(B5)</f>
        <v>&lt;--  =AVERAGE(B3:B4)</v>
      </c>
    </row>
    <row r="7" spans="1:3" ht="15.6" x14ac:dyDescent="0.35">
      <c r="A7" s="4" t="s">
        <v>5</v>
      </c>
      <c r="B7" s="5">
        <f>B2/B5</f>
        <v>6.7002256552681827E-2</v>
      </c>
      <c r="C7" s="3" t="str">
        <f ca="1">[2]!getformula(B7)</f>
        <v>&lt;--  =B2/B5</v>
      </c>
    </row>
  </sheetData>
  <mergeCells count="1">
    <mergeCell ref="A1:C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2024-10-16T08:30:05Z</dcterms:modified>
</cp:coreProperties>
</file>