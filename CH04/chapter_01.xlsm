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032DC86E-A2C4-4138-8BDE-B8BF75339F0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_FilterDatabase" localSheetId="0" hidden="1">Sheet1!$M$1:$M$106</definedName>
    <definedName name="_xlnm.Print_Titles" localSheetId="0">Sheet1!$1:$1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1" l="1"/>
  <c r="D36" i="1"/>
  <c r="E36" i="1"/>
  <c r="F36" i="1"/>
  <c r="G36" i="1"/>
  <c r="H36" i="1"/>
  <c r="I36" i="1"/>
  <c r="J36" i="1"/>
  <c r="B36" i="1"/>
  <c r="B35" i="1"/>
  <c r="C35" i="1"/>
  <c r="D35" i="1"/>
  <c r="E35" i="1"/>
  <c r="F35" i="1"/>
  <c r="G35" i="1"/>
  <c r="H35" i="1"/>
  <c r="I35" i="1"/>
  <c r="J35" i="1"/>
  <c r="E27" i="1"/>
  <c r="F27" i="1"/>
  <c r="G27" i="1"/>
  <c r="H27" i="1"/>
  <c r="I27" i="1"/>
  <c r="J27" i="1"/>
  <c r="B28" i="1"/>
  <c r="C28" i="1"/>
  <c r="D28" i="1"/>
  <c r="E28" i="1"/>
  <c r="F28" i="1"/>
  <c r="G28" i="1"/>
  <c r="H28" i="1"/>
  <c r="D27" i="1" s="1"/>
  <c r="I28" i="1"/>
  <c r="C27" i="1" s="1"/>
  <c r="J28" i="1"/>
  <c r="B27" i="1" s="1"/>
  <c r="M27" i="1"/>
  <c r="B100" i="1" l="1"/>
  <c r="C100" i="1"/>
  <c r="D100" i="1"/>
  <c r="E100" i="1"/>
  <c r="F100" i="1"/>
  <c r="G100" i="1"/>
  <c r="H100" i="1"/>
  <c r="I100" i="1"/>
  <c r="J100" i="1"/>
  <c r="B65" i="1"/>
  <c r="C65" i="1"/>
  <c r="D65" i="1"/>
  <c r="E65" i="1"/>
  <c r="F65" i="1"/>
  <c r="G65" i="1"/>
  <c r="H65" i="1"/>
  <c r="I65" i="1"/>
  <c r="J65" i="1"/>
  <c r="K65" i="1"/>
  <c r="B58" i="1"/>
  <c r="C58" i="1"/>
  <c r="D58" i="1"/>
  <c r="E58" i="1"/>
  <c r="F58" i="1"/>
  <c r="G58" i="1"/>
  <c r="H58" i="1"/>
  <c r="I58" i="1"/>
  <c r="J58" i="1"/>
  <c r="K58" i="1"/>
  <c r="B57" i="1"/>
  <c r="C57" i="1"/>
  <c r="D57" i="1"/>
  <c r="E57" i="1"/>
  <c r="F57" i="1"/>
  <c r="G57" i="1"/>
  <c r="H57" i="1"/>
  <c r="I57" i="1"/>
  <c r="J57" i="1"/>
  <c r="K57" i="1"/>
  <c r="B56" i="1"/>
  <c r="C56" i="1"/>
  <c r="D56" i="1"/>
  <c r="E56" i="1"/>
  <c r="F56" i="1"/>
  <c r="G56" i="1"/>
  <c r="H56" i="1"/>
  <c r="I56" i="1"/>
  <c r="J56" i="1"/>
  <c r="K56" i="1"/>
  <c r="B52" i="1"/>
  <c r="C52" i="1"/>
  <c r="D52" i="1"/>
  <c r="E52" i="1"/>
  <c r="F52" i="1"/>
  <c r="G52" i="1"/>
  <c r="H52" i="1"/>
  <c r="I52" i="1"/>
  <c r="J52" i="1"/>
  <c r="K52" i="1"/>
  <c r="B49" i="1"/>
  <c r="C49" i="1"/>
  <c r="D49" i="1"/>
  <c r="E49" i="1"/>
  <c r="F49" i="1"/>
  <c r="G49" i="1"/>
  <c r="H49" i="1"/>
  <c r="I49" i="1"/>
  <c r="J49" i="1"/>
  <c r="K49" i="1"/>
  <c r="B48" i="1"/>
  <c r="C48" i="1"/>
  <c r="D48" i="1"/>
  <c r="E48" i="1"/>
  <c r="F48" i="1"/>
  <c r="G48" i="1"/>
  <c r="H48" i="1"/>
  <c r="I48" i="1"/>
  <c r="J48" i="1"/>
  <c r="K48" i="1"/>
  <c r="B45" i="1"/>
  <c r="C45" i="1"/>
  <c r="D45" i="1"/>
  <c r="E45" i="1"/>
  <c r="F45" i="1"/>
  <c r="G45" i="1"/>
  <c r="H45" i="1"/>
  <c r="I45" i="1"/>
  <c r="J45" i="1"/>
  <c r="K45" i="1"/>
  <c r="C44" i="1"/>
  <c r="D44" i="1"/>
  <c r="E44" i="1"/>
  <c r="F44" i="1"/>
  <c r="G44" i="1"/>
  <c r="H44" i="1"/>
  <c r="I44" i="1"/>
  <c r="J44" i="1"/>
  <c r="K44" i="1"/>
  <c r="B44" i="1"/>
  <c r="C43" i="1"/>
  <c r="D43" i="1"/>
  <c r="E43" i="1"/>
  <c r="F43" i="1"/>
  <c r="G43" i="1"/>
  <c r="H43" i="1"/>
  <c r="I43" i="1"/>
  <c r="J43" i="1"/>
  <c r="K43" i="1"/>
  <c r="B43" i="1"/>
  <c r="J102" i="1"/>
  <c r="I102" i="1"/>
  <c r="H102" i="1"/>
  <c r="G102" i="1"/>
  <c r="F102" i="1"/>
  <c r="E102" i="1"/>
  <c r="D102" i="1"/>
  <c r="C102" i="1"/>
  <c r="B102" i="1"/>
  <c r="J101" i="1"/>
  <c r="I101" i="1"/>
  <c r="H101" i="1"/>
  <c r="G101" i="1"/>
  <c r="F101" i="1"/>
  <c r="E101" i="1"/>
  <c r="D101" i="1"/>
  <c r="C101" i="1"/>
  <c r="B101" i="1"/>
  <c r="B94" i="1"/>
  <c r="B93" i="1"/>
  <c r="B89" i="1"/>
  <c r="B85" i="1"/>
  <c r="B66" i="1"/>
  <c r="B90" i="1" s="1"/>
  <c r="B53" i="1"/>
  <c r="B80" i="1" s="1"/>
  <c r="K33" i="1"/>
  <c r="K34" i="1" s="1"/>
  <c r="K63" i="1" s="1"/>
  <c r="J33" i="1"/>
  <c r="J34" i="1" s="1"/>
  <c r="J63" i="1" s="1"/>
  <c r="I33" i="1"/>
  <c r="I62" i="1" s="1"/>
  <c r="H33" i="1"/>
  <c r="H62" i="1" s="1"/>
  <c r="G33" i="1"/>
  <c r="G62" i="1" s="1"/>
  <c r="F33" i="1"/>
  <c r="F62" i="1" s="1"/>
  <c r="E33" i="1"/>
  <c r="E62" i="1" s="1"/>
  <c r="D33" i="1"/>
  <c r="D62" i="1" s="1"/>
  <c r="C33" i="1"/>
  <c r="C62" i="1" s="1"/>
  <c r="B33" i="1"/>
  <c r="B62" i="1" s="1"/>
  <c r="K11" i="1"/>
  <c r="K50" i="1" s="1"/>
  <c r="J11" i="1"/>
  <c r="J50" i="1" s="1"/>
  <c r="I11" i="1"/>
  <c r="I50" i="1" s="1"/>
  <c r="H11" i="1"/>
  <c r="H50" i="1" s="1"/>
  <c r="G11" i="1"/>
  <c r="G50" i="1" s="1"/>
  <c r="F11" i="1"/>
  <c r="F50" i="1" s="1"/>
  <c r="E11" i="1"/>
  <c r="E50" i="1" s="1"/>
  <c r="D11" i="1"/>
  <c r="C11" i="1"/>
  <c r="B11" i="1"/>
  <c r="B50" i="1" s="1"/>
  <c r="B78" i="1" s="1"/>
  <c r="K7" i="1"/>
  <c r="K46" i="1" s="1"/>
  <c r="J7" i="1"/>
  <c r="I7" i="1"/>
  <c r="H7" i="1"/>
  <c r="G7" i="1"/>
  <c r="G46" i="1" s="1"/>
  <c r="F7" i="1"/>
  <c r="F46" i="1" s="1"/>
  <c r="E7" i="1"/>
  <c r="E46" i="1" s="1"/>
  <c r="D7" i="1"/>
  <c r="D46" i="1" s="1"/>
  <c r="C7" i="1"/>
  <c r="C46" i="1" s="1"/>
  <c r="B7" i="1"/>
  <c r="B46" i="1" s="1"/>
  <c r="M50" i="1"/>
  <c r="K103" i="1"/>
  <c r="M34" i="1"/>
  <c r="M49" i="1"/>
  <c r="C83" i="1"/>
  <c r="M48" i="1"/>
  <c r="M43" i="1"/>
  <c r="M33" i="1"/>
  <c r="C84" i="1"/>
  <c r="M7" i="1"/>
  <c r="M65" i="1"/>
  <c r="C66" i="1"/>
  <c r="C53" i="1"/>
  <c r="K102" i="1"/>
  <c r="K100" i="1"/>
  <c r="M62" i="1"/>
  <c r="K101" i="1"/>
  <c r="M45" i="1"/>
  <c r="M46" i="1"/>
  <c r="C80" i="1"/>
  <c r="C71" i="1"/>
  <c r="M59" i="1"/>
  <c r="M56" i="1"/>
  <c r="M44" i="1"/>
  <c r="C78" i="1"/>
  <c r="C74" i="1"/>
  <c r="M63" i="1"/>
  <c r="C72" i="1"/>
  <c r="C73" i="1"/>
  <c r="M57" i="1"/>
  <c r="C90" i="1"/>
  <c r="M58" i="1"/>
  <c r="M11" i="1"/>
  <c r="M52" i="1"/>
  <c r="B59" i="1" l="1"/>
  <c r="H59" i="1"/>
  <c r="D103" i="1"/>
  <c r="D59" i="1"/>
  <c r="E103" i="1"/>
  <c r="C59" i="1"/>
  <c r="G103" i="1"/>
  <c r="G59" i="1"/>
  <c r="F59" i="1"/>
  <c r="I103" i="1"/>
  <c r="I59" i="1"/>
  <c r="C15" i="1"/>
  <c r="B103" i="1"/>
  <c r="J103" i="1"/>
  <c r="B73" i="1"/>
  <c r="C50" i="1"/>
  <c r="B15" i="1"/>
  <c r="C103" i="1"/>
  <c r="D15" i="1"/>
  <c r="F103" i="1"/>
  <c r="H103" i="1"/>
  <c r="D50" i="1"/>
  <c r="F15" i="1"/>
  <c r="G15" i="1"/>
  <c r="H15" i="1"/>
  <c r="I15" i="1"/>
  <c r="J15" i="1"/>
  <c r="J46" i="1"/>
  <c r="I46" i="1"/>
  <c r="H46" i="1"/>
  <c r="E59" i="1"/>
  <c r="B72" i="1"/>
  <c r="J59" i="1"/>
  <c r="K59" i="1"/>
  <c r="B84" i="1"/>
  <c r="B71" i="1"/>
  <c r="J62" i="1"/>
  <c r="K62" i="1"/>
  <c r="E15" i="1"/>
  <c r="B34" i="1"/>
  <c r="B63" i="1" s="1"/>
  <c r="B83" i="1"/>
  <c r="C34" i="1"/>
  <c r="C63" i="1" s="1"/>
  <c r="D34" i="1"/>
  <c r="D63" i="1" s="1"/>
  <c r="E34" i="1"/>
  <c r="E63" i="1" s="1"/>
  <c r="F34" i="1"/>
  <c r="F63" i="1" s="1"/>
  <c r="G34" i="1"/>
  <c r="G63" i="1" s="1"/>
  <c r="H34" i="1"/>
  <c r="H63" i="1" s="1"/>
  <c r="I34" i="1"/>
  <c r="I63" i="1" s="1"/>
  <c r="B74" i="1" l="1"/>
</calcChain>
</file>

<file path=xl/sharedStrings.xml><?xml version="1.0" encoding="utf-8"?>
<sst xmlns="http://schemas.openxmlformats.org/spreadsheetml/2006/main" count="89" uniqueCount="70">
  <si>
    <t>PPG CORP. BALANCE SHEETS, 1991-2000 (Million $)</t>
    <phoneticPr fontId="4" type="noConversion"/>
  </si>
  <si>
    <t>ASSETS</t>
  </si>
  <si>
    <t>Cash and Short-Term Investments</t>
  </si>
  <si>
    <t>Inventories - Total</t>
  </si>
  <si>
    <t>Other Current Assets</t>
  </si>
  <si>
    <t>Total Current Assets</t>
  </si>
  <si>
    <t>Property, Plant, and Equipment, Gross</t>
  </si>
  <si>
    <t>Property, Plant, and Equipment, Net</t>
  </si>
  <si>
    <t>Other Assets</t>
  </si>
  <si>
    <t>TOTAL ASSETS</t>
  </si>
  <si>
    <t>LIABILITIES</t>
  </si>
  <si>
    <t>Other Current Liabilities</t>
  </si>
  <si>
    <t>Debt</t>
  </si>
  <si>
    <t>Minority Interest</t>
  </si>
  <si>
    <t>Other Liabilities</t>
  </si>
  <si>
    <t>EQUITY</t>
  </si>
  <si>
    <t>Common Stock</t>
  </si>
  <si>
    <t>Capital Surplus</t>
  </si>
  <si>
    <t>Retained Earnings</t>
  </si>
  <si>
    <t>Less: Treasury Stock - Total Dollar Amount</t>
    <phoneticPr fontId="4" type="noConversion"/>
  </si>
  <si>
    <t>Total stockholders equity</t>
  </si>
  <si>
    <t>TOTAL LIABILITIES AND EQUITY</t>
  </si>
  <si>
    <t>COMMON SHARES OUTSTANDING 
(million)</t>
    <phoneticPr fontId="4" type="noConversion"/>
  </si>
  <si>
    <t>Balance sheet--historical ratios</t>
  </si>
  <si>
    <t>Cash and Short-Term Investments</t>
    <phoneticPr fontId="4" type="noConversion"/>
  </si>
  <si>
    <t>Receivables/Sales</t>
  </si>
  <si>
    <t>Inventories/Sales</t>
  </si>
  <si>
    <t>Other Current Assets/Sales</t>
  </si>
  <si>
    <t>Operating CA/Sales</t>
    <phoneticPr fontId="4" type="noConversion"/>
  </si>
  <si>
    <t>Property, Plant, Equipment, Gross/Sales</t>
  </si>
  <si>
    <t>Annual depreciation/PPE</t>
  </si>
  <si>
    <t>Property, Plant, Equipment, Net/Sales</t>
  </si>
  <si>
    <t>Other Assets/Sales</t>
  </si>
  <si>
    <t>Other Assets, growth rate since 1991</t>
  </si>
  <si>
    <t>Accounts Payable/Sales</t>
  </si>
  <si>
    <t>Accrued Expense/Sales</t>
  </si>
  <si>
    <t>Other Current Liabilities/Sales</t>
  </si>
  <si>
    <t>Operating CL/Sales</t>
  </si>
  <si>
    <t xml:space="preserve">    Debt/equity</t>
  </si>
  <si>
    <t xml:space="preserve">    Debt/assets</t>
  </si>
  <si>
    <t>Other Liabilities/Sales</t>
  </si>
  <si>
    <t>Other Liabilities, growth rate since 1991</t>
  </si>
  <si>
    <t>Balance sheet--model parameters</t>
  </si>
  <si>
    <t>constant</t>
  </si>
  <si>
    <t>Operating CA/Sales</t>
  </si>
  <si>
    <t>Property, Plant, Equipment, Gross</t>
  </si>
  <si>
    <t>=accrued depreciation + net plant, property, equipment</t>
  </si>
  <si>
    <t>Accrued depreciation</t>
  </si>
  <si>
    <t>=previous year's accrued + this year's depreciation from income</t>
  </si>
  <si>
    <t>Other Assets, annual growth rate</t>
  </si>
  <si>
    <t>&lt;-- constant at current level</t>
  </si>
  <si>
    <t>Debt/Assets</t>
  </si>
  <si>
    <t>Deferred taxes</t>
  </si>
  <si>
    <t>grows at sales growth</t>
  </si>
  <si>
    <t>Other Liabilities, annual growth rate</t>
  </si>
  <si>
    <t>=previous year's retained + this year's retentions from income statement</t>
  </si>
  <si>
    <t>Treasury Stock - Total Dollar Amount</t>
  </si>
  <si>
    <t>Payout to equity</t>
  </si>
  <si>
    <t>Cash dividends</t>
  </si>
  <si>
    <t>Minus increase in common stock
    and capital surplus</t>
    <phoneticPr fontId="4" type="noConversion"/>
  </si>
  <si>
    <t>Plus increase in treasury stock
    at cost</t>
  </si>
  <si>
    <t>Total paid out to equity</t>
  </si>
  <si>
    <t>Receivables</t>
    <phoneticPr fontId="1" type="noConversion"/>
  </si>
  <si>
    <t>Depreciation, Depletion, and Amortization (Accumulated)</t>
    <phoneticPr fontId="1" type="noConversion"/>
  </si>
  <si>
    <t>Intangibles</t>
    <phoneticPr fontId="1" type="noConversion"/>
  </si>
  <si>
    <t>Accounts Payable</t>
    <phoneticPr fontId="1" type="noConversion"/>
  </si>
  <si>
    <t>Accrued Expense</t>
    <phoneticPr fontId="1" type="noConversion"/>
  </si>
  <si>
    <t>Deferred Taxes</t>
    <phoneticPr fontId="1" type="noConversion"/>
  </si>
  <si>
    <t>&lt;-- approximately current level</t>
    <phoneticPr fontId="1" type="noConversion"/>
  </si>
  <si>
    <t>PLUG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</si>
</sst>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7.5"/>
      <name val="Arial Unicode MS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 Unicode MS"/>
      <family val="2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  <xf numFmtId="3" fontId="4" fillId="0" borderId="0" xfId="0" applyNumberFormat="1" applyFont="1" applyAlignment="1"/>
    <xf numFmtId="0" fontId="4" fillId="0" borderId="0" xfId="0" applyFont="1" applyAlignment="1">
      <alignment horizontal="left" wrapText="1"/>
    </xf>
    <xf numFmtId="0" fontId="4" fillId="0" borderId="0" xfId="0" applyFont="1" applyAlignment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4" fontId="6" fillId="0" borderId="0" xfId="0" applyNumberFormat="1" applyFont="1" applyAlignment="1">
      <alignment horizontal="right" wrapText="1"/>
    </xf>
    <xf numFmtId="0" fontId="6" fillId="0" borderId="0" xfId="0" applyFont="1" applyAlignment="1">
      <alignment horizontal="right" wrapText="1"/>
    </xf>
    <xf numFmtId="0" fontId="5" fillId="0" borderId="0" xfId="0" applyFont="1" applyAlignment="1">
      <alignment horizontal="center" wrapText="1"/>
    </xf>
    <xf numFmtId="10" fontId="0" fillId="0" borderId="0" xfId="1" applyNumberFormat="1" applyFont="1" applyAlignment="1">
      <alignment wrapText="1"/>
    </xf>
    <xf numFmtId="10" fontId="6" fillId="0" borderId="0" xfId="1" applyNumberFormat="1" applyFont="1" applyAlignment="1">
      <alignment horizontal="right" wrapText="1"/>
    </xf>
    <xf numFmtId="10" fontId="6" fillId="0" borderId="0" xfId="1" applyNumberFormat="1" applyFont="1" applyAlignment="1">
      <alignment wrapText="1"/>
    </xf>
    <xf numFmtId="10" fontId="4" fillId="0" borderId="0" xfId="1" applyNumberFormat="1" applyFont="1" applyBorder="1" applyAlignment="1"/>
    <xf numFmtId="10" fontId="4" fillId="0" borderId="0" xfId="0" applyNumberFormat="1" applyFont="1" applyAlignment="1"/>
    <xf numFmtId="10" fontId="4" fillId="0" borderId="0" xfId="1" applyNumberFormat="1" applyFont="1" applyAlignment="1"/>
    <xf numFmtId="0" fontId="4" fillId="0" borderId="0" xfId="0" quotePrefix="1" applyFont="1" applyAlignment="1"/>
    <xf numFmtId="9" fontId="4" fillId="0" borderId="0" xfId="0" applyNumberFormat="1" applyFont="1" applyAlignment="1"/>
    <xf numFmtId="0" fontId="4" fillId="2" borderId="0" xfId="0" applyFont="1" applyFill="1" applyAlignment="1">
      <alignment wrapText="1"/>
    </xf>
    <xf numFmtId="0" fontId="7" fillId="0" borderId="0" xfId="0" applyFont="1" applyAlignment="1">
      <alignment wrapText="1"/>
    </xf>
    <xf numFmtId="10" fontId="8" fillId="0" borderId="0" xfId="1" applyNumberFormat="1" applyFont="1" applyAlignment="1"/>
    <xf numFmtId="0" fontId="8" fillId="0" borderId="0" xfId="0" applyFont="1" applyAlignment="1"/>
    <xf numFmtId="10" fontId="4" fillId="2" borderId="0" xfId="0" applyNumberFormat="1" applyFont="1" applyFill="1" applyAlignment="1"/>
    <xf numFmtId="0" fontId="4" fillId="2" borderId="0" xfId="0" applyFont="1" applyFill="1" applyAlignment="1"/>
    <xf numFmtId="3" fontId="7" fillId="0" borderId="0" xfId="0" applyNumberFormat="1" applyFont="1" applyAlignment="1"/>
    <xf numFmtId="0" fontId="9" fillId="3" borderId="0" xfId="0" applyFont="1" applyFill="1" applyAlignment="1"/>
    <xf numFmtId="0" fontId="10" fillId="3" borderId="0" xfId="0" applyFont="1" applyFill="1" applyAlignment="1"/>
    <xf numFmtId="0" fontId="7" fillId="0" borderId="0" xfId="0" applyFont="1" applyAlignment="1"/>
    <xf numFmtId="4" fontId="4" fillId="4" borderId="0" xfId="0" applyNumberFormat="1" applyFont="1" applyFill="1" applyAlignment="1"/>
    <xf numFmtId="3" fontId="4" fillId="0" borderId="0" xfId="0" applyNumberFormat="1" applyFont="1" applyAlignment="1">
      <alignment horizontal="right" wrapText="1"/>
    </xf>
    <xf numFmtId="0" fontId="5" fillId="0" borderId="0" xfId="0" applyFont="1" applyAlignment="1">
      <alignment horizontal="center"/>
    </xf>
    <xf numFmtId="3" fontId="8" fillId="0" borderId="0" xfId="0" applyNumberFormat="1" applyFont="1" applyAlignment="1">
      <alignment horizontal="right" wrapText="1"/>
    </xf>
    <xf numFmtId="0" fontId="4" fillId="5" borderId="0" xfId="0" applyFont="1" applyFill="1" applyAlignment="1">
      <alignment wrapText="1"/>
    </xf>
    <xf numFmtId="4" fontId="4" fillId="6" borderId="0" xfId="0" applyNumberFormat="1" applyFont="1" applyFill="1" applyAlignment="1">
      <alignment horizontal="right" wrapText="1"/>
    </xf>
    <xf numFmtId="3" fontId="4" fillId="6" borderId="0" xfId="0" applyNumberFormat="1" applyFont="1" applyFill="1" applyAlignment="1">
      <alignment horizontal="right" wrapText="1"/>
    </xf>
    <xf numFmtId="0" fontId="3" fillId="0" borderId="0" xfId="0" applyFont="1" applyAlignment="1">
      <alignment horizont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PPG:  Net Plant, Property and Equipment to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Sheet1!$B$2:$K$2</c:f>
              <c:numCache>
                <c:formatCode>General</c:formatCode>
                <c:ptCount val="10"/>
                <c:pt idx="0">
                  <c:v>2000</c:v>
                </c:pt>
                <c:pt idx="1">
                  <c:v>1999</c:v>
                </c:pt>
                <c:pt idx="2">
                  <c:v>1998</c:v>
                </c:pt>
                <c:pt idx="3">
                  <c:v>1997</c:v>
                </c:pt>
                <c:pt idx="4">
                  <c:v>1996</c:v>
                </c:pt>
                <c:pt idx="5">
                  <c:v>1995</c:v>
                </c:pt>
                <c:pt idx="6">
                  <c:v>1994</c:v>
                </c:pt>
                <c:pt idx="7">
                  <c:v>1993</c:v>
                </c:pt>
                <c:pt idx="8">
                  <c:v>1992</c:v>
                </c:pt>
                <c:pt idx="9">
                  <c:v>1991</c:v>
                </c:pt>
              </c:numCache>
            </c:numRef>
          </c:cat>
          <c:val>
            <c:numRef>
              <c:f>Sheet1!$B$50:$K$50</c:f>
              <c:numCache>
                <c:formatCode>0.00%</c:formatCode>
                <c:ptCount val="10"/>
                <c:pt idx="0">
                  <c:v>0.34082744234557888</c:v>
                </c:pt>
                <c:pt idx="1">
                  <c:v>0.37811009410854712</c:v>
                </c:pt>
                <c:pt idx="2">
                  <c:v>0.38681757656458055</c:v>
                </c:pt>
                <c:pt idx="3">
                  <c:v>0.38690879522970595</c:v>
                </c:pt>
                <c:pt idx="4">
                  <c:v>0.40363807650212657</c:v>
                </c:pt>
                <c:pt idx="5">
                  <c:v>0.40166059764512524</c:v>
                </c:pt>
                <c:pt idx="6">
                  <c:v>0.43314063684609549</c:v>
                </c:pt>
                <c:pt idx="7">
                  <c:v>0.48441926345609065</c:v>
                </c:pt>
                <c:pt idx="8">
                  <c:v>0.51110270214485976</c:v>
                </c:pt>
                <c:pt idx="9">
                  <c:v>0.56115361562599153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7-41D0-9044-009341BC0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2042928"/>
        <c:axId val="992091216"/>
      </c:barChart>
      <c:catAx>
        <c:axId val="99204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91216"/>
        <c:crosses val="autoZero"/>
        <c:auto val="1"/>
        <c:lblAlgn val="ctr"/>
        <c:lblOffset val="100"/>
        <c:noMultiLvlLbl val="0"/>
      </c:catAx>
      <c:valAx>
        <c:axId val="992091216"/>
        <c:scaling>
          <c:orientation val="minMax"/>
        </c:scaling>
        <c:delete val="0"/>
        <c:axPos val="r"/>
        <c:numFmt formatCode="0%" sourceLinked="0"/>
        <c:majorTickMark val="in"/>
        <c:minorTickMark val="none"/>
        <c:tickLblPos val="nextTo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4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16787</xdr:colOff>
      <xdr:row>66</xdr:row>
      <xdr:rowOff>136564</xdr:rowOff>
    </xdr:from>
    <xdr:to>
      <xdr:col>15</xdr:col>
      <xdr:colOff>226219</xdr:colOff>
      <xdr:row>83</xdr:row>
      <xdr:rowOff>88820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0353FD5-0228-6A10-BB53-D2D8510EF5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2.xlsm" TargetMode="External"/><Relationship Id="rId1" Type="http://schemas.openxmlformats.org/officeDocument/2006/relationships/externalLinkPath" Target="chapter_0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B3">
            <v>8629</v>
          </cell>
          <cell r="C3">
            <v>7757</v>
          </cell>
          <cell r="D3">
            <v>7510</v>
          </cell>
          <cell r="E3">
            <v>7379</v>
          </cell>
          <cell r="F3">
            <v>7218.1</v>
          </cell>
          <cell r="G3">
            <v>7057.7</v>
          </cell>
          <cell r="H3">
            <v>6331.2</v>
          </cell>
          <cell r="I3">
            <v>5753.9</v>
          </cell>
          <cell r="J3">
            <v>5813.9</v>
          </cell>
          <cell r="K3">
            <v>5672.6</v>
          </cell>
        </row>
        <row r="7">
          <cell r="B7">
            <v>447</v>
          </cell>
          <cell r="C7">
            <v>415</v>
          </cell>
          <cell r="D7">
            <v>354</v>
          </cell>
          <cell r="E7">
            <v>348</v>
          </cell>
          <cell r="F7">
            <v>340.2</v>
          </cell>
          <cell r="G7">
            <v>331.5</v>
          </cell>
          <cell r="H7">
            <v>317.5</v>
          </cell>
          <cell r="I7">
            <v>331.1</v>
          </cell>
          <cell r="J7">
            <v>351.5</v>
          </cell>
          <cell r="K7">
            <v>351.2</v>
          </cell>
        </row>
        <row r="16">
          <cell r="B16">
            <v>276</v>
          </cell>
          <cell r="C16">
            <v>264</v>
          </cell>
          <cell r="D16">
            <v>252</v>
          </cell>
          <cell r="E16">
            <v>239</v>
          </cell>
          <cell r="F16">
            <v>236.6</v>
          </cell>
          <cell r="G16">
            <v>238.9</v>
          </cell>
          <cell r="H16">
            <v>237.8</v>
          </cell>
          <cell r="I16">
            <v>220.8</v>
          </cell>
          <cell r="J16">
            <v>199.6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M106"/>
  <sheetViews>
    <sheetView tabSelected="1" topLeftCell="A2" zoomScale="160" zoomScaleNormal="160" zoomScaleSheetLayoutView="160" workbookViewId="0">
      <selection activeCell="D25" sqref="D25"/>
    </sheetView>
  </sheetViews>
  <sheetFormatPr defaultRowHeight="13.8"/>
  <cols>
    <col min="1" max="1" width="35.44140625" style="5" customWidth="1"/>
    <col min="2" max="2" width="11.5546875" style="5" customWidth="1"/>
    <col min="3" max="11" width="9.5546875" style="5" customWidth="1"/>
    <col min="12" max="12" width="3" customWidth="1"/>
  </cols>
  <sheetData>
    <row r="1" spans="1:13" ht="17.399999999999999">
      <c r="A1" s="36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3">
      <c r="A2" s="1" t="s">
        <v>1</v>
      </c>
      <c r="B2" s="31">
        <v>2000</v>
      </c>
      <c r="C2" s="31">
        <v>1999</v>
      </c>
      <c r="D2" s="31">
        <v>1998</v>
      </c>
      <c r="E2" s="31">
        <v>1997</v>
      </c>
      <c r="F2" s="31">
        <v>1996</v>
      </c>
      <c r="G2" s="31">
        <v>1995</v>
      </c>
      <c r="H2" s="31">
        <v>1994</v>
      </c>
      <c r="I2" s="31">
        <v>1993</v>
      </c>
      <c r="J2" s="31">
        <v>1992</v>
      </c>
      <c r="K2" s="31">
        <v>1991</v>
      </c>
    </row>
    <row r="3" spans="1:13">
      <c r="A3" s="19" t="s">
        <v>2</v>
      </c>
      <c r="B3" s="30">
        <v>111</v>
      </c>
      <c r="C3" s="30">
        <v>158</v>
      </c>
      <c r="D3" s="30">
        <v>128</v>
      </c>
      <c r="E3" s="30">
        <v>129</v>
      </c>
      <c r="F3" s="30">
        <v>69.599999999999994</v>
      </c>
      <c r="G3" s="30">
        <v>105.6</v>
      </c>
      <c r="H3" s="30">
        <v>62.1</v>
      </c>
      <c r="I3" s="30">
        <v>111.9</v>
      </c>
      <c r="J3" s="30">
        <v>61.4</v>
      </c>
      <c r="K3" s="30">
        <v>37.6</v>
      </c>
    </row>
    <row r="4" spans="1:13">
      <c r="A4" s="19" t="s">
        <v>62</v>
      </c>
      <c r="B4" s="30">
        <v>1563</v>
      </c>
      <c r="C4" s="30">
        <v>1594</v>
      </c>
      <c r="D4" s="30">
        <v>1366</v>
      </c>
      <c r="E4" s="30">
        <v>1353</v>
      </c>
      <c r="F4" s="30">
        <v>1225.5999999999999</v>
      </c>
      <c r="G4" s="30">
        <v>1245.0999999999999</v>
      </c>
      <c r="H4" s="30">
        <v>1228.9000000000001</v>
      </c>
      <c r="I4" s="30">
        <v>996.7</v>
      </c>
      <c r="J4" s="30">
        <v>1023.4</v>
      </c>
      <c r="K4" s="30">
        <v>1057.9000000000001</v>
      </c>
    </row>
    <row r="5" spans="1:13">
      <c r="A5" s="2" t="s">
        <v>3</v>
      </c>
      <c r="B5" s="30">
        <v>1121</v>
      </c>
      <c r="C5" s="30">
        <v>1016</v>
      </c>
      <c r="D5" s="30">
        <v>917</v>
      </c>
      <c r="E5" s="30">
        <v>863</v>
      </c>
      <c r="F5" s="30">
        <v>796.5</v>
      </c>
      <c r="G5" s="30">
        <v>737.5</v>
      </c>
      <c r="H5" s="30">
        <v>686.4</v>
      </c>
      <c r="I5" s="30">
        <v>683.3</v>
      </c>
      <c r="J5" s="30">
        <v>742.3</v>
      </c>
      <c r="K5" s="30">
        <v>875.3</v>
      </c>
    </row>
    <row r="6" spans="1:13">
      <c r="A6" s="2" t="s">
        <v>4</v>
      </c>
      <c r="B6" s="30">
        <v>298</v>
      </c>
      <c r="C6" s="30">
        <v>294</v>
      </c>
      <c r="D6" s="30">
        <v>249</v>
      </c>
      <c r="E6" s="30">
        <v>239</v>
      </c>
      <c r="F6" s="30">
        <v>204.7</v>
      </c>
      <c r="G6" s="30">
        <v>187.3</v>
      </c>
      <c r="H6" s="30">
        <v>190.8</v>
      </c>
      <c r="I6" s="30">
        <v>234</v>
      </c>
      <c r="J6" s="30">
        <v>123.7</v>
      </c>
      <c r="K6" s="30">
        <v>202.5</v>
      </c>
    </row>
    <row r="7" spans="1:13">
      <c r="A7" s="2" t="s">
        <v>5</v>
      </c>
      <c r="B7" s="30">
        <f t="shared" ref="B7:K7" si="0">SUM(B3:B6)</f>
        <v>3093</v>
      </c>
      <c r="C7" s="30">
        <f t="shared" si="0"/>
        <v>3062</v>
      </c>
      <c r="D7" s="30">
        <f t="shared" si="0"/>
        <v>2660</v>
      </c>
      <c r="E7" s="30">
        <f t="shared" si="0"/>
        <v>2584</v>
      </c>
      <c r="F7" s="30">
        <f t="shared" si="0"/>
        <v>2296.3999999999996</v>
      </c>
      <c r="G7" s="30">
        <f t="shared" si="0"/>
        <v>2275.5</v>
      </c>
      <c r="H7" s="30">
        <f t="shared" si="0"/>
        <v>2168.2000000000003</v>
      </c>
      <c r="I7" s="30">
        <f t="shared" si="0"/>
        <v>2025.9</v>
      </c>
      <c r="J7" s="30">
        <f t="shared" si="0"/>
        <v>1950.8</v>
      </c>
      <c r="K7" s="30">
        <f t="shared" si="0"/>
        <v>2173.3000000000002</v>
      </c>
      <c r="M7" t="str">
        <f t="shared" ref="M7:M34" ca="1" si="1">_xlfn.FORMULATEXT(K7)</f>
        <v>=SUM(K3:K6)</v>
      </c>
    </row>
    <row r="8" spans="1:13">
      <c r="A8" s="2"/>
      <c r="B8" s="30"/>
      <c r="C8" s="30"/>
      <c r="D8" s="30"/>
      <c r="E8" s="30"/>
      <c r="F8" s="30"/>
      <c r="G8" s="30"/>
      <c r="H8" s="30"/>
      <c r="I8" s="30"/>
      <c r="J8" s="30"/>
      <c r="K8" s="30"/>
    </row>
    <row r="9" spans="1:13">
      <c r="A9" s="2" t="s">
        <v>6</v>
      </c>
      <c r="B9" s="30">
        <v>7089</v>
      </c>
      <c r="C9" s="30">
        <v>6859</v>
      </c>
      <c r="D9" s="30">
        <v>6739</v>
      </c>
      <c r="E9" s="30">
        <v>6758</v>
      </c>
      <c r="F9" s="30">
        <v>6688.2</v>
      </c>
      <c r="G9" s="30">
        <v>6464</v>
      </c>
      <c r="H9" s="30">
        <v>6162.7</v>
      </c>
      <c r="I9" s="30">
        <v>6041.9</v>
      </c>
      <c r="J9" s="30">
        <v>6157.7</v>
      </c>
      <c r="K9" s="30">
        <v>6212.4</v>
      </c>
    </row>
    <row r="10" spans="1:13" ht="26.4">
      <c r="A10" s="2" t="s">
        <v>63</v>
      </c>
      <c r="B10" s="30">
        <v>4148</v>
      </c>
      <c r="C10" s="30">
        <v>3926</v>
      </c>
      <c r="D10" s="30">
        <v>3834</v>
      </c>
      <c r="E10" s="30">
        <v>3903</v>
      </c>
      <c r="F10" s="30">
        <v>3774.7</v>
      </c>
      <c r="G10" s="30">
        <v>3629.2</v>
      </c>
      <c r="H10" s="30">
        <v>3420.4</v>
      </c>
      <c r="I10" s="30">
        <v>3254.6</v>
      </c>
      <c r="J10" s="30">
        <v>3186.2</v>
      </c>
      <c r="K10" s="30">
        <v>3029.2</v>
      </c>
    </row>
    <row r="11" spans="1:13">
      <c r="A11" s="2" t="s">
        <v>7</v>
      </c>
      <c r="B11" s="30">
        <f t="shared" ref="B11:K11" si="2">B9-B10</f>
        <v>2941</v>
      </c>
      <c r="C11" s="30">
        <f t="shared" si="2"/>
        <v>2933</v>
      </c>
      <c r="D11" s="30">
        <f t="shared" si="2"/>
        <v>2905</v>
      </c>
      <c r="E11" s="30">
        <f t="shared" si="2"/>
        <v>2855</v>
      </c>
      <c r="F11" s="30">
        <f t="shared" si="2"/>
        <v>2913.5</v>
      </c>
      <c r="G11" s="30">
        <f t="shared" si="2"/>
        <v>2834.8</v>
      </c>
      <c r="H11" s="30">
        <f t="shared" si="2"/>
        <v>2742.2999999999997</v>
      </c>
      <c r="I11" s="30">
        <f t="shared" si="2"/>
        <v>2787.2999999999997</v>
      </c>
      <c r="J11" s="30">
        <f t="shared" si="2"/>
        <v>2971.5</v>
      </c>
      <c r="K11" s="30">
        <f t="shared" si="2"/>
        <v>3183.2</v>
      </c>
      <c r="M11" t="str">
        <f t="shared" ca="1" si="1"/>
        <v>=K9-K10</v>
      </c>
    </row>
    <row r="12" spans="1:13">
      <c r="A12" s="2"/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3">
      <c r="A13" s="33" t="s">
        <v>64</v>
      </c>
      <c r="B13" s="30">
        <v>1700</v>
      </c>
      <c r="C13" s="30">
        <v>1685</v>
      </c>
      <c r="D13" s="30">
        <v>632</v>
      </c>
      <c r="E13" s="30">
        <v>370</v>
      </c>
      <c r="F13" s="30">
        <v>23.4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</row>
    <row r="14" spans="1:13">
      <c r="A14" s="19" t="s">
        <v>8</v>
      </c>
      <c r="B14" s="30">
        <v>1391</v>
      </c>
      <c r="C14" s="30">
        <v>1234</v>
      </c>
      <c r="D14" s="30">
        <v>1190</v>
      </c>
      <c r="E14" s="30">
        <v>1059</v>
      </c>
      <c r="F14" s="30">
        <v>1208.0999999999999</v>
      </c>
      <c r="G14" s="30">
        <v>1084</v>
      </c>
      <c r="H14" s="30">
        <v>983.4</v>
      </c>
      <c r="I14" s="30">
        <v>838.3</v>
      </c>
      <c r="J14" s="30">
        <v>739.4</v>
      </c>
      <c r="K14" s="30">
        <v>699.7</v>
      </c>
    </row>
    <row r="15" spans="1:13">
      <c r="A15" s="1" t="s">
        <v>9</v>
      </c>
      <c r="B15" s="30">
        <f t="shared" ref="B15:J15" si="3">SUM(B11:B14)+B7</f>
        <v>9125</v>
      </c>
      <c r="C15" s="30">
        <f t="shared" si="3"/>
        <v>8914</v>
      </c>
      <c r="D15" s="30">
        <f t="shared" si="3"/>
        <v>7387</v>
      </c>
      <c r="E15" s="30">
        <f t="shared" si="3"/>
        <v>6868</v>
      </c>
      <c r="F15" s="30">
        <f t="shared" si="3"/>
        <v>6441.4</v>
      </c>
      <c r="G15" s="30">
        <f t="shared" si="3"/>
        <v>6194.3</v>
      </c>
      <c r="H15" s="30">
        <f t="shared" si="3"/>
        <v>5893.9</v>
      </c>
      <c r="I15" s="30">
        <f t="shared" si="3"/>
        <v>5651.5</v>
      </c>
      <c r="J15" s="30">
        <f t="shared" si="3"/>
        <v>5661.7</v>
      </c>
      <c r="K15" s="30">
        <v>6056.2</v>
      </c>
    </row>
    <row r="16" spans="1:13">
      <c r="A16" s="2"/>
      <c r="B16" s="30"/>
      <c r="C16" s="30"/>
      <c r="D16" s="30"/>
      <c r="E16" s="30"/>
      <c r="F16" s="30"/>
      <c r="G16" s="30"/>
      <c r="H16" s="30"/>
      <c r="I16" s="30"/>
      <c r="J16" s="30"/>
      <c r="K16" s="30"/>
    </row>
    <row r="17" spans="1:13">
      <c r="A17" s="2"/>
      <c r="B17" s="30"/>
      <c r="C17" s="30"/>
      <c r="D17" s="30"/>
      <c r="E17" s="30"/>
      <c r="F17" s="30"/>
      <c r="G17" s="30"/>
      <c r="H17" s="30"/>
      <c r="I17" s="30"/>
      <c r="J17" s="30"/>
      <c r="K17" s="30"/>
    </row>
    <row r="18" spans="1:13">
      <c r="A18" s="1" t="s">
        <v>10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3">
      <c r="A19" s="2" t="s">
        <v>65</v>
      </c>
      <c r="B19" s="30">
        <v>764</v>
      </c>
      <c r="C19" s="30">
        <v>755</v>
      </c>
      <c r="D19" s="30">
        <v>630</v>
      </c>
      <c r="E19" s="30">
        <v>646</v>
      </c>
      <c r="F19" s="30">
        <v>601.9</v>
      </c>
      <c r="G19" s="30">
        <v>583.4</v>
      </c>
      <c r="H19" s="30">
        <v>517.79999999999995</v>
      </c>
      <c r="I19" s="30">
        <v>436</v>
      </c>
      <c r="J19" s="30">
        <v>447</v>
      </c>
      <c r="K19" s="30">
        <v>520.4</v>
      </c>
    </row>
    <row r="20" spans="1:13">
      <c r="A20" s="2" t="s">
        <v>66</v>
      </c>
      <c r="B20" s="30">
        <v>606</v>
      </c>
      <c r="C20" s="30">
        <v>649</v>
      </c>
      <c r="D20" s="30">
        <v>634</v>
      </c>
      <c r="E20" s="30">
        <v>564</v>
      </c>
      <c r="F20" s="30">
        <v>503.6</v>
      </c>
      <c r="G20" s="30">
        <v>520.1</v>
      </c>
      <c r="H20" s="30">
        <v>481.2</v>
      </c>
      <c r="I20" s="30">
        <v>422.5</v>
      </c>
      <c r="J20" s="30">
        <v>323.39999999999998</v>
      </c>
      <c r="K20" s="30">
        <v>347.6</v>
      </c>
    </row>
    <row r="21" spans="1:13">
      <c r="A21" s="2" t="s">
        <v>11</v>
      </c>
      <c r="B21" s="30">
        <v>12</v>
      </c>
      <c r="C21" s="30">
        <v>26</v>
      </c>
      <c r="D21" s="30">
        <v>11</v>
      </c>
      <c r="E21" s="30">
        <v>8</v>
      </c>
      <c r="F21" s="30">
        <v>15.1</v>
      </c>
      <c r="G21" s="30">
        <v>40.6</v>
      </c>
      <c r="H21" s="30">
        <v>54.8</v>
      </c>
      <c r="I21" s="30">
        <v>67.400000000000006</v>
      </c>
      <c r="J21" s="30">
        <v>48.2</v>
      </c>
      <c r="K21" s="30">
        <v>62.1</v>
      </c>
    </row>
    <row r="22" spans="1:13">
      <c r="A22" s="4"/>
      <c r="B22" s="30"/>
      <c r="C22" s="30"/>
      <c r="D22" s="30"/>
      <c r="E22" s="30"/>
      <c r="F22" s="30"/>
      <c r="G22" s="30"/>
      <c r="H22" s="30"/>
      <c r="I22" s="30"/>
      <c r="J22" s="30"/>
      <c r="K22" s="30"/>
    </row>
    <row r="23" spans="1:13">
      <c r="A23" s="2" t="s">
        <v>12</v>
      </c>
      <c r="B23" s="30">
        <v>2971</v>
      </c>
      <c r="C23" s="30">
        <v>2790</v>
      </c>
      <c r="D23" s="30">
        <v>1718</v>
      </c>
      <c r="E23" s="30">
        <v>1701</v>
      </c>
      <c r="F23" s="30">
        <v>1482.2</v>
      </c>
      <c r="G23" s="30">
        <v>1220.8</v>
      </c>
      <c r="H23" s="30">
        <v>1144.0999999999999</v>
      </c>
      <c r="I23" s="30">
        <v>1129.0999999999999</v>
      </c>
      <c r="J23" s="30">
        <v>1306.7</v>
      </c>
      <c r="K23" s="30">
        <v>1573.6</v>
      </c>
    </row>
    <row r="24" spans="1:13">
      <c r="A24" s="33" t="s">
        <v>67</v>
      </c>
      <c r="B24" s="30">
        <v>543</v>
      </c>
      <c r="C24" s="30">
        <v>520</v>
      </c>
      <c r="D24" s="30">
        <v>440</v>
      </c>
      <c r="E24" s="30">
        <v>406</v>
      </c>
      <c r="F24" s="30">
        <v>419.1</v>
      </c>
      <c r="G24" s="30">
        <v>354.9</v>
      </c>
      <c r="H24" s="30">
        <v>302.7</v>
      </c>
      <c r="I24" s="30">
        <v>268.60000000000002</v>
      </c>
      <c r="J24" s="30">
        <v>471.6</v>
      </c>
      <c r="K24" s="30">
        <v>475.6</v>
      </c>
    </row>
    <row r="25" spans="1:13">
      <c r="A25" s="33" t="s">
        <v>13</v>
      </c>
      <c r="B25" s="30">
        <v>128</v>
      </c>
      <c r="C25" s="30">
        <v>98</v>
      </c>
      <c r="D25" s="30">
        <v>87</v>
      </c>
      <c r="E25" s="30">
        <v>82</v>
      </c>
      <c r="F25" s="30">
        <v>76.2</v>
      </c>
      <c r="G25" s="30">
        <v>68.2</v>
      </c>
      <c r="H25" s="30">
        <v>70.3</v>
      </c>
      <c r="I25" s="30">
        <v>51.9</v>
      </c>
      <c r="J25" s="30">
        <v>60.3</v>
      </c>
      <c r="K25" s="30">
        <v>75.5</v>
      </c>
    </row>
    <row r="26" spans="1:13">
      <c r="A26" s="33" t="s">
        <v>14</v>
      </c>
      <c r="B26" s="30">
        <v>1004</v>
      </c>
      <c r="C26" s="30">
        <v>970</v>
      </c>
      <c r="D26" s="30">
        <v>987</v>
      </c>
      <c r="E26" s="30">
        <v>952</v>
      </c>
      <c r="F26" s="30">
        <v>860.7</v>
      </c>
      <c r="G26" s="30">
        <v>837.1</v>
      </c>
      <c r="H26" s="30">
        <v>766</v>
      </c>
      <c r="I26" s="30">
        <v>802.9</v>
      </c>
      <c r="J26" s="30">
        <v>305.60000000000002</v>
      </c>
      <c r="K26" s="30">
        <v>346.9</v>
      </c>
    </row>
    <row r="27" spans="1:13">
      <c r="A27" s="2"/>
      <c r="B27" s="34">
        <f>INDEX($B$28:$J$28,ROWS(B28:J28),COLUMNS(B28:$J$28))</f>
        <v>-3.2999999999999545</v>
      </c>
      <c r="C27" s="34">
        <f>INDEX($B$28:$J$28,ROWS(C28:K28),COLUMNS(C28:$J$28))</f>
        <v>-64.700000000000045</v>
      </c>
      <c r="D27" s="34">
        <f>INDEX($B$28:$J$28,ROWS(D28:L28),COLUMNS(D28:$J$28))</f>
        <v>-12.199999999999932</v>
      </c>
      <c r="E27" s="34">
        <f>INDEX($B$28:$J$28,ROWS(E28:M28),COLUMNS(E28:$J$28))</f>
        <v>-13.800000000000068</v>
      </c>
      <c r="F27" s="34">
        <f>INDEX($B$28:$J$28,ROWS(F28:N28),COLUMNS(F28:$J$28))</f>
        <v>-15.299999999999955</v>
      </c>
      <c r="G27" s="34">
        <f>INDEX($B$28:$J$28,ROWS(G28:O28),COLUMNS(G28:$J$28))</f>
        <v>-2.1000000000000227</v>
      </c>
      <c r="H27" s="34">
        <f>INDEX($B$28:$J$28,ROWS(H28:P28),COLUMNS(H28:$J$28))</f>
        <v>-6</v>
      </c>
      <c r="I27" s="34">
        <f>INDEX($B$28:$J$28,ROWS(I28:Q28),COLUMNS(I28:$J$28))</f>
        <v>1</v>
      </c>
      <c r="J27" s="34">
        <f>INDEX($B$28:$J$28,ROWS(J28:R28),COLUMNS(J28:$J$28))</f>
        <v>2</v>
      </c>
      <c r="K27" s="30"/>
      <c r="M27" t="str">
        <f ca="1">_xlfn.FORMULATEXT(J27)</f>
        <v>=INDEX($B$28:$J$28,ROWS(J28:R28),COLUMNS(J28:$J$28))</v>
      </c>
    </row>
    <row r="28" spans="1:13">
      <c r="A28" s="1" t="s">
        <v>15</v>
      </c>
      <c r="B28" s="29">
        <f t="shared" ref="B28:I28" si="4">SUM(C29:C30)-SUM(B29:B30)</f>
        <v>2</v>
      </c>
      <c r="C28" s="29">
        <f t="shared" si="4"/>
        <v>1</v>
      </c>
      <c r="D28" s="29">
        <f t="shared" si="4"/>
        <v>-6</v>
      </c>
      <c r="E28" s="29">
        <f t="shared" si="4"/>
        <v>-2.1000000000000227</v>
      </c>
      <c r="F28" s="29">
        <f t="shared" si="4"/>
        <v>-15.299999999999955</v>
      </c>
      <c r="G28" s="29">
        <f t="shared" si="4"/>
        <v>-13.800000000000068</v>
      </c>
      <c r="H28" s="29">
        <f t="shared" si="4"/>
        <v>-12.199999999999932</v>
      </c>
      <c r="I28" s="29">
        <f t="shared" si="4"/>
        <v>-64.700000000000045</v>
      </c>
      <c r="J28" s="29">
        <f>SUM(K29:K30)-SUM(J29:J30)</f>
        <v>-3.2999999999999545</v>
      </c>
      <c r="K28" s="3"/>
    </row>
    <row r="29" spans="1:13">
      <c r="A29" s="2" t="s">
        <v>16</v>
      </c>
      <c r="B29" s="30">
        <v>484</v>
      </c>
      <c r="C29" s="30">
        <v>484</v>
      </c>
      <c r="D29" s="30">
        <v>484</v>
      </c>
      <c r="E29" s="30">
        <v>484</v>
      </c>
      <c r="F29" s="30">
        <v>484.3</v>
      </c>
      <c r="G29" s="30">
        <v>484.3</v>
      </c>
      <c r="H29" s="30">
        <v>484.3</v>
      </c>
      <c r="I29" s="30">
        <v>242.1</v>
      </c>
      <c r="J29" s="30">
        <v>242.1</v>
      </c>
      <c r="K29" s="30">
        <v>242.1</v>
      </c>
    </row>
    <row r="30" spans="1:13">
      <c r="A30" s="2" t="s">
        <v>17</v>
      </c>
      <c r="B30" s="30">
        <v>102</v>
      </c>
      <c r="C30" s="30">
        <v>104</v>
      </c>
      <c r="D30" s="30">
        <v>105</v>
      </c>
      <c r="E30" s="30">
        <v>99</v>
      </c>
      <c r="F30" s="30">
        <v>96.6</v>
      </c>
      <c r="G30" s="30">
        <v>81.3</v>
      </c>
      <c r="H30" s="30">
        <v>67.5</v>
      </c>
      <c r="I30" s="30">
        <v>297.5</v>
      </c>
      <c r="J30" s="30">
        <v>232.8</v>
      </c>
      <c r="K30" s="30">
        <v>229.5</v>
      </c>
    </row>
    <row r="31" spans="1:13">
      <c r="A31" s="2" t="s">
        <v>18</v>
      </c>
      <c r="B31" s="30">
        <v>6019</v>
      </c>
      <c r="C31" s="30">
        <v>5786</v>
      </c>
      <c r="D31" s="30">
        <v>5489</v>
      </c>
      <c r="E31" s="30">
        <v>4916</v>
      </c>
      <c r="F31" s="30">
        <v>4568.8999999999996</v>
      </c>
      <c r="G31" s="30">
        <v>4063.2</v>
      </c>
      <c r="H31" s="30">
        <v>3493.8</v>
      </c>
      <c r="I31" s="30">
        <v>3158.2</v>
      </c>
      <c r="J31" s="30">
        <v>3424.3</v>
      </c>
      <c r="K31" s="30">
        <v>3368.9</v>
      </c>
    </row>
    <row r="32" spans="1:13">
      <c r="A32" s="20" t="s">
        <v>19</v>
      </c>
      <c r="B32" s="32">
        <v>3508</v>
      </c>
      <c r="C32" s="32">
        <v>3268</v>
      </c>
      <c r="D32" s="32">
        <v>3198</v>
      </c>
      <c r="E32" s="32">
        <v>2990</v>
      </c>
      <c r="F32" s="32">
        <v>2667.2</v>
      </c>
      <c r="G32" s="32">
        <v>2059.6</v>
      </c>
      <c r="H32" s="32">
        <v>1488.6</v>
      </c>
      <c r="I32" s="32">
        <v>1224.7</v>
      </c>
      <c r="J32" s="32">
        <v>1200.3</v>
      </c>
      <c r="K32" s="32">
        <v>1186</v>
      </c>
    </row>
    <row r="33" spans="1:13">
      <c r="A33" s="2" t="s">
        <v>20</v>
      </c>
      <c r="B33" s="30">
        <f t="shared" ref="B33:K33" si="5">SUM(B29:B31)-B32</f>
        <v>3097</v>
      </c>
      <c r="C33" s="30">
        <f t="shared" si="5"/>
        <v>3106</v>
      </c>
      <c r="D33" s="30">
        <f t="shared" si="5"/>
        <v>2880</v>
      </c>
      <c r="E33" s="30">
        <f t="shared" si="5"/>
        <v>2509</v>
      </c>
      <c r="F33" s="30">
        <f t="shared" si="5"/>
        <v>2482.5999999999995</v>
      </c>
      <c r="G33" s="30">
        <f t="shared" si="5"/>
        <v>2569.2000000000003</v>
      </c>
      <c r="H33" s="30">
        <f t="shared" si="5"/>
        <v>2557.0000000000005</v>
      </c>
      <c r="I33" s="30">
        <f t="shared" si="5"/>
        <v>2473.0999999999995</v>
      </c>
      <c r="J33" s="30">
        <f t="shared" si="5"/>
        <v>2698.9000000000005</v>
      </c>
      <c r="K33" s="30">
        <f t="shared" si="5"/>
        <v>2654.5</v>
      </c>
      <c r="M33" t="str">
        <f t="shared" ca="1" si="1"/>
        <v>=SUM(K29:K31)-K32</v>
      </c>
    </row>
    <row r="34" spans="1:13">
      <c r="A34" s="1" t="s">
        <v>21</v>
      </c>
      <c r="B34" s="30">
        <f t="shared" ref="B34:K34" si="6">SUM(B19:B26)+B33</f>
        <v>9125</v>
      </c>
      <c r="C34" s="30">
        <f t="shared" si="6"/>
        <v>8914</v>
      </c>
      <c r="D34" s="30">
        <f t="shared" si="6"/>
        <v>7387</v>
      </c>
      <c r="E34" s="30">
        <f t="shared" si="6"/>
        <v>6868</v>
      </c>
      <c r="F34" s="30">
        <f t="shared" si="6"/>
        <v>6441.4</v>
      </c>
      <c r="G34" s="30">
        <f t="shared" si="6"/>
        <v>6194.2999999999993</v>
      </c>
      <c r="H34" s="30">
        <f t="shared" si="6"/>
        <v>5893.9</v>
      </c>
      <c r="I34" s="30">
        <f t="shared" si="6"/>
        <v>5651.5</v>
      </c>
      <c r="J34" s="30">
        <f t="shared" si="6"/>
        <v>5661.7000000000007</v>
      </c>
      <c r="K34" s="30">
        <f t="shared" si="6"/>
        <v>6056.2</v>
      </c>
      <c r="M34" t="str">
        <f t="shared" ca="1" si="1"/>
        <v>=SUM(K19:K26)+K33</v>
      </c>
    </row>
    <row r="35" spans="1:13">
      <c r="A35" s="2"/>
      <c r="B35" s="35">
        <f t="shared" ref="B35:J35" si="7">B32-C32</f>
        <v>240</v>
      </c>
      <c r="C35" s="35">
        <f t="shared" si="7"/>
        <v>70</v>
      </c>
      <c r="D35" s="35">
        <f t="shared" si="7"/>
        <v>208</v>
      </c>
      <c r="E35" s="35">
        <f t="shared" si="7"/>
        <v>322.80000000000018</v>
      </c>
      <c r="F35" s="35">
        <f t="shared" si="7"/>
        <v>607.59999999999991</v>
      </c>
      <c r="G35" s="35">
        <f t="shared" si="7"/>
        <v>571</v>
      </c>
      <c r="H35" s="35">
        <f t="shared" si="7"/>
        <v>263.89999999999986</v>
      </c>
      <c r="I35" s="35">
        <f t="shared" si="7"/>
        <v>24.400000000000091</v>
      </c>
      <c r="J35" s="35">
        <f t="shared" si="7"/>
        <v>14.299999999999955</v>
      </c>
      <c r="K35" s="30"/>
    </row>
    <row r="36" spans="1:13">
      <c r="A36" s="2"/>
      <c r="B36" s="35">
        <f>INDEX($B$35:$J$35,ROWS($B$35:$J$35),COLUMNS(B35:$J$35))</f>
        <v>14.299999999999955</v>
      </c>
      <c r="C36" s="35">
        <f>INDEX($B$35:$J$35,ROWS($B$35:$J$35),COLUMNS(C35:$J$35))</f>
        <v>24.400000000000091</v>
      </c>
      <c r="D36" s="35">
        <f>INDEX($B$35:$J$35,ROWS($B$35:$J$35),COLUMNS(D35:$J$35))</f>
        <v>263.89999999999986</v>
      </c>
      <c r="E36" s="35">
        <f>INDEX($B$35:$J$35,ROWS($B$35:$J$35),COLUMNS(E35:$J$35))</f>
        <v>571</v>
      </c>
      <c r="F36" s="35">
        <f>INDEX($B$35:$J$35,ROWS($B$35:$J$35),COLUMNS(F35:$J$35))</f>
        <v>607.59999999999991</v>
      </c>
      <c r="G36" s="35">
        <f>INDEX($B$35:$J$35,ROWS($B$35:$J$35),COLUMNS(G35:$J$35))</f>
        <v>322.80000000000018</v>
      </c>
      <c r="H36" s="35">
        <f>INDEX($B$35:$J$35,ROWS($B$35:$J$35),COLUMNS(H35:$J$35))</f>
        <v>208</v>
      </c>
      <c r="I36" s="35">
        <f>INDEX($B$35:$J$35,ROWS($B$35:$J$35),COLUMNS(I35:$J$35))</f>
        <v>70</v>
      </c>
      <c r="J36" s="35">
        <f>INDEX($B$35:$J$35,ROWS($B$35:$J$35),COLUMNS(J35:$J$35))</f>
        <v>240</v>
      </c>
      <c r="K36" s="30"/>
    </row>
    <row r="37" spans="1:13" ht="26.4">
      <c r="A37" s="1" t="s">
        <v>22</v>
      </c>
      <c r="B37" s="30">
        <v>168.22</v>
      </c>
      <c r="C37" s="30">
        <v>174.1</v>
      </c>
      <c r="D37" s="30">
        <v>175.12</v>
      </c>
      <c r="E37" s="30">
        <v>178.06</v>
      </c>
      <c r="F37" s="30">
        <v>183.22</v>
      </c>
      <c r="G37" s="30">
        <v>194.45</v>
      </c>
      <c r="H37" s="30">
        <v>207.14</v>
      </c>
      <c r="I37" s="30">
        <v>106.84</v>
      </c>
      <c r="J37" s="30">
        <v>106.14</v>
      </c>
      <c r="K37" s="30">
        <v>106.17</v>
      </c>
    </row>
    <row r="39" spans="1:13">
      <c r="A39" s="6"/>
      <c r="B39" s="7"/>
      <c r="C39" s="8"/>
      <c r="D39" s="6"/>
      <c r="E39" s="9"/>
    </row>
    <row r="40" spans="1:13" ht="15.6">
      <c r="A40" s="26" t="s">
        <v>23</v>
      </c>
      <c r="B40" s="7"/>
      <c r="C40" s="9"/>
      <c r="D40" s="6"/>
      <c r="E40" s="9"/>
    </row>
    <row r="41" spans="1:13">
      <c r="A41" s="1" t="s">
        <v>1</v>
      </c>
      <c r="B41" s="10">
        <v>2000</v>
      </c>
      <c r="C41" s="10">
        <v>1999</v>
      </c>
      <c r="D41" s="10">
        <v>1998</v>
      </c>
      <c r="E41" s="10">
        <v>1997</v>
      </c>
      <c r="F41" s="10">
        <v>1996</v>
      </c>
      <c r="G41" s="10">
        <v>1995</v>
      </c>
      <c r="H41" s="10">
        <v>1994</v>
      </c>
      <c r="I41" s="10">
        <v>1993</v>
      </c>
      <c r="J41" s="10">
        <v>1992</v>
      </c>
      <c r="K41" s="10">
        <v>1991</v>
      </c>
    </row>
    <row r="42" spans="1:13">
      <c r="A42" s="2" t="s">
        <v>24</v>
      </c>
      <c r="B42" s="7"/>
      <c r="C42" s="9"/>
      <c r="D42" s="6"/>
      <c r="E42" s="9"/>
    </row>
    <row r="43" spans="1:13">
      <c r="A43" s="2" t="s">
        <v>25</v>
      </c>
      <c r="B43" s="11">
        <f>B4/[1]Sheet1!B$3</f>
        <v>0.18113338741453239</v>
      </c>
      <c r="C43" s="11">
        <f>C4/[1]Sheet1!C$3</f>
        <v>0.20549181384555884</v>
      </c>
      <c r="D43" s="11">
        <f>D4/[1]Sheet1!D$3</f>
        <v>0.18189081225033288</v>
      </c>
      <c r="E43" s="11">
        <f>E4/[1]Sheet1!E$3</f>
        <v>0.18335817861498849</v>
      </c>
      <c r="F43" s="11">
        <f>F4/[1]Sheet1!F$3</f>
        <v>0.16979537551433199</v>
      </c>
      <c r="G43" s="11">
        <f>G4/[1]Sheet1!G$3</f>
        <v>0.17641724641172052</v>
      </c>
      <c r="H43" s="11">
        <f>H4/[1]Sheet1!H$3</f>
        <v>0.19410222390700027</v>
      </c>
      <c r="I43" s="11">
        <f>I4/[1]Sheet1!I$3</f>
        <v>0.17322164097394813</v>
      </c>
      <c r="J43" s="11">
        <f>J4/[1]Sheet1!J$3</f>
        <v>0.17602641944305888</v>
      </c>
      <c r="K43" s="11">
        <f>K4/[1]Sheet1!K$3</f>
        <v>0.18649296618834396</v>
      </c>
      <c r="M43" t="str">
        <f t="shared" ref="M43:M59" ca="1" si="8">_xlfn.FORMULATEXT(K43)</f>
        <v>=K4/'D:\lizhengdong\交易框架\5_工具箱\_书库\编程\Excel\CH04\[chapter_02.xlsm]Sheet1'!K$3</v>
      </c>
    </row>
    <row r="44" spans="1:13">
      <c r="A44" s="2" t="s">
        <v>26</v>
      </c>
      <c r="B44" s="11">
        <f>B5/[1]Sheet1!B$3</f>
        <v>0.12991076602155521</v>
      </c>
      <c r="C44" s="11">
        <f>C5/[1]Sheet1!C$3</f>
        <v>0.13097847105839885</v>
      </c>
      <c r="D44" s="11">
        <f>D5/[1]Sheet1!D$3</f>
        <v>0.12210386151797603</v>
      </c>
      <c r="E44" s="11">
        <f>E5/[1]Sheet1!E$3</f>
        <v>0.11695351673668519</v>
      </c>
      <c r="F44" s="11">
        <f>F5/[1]Sheet1!F$3</f>
        <v>0.11034759839847051</v>
      </c>
      <c r="G44" s="11">
        <f>G5/[1]Sheet1!G$3</f>
        <v>0.10449579891466058</v>
      </c>
      <c r="H44" s="11">
        <f>H5/[1]Sheet1!H$3</f>
        <v>0.10841546626231995</v>
      </c>
      <c r="I44" s="11">
        <f>I5/[1]Sheet1!I$3</f>
        <v>0.11875423625714733</v>
      </c>
      <c r="J44" s="11">
        <f>J5/[1]Sheet1!J$3</f>
        <v>0.12767677462632657</v>
      </c>
      <c r="K44" s="11">
        <f>K5/[1]Sheet1!K$3</f>
        <v>0.15430314141663434</v>
      </c>
      <c r="M44" t="str">
        <f t="shared" ca="1" si="8"/>
        <v>=K5/'D:\lizhengdong\交易框架\5_工具箱\_书库\编程\Excel\CH04\[chapter_02.xlsm]Sheet1'!K$3</v>
      </c>
    </row>
    <row r="45" spans="1:13">
      <c r="A45" s="2" t="s">
        <v>27</v>
      </c>
      <c r="B45" s="11">
        <f>B6/[1]Sheet1!B$3</f>
        <v>3.4534708540966505E-2</v>
      </c>
      <c r="C45" s="11">
        <f>C6/[1]Sheet1!C$3</f>
        <v>3.7901250483434318E-2</v>
      </c>
      <c r="D45" s="11">
        <f>D6/[1]Sheet1!D$3</f>
        <v>3.3155792276964045E-2</v>
      </c>
      <c r="E45" s="11">
        <f>E6/[1]Sheet1!E$3</f>
        <v>3.238921263043773E-2</v>
      </c>
      <c r="F45" s="11">
        <f>F6/[1]Sheet1!F$3</f>
        <v>2.8359263518100329E-2</v>
      </c>
      <c r="G45" s="11">
        <f>G6/[1]Sheet1!G$3</f>
        <v>2.6538390693852106E-2</v>
      </c>
      <c r="H45" s="11">
        <f>H6/[1]Sheet1!H$3</f>
        <v>3.0136467020470056E-2</v>
      </c>
      <c r="I45" s="11">
        <f>I6/[1]Sheet1!I$3</f>
        <v>4.066806861433115E-2</v>
      </c>
      <c r="J45" s="11">
        <f>J6/[1]Sheet1!J$3</f>
        <v>2.1276595744680854E-2</v>
      </c>
      <c r="K45" s="11">
        <f>K6/[1]Sheet1!K$3</f>
        <v>3.569791629940415E-2</v>
      </c>
      <c r="M45" t="str">
        <f t="shared" ca="1" si="8"/>
        <v>=K6/'D:\lizhengdong\交易框架\5_工具箱\_书库\编程\Excel\CH04\[chapter_02.xlsm]Sheet1'!K$3</v>
      </c>
    </row>
    <row r="46" spans="1:13">
      <c r="A46" s="2" t="s">
        <v>28</v>
      </c>
      <c r="B46" s="11">
        <f>B7/[1]Sheet1!B$3</f>
        <v>0.35844246146714565</v>
      </c>
      <c r="C46" s="11">
        <f>C7/[1]Sheet1!C$3</f>
        <v>0.3947402346267887</v>
      </c>
      <c r="D46" s="11">
        <f>D7/[1]Sheet1!D$3</f>
        <v>0.35419440745672437</v>
      </c>
      <c r="E46" s="11">
        <f>E7/[1]Sheet1!E$3</f>
        <v>0.35018295161946061</v>
      </c>
      <c r="F46" s="11">
        <f>F7/[1]Sheet1!F$3</f>
        <v>0.31814466410828329</v>
      </c>
      <c r="G46" s="11">
        <f>G7/[1]Sheet1!G$3</f>
        <v>0.32241381753262394</v>
      </c>
      <c r="H46" s="11">
        <f>H7/[1]Sheet1!H$3</f>
        <v>0.34246272428607538</v>
      </c>
      <c r="I46" s="11">
        <f>I7/[1]Sheet1!I$3</f>
        <v>0.35209162481099782</v>
      </c>
      <c r="J46" s="11">
        <f>J7/[1]Sheet1!J$3</f>
        <v>0.33554068697432016</v>
      </c>
      <c r="K46" s="11">
        <f>K7/[1]Sheet1!K$3</f>
        <v>0.38312237774565455</v>
      </c>
      <c r="M46" t="str">
        <f t="shared" ca="1" si="8"/>
        <v>=K7/'D:\lizhengdong\交易框架\5_工具箱\_书库\编程\Excel\CH04\[chapter_02.xlsm]Sheet1'!K$3</v>
      </c>
    </row>
    <row r="47" spans="1:13">
      <c r="A47" s="2"/>
      <c r="B47" s="11"/>
      <c r="C47" s="12"/>
      <c r="D47" s="13"/>
      <c r="E47" s="12"/>
      <c r="F47" s="14"/>
      <c r="G47" s="14"/>
      <c r="H47" s="14"/>
      <c r="I47" s="14"/>
      <c r="J47" s="14"/>
      <c r="K47" s="14"/>
    </row>
    <row r="48" spans="1:13">
      <c r="A48" s="2" t="s">
        <v>29</v>
      </c>
      <c r="B48" s="11">
        <f>B9/[1]Sheet1!B$3</f>
        <v>0.82153204311044148</v>
      </c>
      <c r="C48" s="11">
        <f>C9/[1]Sheet1!C$3</f>
        <v>0.88423359546216318</v>
      </c>
      <c r="D48" s="11">
        <f>D9/[1]Sheet1!D$3</f>
        <v>0.89733688415446067</v>
      </c>
      <c r="E48" s="11">
        <f>E9/[1]Sheet1!E$3</f>
        <v>0.91584225504810945</v>
      </c>
      <c r="F48" s="11">
        <f>F9/[1]Sheet1!F$3</f>
        <v>0.92658732907551844</v>
      </c>
      <c r="G48" s="11">
        <f>G9/[1]Sheet1!G$3</f>
        <v>0.9158791107584624</v>
      </c>
      <c r="H48" s="11">
        <f>H9/[1]Sheet1!H$3</f>
        <v>0.97338577204953247</v>
      </c>
      <c r="I48" s="11">
        <f>I9/[1]Sheet1!I$3</f>
        <v>1.0500530075253307</v>
      </c>
      <c r="J48" s="11">
        <f>J9/[1]Sheet1!J$3</f>
        <v>1.0591341440341251</v>
      </c>
      <c r="K48" s="11">
        <f>K9/[1]Sheet1!K$3</f>
        <v>1.0951591862637942</v>
      </c>
      <c r="M48" t="str">
        <f t="shared" ca="1" si="8"/>
        <v>=K9/'D:\lizhengdong\交易框架\5_工具箱\_书库\编程\Excel\CH04\[chapter_02.xlsm]Sheet1'!K$3</v>
      </c>
    </row>
    <row r="49" spans="1:13">
      <c r="A49" s="2" t="s">
        <v>30</v>
      </c>
      <c r="B49" s="11">
        <f>[1]Sheet1!B$7/B$9</f>
        <v>6.3055438002539141E-2</v>
      </c>
      <c r="C49" s="11">
        <f>[1]Sheet1!C$7/C$9</f>
        <v>6.0504446712348739E-2</v>
      </c>
      <c r="D49" s="11">
        <f>[1]Sheet1!D$7/D$9</f>
        <v>5.2530048968689715E-2</v>
      </c>
      <c r="E49" s="11">
        <f>[1]Sheet1!E$7/E$9</f>
        <v>5.1494525007398637E-2</v>
      </c>
      <c r="F49" s="11">
        <f>[1]Sheet1!F$7/F$9</f>
        <v>5.0865703776800934E-2</v>
      </c>
      <c r="G49" s="11">
        <f>[1]Sheet1!G$7/G$9</f>
        <v>5.1284034653465344E-2</v>
      </c>
      <c r="H49" s="11">
        <f>[1]Sheet1!H$7/H$9</f>
        <v>5.1519626137894105E-2</v>
      </c>
      <c r="I49" s="11">
        <f>[1]Sheet1!I$7/I$9</f>
        <v>5.4800642182095044E-2</v>
      </c>
      <c r="J49" s="11">
        <f>[1]Sheet1!J$7/J$9</f>
        <v>5.7083001770141452E-2</v>
      </c>
      <c r="K49" s="11">
        <f>[1]Sheet1!K$7/K$9</f>
        <v>5.6532097096130322E-2</v>
      </c>
      <c r="M49" t="str">
        <f t="shared" ca="1" si="8"/>
        <v>='D:\lizhengdong\交易框架\5_工具箱\_书库\编程\Excel\CH04\[chapter_02.xlsm]Sheet1'!K$7/K$9</v>
      </c>
    </row>
    <row r="50" spans="1:13">
      <c r="A50" s="2" t="s">
        <v>31</v>
      </c>
      <c r="B50" s="11">
        <f>B11/[1]Sheet1!B$3</f>
        <v>0.34082744234557888</v>
      </c>
      <c r="C50" s="11">
        <f>C11/[1]Sheet1!C$3</f>
        <v>0.37811009410854712</v>
      </c>
      <c r="D50" s="11">
        <f>D11/[1]Sheet1!D$3</f>
        <v>0.38681757656458055</v>
      </c>
      <c r="E50" s="11">
        <f>E11/[1]Sheet1!E$3</f>
        <v>0.38690879522970595</v>
      </c>
      <c r="F50" s="11">
        <f>F11/[1]Sheet1!F$3</f>
        <v>0.40363807650212657</v>
      </c>
      <c r="G50" s="11">
        <f>G11/[1]Sheet1!G$3</f>
        <v>0.40166059764512524</v>
      </c>
      <c r="H50" s="11">
        <f>H11/[1]Sheet1!H$3</f>
        <v>0.43314063684609549</v>
      </c>
      <c r="I50" s="11">
        <f>I11/[1]Sheet1!I$3</f>
        <v>0.48441926345609065</v>
      </c>
      <c r="J50" s="11">
        <f>J11/[1]Sheet1!J$3</f>
        <v>0.51110270214485976</v>
      </c>
      <c r="K50" s="11">
        <f>K11/[1]Sheet1!K$3</f>
        <v>0.56115361562599153</v>
      </c>
      <c r="M50" t="str">
        <f t="shared" ca="1" si="8"/>
        <v>=K11/'D:\lizhengdong\交易框架\5_工具箱\_书库\编程\Excel\CH04\[chapter_02.xlsm]Sheet1'!K$3</v>
      </c>
    </row>
    <row r="51" spans="1:13">
      <c r="A51" s="2"/>
    </row>
    <row r="52" spans="1:13">
      <c r="A52" s="2" t="s">
        <v>32</v>
      </c>
      <c r="B52" s="15">
        <f>B14/[1]Sheet1!B$3</f>
        <v>0.16120060261907521</v>
      </c>
      <c r="C52" s="16">
        <f>C14/[1]Sheet1!C$3</f>
        <v>0.15908211937604744</v>
      </c>
      <c r="D52" s="16">
        <f>D14/[1]Sheet1!D$3</f>
        <v>0.1584553928095872</v>
      </c>
      <c r="E52" s="16">
        <f>E14/[1]Sheet1!E$3</f>
        <v>0.14351538148800649</v>
      </c>
      <c r="F52" s="16">
        <f>F14/[1]Sheet1!F$3</f>
        <v>0.16737091478366881</v>
      </c>
      <c r="G52" s="16">
        <f>G14/[1]Sheet1!G$3</f>
        <v>0.15359111325219266</v>
      </c>
      <c r="H52" s="16">
        <f>H14/[1]Sheet1!H$3</f>
        <v>0.15532600454890069</v>
      </c>
      <c r="I52" s="16">
        <f>I14/[1]Sheet1!I$3</f>
        <v>0.14569248683501626</v>
      </c>
      <c r="J52" s="16">
        <f>J14/[1]Sheet1!J$3</f>
        <v>0.12717797003732434</v>
      </c>
      <c r="K52" s="16">
        <f>K14/[1]Sheet1!K$3</f>
        <v>0.1233473186898424</v>
      </c>
      <c r="M52" t="str">
        <f t="shared" ca="1" si="8"/>
        <v>=K14/'D:\lizhengdong\交易框架\5_工具箱\_书库\编程\Excel\CH04\[chapter_02.xlsm]Sheet1'!K$3</v>
      </c>
    </row>
    <row r="53" spans="1:13">
      <c r="A53" s="2" t="s">
        <v>33</v>
      </c>
      <c r="B53" s="16">
        <f>(B14/K14)^(1/9)-1</f>
        <v>7.9337461297802614E-2</v>
      </c>
      <c r="C53" s="22" t="str">
        <f ca="1">[2]!getformula(B53)</f>
        <v>&lt;--  =(B14/K14)^(1/9)-1</v>
      </c>
    </row>
    <row r="54" spans="1:13">
      <c r="A54" s="2"/>
    </row>
    <row r="55" spans="1:13">
      <c r="A55" s="1" t="s">
        <v>10</v>
      </c>
    </row>
    <row r="56" spans="1:13">
      <c r="A56" s="2" t="s">
        <v>34</v>
      </c>
      <c r="B56" s="16">
        <f>B19/[1]Sheet1!B$3</f>
        <v>8.8538648742612122E-2</v>
      </c>
      <c r="C56" s="16">
        <f>C19/[1]Sheet1!C$3</f>
        <v>9.7331442568003093E-2</v>
      </c>
      <c r="D56" s="16">
        <f>D19/[1]Sheet1!D$3</f>
        <v>8.3888149134487347E-2</v>
      </c>
      <c r="E56" s="16">
        <f>E19/[1]Sheet1!E$3</f>
        <v>8.7545737904865154E-2</v>
      </c>
      <c r="F56" s="16">
        <f>F19/[1]Sheet1!F$3</f>
        <v>8.3387595073495788E-2</v>
      </c>
      <c r="G56" s="16">
        <f>G19/[1]Sheet1!G$3</f>
        <v>8.2661490287204042E-2</v>
      </c>
      <c r="H56" s="16">
        <f>H19/[1]Sheet1!H$3</f>
        <v>8.1785443517816525E-2</v>
      </c>
      <c r="I56" s="16">
        <f>I19/[1]Sheet1!I$3</f>
        <v>7.5774691948070003E-2</v>
      </c>
      <c r="J56" s="16">
        <f>J19/[1]Sheet1!J$3</f>
        <v>7.6884707339307523E-2</v>
      </c>
      <c r="K56" s="16">
        <f>K19/[1]Sheet1!K$3</f>
        <v>9.1739237739308241E-2</v>
      </c>
      <c r="M56" t="str">
        <f t="shared" ca="1" si="8"/>
        <v>=K19/'D:\lizhengdong\交易框架\5_工具箱\_书库\编程\Excel\CH04\[chapter_02.xlsm]Sheet1'!K$3</v>
      </c>
    </row>
    <row r="57" spans="1:13">
      <c r="A57" s="2" t="s">
        <v>35</v>
      </c>
      <c r="B57" s="16">
        <f>B20/[1]Sheet1!B$3</f>
        <v>7.0228299918878204E-2</v>
      </c>
      <c r="C57" s="16">
        <f>C20/[1]Sheet1!C$3</f>
        <v>8.3666365863091396E-2</v>
      </c>
      <c r="D57" s="16">
        <f>D20/[1]Sheet1!D$3</f>
        <v>8.442077230359521E-2</v>
      </c>
      <c r="E57" s="16">
        <f>E20/[1]Sheet1!E$3</f>
        <v>7.6433121019108277E-2</v>
      </c>
      <c r="F57" s="16">
        <f>F20/[1]Sheet1!F$3</f>
        <v>6.9769052797827677E-2</v>
      </c>
      <c r="G57" s="16">
        <f>G20/[1]Sheet1!G$3</f>
        <v>7.3692562732901659E-2</v>
      </c>
      <c r="H57" s="16">
        <f>H20/[1]Sheet1!H$3</f>
        <v>7.6004548900682339E-2</v>
      </c>
      <c r="I57" s="16">
        <f>I20/[1]Sheet1!I$3</f>
        <v>7.342845722032014E-2</v>
      </c>
      <c r="J57" s="16">
        <f>J20/[1]Sheet1!J$3</f>
        <v>5.5625311752868126E-2</v>
      </c>
      <c r="K57" s="16">
        <f>K20/[1]Sheet1!K$3</f>
        <v>6.1277015830483374E-2</v>
      </c>
      <c r="M57" t="str">
        <f t="shared" ca="1" si="8"/>
        <v>=K20/'D:\lizhengdong\交易框架\5_工具箱\_书库\编程\Excel\CH04\[chapter_02.xlsm]Sheet1'!K$3</v>
      </c>
    </row>
    <row r="58" spans="1:13">
      <c r="A58" s="2" t="s">
        <v>36</v>
      </c>
      <c r="B58" s="16">
        <f>B21/[1]Sheet1!B$3</f>
        <v>1.3906594043342217E-3</v>
      </c>
      <c r="C58" s="16">
        <f>C21/[1]Sheet1!C$3</f>
        <v>3.3518112672424908E-3</v>
      </c>
      <c r="D58" s="16">
        <f>D21/[1]Sheet1!D$3</f>
        <v>1.4647137150466045E-3</v>
      </c>
      <c r="E58" s="16">
        <f>E21/[1]Sheet1!E$3</f>
        <v>1.0841577449518904E-3</v>
      </c>
      <c r="F58" s="16">
        <f>F21/[1]Sheet1!F$3</f>
        <v>2.0919632590293844E-3</v>
      </c>
      <c r="G58" s="16">
        <f>G21/[1]Sheet1!G$3</f>
        <v>5.7525822860138576E-3</v>
      </c>
      <c r="H58" s="16">
        <f>H21/[1]Sheet1!H$3</f>
        <v>8.6555471316654021E-3</v>
      </c>
      <c r="I58" s="16">
        <f>I21/[1]Sheet1!I$3</f>
        <v>1.1713794122247521E-2</v>
      </c>
      <c r="J58" s="16">
        <f>J21/[1]Sheet1!J$3</f>
        <v>8.2904762723817072E-3</v>
      </c>
      <c r="K58" s="16">
        <f>K21/[1]Sheet1!K$3</f>
        <v>1.0947360998483939E-2</v>
      </c>
      <c r="M58" t="str">
        <f t="shared" ca="1" si="8"/>
        <v>=K21/'D:\lizhengdong\交易框架\5_工具箱\_书库\编程\Excel\CH04\[chapter_02.xlsm]Sheet1'!K$3</v>
      </c>
    </row>
    <row r="59" spans="1:13">
      <c r="A59" s="2" t="s">
        <v>37</v>
      </c>
      <c r="B59" s="16">
        <f t="shared" ref="B59:K59" si="9">SUM(B56:B58)</f>
        <v>0.16015760806582455</v>
      </c>
      <c r="C59" s="16">
        <f t="shared" si="9"/>
        <v>0.18434961969833696</v>
      </c>
      <c r="D59" s="16">
        <f t="shared" si="9"/>
        <v>0.16977363515312918</v>
      </c>
      <c r="E59" s="16">
        <f t="shared" si="9"/>
        <v>0.16506301666892531</v>
      </c>
      <c r="F59" s="16">
        <f t="shared" si="9"/>
        <v>0.15524861113035285</v>
      </c>
      <c r="G59" s="16">
        <f t="shared" si="9"/>
        <v>0.16210663530611955</v>
      </c>
      <c r="H59" s="16">
        <f t="shared" si="9"/>
        <v>0.16644553955016428</v>
      </c>
      <c r="I59" s="16">
        <f t="shared" si="9"/>
        <v>0.16091694329063766</v>
      </c>
      <c r="J59" s="16">
        <f t="shared" si="9"/>
        <v>0.14080049536455735</v>
      </c>
      <c r="K59" s="16">
        <f t="shared" si="9"/>
        <v>0.16396361456827557</v>
      </c>
      <c r="M59" t="str">
        <f t="shared" ca="1" si="8"/>
        <v>=SUM(K56:K58)</v>
      </c>
    </row>
    <row r="60" spans="1:13">
      <c r="A60" s="4"/>
    </row>
    <row r="61" spans="1:13">
      <c r="A61" s="2" t="s">
        <v>12</v>
      </c>
    </row>
    <row r="62" spans="1:13">
      <c r="A62" s="20" t="s">
        <v>38</v>
      </c>
      <c r="B62" s="16">
        <f t="shared" ref="B62:K62" si="10">B23/B33</f>
        <v>0.95931546658056188</v>
      </c>
      <c r="C62" s="16">
        <f t="shared" si="10"/>
        <v>0.89826142949130716</v>
      </c>
      <c r="D62" s="16">
        <f t="shared" si="10"/>
        <v>0.59652777777777777</v>
      </c>
      <c r="E62" s="16">
        <f t="shared" si="10"/>
        <v>0.67795934635312871</v>
      </c>
      <c r="F62" s="16">
        <f t="shared" si="10"/>
        <v>0.59703536614839292</v>
      </c>
      <c r="G62" s="16">
        <f t="shared" si="10"/>
        <v>0.4751673672738595</v>
      </c>
      <c r="H62" s="16">
        <f t="shared" si="10"/>
        <v>0.44743840438013283</v>
      </c>
      <c r="I62" s="16">
        <f t="shared" si="10"/>
        <v>0.45655250495329752</v>
      </c>
      <c r="J62" s="16">
        <f t="shared" si="10"/>
        <v>0.48416021342028226</v>
      </c>
      <c r="K62" s="16">
        <f t="shared" si="10"/>
        <v>0.59280467131286496</v>
      </c>
      <c r="M62" s="21" t="str">
        <f ca="1">_xlfn.FORMULATEXT(K62)</f>
        <v>=K23/K33</v>
      </c>
    </row>
    <row r="63" spans="1:13">
      <c r="A63" s="20" t="s">
        <v>39</v>
      </c>
      <c r="B63" s="16">
        <f t="shared" ref="B63:K63" si="11">B23/B34</f>
        <v>0.32558904109589043</v>
      </c>
      <c r="C63" s="16">
        <f t="shared" si="11"/>
        <v>0.3129908009872111</v>
      </c>
      <c r="D63" s="16">
        <f t="shared" si="11"/>
        <v>0.23257073236767295</v>
      </c>
      <c r="E63" s="16">
        <f t="shared" si="11"/>
        <v>0.24767035527082121</v>
      </c>
      <c r="F63" s="16">
        <f t="shared" si="11"/>
        <v>0.23010525662123144</v>
      </c>
      <c r="G63" s="16">
        <f t="shared" si="11"/>
        <v>0.19708441631822807</v>
      </c>
      <c r="H63" s="16">
        <f t="shared" si="11"/>
        <v>0.19411595038938564</v>
      </c>
      <c r="I63" s="16">
        <f t="shared" si="11"/>
        <v>0.19978766699106432</v>
      </c>
      <c r="J63" s="16">
        <f t="shared" si="11"/>
        <v>0.23079640390695372</v>
      </c>
      <c r="K63" s="16">
        <f t="shared" si="11"/>
        <v>0.25983289851722202</v>
      </c>
      <c r="M63" s="21" t="str">
        <f ca="1">_xlfn.FORMULATEXT(K63)</f>
        <v>=K23/K34</v>
      </c>
    </row>
    <row r="64" spans="1:13">
      <c r="A64" s="2"/>
    </row>
    <row r="65" spans="1:13">
      <c r="A65" s="2" t="s">
        <v>40</v>
      </c>
      <c r="B65" s="16">
        <f>B26/[1]Sheet1!B$3</f>
        <v>0.11635183682929656</v>
      </c>
      <c r="C65" s="16">
        <f>C26/[1]Sheet1!C$3</f>
        <v>0.12504834343173907</v>
      </c>
      <c r="D65" s="16">
        <f>D26/[1]Sheet1!D$3</f>
        <v>0.13142476697736352</v>
      </c>
      <c r="E65" s="16">
        <f>E26/[1]Sheet1!E$3</f>
        <v>0.12901477164927497</v>
      </c>
      <c r="F65" s="16">
        <f>F26/[1]Sheet1!F$3</f>
        <v>0.11924190576467492</v>
      </c>
      <c r="G65" s="16">
        <f>G26/[1]Sheet1!G$3</f>
        <v>0.11860804511384729</v>
      </c>
      <c r="H65" s="16">
        <f>H26/[1]Sheet1!H$3</f>
        <v>0.12098812231488501</v>
      </c>
      <c r="I65" s="16">
        <f>I26/[1]Sheet1!I$3</f>
        <v>0.13954013799336104</v>
      </c>
      <c r="J65" s="16">
        <f>J26/[1]Sheet1!J$3</f>
        <v>5.2563683585888997E-2</v>
      </c>
      <c r="K65" s="16">
        <f>K26/[1]Sheet1!K$3</f>
        <v>6.11536156259916E-2</v>
      </c>
      <c r="M65" s="21" t="str">
        <f ca="1">_xlfn.FORMULATEXT(K65)</f>
        <v>=K26/'D:\lizhengdong\交易框架\5_工具箱\_书库\编程\Excel\CH04\[chapter_02.xlsm]Sheet1'!K$3</v>
      </c>
    </row>
    <row r="66" spans="1:13">
      <c r="A66" s="2" t="s">
        <v>41</v>
      </c>
      <c r="B66" s="16">
        <f>(B26/K26)^(1/9)-1</f>
        <v>0.12533297743866578</v>
      </c>
      <c r="C66" s="22" t="str">
        <f ca="1">[2]!getformula(B66)</f>
        <v>&lt;--  =(B26/K26)^(1/9)-1</v>
      </c>
    </row>
    <row r="67" spans="1:13">
      <c r="A67" s="2"/>
    </row>
    <row r="68" spans="1:13" ht="15.6">
      <c r="A68" s="27" t="s">
        <v>42</v>
      </c>
    </row>
    <row r="69" spans="1:13">
      <c r="A69" s="1" t="s">
        <v>1</v>
      </c>
    </row>
    <row r="70" spans="1:13">
      <c r="A70" s="2" t="s">
        <v>2</v>
      </c>
      <c r="B70" s="5" t="s">
        <v>43</v>
      </c>
    </row>
    <row r="71" spans="1:13">
      <c r="A71" s="2" t="s">
        <v>25</v>
      </c>
      <c r="B71" s="15">
        <f>AVERAGE(B43:K43)</f>
        <v>0.18279300645638166</v>
      </c>
      <c r="C71" s="5" t="str">
        <f ca="1">[2]!getformula(B71)</f>
        <v>&lt;--  =AVERAGE(B43:K43)</v>
      </c>
    </row>
    <row r="72" spans="1:13">
      <c r="A72" s="2" t="s">
        <v>26</v>
      </c>
      <c r="B72" s="15">
        <f>AVERAGE(B44:K44)</f>
        <v>0.12239396312101744</v>
      </c>
      <c r="C72" s="5" t="str">
        <f ca="1">[2]!getformula(B72)</f>
        <v>&lt;--  =AVERAGE(B44:K44)</v>
      </c>
    </row>
    <row r="73" spans="1:13">
      <c r="A73" s="2" t="s">
        <v>27</v>
      </c>
      <c r="B73" s="15">
        <f>AVERAGE(B45:K45)</f>
        <v>3.2065766582264128E-2</v>
      </c>
      <c r="C73" s="5" t="str">
        <f ca="1">[2]!getformula(B73)</f>
        <v>&lt;--  =AVERAGE(B45:K45)</v>
      </c>
    </row>
    <row r="74" spans="1:13">
      <c r="A74" s="2" t="s">
        <v>44</v>
      </c>
      <c r="B74" s="15">
        <f>AVERAGE(B46:K46)</f>
        <v>0.35113359506280745</v>
      </c>
      <c r="C74" s="5" t="str">
        <f ca="1">[2]!getformula(B74)</f>
        <v>&lt;--  =AVERAGE(B46:K46)</v>
      </c>
    </row>
    <row r="75" spans="1:13">
      <c r="A75" s="2"/>
    </row>
    <row r="76" spans="1:13">
      <c r="A76" s="2" t="s">
        <v>45</v>
      </c>
      <c r="B76" s="17" t="s">
        <v>46</v>
      </c>
    </row>
    <row r="77" spans="1:13">
      <c r="A77" s="2" t="s">
        <v>47</v>
      </c>
      <c r="B77" s="17" t="s">
        <v>48</v>
      </c>
    </row>
    <row r="78" spans="1:13">
      <c r="A78" s="2" t="s">
        <v>31</v>
      </c>
      <c r="B78" s="23">
        <f>B50</f>
        <v>0.34082744234557888</v>
      </c>
      <c r="C78" s="5" t="str">
        <f ca="1">[2]!getformula(B78)</f>
        <v>&lt;--  =B50</v>
      </c>
    </row>
    <row r="79" spans="1:13">
      <c r="A79" s="2"/>
    </row>
    <row r="80" spans="1:13">
      <c r="A80" s="2" t="s">
        <v>49</v>
      </c>
      <c r="B80" s="23">
        <f>B53</f>
        <v>7.9337461297802614E-2</v>
      </c>
      <c r="C80" s="5" t="str">
        <f ca="1">[2]!getformula(B80)</f>
        <v>&lt;--  =B53</v>
      </c>
    </row>
    <row r="81" spans="1:5">
      <c r="A81" s="2"/>
    </row>
    <row r="82" spans="1:5">
      <c r="A82" s="1" t="s">
        <v>10</v>
      </c>
    </row>
    <row r="83" spans="1:5">
      <c r="A83" s="2" t="s">
        <v>34</v>
      </c>
      <c r="B83" s="15">
        <f>AVERAGE(B56:K56)</f>
        <v>8.4953714425516982E-2</v>
      </c>
      <c r="C83" s="5" t="str">
        <f ca="1">[2]!getformula(B83)</f>
        <v>&lt;--  =AVERAGE(B56:K56)</v>
      </c>
    </row>
    <row r="84" spans="1:5">
      <c r="A84" s="2" t="s">
        <v>35</v>
      </c>
      <c r="B84" s="15">
        <f>AVERAGE(B57:K57)</f>
        <v>7.2454550833975645E-2</v>
      </c>
      <c r="C84" s="5" t="str">
        <f ca="1">[2]!getformula(B84)</f>
        <v>&lt;--  =AVERAGE(B57:K57)</v>
      </c>
    </row>
    <row r="85" spans="1:5">
      <c r="A85" s="2" t="s">
        <v>36</v>
      </c>
      <c r="B85" s="5">
        <f>B21</f>
        <v>12</v>
      </c>
      <c r="C85" s="5" t="s">
        <v>50</v>
      </c>
    </row>
    <row r="86" spans="1:5">
      <c r="A86" s="4"/>
    </row>
    <row r="87" spans="1:5">
      <c r="A87" s="2" t="s">
        <v>51</v>
      </c>
      <c r="B87" s="18">
        <v>0.32</v>
      </c>
      <c r="C87" s="5" t="s">
        <v>68</v>
      </c>
    </row>
    <row r="88" spans="1:5">
      <c r="A88" s="19" t="s">
        <v>52</v>
      </c>
      <c r="B88" s="24" t="s">
        <v>53</v>
      </c>
      <c r="C88" s="24"/>
      <c r="D88" s="24"/>
      <c r="E88" s="24"/>
    </row>
    <row r="89" spans="1:5">
      <c r="A89" s="2" t="s">
        <v>13</v>
      </c>
      <c r="B89" s="3">
        <f>B25</f>
        <v>128</v>
      </c>
      <c r="C89" s="5" t="s">
        <v>50</v>
      </c>
    </row>
    <row r="90" spans="1:5">
      <c r="A90" s="2" t="s">
        <v>54</v>
      </c>
      <c r="B90" s="15">
        <f>B66</f>
        <v>0.12533297743866578</v>
      </c>
      <c r="C90" s="5" t="str">
        <f ca="1">[2]!getformula(B90)</f>
        <v>&lt;--  =B66</v>
      </c>
    </row>
    <row r="91" spans="1:5">
      <c r="A91" s="2"/>
    </row>
    <row r="92" spans="1:5">
      <c r="A92" s="1" t="s">
        <v>15</v>
      </c>
    </row>
    <row r="93" spans="1:5">
      <c r="A93" s="2" t="s">
        <v>16</v>
      </c>
      <c r="B93" s="3">
        <f>B29</f>
        <v>484</v>
      </c>
    </row>
    <row r="94" spans="1:5">
      <c r="A94" s="2" t="s">
        <v>17</v>
      </c>
      <c r="B94" s="3">
        <f>B30</f>
        <v>102</v>
      </c>
    </row>
    <row r="95" spans="1:5">
      <c r="A95" s="2" t="s">
        <v>18</v>
      </c>
      <c r="B95" s="17" t="s">
        <v>55</v>
      </c>
    </row>
    <row r="96" spans="1:5">
      <c r="A96" s="2" t="s">
        <v>56</v>
      </c>
      <c r="B96" s="28" t="s">
        <v>69</v>
      </c>
    </row>
    <row r="99" spans="1:11">
      <c r="A99" s="1" t="s">
        <v>57</v>
      </c>
      <c r="B99" s="10">
        <v>2000</v>
      </c>
      <c r="C99" s="10">
        <v>1999</v>
      </c>
      <c r="D99" s="10">
        <v>1998</v>
      </c>
      <c r="E99" s="10">
        <v>1997</v>
      </c>
      <c r="F99" s="10">
        <v>1996</v>
      </c>
      <c r="G99" s="10">
        <v>1995</v>
      </c>
      <c r="H99" s="10">
        <v>1994</v>
      </c>
      <c r="I99" s="10">
        <v>1993</v>
      </c>
      <c r="J99" s="10">
        <v>1992</v>
      </c>
      <c r="K99" s="1"/>
    </row>
    <row r="100" spans="1:11">
      <c r="A100" s="2" t="s">
        <v>58</v>
      </c>
      <c r="B100" s="3">
        <f>[1]Sheet1!B$16</f>
        <v>276</v>
      </c>
      <c r="C100" s="3">
        <f>[1]Sheet1!C$16</f>
        <v>264</v>
      </c>
      <c r="D100" s="3">
        <f>[1]Sheet1!D$16</f>
        <v>252</v>
      </c>
      <c r="E100" s="3">
        <f>[1]Sheet1!E$16</f>
        <v>239</v>
      </c>
      <c r="F100" s="3">
        <f>[1]Sheet1!F$16</f>
        <v>236.6</v>
      </c>
      <c r="G100" s="3">
        <f>[1]Sheet1!G$16</f>
        <v>238.9</v>
      </c>
      <c r="H100" s="3">
        <f>[1]Sheet1!H$16</f>
        <v>237.8</v>
      </c>
      <c r="I100" s="3">
        <f>[1]Sheet1!I$16</f>
        <v>220.8</v>
      </c>
      <c r="J100" s="3">
        <f>[1]Sheet1!J$16</f>
        <v>199.6</v>
      </c>
      <c r="K100" s="25" t="str">
        <f ca="1">_xlfn.FORMULATEXT(J100)</f>
        <v>='D:\lizhengdong\交易框架\5_工具箱\_书库\编程\Excel\CH04\[chapter_02.xlsm]Sheet1'!J$16</v>
      </c>
    </row>
    <row r="101" spans="1:11" ht="26.4">
      <c r="A101" s="2" t="s">
        <v>59</v>
      </c>
      <c r="B101" s="3">
        <f t="shared" ref="B101:J101" si="12">-(SUM(B29:B30)-SUM(C29:C30))</f>
        <v>2</v>
      </c>
      <c r="C101" s="3">
        <f t="shared" si="12"/>
        <v>1</v>
      </c>
      <c r="D101" s="3">
        <f t="shared" si="12"/>
        <v>-6</v>
      </c>
      <c r="E101" s="3">
        <f t="shared" si="12"/>
        <v>-2.1000000000000227</v>
      </c>
      <c r="F101" s="3">
        <f t="shared" si="12"/>
        <v>-15.299999999999955</v>
      </c>
      <c r="G101" s="3">
        <f t="shared" si="12"/>
        <v>-13.800000000000068</v>
      </c>
      <c r="H101" s="3">
        <f t="shared" si="12"/>
        <v>-12.199999999999932</v>
      </c>
      <c r="I101" s="3">
        <f t="shared" si="12"/>
        <v>-64.700000000000045</v>
      </c>
      <c r="J101" s="3">
        <f t="shared" si="12"/>
        <v>-3.2999999999999545</v>
      </c>
      <c r="K101" s="25" t="str">
        <f ca="1">_xlfn.FORMULATEXT(J101)</f>
        <v>=-(SUM(J29:J30)-SUM(K29:K30))</v>
      </c>
    </row>
    <row r="102" spans="1:11" ht="26.4">
      <c r="A102" s="20" t="s">
        <v>60</v>
      </c>
      <c r="B102" s="3">
        <f t="shared" ref="B102:J102" si="13">B32-C32</f>
        <v>240</v>
      </c>
      <c r="C102" s="3">
        <f t="shared" si="13"/>
        <v>70</v>
      </c>
      <c r="D102" s="3">
        <f t="shared" si="13"/>
        <v>208</v>
      </c>
      <c r="E102" s="3">
        <f t="shared" si="13"/>
        <v>322.80000000000018</v>
      </c>
      <c r="F102" s="3">
        <f t="shared" si="13"/>
        <v>607.59999999999991</v>
      </c>
      <c r="G102" s="3">
        <f t="shared" si="13"/>
        <v>571</v>
      </c>
      <c r="H102" s="3">
        <f t="shared" si="13"/>
        <v>263.89999999999986</v>
      </c>
      <c r="I102" s="3">
        <f t="shared" si="13"/>
        <v>24.400000000000091</v>
      </c>
      <c r="J102" s="3">
        <f t="shared" si="13"/>
        <v>14.299999999999955</v>
      </c>
      <c r="K102" s="25" t="str">
        <f ca="1">_xlfn.FORMULATEXT(J102)</f>
        <v>=J32-K32</v>
      </c>
    </row>
    <row r="103" spans="1:11">
      <c r="A103" s="2" t="s">
        <v>61</v>
      </c>
      <c r="B103" s="3">
        <f t="shared" ref="B103:J103" si="14">SUM(B100:B102)</f>
        <v>518</v>
      </c>
      <c r="C103" s="3">
        <f t="shared" si="14"/>
        <v>335</v>
      </c>
      <c r="D103" s="3">
        <f t="shared" si="14"/>
        <v>454</v>
      </c>
      <c r="E103" s="3">
        <f t="shared" si="14"/>
        <v>559.70000000000016</v>
      </c>
      <c r="F103" s="3">
        <f t="shared" si="14"/>
        <v>828.9</v>
      </c>
      <c r="G103" s="3">
        <f t="shared" si="14"/>
        <v>796.09999999999991</v>
      </c>
      <c r="H103" s="3">
        <f t="shared" si="14"/>
        <v>489.49999999999994</v>
      </c>
      <c r="I103" s="3">
        <f t="shared" si="14"/>
        <v>180.50000000000006</v>
      </c>
      <c r="J103" s="3">
        <f t="shared" si="14"/>
        <v>210.6</v>
      </c>
      <c r="K103" s="25" t="str">
        <f ca="1">_xlfn.FORMULATEXT(J103)</f>
        <v>=SUM(J100:J102)</v>
      </c>
    </row>
    <row r="104" spans="1:11">
      <c r="A104" s="2"/>
      <c r="B104" s="3"/>
    </row>
    <row r="105" spans="1:11">
      <c r="A105" s="2"/>
      <c r="B105" s="3"/>
    </row>
    <row r="106" spans="1:11">
      <c r="A106" s="2"/>
    </row>
  </sheetData>
  <autoFilter ref="M1:M106" xr:uid="{F74BB0C1-0DD8-4FB5-B5BC-87C496726FA1}"/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71" fitToHeight="2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2024-10-15T03:33:45Z</cp:lastPrinted>
  <dcterms:created xsi:type="dcterms:W3CDTF">2024-10-05T13:27:14Z</dcterms:created>
  <dcterms:modified xsi:type="dcterms:W3CDTF">2024-10-16T09:52:11Z</dcterms:modified>
</cp:coreProperties>
</file>