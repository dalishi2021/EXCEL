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63FD0336-2724-4727-A58A-74A5738947D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  <c r="B21" i="1"/>
  <c r="B20" i="1"/>
  <c r="B19" i="1"/>
  <c r="B14" i="1"/>
  <c r="B15" i="1" s="1"/>
  <c r="B9" i="1"/>
  <c r="B8" i="1"/>
  <c r="B7" i="1"/>
  <c r="B5" i="1"/>
  <c r="B2" i="1"/>
  <c r="B4" i="1" s="1"/>
  <c r="C34" i="1"/>
  <c r="C6" i="1"/>
  <c r="C32" i="1"/>
  <c r="C5" i="1"/>
  <c r="C9" i="1"/>
  <c r="C7" i="1"/>
  <c r="C31" i="1"/>
  <c r="C4" i="1"/>
  <c r="C20" i="1"/>
  <c r="C30" i="1"/>
  <c r="C2" i="1"/>
  <c r="C15" i="1"/>
  <c r="C8" i="1"/>
  <c r="C27" i="1"/>
  <c r="C26" i="1"/>
  <c r="C25" i="1"/>
  <c r="C22" i="1"/>
  <c r="C21" i="1"/>
  <c r="C16" i="1"/>
  <c r="C19" i="1"/>
  <c r="B26" i="1" l="1"/>
  <c r="B30" i="1"/>
  <c r="B6" i="1"/>
  <c r="B31" i="1"/>
  <c r="B32" i="1" s="1"/>
  <c r="B22" i="1" l="1"/>
  <c r="B16" i="1"/>
  <c r="B34" i="1" s="1"/>
  <c r="B27" i="1"/>
</calcChain>
</file>

<file path=xl/sharedStrings.xml><?xml version="1.0" encoding="utf-8"?>
<sst xmlns="http://schemas.openxmlformats.org/spreadsheetml/2006/main" count="29" uniqueCount="22">
  <si>
    <t>COMPUTING THE WEIGHTED AVERAGE COST 
OF CAPITAL (WACC) FOR PPG</t>
  </si>
  <si>
    <t>Shares outstanding (million)</t>
  </si>
  <si>
    <t>Share price, end 2000</t>
  </si>
  <si>
    <t>Equity value, E</t>
  </si>
  <si>
    <t>Net debt, D</t>
  </si>
  <si>
    <r>
      <t>Cost of debt, r</t>
    </r>
    <r>
      <rPr>
        <vertAlign val="subscript"/>
        <sz val="10"/>
        <rFont val="Arial"/>
        <family val="2"/>
      </rPr>
      <t>D</t>
    </r>
  </si>
  <si>
    <r>
      <t>PPG's tax rate, T</t>
    </r>
    <r>
      <rPr>
        <vertAlign val="subscript"/>
        <sz val="10"/>
        <rFont val="Arial"/>
        <family val="2"/>
      </rPr>
      <t>C</t>
    </r>
  </si>
  <si>
    <r>
      <t>Market risk free rate, r</t>
    </r>
    <r>
      <rPr>
        <vertAlign val="subscript"/>
        <sz val="10"/>
        <rFont val="Arial"/>
        <family val="2"/>
      </rPr>
      <t>f</t>
    </r>
    <phoneticPr fontId="6" type="noConversion"/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</si>
  <si>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  <charset val="177"/>
      </rPr>
      <t>)</t>
    </r>
    <phoneticPr fontId="6" type="noConversion"/>
  </si>
  <si>
    <t>WACC based on Gordon per-share dividends and interest from financial statements</t>
  </si>
  <si>
    <t>Stock price, 31dec00</t>
  </si>
  <si>
    <t>Dividend, 2000</t>
  </si>
  <si>
    <t>Anticipated dividend growth</t>
  </si>
  <si>
    <r>
      <t>Cost of equity, r</t>
    </r>
    <r>
      <rPr>
        <vertAlign val="subscript"/>
        <sz val="10"/>
        <rFont val="Arial"/>
        <family val="2"/>
      </rPr>
      <t>E</t>
    </r>
  </si>
  <si>
    <t>WACC</t>
  </si>
  <si>
    <t>WACC based on Gordon equity payouts and interest from financial statements</t>
  </si>
  <si>
    <t>Total equity payout, 2000</t>
  </si>
  <si>
    <t>Anticipated growth of this payout</t>
  </si>
  <si>
    <t>WACC based on classic CAPM and interest from financial statements</t>
  </si>
  <si>
    <t>PPG beta</t>
  </si>
  <si>
    <t>WACC based on tax-adjusted CAPM and interest from financial statements</t>
  </si>
  <si>
    <t>Estimated WACC?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</si>
</sst>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%"/>
    <numFmt numFmtId="177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vertAlign val="subscript"/>
      <sz val="10"/>
      <name val="Arial"/>
      <family val="2"/>
    </font>
    <font>
      <sz val="8"/>
      <name val="Arial"/>
      <family val="2"/>
      <charset val="177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9">
    <xf numFmtId="0" fontId="0" fillId="0" borderId="0" xfId="0">
      <alignment vertical="center"/>
    </xf>
    <xf numFmtId="0" fontId="3" fillId="0" borderId="0" xfId="2"/>
    <xf numFmtId="3" fontId="3" fillId="0" borderId="0" xfId="2" applyNumberFormat="1"/>
    <xf numFmtId="10" fontId="3" fillId="0" borderId="0" xfId="2" applyNumberFormat="1"/>
    <xf numFmtId="0" fontId="7" fillId="0" borderId="0" xfId="2" applyFont="1"/>
    <xf numFmtId="0" fontId="0" fillId="0" borderId="0" xfId="0" applyAlignment="1"/>
    <xf numFmtId="2" fontId="0" fillId="0" borderId="0" xfId="0" applyNumberFormat="1" applyAlignment="1"/>
    <xf numFmtId="10" fontId="0" fillId="0" borderId="0" xfId="0" applyNumberFormat="1" applyAlignment="1"/>
    <xf numFmtId="0" fontId="3" fillId="2" borderId="0" xfId="2" applyFill="1"/>
    <xf numFmtId="10" fontId="3" fillId="2" borderId="0" xfId="1" applyNumberFormat="1" applyFont="1" applyFill="1" applyAlignment="1"/>
    <xf numFmtId="176" fontId="3" fillId="0" borderId="0" xfId="1" applyNumberFormat="1" applyFont="1" applyFill="1" applyAlignment="1"/>
    <xf numFmtId="1" fontId="0" fillId="0" borderId="0" xfId="0" applyNumberFormat="1" applyAlignment="1"/>
    <xf numFmtId="0" fontId="8" fillId="0" borderId="0" xfId="2" applyFont="1"/>
    <xf numFmtId="177" fontId="3" fillId="0" borderId="0" xfId="2" applyNumberFormat="1"/>
    <xf numFmtId="10" fontId="3" fillId="0" borderId="0" xfId="1" applyNumberFormat="1" applyFont="1" applyAlignment="1"/>
    <xf numFmtId="0" fontId="7" fillId="2" borderId="0" xfId="2" applyFont="1" applyFill="1"/>
    <xf numFmtId="10" fontId="3" fillId="2" borderId="0" xfId="2" applyNumberFormat="1" applyFill="1"/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3">
    <cellStyle name="Normal_Cascade Corp" xfId="2" xr:uid="{AF915B77-713B-4EF8-B5CD-51E63E57D536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4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4370614</xdr:colOff>
      <xdr:row>2</xdr:row>
      <xdr:rowOff>0</xdr:rowOff>
    </xdr:from>
    <xdr:to>
      <xdr:col>15</xdr:col>
      <xdr:colOff>322489</xdr:colOff>
      <xdr:row>40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A9476A4-5EF1-E95E-9A59-C8AA52A81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41771" y="391886"/>
          <a:ext cx="7962900" cy="691242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1.xlsm" TargetMode="External"/><Relationship Id="rId1" Type="http://schemas.openxmlformats.org/officeDocument/2006/relationships/externalLinkPath" Target="chapter_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10.xlsm" TargetMode="External"/><Relationship Id="rId1" Type="http://schemas.openxmlformats.org/officeDocument/2006/relationships/externalLinkPath" Target="chapter_10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2.xlsm" TargetMode="External"/><Relationship Id="rId1" Type="http://schemas.openxmlformats.org/officeDocument/2006/relationships/externalLinkPath" Target="chapter_0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9.xlsm" TargetMode="External"/><Relationship Id="rId1" Type="http://schemas.openxmlformats.org/officeDocument/2006/relationships/externalLinkPath" Target="chapter_09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5.xlsm" TargetMode="External"/><Relationship Id="rId1" Type="http://schemas.openxmlformats.org/officeDocument/2006/relationships/externalLinkPath" Target="chapter_05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7.xlsm" TargetMode="External"/><Relationship Id="rId1" Type="http://schemas.openxmlformats.org/officeDocument/2006/relationships/externalLinkPath" Target="chapter_07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8.xlsm" TargetMode="External"/><Relationship Id="rId1" Type="http://schemas.openxmlformats.org/officeDocument/2006/relationships/externalLinkPath" Target="chapter_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">
          <cell r="B3">
            <v>111</v>
          </cell>
        </row>
        <row r="23">
          <cell r="B23">
            <v>2971</v>
          </cell>
        </row>
        <row r="24">
          <cell r="B24">
            <v>543</v>
          </cell>
        </row>
        <row r="25">
          <cell r="B25">
            <v>128</v>
          </cell>
        </row>
        <row r="26">
          <cell r="B26">
            <v>1004</v>
          </cell>
        </row>
        <row r="37">
          <cell r="B37">
            <v>168.22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7">
          <cell r="B7">
            <v>6.7002256552681827E-2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44">
          <cell r="B44">
            <v>0.36283185840707965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5">
          <cell r="B5">
            <v>7.6562500000000006E-2</v>
          </cell>
        </row>
        <row r="6">
          <cell r="B6">
            <v>5.1416666666666703E-3</v>
          </cell>
        </row>
        <row r="10">
          <cell r="B10">
            <v>0.86717863603105427</v>
          </cell>
        </row>
        <row r="11">
          <cell r="B11">
            <v>6.7076287500867929E-2</v>
          </cell>
        </row>
        <row r="15">
          <cell r="B15">
            <v>6.6828501214413472E-2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1">
          <cell r="F11">
            <v>518</v>
          </cell>
        </row>
        <row r="13">
          <cell r="B13">
            <v>6.8811408710489408E-2</v>
          </cell>
          <cell r="F13">
            <v>0.11907430517493345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0">
          <cell r="B20">
            <v>0.13341864617541432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B2">
            <v>0.86717863603105427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34"/>
  <sheetViews>
    <sheetView tabSelected="1" zoomScale="175" zoomScaleNormal="175" workbookViewId="0">
      <selection activeCell="C25" sqref="C25"/>
    </sheetView>
  </sheetViews>
  <sheetFormatPr defaultRowHeight="13.8" x14ac:dyDescent="0.25"/>
  <cols>
    <col min="1" max="1" width="30.109375" style="1" customWidth="1"/>
    <col min="2" max="2" width="17.5546875" style="1" bestFit="1" customWidth="1"/>
    <col min="3" max="3" width="68.33203125" style="1" bestFit="1" customWidth="1"/>
  </cols>
  <sheetData>
    <row r="1" spans="1:3" ht="17.399999999999999" x14ac:dyDescent="0.25">
      <c r="A1" s="17" t="s">
        <v>0</v>
      </c>
      <c r="B1" s="18"/>
      <c r="C1" s="18"/>
    </row>
    <row r="2" spans="1:3" x14ac:dyDescent="0.25">
      <c r="A2" s="1" t="s">
        <v>1</v>
      </c>
      <c r="B2" s="2">
        <f>[1]Sheet1!$B$37</f>
        <v>168.22</v>
      </c>
      <c r="C2" s="1" t="str">
        <f ca="1">[2]!getformula(B2)</f>
        <v>&lt;--  =[chapter_01.xlsm]Sheet1!$B$37</v>
      </c>
    </row>
    <row r="3" spans="1:3" x14ac:dyDescent="0.25">
      <c r="A3" s="1" t="s">
        <v>2</v>
      </c>
      <c r="B3" s="1">
        <v>46.314999999999998</v>
      </c>
    </row>
    <row r="4" spans="1:3" x14ac:dyDescent="0.25">
      <c r="A4" s="1" t="s">
        <v>3</v>
      </c>
      <c r="B4" s="2">
        <f>B2*B3</f>
        <v>7791.1092999999992</v>
      </c>
      <c r="C4" s="1" t="str">
        <f ca="1">[2]!getformula(B4)</f>
        <v>&lt;--  =B2*B3</v>
      </c>
    </row>
    <row r="5" spans="1:3" x14ac:dyDescent="0.25">
      <c r="A5" s="1" t="s">
        <v>4</v>
      </c>
      <c r="B5" s="2">
        <f>SUM([1]Sheet1!$B$23:$B$26)-[1]Sheet1!$B$3</f>
        <v>4535</v>
      </c>
      <c r="C5" s="1" t="str">
        <f ca="1">[2]!getformula(B5)</f>
        <v>&lt;--  =SUM([chapter_01.xlsm]Sheet1!$B$23:$B$26)-[chapter_01.xlsm]Sheet1!$B$3</v>
      </c>
    </row>
    <row r="6" spans="1:3" ht="15.6" x14ac:dyDescent="0.35">
      <c r="A6" s="1" t="s">
        <v>5</v>
      </c>
      <c r="B6" s="3">
        <f>[3]Sheet1!$B$7</f>
        <v>6.7002256552681827E-2</v>
      </c>
      <c r="C6" s="1" t="str">
        <f ca="1">[2]!getformula(B6)</f>
        <v>&lt;--  =[chapter_10.xlsm]Sheet1!$B$7</v>
      </c>
    </row>
    <row r="7" spans="1:3" ht="15.6" x14ac:dyDescent="0.35">
      <c r="A7" s="1" t="s">
        <v>6</v>
      </c>
      <c r="B7" s="3">
        <f>[4]Sheet1!$B$44</f>
        <v>0.36283185840707965</v>
      </c>
      <c r="C7" s="1" t="str">
        <f ca="1">[2]!getformula(B7)</f>
        <v>&lt;--  =[chapter_02.xlsm]Sheet1!$B$44</v>
      </c>
    </row>
    <row r="8" spans="1:3" ht="15.6" x14ac:dyDescent="0.35">
      <c r="A8" s="1" t="s">
        <v>7</v>
      </c>
      <c r="B8" s="3">
        <f>[5]Sheet1!$B$6</f>
        <v>5.1416666666666703E-3</v>
      </c>
      <c r="C8" s="1" t="str">
        <f ca="1">[2]!getformula(B8)</f>
        <v>&lt;--  =[chapter_09.xlsm]Sheet1!$B$6</v>
      </c>
    </row>
    <row r="9" spans="1:3" ht="15.6" x14ac:dyDescent="0.35">
      <c r="A9" s="1" t="s">
        <v>8</v>
      </c>
      <c r="B9" s="3">
        <f>[5]Sheet1!$B$5</f>
        <v>7.6562500000000006E-2</v>
      </c>
      <c r="C9" s="1" t="str">
        <f ca="1">[2]!getformula(B9)</f>
        <v>&lt;--  =[chapter_09.xlsm]Sheet1!$B$5</v>
      </c>
    </row>
    <row r="11" spans="1:3" x14ac:dyDescent="0.25">
      <c r="A11" s="4" t="s">
        <v>9</v>
      </c>
    </row>
    <row r="12" spans="1:3" x14ac:dyDescent="0.25">
      <c r="A12" s="5" t="s">
        <v>10</v>
      </c>
      <c r="B12" s="6">
        <v>46.3125</v>
      </c>
    </row>
    <row r="13" spans="1:3" x14ac:dyDescent="0.25">
      <c r="A13" s="5" t="s">
        <v>11</v>
      </c>
      <c r="B13" s="6">
        <v>1.6</v>
      </c>
    </row>
    <row r="14" spans="1:3" x14ac:dyDescent="0.25">
      <c r="A14" s="5" t="s">
        <v>12</v>
      </c>
      <c r="B14" s="7">
        <f>[6]Sheet1!$B$13</f>
        <v>6.8811408710489408E-2</v>
      </c>
    </row>
    <row r="15" spans="1:3" ht="15.6" x14ac:dyDescent="0.35">
      <c r="A15" s="1" t="s">
        <v>13</v>
      </c>
      <c r="B15" s="3">
        <f>B13*(1+B14)/B12+B14</f>
        <v>0.10573660717606098</v>
      </c>
      <c r="C15" s="1" t="str">
        <f ca="1">[2]!getformula(B15)</f>
        <v>&lt;--  =B13*(1+B14)/B12+B14</v>
      </c>
    </row>
    <row r="16" spans="1:3" x14ac:dyDescent="0.25">
      <c r="A16" s="8" t="s">
        <v>14</v>
      </c>
      <c r="B16" s="9">
        <f>$B$4/($B$4+$B$5)*B15+$B$5/($B$4+$B$5)*$B$6*(1-$B$7)</f>
        <v>8.2541239346379316E-2</v>
      </c>
      <c r="C16" s="1" t="str">
        <f ca="1">[2]!getformula(B16)</f>
        <v>&lt;--  =$B$4/($B$4+$B$5)*B15+$B$5/($B$4+$B$5)*$B$6*(1-$B$7)</v>
      </c>
    </row>
    <row r="17" spans="1:3" x14ac:dyDescent="0.25">
      <c r="B17" s="10"/>
    </row>
    <row r="18" spans="1:3" x14ac:dyDescent="0.25">
      <c r="A18" s="4" t="s">
        <v>15</v>
      </c>
    </row>
    <row r="19" spans="1:3" x14ac:dyDescent="0.25">
      <c r="A19" s="5" t="s">
        <v>16</v>
      </c>
      <c r="B19" s="11">
        <f>[6]Sheet1!$F$11</f>
        <v>518</v>
      </c>
      <c r="C19" s="1" t="str">
        <f ca="1">[2]!getformula(B19)</f>
        <v>&lt;--  =[chapter_05.xlsm]Sheet1!$F$11</v>
      </c>
    </row>
    <row r="20" spans="1:3" x14ac:dyDescent="0.25">
      <c r="A20" s="5" t="s">
        <v>17</v>
      </c>
      <c r="B20" s="7">
        <f>[6]Sheet1!$F$13</f>
        <v>0.11907430517493345</v>
      </c>
      <c r="C20" s="1" t="str">
        <f ca="1">[2]!getformula(B20)</f>
        <v>&lt;--  =[chapter_05.xlsm]Sheet1!$F$13</v>
      </c>
    </row>
    <row r="21" spans="1:3" ht="15.6" x14ac:dyDescent="0.35">
      <c r="A21" s="1" t="s">
        <v>13</v>
      </c>
      <c r="B21" s="3">
        <f>[7]Sheet1!$B$20</f>
        <v>0.13341864617541432</v>
      </c>
      <c r="C21" s="1" t="str">
        <f ca="1">[2]!getformula(B21)</f>
        <v>&lt;--  =[chapter_07.xlsm]Sheet1!$B$20</v>
      </c>
    </row>
    <row r="22" spans="1:3" x14ac:dyDescent="0.25">
      <c r="A22" s="8" t="s">
        <v>14</v>
      </c>
      <c r="B22" s="9">
        <f>$B$4/($B$4+$B$5)*B21+$B$5/($B$4+$B$5)*$B$6*(1-$B$7)</f>
        <v>0.10003855226496787</v>
      </c>
      <c r="C22" s="1" t="str">
        <f ca="1">[2]!getformula(B22)</f>
        <v>&lt;--  =$B$4/($B$4+$B$5)*B21+$B$5/($B$4+$B$5)*$B$6*(1-$B$7)</v>
      </c>
    </row>
    <row r="23" spans="1:3" x14ac:dyDescent="0.25">
      <c r="B23" s="10"/>
    </row>
    <row r="24" spans="1:3" x14ac:dyDescent="0.25">
      <c r="A24" s="4" t="s">
        <v>18</v>
      </c>
    </row>
    <row r="25" spans="1:3" x14ac:dyDescent="0.25">
      <c r="A25" s="12" t="s">
        <v>19</v>
      </c>
      <c r="B25" s="13">
        <f>[8]Sheet1!$B$2</f>
        <v>0.86717863603105427</v>
      </c>
      <c r="C25" s="1" t="str">
        <f ca="1">[2]!getformula(B25)</f>
        <v>&lt;--  =[chapter_08.xlsm]Sheet1!$B$2</v>
      </c>
    </row>
    <row r="26" spans="1:3" ht="15.6" x14ac:dyDescent="0.35">
      <c r="A26" s="5" t="s">
        <v>13</v>
      </c>
      <c r="B26" s="14">
        <f>[5]Sheet1!$B$11</f>
        <v>6.7076287500867929E-2</v>
      </c>
      <c r="C26" s="1" t="str">
        <f ca="1">[2]!getformula(B26)</f>
        <v>&lt;--  =[chapter_09.xlsm]Sheet1!$B$11</v>
      </c>
    </row>
    <row r="27" spans="1:3" x14ac:dyDescent="0.25">
      <c r="A27" s="8" t="s">
        <v>14</v>
      </c>
      <c r="B27" s="9">
        <f>$B$4/($B$4+$B$5)*B26+$B$5/($B$4+$B$5)*$B$6*(1-$B$7)</f>
        <v>5.8104755064808854E-2</v>
      </c>
      <c r="C27" s="1" t="str">
        <f ca="1">[2]!getformula(B27)</f>
        <v>&lt;--  =$B$4/($B$4+$B$5)*B26+$B$5/($B$4+$B$5)*$B$6*(1-$B$7)</v>
      </c>
    </row>
    <row r="29" spans="1:3" x14ac:dyDescent="0.25">
      <c r="A29" s="4" t="s">
        <v>20</v>
      </c>
    </row>
    <row r="30" spans="1:3" x14ac:dyDescent="0.25">
      <c r="A30" s="12" t="s">
        <v>19</v>
      </c>
      <c r="B30" s="13">
        <f>[5]Sheet1!$B$10</f>
        <v>0.86717863603105427</v>
      </c>
      <c r="C30" s="1" t="str">
        <f ca="1">[2]!getformula(B30)</f>
        <v>&lt;--  =[chapter_09.xlsm]Sheet1!$B$10</v>
      </c>
    </row>
    <row r="31" spans="1:3" ht="15.6" x14ac:dyDescent="0.35">
      <c r="A31" s="5" t="s">
        <v>13</v>
      </c>
      <c r="B31" s="14">
        <f>[5]Sheet1!$B$15</f>
        <v>6.6828501214413472E-2</v>
      </c>
      <c r="C31" s="1" t="str">
        <f ca="1">[2]!getformula(B31)</f>
        <v>&lt;--  =[chapter_09.xlsm]Sheet1!$B$15</v>
      </c>
    </row>
    <row r="32" spans="1:3" x14ac:dyDescent="0.25">
      <c r="A32" s="8" t="s">
        <v>14</v>
      </c>
      <c r="B32" s="9">
        <f>$B$4/($B$4+$B$5)*B31+$B$5/($B$4+$B$5)*$B$6*(1-$B$7)</f>
        <v>5.7948133863923688E-2</v>
      </c>
      <c r="C32" s="1" t="str">
        <f ca="1">[2]!getformula(B32)</f>
        <v>&lt;--  =$B$4/($B$4+$B$5)*B31+$B$5/($B$4+$B$5)*$B$6*(1-$B$7)</v>
      </c>
    </row>
    <row r="34" spans="1:3" x14ac:dyDescent="0.25">
      <c r="A34" s="15" t="s">
        <v>21</v>
      </c>
      <c r="B34" s="16">
        <f>AVERAGE(B16,B22,B27,B32)</f>
        <v>7.4658170135019936E-2</v>
      </c>
      <c r="C34" s="1" t="str">
        <f ca="1">[2]!getformula(B34)</f>
        <v>&lt;--  =AVERAGE(B16,B22,B27,B32)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2024-10-16T08:30:02Z</dcterms:modified>
</cp:coreProperties>
</file>