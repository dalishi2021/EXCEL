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F2A23333-5FE8-45DC-B0B6-AF003935160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1" l="1"/>
  <c r="D30" i="1"/>
  <c r="D28" i="1"/>
  <c r="B24" i="1"/>
  <c r="B25" i="1" s="1"/>
  <c r="B33" i="1" s="1"/>
  <c r="D23" i="1"/>
  <c r="D22" i="1"/>
  <c r="D24" i="1" s="1"/>
  <c r="D20" i="1"/>
  <c r="E12" i="1"/>
  <c r="E7" i="1"/>
  <c r="E13" i="1" s="1"/>
  <c r="E6" i="1"/>
  <c r="E8" i="1" s="1"/>
  <c r="E11" i="1" s="1"/>
  <c r="E14" i="1" s="1"/>
  <c r="D19" i="1" s="1"/>
  <c r="E33" i="1"/>
  <c r="E29" i="1"/>
  <c r="E23" i="1"/>
  <c r="E20" i="1"/>
  <c r="E19" i="1"/>
  <c r="F14" i="1"/>
  <c r="F12" i="1"/>
  <c r="F11" i="1"/>
  <c r="D25" i="1" l="1"/>
  <c r="B34" i="1"/>
  <c r="D33" i="1"/>
  <c r="D34" i="1"/>
  <c r="D29" i="1"/>
</calcChain>
</file>

<file path=xl/sharedStrings.xml><?xml version="1.0" encoding="utf-8"?>
<sst xmlns="http://schemas.openxmlformats.org/spreadsheetml/2006/main" count="36" uniqueCount="34">
  <si>
    <t>TAXES PAYABLE</t>
  </si>
  <si>
    <t>2003 Profit &amp; Loss</t>
  </si>
  <si>
    <t>Sales</t>
  </si>
  <si>
    <t>Actual taxes paid</t>
  </si>
  <si>
    <t>Costs</t>
  </si>
  <si>
    <t>Depreciation</t>
  </si>
  <si>
    <t>PBT</t>
  </si>
  <si>
    <t>Taxes (40%)</t>
  </si>
  <si>
    <t>PAT</t>
  </si>
  <si>
    <t>Cash flow</t>
  </si>
  <si>
    <t>Add back depreciation</t>
  </si>
  <si>
    <t>Increase in taxes payable</t>
  </si>
  <si>
    <t>Balance Sheet</t>
  </si>
  <si>
    <t>Assets</t>
  </si>
  <si>
    <t>Cash</t>
  </si>
  <si>
    <t>Other current assets</t>
  </si>
  <si>
    <t>FA at cost</t>
  </si>
  <si>
    <t>Accumulated depreciation</t>
  </si>
  <si>
    <t>Net fixed assets</t>
  </si>
  <si>
    <t>Total assets</t>
  </si>
  <si>
    <t>Liabilities and equity</t>
  </si>
  <si>
    <t>Current liabilities</t>
  </si>
  <si>
    <t xml:space="preserve">      Taxes payable</t>
  </si>
  <si>
    <t>Debt</t>
  </si>
  <si>
    <t>Equity</t>
  </si>
  <si>
    <t xml:space="preserve">     Stock</t>
  </si>
  <si>
    <t xml:space="preserve">     Accumulated retained</t>
  </si>
  <si>
    <t>Total liabilities and equity</t>
  </si>
  <si>
    <t>Assumptions:</t>
  </si>
  <si>
    <t>1.  All COGS in cash</t>
  </si>
  <si>
    <t>2.  All Sales in cash</t>
  </si>
  <si>
    <t>3.  No new assets purchased</t>
  </si>
  <si>
    <t>4.  No debt repaid or taken out</t>
  </si>
  <si>
    <t>5.  No dividends paid or stock sold or repurchased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</si>
</sst>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4" fillId="0" borderId="0" xfId="0" applyFont="1" applyAlignment="1"/>
    <xf numFmtId="0" fontId="3" fillId="0" borderId="0" xfId="0" applyFont="1" applyAlignment="1">
      <alignment horizontal="center"/>
    </xf>
    <xf numFmtId="0" fontId="5" fillId="0" borderId="0" xfId="0" applyFont="1" applyAlignment="1"/>
    <xf numFmtId="0" fontId="0" fillId="2" borderId="0" xfId="0" applyFill="1" applyAlignment="1"/>
    <xf numFmtId="0" fontId="5" fillId="2" borderId="0" xfId="0" applyFont="1" applyFill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422910</xdr:colOff>
      <xdr:row>19</xdr:row>
      <xdr:rowOff>53340</xdr:rowOff>
    </xdr:from>
    <xdr:to>
      <xdr:col>7</xdr:col>
      <xdr:colOff>346710</xdr:colOff>
      <xdr:row>21</xdr:row>
      <xdr:rowOff>91440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926AE754-6C1C-49F6-8227-70BC6F572A56}"/>
            </a:ext>
          </a:extLst>
        </xdr:cNvPr>
        <xdr:cNvSpPr txBox="1">
          <a:spLocks noChangeArrowheads="1"/>
        </xdr:cNvSpPr>
      </xdr:nvSpPr>
      <xdr:spPr bwMode="auto">
        <a:xfrm>
          <a:off x="5815965" y="3390900"/>
          <a:ext cx="1600200" cy="381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Depreciation is reported</a:t>
          </a:r>
        </a:p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from the shareholder P&amp;L</a:t>
          </a:r>
        </a:p>
      </xdr:txBody>
    </xdr:sp>
    <xdr:clientData/>
  </xdr:twoCellAnchor>
  <xdr:twoCellAnchor>
    <xdr:from>
      <xdr:col>4</xdr:col>
      <xdr:colOff>0</xdr:colOff>
      <xdr:row>20</xdr:row>
      <xdr:rowOff>106680</xdr:rowOff>
    </xdr:from>
    <xdr:to>
      <xdr:col>5</xdr:col>
      <xdr:colOff>411480</xdr:colOff>
      <xdr:row>22</xdr:row>
      <xdr:rowOff>30480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70633CF-9E99-4EA9-83D0-83EF14C8C778}"/>
            </a:ext>
          </a:extLst>
        </xdr:cNvPr>
        <xdr:cNvSpPr>
          <a:spLocks noChangeShapeType="1"/>
        </xdr:cNvSpPr>
      </xdr:nvSpPr>
      <xdr:spPr bwMode="auto">
        <a:xfrm flipH="1">
          <a:off x="4629150" y="3609975"/>
          <a:ext cx="1171575" cy="266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323850</xdr:colOff>
      <xdr:row>14</xdr:row>
      <xdr:rowOff>106680</xdr:rowOff>
    </xdr:from>
    <xdr:to>
      <xdr:col>7</xdr:col>
      <xdr:colOff>87630</xdr:colOff>
      <xdr:row>17</xdr:row>
      <xdr:rowOff>91440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4D56B49A-86F8-407C-89C8-C0983B69FAAA}"/>
            </a:ext>
          </a:extLst>
        </xdr:cNvPr>
        <xdr:cNvSpPr txBox="1">
          <a:spLocks noChangeArrowheads="1"/>
        </xdr:cNvSpPr>
      </xdr:nvSpPr>
      <xdr:spPr bwMode="auto">
        <a:xfrm>
          <a:off x="5711190" y="2552700"/>
          <a:ext cx="1447800" cy="533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Cash balances grow by the cash flow</a:t>
          </a:r>
        </a:p>
      </xdr:txBody>
    </xdr:sp>
    <xdr:clientData/>
  </xdr:twoCellAnchor>
  <xdr:twoCellAnchor>
    <xdr:from>
      <xdr:col>3</xdr:col>
      <xdr:colOff>1082040</xdr:colOff>
      <xdr:row>15</xdr:row>
      <xdr:rowOff>83820</xdr:rowOff>
    </xdr:from>
    <xdr:to>
      <xdr:col>5</xdr:col>
      <xdr:colOff>335280</xdr:colOff>
      <xdr:row>18</xdr:row>
      <xdr:rowOff>15240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AE8BC0F7-0791-4F12-B131-7A62D2068AAD}"/>
            </a:ext>
          </a:extLst>
        </xdr:cNvPr>
        <xdr:cNvSpPr>
          <a:spLocks noChangeShapeType="1"/>
        </xdr:cNvSpPr>
      </xdr:nvSpPr>
      <xdr:spPr bwMode="auto">
        <a:xfrm flipH="1">
          <a:off x="4181475" y="2705100"/>
          <a:ext cx="1543050" cy="476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346710</xdr:colOff>
      <xdr:row>28</xdr:row>
      <xdr:rowOff>64770</xdr:rowOff>
    </xdr:from>
    <xdr:to>
      <xdr:col>7</xdr:col>
      <xdr:colOff>270510</xdr:colOff>
      <xdr:row>32</xdr:row>
      <xdr:rowOff>95250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2C51405B-F30B-42D3-8B8F-E553783A22FD}"/>
            </a:ext>
          </a:extLst>
        </xdr:cNvPr>
        <xdr:cNvSpPr txBox="1">
          <a:spLocks noChangeArrowheads="1"/>
        </xdr:cNvSpPr>
      </xdr:nvSpPr>
      <xdr:spPr bwMode="auto">
        <a:xfrm>
          <a:off x="5739765" y="4939665"/>
          <a:ext cx="1600200" cy="7143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Accumulated retained earnings grow by the PAT from the shareholder P&amp;L (there are no dividends)</a:t>
          </a:r>
        </a:p>
      </xdr:txBody>
    </xdr:sp>
    <xdr:clientData/>
  </xdr:twoCellAnchor>
  <xdr:twoCellAnchor>
    <xdr:from>
      <xdr:col>4</xdr:col>
      <xdr:colOff>0</xdr:colOff>
      <xdr:row>29</xdr:row>
      <xdr:rowOff>76200</xdr:rowOff>
    </xdr:from>
    <xdr:to>
      <xdr:col>5</xdr:col>
      <xdr:colOff>358140</xdr:colOff>
      <xdr:row>32</xdr:row>
      <xdr:rowOff>30480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9F55431B-D6DE-488B-8788-73C2E5B76840}"/>
            </a:ext>
          </a:extLst>
        </xdr:cNvPr>
        <xdr:cNvSpPr>
          <a:spLocks noChangeShapeType="1"/>
        </xdr:cNvSpPr>
      </xdr:nvSpPr>
      <xdr:spPr bwMode="auto">
        <a:xfrm flipH="1">
          <a:off x="4629150" y="5124450"/>
          <a:ext cx="1123950" cy="466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316230</xdr:colOff>
      <xdr:row>36</xdr:row>
      <xdr:rowOff>30480</xdr:rowOff>
    </xdr:from>
    <xdr:to>
      <xdr:col>4</xdr:col>
      <xdr:colOff>502945</xdr:colOff>
      <xdr:row>39</xdr:row>
      <xdr:rowOff>91538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79C45719-B0CB-4078-B331-A6C97CD81468}"/>
            </a:ext>
          </a:extLst>
        </xdr:cNvPr>
        <xdr:cNvSpPr txBox="1">
          <a:spLocks noChangeArrowheads="1"/>
        </xdr:cNvSpPr>
      </xdr:nvSpPr>
      <xdr:spPr bwMode="auto">
        <a:xfrm>
          <a:off x="2806065" y="6276975"/>
          <a:ext cx="2327935" cy="58112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Taxes payable are the difference between taxes reported in the P&amp;L and taxes actually paid.</a:t>
          </a:r>
        </a:p>
      </xdr:txBody>
    </xdr:sp>
    <xdr:clientData/>
  </xdr:twoCellAnchor>
  <xdr:twoCellAnchor>
    <xdr:from>
      <xdr:col>2</xdr:col>
      <xdr:colOff>403860</xdr:colOff>
      <xdr:row>28</xdr:row>
      <xdr:rowOff>91440</xdr:rowOff>
    </xdr:from>
    <xdr:to>
      <xdr:col>3</xdr:col>
      <xdr:colOff>922020</xdr:colOff>
      <xdr:row>36</xdr:row>
      <xdr:rowOff>22860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6472E9D4-B108-4F17-B5A1-CBBB015CDE21}"/>
            </a:ext>
          </a:extLst>
        </xdr:cNvPr>
        <xdr:cNvSpPr>
          <a:spLocks noChangeShapeType="1"/>
        </xdr:cNvSpPr>
      </xdr:nvSpPr>
      <xdr:spPr bwMode="auto">
        <a:xfrm flipV="1">
          <a:off x="2886075" y="4972050"/>
          <a:ext cx="1133475" cy="1295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</xdr:row>
          <xdr:rowOff>38100</xdr:rowOff>
        </xdr:from>
        <xdr:to>
          <xdr:col>22</xdr:col>
          <xdr:colOff>131445</xdr:colOff>
          <xdr:row>48</xdr:row>
          <xdr:rowOff>95250</xdr:rowOff>
        </xdr:to>
        <xdr:pic>
          <xdr:nvPicPr>
            <xdr:cNvPr id="10" name="图片 9">
              <a:extLst>
                <a:ext uri="{FF2B5EF4-FFF2-40B4-BE49-F238E27FC236}">
                  <a16:creationId xmlns:a16="http://schemas.microsoft.com/office/drawing/2014/main" id="{E7D73AD5-4D04-EF1F-7C79-D6FEB4128C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169'!$A$1:$H$47" spid="_x0000_s10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677275" y="428625"/>
              <a:ext cx="7677150" cy="797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appendix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appendix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164-166"/>
      <sheetName val="Page 164-166（中文）"/>
      <sheetName val="Page 167"/>
      <sheetName val="Page 167 (中文)"/>
      <sheetName val="Page 169"/>
      <sheetName val="Page 169 (中文)"/>
      <sheetName val="Page 170-171"/>
      <sheetName val="Page 170-171 (中文)"/>
      <sheetName val="Page 172"/>
      <sheetName val="Page 172 (中文)"/>
      <sheetName val="Pages 173-174"/>
      <sheetName val="Pages 173-174 (中文)"/>
      <sheetName val="Page 175"/>
      <sheetName val="Page 175 (中文)"/>
      <sheetName val="Page 176"/>
      <sheetName val="Page 17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42"/>
  <sheetViews>
    <sheetView tabSelected="1" zoomScale="130" zoomScaleNormal="130" workbookViewId="0">
      <selection activeCell="I39" sqref="I39"/>
    </sheetView>
  </sheetViews>
  <sheetFormatPr defaultRowHeight="13.8" x14ac:dyDescent="0.25"/>
  <cols>
    <col min="1" max="1" width="25.5546875" style="2" customWidth="1"/>
    <col min="2" max="2" width="10.6640625" style="2" customWidth="1"/>
    <col min="3" max="3" width="8.88671875" style="2"/>
    <col min="4" max="4" width="22.33203125" style="2" customWidth="1"/>
    <col min="5" max="5" width="11.109375" style="2" customWidth="1"/>
    <col min="6" max="6" width="8.88671875" style="2"/>
    <col min="7" max="7" width="15.5546875" style="2" customWidth="1"/>
    <col min="8" max="9" width="8.886718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C2" s="3"/>
      <c r="D2" s="4" t="s">
        <v>1</v>
      </c>
      <c r="E2" s="4"/>
    </row>
    <row r="3" spans="1:8" x14ac:dyDescent="0.25">
      <c r="D3" s="2" t="s">
        <v>2</v>
      </c>
      <c r="E3" s="2">
        <v>1000</v>
      </c>
      <c r="G3" s="2" t="s">
        <v>3</v>
      </c>
      <c r="H3" s="2">
        <v>60</v>
      </c>
    </row>
    <row r="4" spans="1:8" x14ac:dyDescent="0.25">
      <c r="D4" s="2" t="s">
        <v>4</v>
      </c>
      <c r="E4" s="2">
        <v>500</v>
      </c>
    </row>
    <row r="5" spans="1:8" x14ac:dyDescent="0.25">
      <c r="D5" s="2" t="s">
        <v>5</v>
      </c>
      <c r="E5" s="2">
        <v>300</v>
      </c>
    </row>
    <row r="6" spans="1:8" x14ac:dyDescent="0.25">
      <c r="D6" s="2" t="s">
        <v>6</v>
      </c>
      <c r="E6" s="2">
        <f>E3-E4-E5</f>
        <v>200</v>
      </c>
    </row>
    <row r="7" spans="1:8" x14ac:dyDescent="0.25">
      <c r="D7" s="2" t="s">
        <v>7</v>
      </c>
      <c r="E7" s="8">
        <f>0.4*E6</f>
        <v>80</v>
      </c>
    </row>
    <row r="8" spans="1:8" x14ac:dyDescent="0.25">
      <c r="D8" s="2" t="s">
        <v>8</v>
      </c>
      <c r="E8" s="2">
        <f>E6-E7</f>
        <v>120</v>
      </c>
    </row>
    <row r="10" spans="1:8" x14ac:dyDescent="0.25">
      <c r="D10" s="3" t="s">
        <v>9</v>
      </c>
    </row>
    <row r="11" spans="1:8" x14ac:dyDescent="0.25">
      <c r="D11" s="2" t="s">
        <v>8</v>
      </c>
      <c r="E11" s="2">
        <f>E8</f>
        <v>120</v>
      </c>
      <c r="F11" s="2" t="str">
        <f ca="1">[2]!getformula(E11)</f>
        <v>&lt;--  =E8</v>
      </c>
    </row>
    <row r="12" spans="1:8" x14ac:dyDescent="0.25">
      <c r="D12" s="2" t="s">
        <v>10</v>
      </c>
      <c r="E12" s="2">
        <f>E5</f>
        <v>300</v>
      </c>
      <c r="F12" s="2" t="str">
        <f ca="1">[2]!getformula(E12)</f>
        <v>&lt;--  =E5</v>
      </c>
    </row>
    <row r="13" spans="1:8" x14ac:dyDescent="0.25">
      <c r="D13" s="2" t="s">
        <v>11</v>
      </c>
      <c r="E13" s="8">
        <f>E7-H3-B29</f>
        <v>20</v>
      </c>
    </row>
    <row r="14" spans="1:8" x14ac:dyDescent="0.25">
      <c r="D14" s="2" t="s">
        <v>9</v>
      </c>
      <c r="E14" s="2">
        <f>SUM(E11:E13)</f>
        <v>440</v>
      </c>
      <c r="F14" s="2" t="str">
        <f ca="1">[2]!getformula(E14)</f>
        <v>&lt;--  =SUM(E11:E13)</v>
      </c>
    </row>
    <row r="16" spans="1:8" ht="15.6" x14ac:dyDescent="0.3">
      <c r="A16" s="5" t="s">
        <v>12</v>
      </c>
    </row>
    <row r="17" spans="1:5" x14ac:dyDescent="0.25">
      <c r="A17" s="4">
        <v>2002</v>
      </c>
      <c r="B17" s="4"/>
      <c r="D17" s="6">
        <v>2003</v>
      </c>
    </row>
    <row r="18" spans="1:5" x14ac:dyDescent="0.25">
      <c r="A18" s="3" t="s">
        <v>13</v>
      </c>
    </row>
    <row r="19" spans="1:5" x14ac:dyDescent="0.25">
      <c r="A19" s="7" t="s">
        <v>14</v>
      </c>
      <c r="B19" s="2">
        <v>0</v>
      </c>
      <c r="D19" s="2">
        <f>B19+E14</f>
        <v>440</v>
      </c>
      <c r="E19" s="2" t="str">
        <f ca="1">[2]!getformula(D19)</f>
        <v>&lt;--  =B19+E14</v>
      </c>
    </row>
    <row r="20" spans="1:5" x14ac:dyDescent="0.25">
      <c r="A20" s="2" t="s">
        <v>15</v>
      </c>
      <c r="B20" s="2">
        <v>0</v>
      </c>
      <c r="D20" s="2">
        <f>B20</f>
        <v>0</v>
      </c>
      <c r="E20" s="2" t="str">
        <f ca="1">[2]!getformula(D20)</f>
        <v>&lt;--  =B20</v>
      </c>
    </row>
    <row r="22" spans="1:5" x14ac:dyDescent="0.25">
      <c r="A22" s="2" t="s">
        <v>16</v>
      </c>
      <c r="B22" s="2">
        <v>500</v>
      </c>
      <c r="D22" s="2">
        <f>B22</f>
        <v>500</v>
      </c>
    </row>
    <row r="23" spans="1:5" x14ac:dyDescent="0.25">
      <c r="A23" s="2" t="s">
        <v>17</v>
      </c>
      <c r="B23" s="2">
        <v>0</v>
      </c>
      <c r="D23" s="2">
        <f>B23+E5</f>
        <v>300</v>
      </c>
      <c r="E23" s="2" t="str">
        <f ca="1">[2]!getformula(D23)</f>
        <v>&lt;--  =B23+E5</v>
      </c>
    </row>
    <row r="24" spans="1:5" x14ac:dyDescent="0.25">
      <c r="A24" s="2" t="s">
        <v>18</v>
      </c>
      <c r="B24" s="2">
        <f>B22-B23</f>
        <v>500</v>
      </c>
      <c r="D24" s="2">
        <f>D22-D23</f>
        <v>200</v>
      </c>
    </row>
    <row r="25" spans="1:5" x14ac:dyDescent="0.25">
      <c r="A25" s="3" t="s">
        <v>19</v>
      </c>
      <c r="B25" s="3">
        <f>B24+B20+B19</f>
        <v>500</v>
      </c>
      <c r="D25" s="3">
        <f>D24+D20+D19</f>
        <v>640</v>
      </c>
    </row>
    <row r="27" spans="1:5" x14ac:dyDescent="0.25">
      <c r="A27" s="3" t="s">
        <v>20</v>
      </c>
    </row>
    <row r="28" spans="1:5" x14ac:dyDescent="0.25">
      <c r="A28" s="2" t="s">
        <v>21</v>
      </c>
      <c r="B28" s="2">
        <v>0</v>
      </c>
      <c r="D28" s="2">
        <f>B28</f>
        <v>0</v>
      </c>
    </row>
    <row r="29" spans="1:5" x14ac:dyDescent="0.25">
      <c r="A29" s="7" t="s">
        <v>22</v>
      </c>
      <c r="B29" s="7">
        <v>0</v>
      </c>
      <c r="C29" s="7"/>
      <c r="D29" s="9">
        <f>E7-H3</f>
        <v>20</v>
      </c>
      <c r="E29" s="7" t="str">
        <f ca="1">[2]!getformula(D29)</f>
        <v>&lt;--  =E7-H3</v>
      </c>
    </row>
    <row r="30" spans="1:5" x14ac:dyDescent="0.25">
      <c r="A30" s="2" t="s">
        <v>23</v>
      </c>
      <c r="B30" s="2">
        <v>0</v>
      </c>
      <c r="D30" s="2">
        <f>B30</f>
        <v>0</v>
      </c>
    </row>
    <row r="31" spans="1:5" x14ac:dyDescent="0.25">
      <c r="A31" s="2" t="s">
        <v>24</v>
      </c>
    </row>
    <row r="32" spans="1:5" x14ac:dyDescent="0.25">
      <c r="A32" s="2" t="s">
        <v>25</v>
      </c>
      <c r="B32" s="2">
        <v>200</v>
      </c>
      <c r="D32" s="2">
        <f>B32</f>
        <v>200</v>
      </c>
    </row>
    <row r="33" spans="1:5" x14ac:dyDescent="0.25">
      <c r="A33" s="2" t="s">
        <v>26</v>
      </c>
      <c r="B33" s="2">
        <f>B25-B28-B30-B32</f>
        <v>300</v>
      </c>
      <c r="D33" s="2">
        <f>B33+E8</f>
        <v>420</v>
      </c>
      <c r="E33" s="2" t="str">
        <f ca="1">[2]!getformula(D33)</f>
        <v>&lt;--  =B33+E8</v>
      </c>
    </row>
    <row r="34" spans="1:5" x14ac:dyDescent="0.25">
      <c r="A34" s="3" t="s">
        <v>27</v>
      </c>
      <c r="B34" s="3">
        <f>SUM(B28:B33)</f>
        <v>500</v>
      </c>
      <c r="C34" s="3"/>
      <c r="D34" s="3">
        <f>SUM(D28:D33)</f>
        <v>640</v>
      </c>
    </row>
    <row r="37" spans="1:5" x14ac:dyDescent="0.25">
      <c r="A37" s="3" t="s">
        <v>28</v>
      </c>
    </row>
    <row r="38" spans="1:5" x14ac:dyDescent="0.25">
      <c r="A38" s="2" t="s">
        <v>29</v>
      </c>
    </row>
    <row r="39" spans="1:5" x14ac:dyDescent="0.25">
      <c r="A39" s="2" t="s">
        <v>30</v>
      </c>
    </row>
    <row r="40" spans="1:5" x14ac:dyDescent="0.25">
      <c r="A40" s="2" t="s">
        <v>31</v>
      </c>
    </row>
    <row r="41" spans="1:5" x14ac:dyDescent="0.25">
      <c r="A41" s="2" t="s">
        <v>32</v>
      </c>
    </row>
    <row r="42" spans="1:5" x14ac:dyDescent="0.25">
      <c r="A42" s="2" t="s">
        <v>33</v>
      </c>
    </row>
  </sheetData>
  <mergeCells count="3">
    <mergeCell ref="A1:H1"/>
    <mergeCell ref="D2:E2"/>
    <mergeCell ref="A17:B17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2024-10-18T02:42:41Z</dcterms:modified>
</cp:coreProperties>
</file>