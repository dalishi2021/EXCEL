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practice\"/>
    </mc:Choice>
  </mc:AlternateContent>
  <xr:revisionPtr revIDLastSave="0" documentId="13_ncr:1_{7632EDD5-0413-4172-BD56-A7D606E65D39}" xr6:coauthVersionLast="47" xr6:coauthVersionMax="47" xr10:uidLastSave="{00000000-0000-0000-0000-000000000000}"/>
  <bookViews>
    <workbookView xWindow="-38505" yWindow="0" windowWidth="19410" windowHeight="20985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accruedexp_sales">Sheet1!$B$25</definedName>
    <definedName name="ap_sales">Sheet1!$B$24</definedName>
    <definedName name="ar_sales">Sheet1!$B$16</definedName>
    <definedName name="cogs_sales">Sheet1!$B$5</definedName>
    <definedName name="debt_assets">Sheet1!$B$28</definedName>
    <definedName name="Depr">Sheet1!$B$7</definedName>
    <definedName name="divgrowth">Sheet1!$B$10</definedName>
    <definedName name="interest">Sheet1!$B$8</definedName>
    <definedName name="inventory_sales">Sheet1!$B$17</definedName>
    <definedName name="minority">Sheet1!$B$9</definedName>
    <definedName name="otherca_sales">Sheet1!$B$18</definedName>
    <definedName name="ppe_sales">Sheet1!$B$19</definedName>
    <definedName name="sga_sales">Sheet1!$B$6</definedName>
    <definedName name="tax">Sheet1!$B$11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5" i="1" l="1"/>
  <c r="C108" i="1"/>
  <c r="C105" i="1"/>
  <c r="H102" i="1"/>
  <c r="D62" i="1" l="1"/>
  <c r="C62" i="1"/>
  <c r="D68" i="1"/>
  <c r="E68" i="1" s="1"/>
  <c r="F68" i="1" s="1"/>
  <c r="D72" i="1"/>
  <c r="E72" i="1"/>
  <c r="F72" i="1" s="1"/>
  <c r="G72" i="1" s="1"/>
  <c r="D73" i="1"/>
  <c r="E73" i="1" s="1"/>
  <c r="F73" i="1" s="1"/>
  <c r="G73" i="1" s="1"/>
  <c r="D76" i="1"/>
  <c r="E76" i="1" s="1"/>
  <c r="F76" i="1" s="1"/>
  <c r="G76" i="1" s="1"/>
  <c r="D77" i="1"/>
  <c r="E77" i="1"/>
  <c r="F77" i="1"/>
  <c r="G77" i="1" s="1"/>
  <c r="C72" i="1"/>
  <c r="D41" i="1"/>
  <c r="E41" i="1"/>
  <c r="F41" i="1" s="1"/>
  <c r="G41" i="1" s="1"/>
  <c r="D46" i="1"/>
  <c r="E46" i="1" s="1"/>
  <c r="F46" i="1" s="1"/>
  <c r="G46" i="1" s="1"/>
  <c r="C77" i="1"/>
  <c r="C76" i="1"/>
  <c r="C73" i="1"/>
  <c r="C71" i="1"/>
  <c r="D71" i="1" s="1"/>
  <c r="E71" i="1" s="1"/>
  <c r="F71" i="1" s="1"/>
  <c r="G71" i="1" s="1"/>
  <c r="C68" i="1"/>
  <c r="C61" i="1"/>
  <c r="D61" i="1" s="1"/>
  <c r="E61" i="1" s="1"/>
  <c r="F61" i="1" s="1"/>
  <c r="G61" i="1" s="1"/>
  <c r="C60" i="1"/>
  <c r="D60" i="1" s="1"/>
  <c r="E60" i="1" s="1"/>
  <c r="F60" i="1" s="1"/>
  <c r="G60" i="1" s="1"/>
  <c r="C50" i="1"/>
  <c r="D50" i="1" s="1"/>
  <c r="E50" i="1" s="1"/>
  <c r="C46" i="1"/>
  <c r="C41" i="1"/>
  <c r="B38" i="1"/>
  <c r="B42" i="1" s="1"/>
  <c r="B45" i="1" s="1"/>
  <c r="B47" i="1" s="1"/>
  <c r="C35" i="1"/>
  <c r="C58" i="1" s="1"/>
  <c r="B108" i="1"/>
  <c r="B106" i="1"/>
  <c r="C91" i="1"/>
  <c r="B81" i="1"/>
  <c r="B58" i="1"/>
  <c r="B54" i="1"/>
  <c r="H42" i="1"/>
  <c r="H41" i="1"/>
  <c r="C66" i="1" l="1"/>
  <c r="C36" i="1"/>
  <c r="C67" i="1"/>
  <c r="C37" i="1"/>
  <c r="D35" i="1"/>
  <c r="C38" i="1"/>
  <c r="C51" i="1"/>
  <c r="C52" i="1"/>
  <c r="B63" i="1"/>
  <c r="C53" i="1"/>
  <c r="E62" i="1"/>
  <c r="D91" i="1"/>
  <c r="G68" i="1"/>
  <c r="F50" i="1"/>
  <c r="C89" i="1"/>
  <c r="F62" i="1" l="1"/>
  <c r="E91" i="1"/>
  <c r="C54" i="1"/>
  <c r="C63" i="1" s="1"/>
  <c r="C70" i="1" s="1"/>
  <c r="D53" i="1"/>
  <c r="D66" i="1"/>
  <c r="D89" i="1" s="1"/>
  <c r="D58" i="1"/>
  <c r="D67" i="1"/>
  <c r="D51" i="1"/>
  <c r="E35" i="1"/>
  <c r="D52" i="1"/>
  <c r="D36" i="1"/>
  <c r="D38" i="1" s="1"/>
  <c r="D37" i="1"/>
  <c r="G50" i="1"/>
  <c r="C88" i="1"/>
  <c r="D54" i="1" l="1"/>
  <c r="D63" i="1" s="1"/>
  <c r="D70" i="1" s="1"/>
  <c r="F35" i="1"/>
  <c r="E53" i="1"/>
  <c r="E66" i="1"/>
  <c r="E89" i="1" s="1"/>
  <c r="E58" i="1"/>
  <c r="E67" i="1"/>
  <c r="E51" i="1"/>
  <c r="E52" i="1"/>
  <c r="E37" i="1"/>
  <c r="E36" i="1"/>
  <c r="E38" i="1" s="1"/>
  <c r="C40" i="1"/>
  <c r="C92" i="1" s="1"/>
  <c r="D88" i="1"/>
  <c r="G62" i="1"/>
  <c r="G91" i="1" s="1"/>
  <c r="F91" i="1"/>
  <c r="D40" i="1" l="1"/>
  <c r="D92" i="1" s="1"/>
  <c r="E54" i="1"/>
  <c r="E63" i="1" s="1"/>
  <c r="E70" i="1" s="1"/>
  <c r="F53" i="1"/>
  <c r="F66" i="1"/>
  <c r="F58" i="1"/>
  <c r="F67" i="1"/>
  <c r="F51" i="1"/>
  <c r="F52" i="1"/>
  <c r="G35" i="1"/>
  <c r="F36" i="1"/>
  <c r="F38" i="1" s="1"/>
  <c r="F37" i="1"/>
  <c r="E88" i="1"/>
  <c r="G52" i="1" l="1"/>
  <c r="G53" i="1"/>
  <c r="G66" i="1"/>
  <c r="G58" i="1"/>
  <c r="G67" i="1"/>
  <c r="G51" i="1"/>
  <c r="G54" i="1" s="1"/>
  <c r="G36" i="1"/>
  <c r="G37" i="1"/>
  <c r="G38" i="1" s="1"/>
  <c r="G88" i="1"/>
  <c r="F54" i="1"/>
  <c r="F63" i="1" s="1"/>
  <c r="F70" i="1" s="1"/>
  <c r="F40" i="1" s="1"/>
  <c r="F92" i="1" s="1"/>
  <c r="F89" i="1"/>
  <c r="F88" i="1"/>
  <c r="E40" i="1"/>
  <c r="E92" i="1" s="1"/>
  <c r="G63" i="1" l="1"/>
  <c r="G70" i="1" s="1"/>
  <c r="G40" i="1" s="1"/>
  <c r="G92" i="1" s="1"/>
  <c r="G89" i="1"/>
  <c r="C39" i="1" l="1"/>
  <c r="D39" i="1"/>
  <c r="E39" i="1"/>
  <c r="F39" i="1"/>
  <c r="G39" i="1"/>
  <c r="C42" i="1"/>
  <c r="D42" i="1"/>
  <c r="E42" i="1"/>
  <c r="F42" i="1"/>
  <c r="G42" i="1"/>
  <c r="C43" i="1"/>
  <c r="D43" i="1"/>
  <c r="E43" i="1"/>
  <c r="F43" i="1"/>
  <c r="G43" i="1"/>
  <c r="C44" i="1"/>
  <c r="D44" i="1"/>
  <c r="E44" i="1"/>
  <c r="F44" i="1"/>
  <c r="G44" i="1"/>
  <c r="C45" i="1"/>
  <c r="D45" i="1"/>
  <c r="E45" i="1"/>
  <c r="F45" i="1"/>
  <c r="G45" i="1"/>
  <c r="C47" i="1"/>
  <c r="D47" i="1"/>
  <c r="E47" i="1"/>
  <c r="F47" i="1"/>
  <c r="G47" i="1"/>
  <c r="C56" i="1"/>
  <c r="D56" i="1"/>
  <c r="E56" i="1"/>
  <c r="F56" i="1"/>
  <c r="G56" i="1"/>
  <c r="C57" i="1"/>
  <c r="D57" i="1"/>
  <c r="E57" i="1"/>
  <c r="F57" i="1"/>
  <c r="G57" i="1"/>
  <c r="C78" i="1"/>
  <c r="D78" i="1"/>
  <c r="E78" i="1"/>
  <c r="F78" i="1"/>
  <c r="G78" i="1"/>
  <c r="C79" i="1"/>
  <c r="D79" i="1"/>
  <c r="E79" i="1"/>
  <c r="F79" i="1"/>
  <c r="G79" i="1"/>
  <c r="C80" i="1"/>
  <c r="D80" i="1"/>
  <c r="E80" i="1"/>
  <c r="F80" i="1"/>
  <c r="G80" i="1"/>
  <c r="C81" i="1"/>
  <c r="D81" i="1"/>
  <c r="E81" i="1"/>
  <c r="F81" i="1"/>
  <c r="G81" i="1"/>
  <c r="C85" i="1"/>
  <c r="D85" i="1"/>
  <c r="E85" i="1"/>
  <c r="F85" i="1"/>
  <c r="G85" i="1"/>
  <c r="C86" i="1"/>
  <c r="D86" i="1"/>
  <c r="E86" i="1"/>
  <c r="F86" i="1"/>
  <c r="G86" i="1"/>
  <c r="C90" i="1"/>
  <c r="D90" i="1"/>
  <c r="E90" i="1"/>
  <c r="F90" i="1"/>
  <c r="G90" i="1"/>
  <c r="C93" i="1"/>
  <c r="D93" i="1"/>
  <c r="E93" i="1"/>
  <c r="F93" i="1"/>
  <c r="G93" i="1"/>
  <c r="C101" i="1"/>
  <c r="D101" i="1"/>
  <c r="E101" i="1"/>
  <c r="F101" i="1"/>
  <c r="G101" i="1"/>
  <c r="G102" i="1"/>
  <c r="C103" i="1"/>
  <c r="D103" i="1"/>
  <c r="E103" i="1"/>
  <c r="F103" i="1"/>
  <c r="G103" i="1"/>
  <c r="B105" i="1"/>
  <c r="B107" i="1"/>
  <c r="B109" i="1"/>
  <c r="B112" i="1"/>
  <c r="B115" i="1"/>
  <c r="B119" i="1"/>
  <c r="C130" i="1"/>
</calcChain>
</file>

<file path=xl/sharedStrings.xml><?xml version="1.0" encoding="utf-8"?>
<sst xmlns="http://schemas.openxmlformats.org/spreadsheetml/2006/main" count="107" uniqueCount="100">
  <si>
    <t>PPG, FINANCIAL MODEL, 2001-2005</t>
  </si>
  <si>
    <t>Profit and loss assumptions</t>
  </si>
  <si>
    <t>Sales growth</t>
  </si>
  <si>
    <t>COGS/Sales</t>
  </si>
  <si>
    <t>SG&amp;A/Sales</t>
  </si>
  <si>
    <t>Depreciation/Gross fixed assets</t>
  </si>
  <si>
    <t>Interest rate</t>
  </si>
  <si>
    <t>Minority interest as % of PAT</t>
  </si>
  <si>
    <t>Growth rate of total dividends</t>
  </si>
  <si>
    <t>Tax rate</t>
  </si>
  <si>
    <t>Balance sheet assumptions</t>
  </si>
  <si>
    <t>Assets</t>
  </si>
  <si>
    <t>Cash and short-term investments</t>
  </si>
  <si>
    <t>constant</t>
  </si>
  <si>
    <t>Receivables/Sales</t>
  </si>
  <si>
    <t>Inventories/Sales</t>
  </si>
  <si>
    <t>Other Current Assets/Sales</t>
  </si>
  <si>
    <t>Property, Plant, Equipment, Net/Sales</t>
  </si>
  <si>
    <t>Investments and advances</t>
  </si>
  <si>
    <t>Liabilities</t>
  </si>
  <si>
    <t>Accounts Payable/Sales</t>
  </si>
  <si>
    <t>Accrued Expense/Sales</t>
  </si>
  <si>
    <t>Other Current Liabilities/Sales</t>
  </si>
  <si>
    <t>Debt/Assets</t>
  </si>
  <si>
    <t>Deferred Taxes</t>
  </si>
  <si>
    <t>growth at sales growth</t>
  </si>
  <si>
    <t>Minority Interest</t>
  </si>
  <si>
    <t>assumed constant</t>
  </si>
  <si>
    <t>Treasury stock</t>
  </si>
  <si>
    <t>plug</t>
  </si>
  <si>
    <t>PROFIT AND LOSS</t>
  </si>
  <si>
    <t>Sales</t>
  </si>
  <si>
    <t>Cost of Goods Sold</t>
  </si>
  <si>
    <t>Selling, General, and Administrative Expense</t>
  </si>
  <si>
    <t>Operating Income Before Depreciation</t>
  </si>
  <si>
    <t>Depreciation and Amortization</t>
  </si>
  <si>
    <t>Interest Expense</t>
  </si>
  <si>
    <t>Nonoperating Income (Expense) and Special Items</t>
  </si>
  <si>
    <t>Pretax Income</t>
  </si>
  <si>
    <t>Income Taxes - Total</t>
  </si>
  <si>
    <t>Net Income</t>
  </si>
  <si>
    <t>Dividend</t>
  </si>
  <si>
    <t>ASSETS</t>
  </si>
  <si>
    <t>Cash and Short-Term Investments</t>
  </si>
  <si>
    <t>Receivables</t>
  </si>
  <si>
    <t>Inventories - Total</t>
  </si>
  <si>
    <t>Other Current Assets</t>
  </si>
  <si>
    <t>Total Current Assets</t>
  </si>
  <si>
    <t>Property, Plant, and Equipment, Gross</t>
  </si>
  <si>
    <t>Depreciation, Depletion, and Amortization (Accumulated)</t>
  </si>
  <si>
    <t>Property, Plant, and Equipment, Net</t>
  </si>
  <si>
    <t>Investments and Advances</t>
  </si>
  <si>
    <t>Intangibles</t>
  </si>
  <si>
    <t>Other Assets</t>
  </si>
  <si>
    <t>TOTAL ASSETS</t>
  </si>
  <si>
    <t>LIABILITIES</t>
  </si>
  <si>
    <t>Accounts Payable</t>
  </si>
  <si>
    <t>Accrued Expense</t>
  </si>
  <si>
    <t>Other Current Liabilities</t>
  </si>
  <si>
    <t>Debt</t>
  </si>
  <si>
    <t>Other Liabilities</t>
  </si>
  <si>
    <t>EQUITY</t>
  </si>
  <si>
    <t>Common Stock</t>
  </si>
  <si>
    <t>Capital Surplus</t>
  </si>
  <si>
    <t>Retained Earnings</t>
  </si>
  <si>
    <t>Less: Treasury Stock</t>
  </si>
  <si>
    <t>Total stockholders equity</t>
  </si>
  <si>
    <t>TOTAL LIABILITIES AND EQUITY</t>
  </si>
  <si>
    <t>FREE CASH FLOW (FCF)</t>
  </si>
  <si>
    <t>Profit after tax</t>
  </si>
  <si>
    <t>Add back depreciation</t>
  </si>
  <si>
    <t>Change in net working capital</t>
  </si>
  <si>
    <t xml:space="preserve">     Increase in operating current assets</t>
  </si>
  <si>
    <t xml:space="preserve">     Add increase in operating current liabilities</t>
  </si>
  <si>
    <t>Subtract capital expenditures</t>
  </si>
  <si>
    <t>Subtract increase in other assets</t>
  </si>
  <si>
    <t>Add back after-tax interest</t>
  </si>
  <si>
    <t>FCF</t>
  </si>
  <si>
    <t>Valuing PPG</t>
  </si>
  <si>
    <t>WACC</t>
  </si>
  <si>
    <t>Long-term free cash flow growth rate</t>
  </si>
  <si>
    <t>Year</t>
  </si>
  <si>
    <t>Terminal</t>
  </si>
  <si>
    <t>Total</t>
  </si>
  <si>
    <t>Discounted value</t>
  </si>
  <si>
    <t>Add back initial cash</t>
  </si>
  <si>
    <t>Firm value</t>
  </si>
  <si>
    <t>Subtract total debt value, Dec.00</t>
  </si>
  <si>
    <t>Implied equity value</t>
  </si>
  <si>
    <t>Number of shares outstanding, Dec.00</t>
  </si>
  <si>
    <t>Implied value per share</t>
  </si>
  <si>
    <t>Market price per share, Dec. 00</t>
  </si>
  <si>
    <t>PPG over or under-valued?</t>
  </si>
  <si>
    <t>DATA TABLE:  SENSITIVITY OF PPG'S STOCK VALUATION
TO WACC AND LONG-TERM GROWTH RATE</t>
  </si>
  <si>
    <t>Long-term FCF growth ↓</t>
  </si>
  <si>
    <t>WACC --&gt;</t>
  </si>
  <si>
    <t>Other liabilities, annual growth</t>
    <phoneticPr fontId="1" type="noConversion"/>
  </si>
  <si>
    <t>Other Assets,annual growth</t>
    <phoneticPr fontId="1" type="noConversion"/>
  </si>
  <si>
    <t>PPE,Net/Sales --&gt;</t>
    <phoneticPr fontId="1" type="noConversion"/>
  </si>
  <si>
    <t>Data table:  PPE/Sales and share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</si>
</sst>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(* #,##0.00_);_(* \(#,##0.00\);_(* &quot;-&quot;??_);_(@_)"/>
    <numFmt numFmtId="177" formatCode="_(* #,##0_);_(* \(#,##0\);_(* &quot;-&quot;??_);_(@_)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Alignment="1"/>
    <xf numFmtId="0" fontId="5" fillId="0" borderId="0" xfId="0" applyFont="1" applyAlignment="1">
      <alignment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wrapText="1"/>
    </xf>
    <xf numFmtId="10" fontId="0" fillId="0" borderId="0" xfId="0" applyNumberFormat="1" applyAlignment="1"/>
    <xf numFmtId="9" fontId="0" fillId="0" borderId="0" xfId="0" applyNumberFormat="1" applyAlignment="1"/>
    <xf numFmtId="0" fontId="6" fillId="0" borderId="0" xfId="0" applyFont="1" applyAlignment="1"/>
    <xf numFmtId="0" fontId="5" fillId="0" borderId="0" xfId="0" applyFont="1" applyAlignment="1"/>
    <xf numFmtId="0" fontId="7" fillId="0" borderId="0" xfId="0" applyFont="1" applyAlignment="1"/>
    <xf numFmtId="3" fontId="6" fillId="0" borderId="0" xfId="0" applyNumberFormat="1" applyFont="1" applyAlignment="1">
      <alignment horizontal="right" wrapText="1"/>
    </xf>
    <xf numFmtId="3" fontId="0" fillId="0" borderId="0" xfId="0" applyNumberFormat="1" applyAlignment="1"/>
    <xf numFmtId="0" fontId="7" fillId="0" borderId="0" xfId="0" applyFont="1" applyAlignment="1">
      <alignment wrapText="1"/>
    </xf>
    <xf numFmtId="0" fontId="6" fillId="0" borderId="0" xfId="0" applyFont="1" applyAlignment="1">
      <alignment horizontal="left" wrapText="1"/>
    </xf>
    <xf numFmtId="3" fontId="6" fillId="0" borderId="0" xfId="0" applyNumberFormat="1" applyFont="1" applyAlignment="1"/>
    <xf numFmtId="177" fontId="2" fillId="0" borderId="0" xfId="1" applyNumberFormat="1" applyAlignment="1"/>
    <xf numFmtId="37" fontId="0" fillId="0" borderId="0" xfId="0" applyNumberFormat="1" applyAlignment="1"/>
    <xf numFmtId="4" fontId="6" fillId="0" borderId="0" xfId="0" applyNumberFormat="1" applyFont="1" applyAlignment="1">
      <alignment horizontal="right" wrapText="1"/>
    </xf>
    <xf numFmtId="2" fontId="0" fillId="0" borderId="0" xfId="0" applyNumberFormat="1" applyAlignment="1"/>
    <xf numFmtId="0" fontId="0" fillId="0" borderId="0" xfId="0" applyAlignment="1">
      <alignment horizontal="center"/>
    </xf>
    <xf numFmtId="0" fontId="5" fillId="0" borderId="0" xfId="0" applyFont="1" applyAlignment="1">
      <alignment horizontal="center" wrapText="1"/>
    </xf>
    <xf numFmtId="176" fontId="0" fillId="0" borderId="0" xfId="0" applyNumberFormat="1" applyAlignment="1"/>
    <xf numFmtId="9" fontId="5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wrapText="1"/>
    </xf>
    <xf numFmtId="3" fontId="8" fillId="0" borderId="0" xfId="0" applyNumberFormat="1" applyFont="1" applyAlignment="1">
      <alignment horizontal="right" wrapText="1"/>
    </xf>
    <xf numFmtId="3" fontId="3" fillId="0" borderId="0" xfId="0" applyNumberFormat="1" applyFont="1" applyAlignment="1"/>
    <xf numFmtId="0" fontId="3" fillId="0" borderId="0" xfId="0" applyFont="1" applyAlignment="1"/>
    <xf numFmtId="0" fontId="6" fillId="2" borderId="0" xfId="0" applyFont="1" applyFill="1" applyAlignment="1">
      <alignment wrapText="1"/>
    </xf>
    <xf numFmtId="3" fontId="0" fillId="2" borderId="0" xfId="0" applyNumberFormat="1" applyFill="1" applyAlignment="1"/>
    <xf numFmtId="0" fontId="5" fillId="2" borderId="0" xfId="0" applyFont="1" applyFill="1" applyAlignment="1">
      <alignment wrapText="1"/>
    </xf>
    <xf numFmtId="3" fontId="6" fillId="2" borderId="0" xfId="0" applyNumberFormat="1" applyFont="1" applyFill="1" applyAlignment="1">
      <alignment horizontal="right" wrapText="1"/>
    </xf>
    <xf numFmtId="0" fontId="5" fillId="2" borderId="0" xfId="0" applyFont="1" applyFill="1" applyAlignment="1"/>
    <xf numFmtId="0" fontId="0" fillId="2" borderId="0" xfId="0" applyFill="1" applyAlignment="1"/>
    <xf numFmtId="37" fontId="0" fillId="2" borderId="0" xfId="0" applyNumberFormat="1" applyFill="1" applyAlignment="1"/>
    <xf numFmtId="176" fontId="0" fillId="2" borderId="0" xfId="0" applyNumberFormat="1" applyFill="1" applyAlignment="1"/>
  </cellXfs>
  <cellStyles count="2">
    <cellStyle name="常规" xfId="0" builtinId="0"/>
    <cellStyle name="千位分隔" xfId="1" builtinId="3"/>
  </cellStyles>
  <dxfs count="1">
    <dxf>
      <fill>
        <patternFill>
          <bgColor indexed="1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>
                <a:solidFill>
                  <a:schemeClr val="tx1"/>
                </a:solidFill>
              </a:rPr>
              <a:t>PPG Price</a:t>
            </a:r>
            <a:r>
              <a:rPr lang="en-US" altLang="zh-CN" sz="1600" baseline="0">
                <a:solidFill>
                  <a:schemeClr val="tx1"/>
                </a:solidFill>
              </a:rPr>
              <a:t> VS PPE Net/Sales</a:t>
            </a:r>
            <a:endParaRPr lang="zh-CN" alt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9533413504335678E-2"/>
                  <c:y val="-0.4298691309419656"/>
                </c:manualLayout>
              </c:layout>
              <c:numFmt formatCode="General" sourceLinked="0"/>
              <c:spPr>
                <a:solidFill>
                  <a:schemeClr val="lt1"/>
                </a:solidFill>
                <a:ln w="12700" cap="flat" cmpd="sng" algn="ctr">
                  <a:solidFill>
                    <a:schemeClr val="dk1"/>
                  </a:solidFill>
                  <a:prstDash val="solid"/>
                  <a:miter lim="800000"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dk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</c:trendlineLbl>
          </c:trendline>
          <c:xVal>
            <c:numRef>
              <c:f>Sheet1!$B$131:$B$138</c:f>
              <c:numCache>
                <c:formatCode>0%</c:formatCode>
                <c:ptCount val="8"/>
                <c:pt idx="0">
                  <c:v>0.34</c:v>
                </c:pt>
                <c:pt idx="1">
                  <c:v>0.33</c:v>
                </c:pt>
                <c:pt idx="2">
                  <c:v>0.32</c:v>
                </c:pt>
                <c:pt idx="3">
                  <c:v>0.31000000000000005</c:v>
                </c:pt>
                <c:pt idx="4">
                  <c:v>0.30000000000000004</c:v>
                </c:pt>
                <c:pt idx="5">
                  <c:v>0.29000000000000004</c:v>
                </c:pt>
                <c:pt idx="6">
                  <c:v>0.28000000000000003</c:v>
                </c:pt>
                <c:pt idx="7">
                  <c:v>0.27</c:v>
                </c:pt>
              </c:numCache>
            </c:numRef>
          </c:xVal>
          <c:yVal>
            <c:numRef>
              <c:f>Sheet1!$C$131:$C$138</c:f>
              <c:numCache>
                <c:formatCode>General</c:formatCode>
                <c:ptCount val="8"/>
                <c:pt idx="0">
                  <c:v>70.724732778550347</c:v>
                </c:pt>
                <c:pt idx="1">
                  <c:v>72.673238657200741</c:v>
                </c:pt>
                <c:pt idx="2">
                  <c:v>74.621744514871096</c:v>
                </c:pt>
                <c:pt idx="3">
                  <c:v>76.570250372541267</c:v>
                </c:pt>
                <c:pt idx="4">
                  <c:v>78.518756230211835</c:v>
                </c:pt>
                <c:pt idx="5">
                  <c:v>80.467262087882034</c:v>
                </c:pt>
                <c:pt idx="6">
                  <c:v>82.415767945552403</c:v>
                </c:pt>
                <c:pt idx="7">
                  <c:v>84.364273803222773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76-43DD-9927-8383D7B8F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5260832"/>
        <c:axId val="835261192"/>
      </c:scatterChart>
      <c:valAx>
        <c:axId val="835260832"/>
        <c:scaling>
          <c:orientation val="minMax"/>
          <c:min val="0.2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 b="1">
                    <a:solidFill>
                      <a:schemeClr val="tx1"/>
                    </a:solidFill>
                  </a:rPr>
                  <a:t>PPE Net/Sales</a:t>
                </a:r>
                <a:endParaRPr lang="zh-CN" altLang="en-US" sz="12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261192"/>
        <c:crosses val="autoZero"/>
        <c:crossBetween val="midCat"/>
      </c:valAx>
      <c:valAx>
        <c:axId val="8352611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1">
                    <a:solidFill>
                      <a:schemeClr val="tx1"/>
                    </a:solidFill>
                  </a:rPr>
                  <a:t>PPG PRice</a:t>
                </a:r>
                <a:endParaRPr lang="zh-CN" altLang="en-US" sz="1400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526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54769</xdr:colOff>
      <xdr:row>116</xdr:row>
      <xdr:rowOff>23575</xdr:rowOff>
    </xdr:from>
    <xdr:to>
      <xdr:col>0</xdr:col>
      <xdr:colOff>1651159</xdr:colOff>
      <xdr:row>118</xdr:row>
      <xdr:rowOff>47626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850ADFB6-02D8-4EAA-8CDA-3ECCE1FF1920}"/>
            </a:ext>
          </a:extLst>
        </xdr:cNvPr>
        <xdr:cNvSpPr txBox="1">
          <a:spLocks noChangeArrowheads="1"/>
        </xdr:cNvSpPr>
      </xdr:nvSpPr>
      <xdr:spPr bwMode="auto">
        <a:xfrm>
          <a:off x="54769" y="20877372"/>
          <a:ext cx="1596390" cy="36933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=IF(B96&gt;B97,B111,"nmf")</a:t>
          </a:r>
        </a:p>
      </xdr:txBody>
    </xdr:sp>
    <xdr:clientData/>
  </xdr:twoCellAnchor>
  <xdr:twoCellAnchor>
    <xdr:from>
      <xdr:col>0</xdr:col>
      <xdr:colOff>1615440</xdr:colOff>
      <xdr:row>116</xdr:row>
      <xdr:rowOff>121920</xdr:rowOff>
    </xdr:from>
    <xdr:to>
      <xdr:col>1</xdr:col>
      <xdr:colOff>274320</xdr:colOff>
      <xdr:row>118</xdr:row>
      <xdr:rowOff>45720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97011493-C973-43AF-86F6-323F30EE615D}"/>
            </a:ext>
          </a:extLst>
        </xdr:cNvPr>
        <xdr:cNvSpPr>
          <a:spLocks noChangeShapeType="1"/>
        </xdr:cNvSpPr>
      </xdr:nvSpPr>
      <xdr:spPr bwMode="auto">
        <a:xfrm>
          <a:off x="1619250" y="20688300"/>
          <a:ext cx="1133475" cy="447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145256</xdr:colOff>
          <xdr:row>3</xdr:row>
          <xdr:rowOff>27384</xdr:rowOff>
        </xdr:from>
        <xdr:to>
          <xdr:col>22</xdr:col>
          <xdr:colOff>590550</xdr:colOff>
          <xdr:row>129</xdr:row>
          <xdr:rowOff>152400</xdr:rowOff>
        </xdr:to>
        <xdr:pic>
          <xdr:nvPicPr>
            <xdr:cNvPr id="4" name="图片 3">
              <a:extLst>
                <a:ext uri="{FF2B5EF4-FFF2-40B4-BE49-F238E27FC236}">
                  <a16:creationId xmlns:a16="http://schemas.microsoft.com/office/drawing/2014/main" id="{332D34EB-0773-7CDE-355C-970CB6766C3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Exercise 1'!$A$1:$I$128" spid="_x0000_s10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491537" y="592931"/>
              <a:ext cx="7731919" cy="2250876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3</xdr:col>
      <xdr:colOff>185618</xdr:colOff>
      <xdr:row>129</xdr:row>
      <xdr:rowOff>36314</xdr:rowOff>
    </xdr:from>
    <xdr:to>
      <xdr:col>10</xdr:col>
      <xdr:colOff>298489</xdr:colOff>
      <xdr:row>145</xdr:row>
      <xdr:rowOff>13454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89AF1EF0-9DAA-04E0-8CF6-88CE8EEA2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(中文)"/>
      <sheetName val="Exercise 2"/>
      <sheetName val="Exercise 2 (中文)"/>
      <sheetName val="Exercise 3"/>
      <sheetName val="Exercise 3 (中文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I138"/>
  <sheetViews>
    <sheetView tabSelected="1" zoomScale="160" zoomScaleNormal="160" workbookViewId="0">
      <selection activeCell="B19" sqref="B19"/>
    </sheetView>
  </sheetViews>
  <sheetFormatPr defaultRowHeight="13.8" x14ac:dyDescent="0.25"/>
  <cols>
    <col min="1" max="1" width="36.109375" style="1" customWidth="1"/>
    <col min="2" max="2" width="11.6640625" style="1" customWidth="1"/>
    <col min="3" max="3" width="9.109375" style="1" bestFit="1" customWidth="1"/>
    <col min="4" max="7" width="8.88671875" style="1"/>
    <col min="8" max="8" width="12" style="1" customWidth="1"/>
    <col min="9" max="9" width="8.88671875" style="1"/>
  </cols>
  <sheetData>
    <row r="1" spans="1:7" ht="29.4" customHeight="1" x14ac:dyDescent="0.25">
      <c r="A1" s="25" t="s">
        <v>0</v>
      </c>
      <c r="B1" s="25"/>
      <c r="C1" s="25"/>
      <c r="D1" s="25"/>
      <c r="E1" s="25"/>
      <c r="F1" s="25"/>
      <c r="G1" s="25"/>
    </row>
    <row r="2" spans="1:7" x14ac:dyDescent="0.25">
      <c r="A2" s="2" t="s">
        <v>1</v>
      </c>
    </row>
    <row r="3" spans="1:7" x14ac:dyDescent="0.25">
      <c r="A3" s="2"/>
      <c r="C3" s="3">
        <v>2001</v>
      </c>
      <c r="D3" s="3">
        <v>2002</v>
      </c>
      <c r="E3" s="3">
        <v>2003</v>
      </c>
      <c r="F3" s="3">
        <v>2004</v>
      </c>
      <c r="G3" s="3">
        <v>2005</v>
      </c>
    </row>
    <row r="4" spans="1:7" x14ac:dyDescent="0.25">
      <c r="A4" s="4" t="s">
        <v>2</v>
      </c>
      <c r="B4" s="5"/>
      <c r="C4" s="6">
        <v>0.11</v>
      </c>
      <c r="D4" s="6">
        <v>0.08</v>
      </c>
      <c r="E4" s="6">
        <v>-0.02</v>
      </c>
      <c r="F4" s="6">
        <v>0.04</v>
      </c>
      <c r="G4" s="6">
        <v>0.04</v>
      </c>
    </row>
    <row r="5" spans="1:7" x14ac:dyDescent="0.25">
      <c r="A5" s="4" t="s">
        <v>3</v>
      </c>
      <c r="B5" s="5">
        <v>0.61390934668112129</v>
      </c>
    </row>
    <row r="6" spans="1:7" x14ac:dyDescent="0.25">
      <c r="A6" s="7" t="s">
        <v>4</v>
      </c>
      <c r="B6" s="5">
        <v>0.18382033710232065</v>
      </c>
    </row>
    <row r="7" spans="1:7" x14ac:dyDescent="0.25">
      <c r="A7" s="7" t="s">
        <v>5</v>
      </c>
      <c r="B7" s="5">
        <v>6.3055438002539141E-2</v>
      </c>
    </row>
    <row r="8" spans="1:7" x14ac:dyDescent="0.25">
      <c r="A8" s="1" t="s">
        <v>6</v>
      </c>
      <c r="B8" s="5">
        <v>6.7000000000000004E-2</v>
      </c>
    </row>
    <row r="9" spans="1:7" x14ac:dyDescent="0.25">
      <c r="A9" s="1" t="s">
        <v>7</v>
      </c>
      <c r="B9" s="5">
        <v>4.3209876543209874E-2</v>
      </c>
    </row>
    <row r="10" spans="1:7" x14ac:dyDescent="0.25">
      <c r="A10" s="7" t="s">
        <v>8</v>
      </c>
      <c r="B10" s="5">
        <v>4.1300000000000003E-2</v>
      </c>
    </row>
    <row r="11" spans="1:7" x14ac:dyDescent="0.25">
      <c r="A11" s="7" t="s">
        <v>9</v>
      </c>
      <c r="B11" s="5">
        <v>0.36283185840707965</v>
      </c>
    </row>
    <row r="12" spans="1:7" x14ac:dyDescent="0.25">
      <c r="A12" s="7"/>
      <c r="B12" s="5"/>
    </row>
    <row r="13" spans="1:7" x14ac:dyDescent="0.25">
      <c r="A13" s="8" t="s">
        <v>10</v>
      </c>
      <c r="B13" s="5"/>
    </row>
    <row r="14" spans="1:7" x14ac:dyDescent="0.25">
      <c r="A14" s="8" t="s">
        <v>11</v>
      </c>
      <c r="B14" s="5"/>
    </row>
    <row r="15" spans="1:7" x14ac:dyDescent="0.25">
      <c r="A15" s="7" t="s">
        <v>12</v>
      </c>
      <c r="B15" s="5" t="s">
        <v>13</v>
      </c>
    </row>
    <row r="16" spans="1:7" x14ac:dyDescent="0.25">
      <c r="A16" s="1" t="s">
        <v>14</v>
      </c>
      <c r="B16" s="5">
        <v>0.18279300645638166</v>
      </c>
    </row>
    <row r="17" spans="1:3" x14ac:dyDescent="0.25">
      <c r="A17" s="1" t="s">
        <v>15</v>
      </c>
      <c r="B17" s="5">
        <v>0.12239396312101744</v>
      </c>
    </row>
    <row r="18" spans="1:3" x14ac:dyDescent="0.25">
      <c r="A18" s="1" t="s">
        <v>16</v>
      </c>
      <c r="B18" s="5">
        <v>3.2065766582264128E-2</v>
      </c>
    </row>
    <row r="19" spans="1:3" x14ac:dyDescent="0.25">
      <c r="A19" s="1" t="s">
        <v>17</v>
      </c>
      <c r="B19" s="5">
        <v>0.34082744234557888</v>
      </c>
    </row>
    <row r="20" spans="1:3" x14ac:dyDescent="0.25">
      <c r="A20" s="1" t="s">
        <v>18</v>
      </c>
      <c r="B20" s="5" t="s">
        <v>13</v>
      </c>
    </row>
    <row r="21" spans="1:3" x14ac:dyDescent="0.25">
      <c r="A21" s="29" t="s">
        <v>97</v>
      </c>
      <c r="B21" s="5">
        <v>7.9337461297802614E-2</v>
      </c>
    </row>
    <row r="22" spans="1:3" x14ac:dyDescent="0.25">
      <c r="B22" s="5"/>
    </row>
    <row r="23" spans="1:3" x14ac:dyDescent="0.25">
      <c r="A23" s="8" t="s">
        <v>19</v>
      </c>
      <c r="B23" s="5"/>
    </row>
    <row r="24" spans="1:3" x14ac:dyDescent="0.25">
      <c r="A24" s="1" t="s">
        <v>20</v>
      </c>
      <c r="B24" s="5">
        <v>8.4953714425516982E-2</v>
      </c>
    </row>
    <row r="25" spans="1:3" x14ac:dyDescent="0.25">
      <c r="A25" s="1" t="s">
        <v>21</v>
      </c>
      <c r="B25" s="5">
        <v>7.2454550833975645E-2</v>
      </c>
    </row>
    <row r="26" spans="1:3" x14ac:dyDescent="0.25">
      <c r="A26" s="1" t="s">
        <v>22</v>
      </c>
      <c r="B26" s="5" t="s">
        <v>13</v>
      </c>
    </row>
    <row r="27" spans="1:3" x14ac:dyDescent="0.25">
      <c r="B27" s="5"/>
    </row>
    <row r="28" spans="1:3" x14ac:dyDescent="0.25">
      <c r="A28" s="1" t="s">
        <v>23</v>
      </c>
      <c r="B28" s="5">
        <v>0.32</v>
      </c>
    </row>
    <row r="29" spans="1:3" x14ac:dyDescent="0.25">
      <c r="A29" s="1" t="s">
        <v>24</v>
      </c>
      <c r="B29" s="5" t="s">
        <v>25</v>
      </c>
      <c r="C29" s="5"/>
    </row>
    <row r="30" spans="1:3" x14ac:dyDescent="0.25">
      <c r="A30" s="1" t="s">
        <v>26</v>
      </c>
      <c r="B30" s="5" t="s">
        <v>27</v>
      </c>
      <c r="C30" s="5"/>
    </row>
    <row r="31" spans="1:3" x14ac:dyDescent="0.25">
      <c r="A31" s="1" t="s">
        <v>96</v>
      </c>
      <c r="B31" s="5">
        <v>0.12533297743866578</v>
      </c>
    </row>
    <row r="32" spans="1:3" x14ac:dyDescent="0.25">
      <c r="A32" s="1" t="s">
        <v>28</v>
      </c>
      <c r="B32" s="6" t="s">
        <v>29</v>
      </c>
    </row>
    <row r="34" spans="1:9" ht="15.6" x14ac:dyDescent="0.3">
      <c r="A34" s="9" t="s">
        <v>30</v>
      </c>
      <c r="B34" s="3">
        <v>2000</v>
      </c>
      <c r="C34" s="3">
        <v>2001</v>
      </c>
      <c r="D34" s="3">
        <v>2002</v>
      </c>
      <c r="E34" s="3">
        <v>2003</v>
      </c>
      <c r="F34" s="3">
        <v>2004</v>
      </c>
      <c r="G34" s="3">
        <v>2005</v>
      </c>
      <c r="H34" s="8"/>
      <c r="I34" s="8"/>
    </row>
    <row r="35" spans="1:9" x14ac:dyDescent="0.25">
      <c r="A35" s="4" t="s">
        <v>31</v>
      </c>
      <c r="B35" s="10">
        <v>8629</v>
      </c>
      <c r="C35" s="11">
        <f>B35*(1+C$4)</f>
        <v>9578.19</v>
      </c>
      <c r="D35" s="11">
        <f t="shared" ref="D35:G35" si="0">C35*(1+D$4)</f>
        <v>10344.445200000002</v>
      </c>
      <c r="E35" s="11">
        <f t="shared" si="0"/>
        <v>10137.556296000002</v>
      </c>
      <c r="F35" s="11">
        <f t="shared" si="0"/>
        <v>10543.058547840003</v>
      </c>
      <c r="G35" s="11">
        <f t="shared" si="0"/>
        <v>10964.780889753603</v>
      </c>
      <c r="H35" s="11"/>
      <c r="I35" s="11"/>
    </row>
    <row r="36" spans="1:9" x14ac:dyDescent="0.25">
      <c r="A36" s="4" t="s">
        <v>32</v>
      </c>
      <c r="B36" s="10">
        <v>5334</v>
      </c>
      <c r="C36" s="11">
        <f>cogs_sales*C$35</f>
        <v>5880.1403652876497</v>
      </c>
      <c r="D36" s="11">
        <f>cogs_sales*D$35</f>
        <v>6350.5515945106627</v>
      </c>
      <c r="E36" s="11">
        <f>cogs_sales*E$35</f>
        <v>6223.5405626204492</v>
      </c>
      <c r="F36" s="11">
        <f>cogs_sales*F$35</f>
        <v>6472.4821851252673</v>
      </c>
      <c r="G36" s="11">
        <f>cogs_sales*G$35</f>
        <v>6731.3814725302782</v>
      </c>
      <c r="H36" s="11"/>
      <c r="I36" s="11"/>
    </row>
    <row r="37" spans="1:9" ht="26.4" x14ac:dyDescent="0.25">
      <c r="A37" s="4" t="s">
        <v>33</v>
      </c>
      <c r="B37" s="10">
        <v>1646</v>
      </c>
      <c r="C37" s="11">
        <f>sga_sales*C$35</f>
        <v>1760.6661146300767</v>
      </c>
      <c r="D37" s="11">
        <f>sga_sales*D$35</f>
        <v>1901.5194038004831</v>
      </c>
      <c r="E37" s="11">
        <f>sga_sales*E$35</f>
        <v>1863.4890157244736</v>
      </c>
      <c r="F37" s="11">
        <f>sga_sales*F$35</f>
        <v>1938.0285763534525</v>
      </c>
      <c r="G37" s="11">
        <f>sga_sales*G$35</f>
        <v>2015.5497194075908</v>
      </c>
      <c r="H37" s="11"/>
      <c r="I37" s="11"/>
    </row>
    <row r="38" spans="1:9" x14ac:dyDescent="0.25">
      <c r="A38" s="30" t="s">
        <v>34</v>
      </c>
      <c r="B38" s="31">
        <f>B35-B36-B37</f>
        <v>1649</v>
      </c>
      <c r="C38" s="31">
        <f t="shared" ref="C38:G38" si="1">C35-C36-C37</f>
        <v>1937.3835200822741</v>
      </c>
      <c r="D38" s="31">
        <f t="shared" ref="D38" si="2">D35-D36-D37</f>
        <v>2092.3742016888564</v>
      </c>
      <c r="E38" s="31">
        <f t="shared" ref="E38" si="3">E35-E36-E37</f>
        <v>2050.5267176550797</v>
      </c>
      <c r="F38" s="31">
        <f t="shared" ref="F38" si="4">F35-F36-F37</f>
        <v>2132.5477863612828</v>
      </c>
      <c r="G38" s="31">
        <f t="shared" ref="G38" si="5">G35-G36-G37</f>
        <v>2217.8496978157345</v>
      </c>
      <c r="H38" s="11"/>
      <c r="I38" s="11"/>
    </row>
    <row r="39" spans="1:9" x14ac:dyDescent="0.25">
      <c r="A39" s="4" t="s">
        <v>35</v>
      </c>
      <c r="B39" s="10">
        <v>447</v>
      </c>
      <c r="C39" s="11">
        <f ca="1">Depr*AVERAGE(B56:C56)</f>
        <v>472.08324011361151</v>
      </c>
      <c r="D39" s="11">
        <f ca="1">Depr*AVERAGE(C56:D56)</f>
        <v>521.85312317104137</v>
      </c>
      <c r="E39" s="11">
        <f ca="1">Depr*AVERAGE(D56:E56)</f>
        <v>562.03636348586986</v>
      </c>
      <c r="F39" s="11">
        <f ca="1">Depr*AVERAGE(E56:F56)</f>
        <v>600.83319008482761</v>
      </c>
      <c r="G39" s="11">
        <f ca="1">Depr*AVERAGE(F56:G56)</f>
        <v>649.13065046999338</v>
      </c>
      <c r="H39" s="11"/>
      <c r="I39" s="11"/>
    </row>
    <row r="40" spans="1:9" x14ac:dyDescent="0.25">
      <c r="A40" s="4" t="s">
        <v>36</v>
      </c>
      <c r="B40" s="10">
        <v>193</v>
      </c>
      <c r="C40" s="11">
        <f>interest*AVERAGE(B70:C70)</f>
        <v>204.38887292839584</v>
      </c>
      <c r="D40" s="11">
        <f>interest*AVERAGE(C70:D70)</f>
        <v>216.27381990953529</v>
      </c>
      <c r="E40" s="11">
        <f>interest*AVERAGE(D70:E70)</f>
        <v>222.38416516269081</v>
      </c>
      <c r="F40" s="11">
        <f>interest*AVERAGE(E70:F70)</f>
        <v>226.03437982632067</v>
      </c>
      <c r="G40" s="11">
        <f>interest*AVERAGE(F70:G70)</f>
        <v>234.42903924669071</v>
      </c>
      <c r="H40" s="11"/>
      <c r="I40" s="11"/>
    </row>
    <row r="41" spans="1:9" ht="26.4" x14ac:dyDescent="0.25">
      <c r="A41" s="26" t="s">
        <v>37</v>
      </c>
      <c r="B41" s="10">
        <v>8</v>
      </c>
      <c r="C41" s="11">
        <f>B41</f>
        <v>8</v>
      </c>
      <c r="D41" s="11">
        <f t="shared" ref="D41:G41" si="6">C41</f>
        <v>8</v>
      </c>
      <c r="E41" s="11">
        <f t="shared" si="6"/>
        <v>8</v>
      </c>
      <c r="F41" s="11">
        <f t="shared" si="6"/>
        <v>8</v>
      </c>
      <c r="G41" s="11">
        <f t="shared" si="6"/>
        <v>8</v>
      </c>
      <c r="H41" s="11" t="str">
        <f ca="1">_xlfn.FORMULATEXT(G41)</f>
        <v>=F41</v>
      </c>
      <c r="I41" s="11"/>
    </row>
    <row r="42" spans="1:9" x14ac:dyDescent="0.25">
      <c r="A42" s="30" t="s">
        <v>38</v>
      </c>
      <c r="B42" s="31">
        <f>B38-SUM(B39:B40)+B41</f>
        <v>1017</v>
      </c>
      <c r="C42" s="31">
        <f ca="1">C$38-SUM(C39:C41)</f>
        <v>1252.9114070402668</v>
      </c>
      <c r="D42" s="31">
        <f t="shared" ref="D42:G42" ca="1" si="7">D$38-SUM(D39:D41)</f>
        <v>1346.2472586082797</v>
      </c>
      <c r="E42" s="31">
        <f t="shared" ca="1" si="7"/>
        <v>1258.1061890065189</v>
      </c>
      <c r="F42" s="31">
        <f t="shared" ca="1" si="7"/>
        <v>1297.6802164501346</v>
      </c>
      <c r="G42" s="31">
        <f t="shared" ca="1" si="7"/>
        <v>1326.2900080990505</v>
      </c>
      <c r="H42" s="11" t="str">
        <f ca="1">_xlfn.FORMULATEXT(G42)</f>
        <v>=G$38-SUM(G39:G41)</v>
      </c>
      <c r="I42" s="11"/>
    </row>
    <row r="43" spans="1:9" x14ac:dyDescent="0.25">
      <c r="A43" s="4" t="s">
        <v>39</v>
      </c>
      <c r="B43" s="10">
        <v>369</v>
      </c>
      <c r="C43" s="11">
        <f ca="1">tax*C$42</f>
        <v>454.59617423584905</v>
      </c>
      <c r="D43" s="11">
        <f ca="1">tax*D$42</f>
        <v>488.46139471627851</v>
      </c>
      <c r="E43" s="11">
        <f ca="1">tax*E$42</f>
        <v>456.48100663068385</v>
      </c>
      <c r="F43" s="11">
        <f ca="1">tax*F$42</f>
        <v>470.83972455270373</v>
      </c>
      <c r="G43" s="11">
        <f ca="1">tax*G$42</f>
        <v>481.2202684253192</v>
      </c>
      <c r="H43" s="11"/>
      <c r="I43" s="11"/>
    </row>
    <row r="44" spans="1:9" x14ac:dyDescent="0.25">
      <c r="A44" s="26" t="s">
        <v>26</v>
      </c>
      <c r="B44" s="27">
        <v>28</v>
      </c>
      <c r="C44" s="28">
        <f ca="1">C$43*minority</f>
        <v>19.643044565746564</v>
      </c>
      <c r="D44" s="28">
        <f ca="1">D$43*minority</f>
        <v>21.106356561814501</v>
      </c>
      <c r="E44" s="28">
        <f ca="1">E$43*minority</f>
        <v>19.724487940832017</v>
      </c>
      <c r="F44" s="28">
        <f ca="1">F$43*minority</f>
        <v>20.344926369561271</v>
      </c>
      <c r="G44" s="28">
        <f ca="1">G$43*minority</f>
        <v>20.793468388748359</v>
      </c>
      <c r="H44" s="11"/>
      <c r="I44" s="11"/>
    </row>
    <row r="45" spans="1:9" x14ac:dyDescent="0.25">
      <c r="A45" s="4" t="s">
        <v>40</v>
      </c>
      <c r="B45" s="11">
        <f t="shared" ref="B45:G45" si="8">B42-B43-B44</f>
        <v>620</v>
      </c>
      <c r="C45" s="11">
        <f ca="1">C$42-SUM(C43:C44)</f>
        <v>778.6721882386712</v>
      </c>
      <c r="D45" s="11">
        <f t="shared" ref="D45:G45" ca="1" si="9">D$42-SUM(D43:D44)</f>
        <v>836.67950733018665</v>
      </c>
      <c r="E45" s="11">
        <f t="shared" ca="1" si="9"/>
        <v>781.90069443500306</v>
      </c>
      <c r="F45" s="11">
        <f t="shared" ca="1" si="9"/>
        <v>806.49556552786953</v>
      </c>
      <c r="G45" s="11">
        <f t="shared" ca="1" si="9"/>
        <v>824.27627128498295</v>
      </c>
      <c r="H45" s="11"/>
      <c r="I45" s="11"/>
    </row>
    <row r="46" spans="1:9" x14ac:dyDescent="0.25">
      <c r="A46" s="4" t="s">
        <v>41</v>
      </c>
      <c r="B46" s="11">
        <v>276</v>
      </c>
      <c r="C46" s="11">
        <f>B46*(1+divgrowth)</f>
        <v>287.39880000000005</v>
      </c>
      <c r="D46" s="11">
        <f>C46*(1+divgrowth)</f>
        <v>299.26837044000007</v>
      </c>
      <c r="E46" s="11">
        <f>D46*(1+divgrowth)</f>
        <v>311.62815413917212</v>
      </c>
      <c r="F46" s="11">
        <f>E46*(1+divgrowth)</f>
        <v>324.49839690511999</v>
      </c>
      <c r="G46" s="11">
        <f>F46*(1+divgrowth)</f>
        <v>337.90018069730149</v>
      </c>
      <c r="H46" s="11"/>
      <c r="I46" s="11"/>
    </row>
    <row r="47" spans="1:9" x14ac:dyDescent="0.25">
      <c r="A47" s="30" t="s">
        <v>64</v>
      </c>
      <c r="B47" s="31">
        <f t="shared" ref="B47:G47" si="10">B45-B46</f>
        <v>344</v>
      </c>
      <c r="C47" s="31">
        <f ca="1">C45-C46</f>
        <v>491.27338823867115</v>
      </c>
      <c r="D47" s="31">
        <f t="shared" ref="D47:G47" ca="1" si="11">D45-D46</f>
        <v>537.41113689018653</v>
      </c>
      <c r="E47" s="31">
        <f t="shared" ca="1" si="11"/>
        <v>470.27254029583094</v>
      </c>
      <c r="F47" s="31">
        <f t="shared" ca="1" si="11"/>
        <v>481.99716862274954</v>
      </c>
      <c r="G47" s="31">
        <f t="shared" ca="1" si="11"/>
        <v>486.37609058768146</v>
      </c>
      <c r="H47" s="11"/>
      <c r="I47" s="11"/>
    </row>
    <row r="49" spans="1:9" ht="15.6" x14ac:dyDescent="0.3">
      <c r="A49" s="12" t="s">
        <v>42</v>
      </c>
      <c r="B49" s="3">
        <v>2000</v>
      </c>
      <c r="C49" s="3">
        <v>2001</v>
      </c>
      <c r="D49" s="3">
        <v>2002</v>
      </c>
      <c r="E49" s="3">
        <v>2003</v>
      </c>
      <c r="F49" s="3">
        <v>2004</v>
      </c>
      <c r="G49" s="3">
        <v>2005</v>
      </c>
      <c r="H49" s="8"/>
      <c r="I49" s="8"/>
    </row>
    <row r="50" spans="1:9" x14ac:dyDescent="0.25">
      <c r="A50" s="4" t="s">
        <v>43</v>
      </c>
      <c r="B50" s="10">
        <v>111</v>
      </c>
      <c r="C50" s="11">
        <f>B50</f>
        <v>111</v>
      </c>
      <c r="D50" s="11">
        <f t="shared" ref="D50:G50" si="12">C50</f>
        <v>111</v>
      </c>
      <c r="E50" s="11">
        <f t="shared" si="12"/>
        <v>111</v>
      </c>
      <c r="F50" s="11">
        <f t="shared" si="12"/>
        <v>111</v>
      </c>
      <c r="G50" s="11">
        <f t="shared" si="12"/>
        <v>111</v>
      </c>
      <c r="H50" s="11"/>
      <c r="I50" s="11"/>
    </row>
    <row r="51" spans="1:9" x14ac:dyDescent="0.25">
      <c r="A51" s="4" t="s">
        <v>44</v>
      </c>
      <c r="B51" s="10">
        <v>1563</v>
      </c>
      <c r="C51" s="11">
        <f>C$35*ar_sales</f>
        <v>1750.8261465104504</v>
      </c>
      <c r="D51" s="11">
        <f>D$35*ar_sales</f>
        <v>1890.8922382312867</v>
      </c>
      <c r="E51" s="11">
        <f>E$35*ar_sales</f>
        <v>1853.0743934666609</v>
      </c>
      <c r="F51" s="11">
        <f>F$35*ar_sales</f>
        <v>1927.1973692053275</v>
      </c>
      <c r="G51" s="11">
        <f>G$35*ar_sales</f>
        <v>2004.2852639735406</v>
      </c>
      <c r="H51" s="11"/>
      <c r="I51" s="11"/>
    </row>
    <row r="52" spans="1:9" x14ac:dyDescent="0.25">
      <c r="A52" s="4" t="s">
        <v>45</v>
      </c>
      <c r="B52" s="10">
        <v>1121</v>
      </c>
      <c r="C52" s="11">
        <f>C$35*inventory_sales</f>
        <v>1172.3126336260982</v>
      </c>
      <c r="D52" s="11">
        <f>D$35*inventory_sales</f>
        <v>1266.097644316186</v>
      </c>
      <c r="E52" s="11">
        <f>E$35*inventory_sales</f>
        <v>1240.7756914298625</v>
      </c>
      <c r="F52" s="11">
        <f>F$35*inventory_sales</f>
        <v>1290.4067190870569</v>
      </c>
      <c r="G52" s="11">
        <f>G$35*inventory_sales</f>
        <v>1342.0229878505393</v>
      </c>
      <c r="H52" s="11"/>
      <c r="I52" s="11"/>
    </row>
    <row r="53" spans="1:9" x14ac:dyDescent="0.25">
      <c r="A53" s="4" t="s">
        <v>46</v>
      </c>
      <c r="B53" s="10">
        <v>298</v>
      </c>
      <c r="C53" s="11">
        <f>C$35*otherca_sales</f>
        <v>307.13200482057647</v>
      </c>
      <c r="D53" s="11">
        <f>D$35*otherca_sales</f>
        <v>331.70256520622263</v>
      </c>
      <c r="E53" s="11">
        <f>E$35*otherca_sales</f>
        <v>325.06851390209818</v>
      </c>
      <c r="F53" s="11">
        <f>F$35*otherca_sales</f>
        <v>338.07125445818212</v>
      </c>
      <c r="G53" s="11">
        <f>G$35*otherca_sales</f>
        <v>351.59410463650943</v>
      </c>
      <c r="H53" s="11"/>
      <c r="I53" s="11"/>
    </row>
    <row r="54" spans="1:9" x14ac:dyDescent="0.25">
      <c r="A54" s="30" t="s">
        <v>47</v>
      </c>
      <c r="B54" s="31">
        <f t="shared" ref="B54:G54" si="13">SUM(B50:B53)</f>
        <v>3093</v>
      </c>
      <c r="C54" s="31">
        <f t="shared" si="13"/>
        <v>3341.2707849571252</v>
      </c>
      <c r="D54" s="31">
        <f t="shared" ref="D54:G54" si="14">SUM(D50:D53)</f>
        <v>3599.6924477536954</v>
      </c>
      <c r="E54" s="31">
        <f t="shared" si="14"/>
        <v>3529.9185987986211</v>
      </c>
      <c r="F54" s="31">
        <f t="shared" si="14"/>
        <v>3666.6753427505664</v>
      </c>
      <c r="G54" s="31">
        <f t="shared" si="14"/>
        <v>3808.9023564605895</v>
      </c>
      <c r="H54" s="11"/>
      <c r="I54" s="11"/>
    </row>
    <row r="55" spans="1:9" x14ac:dyDescent="0.25">
      <c r="A55" s="4"/>
      <c r="B55" s="10"/>
      <c r="C55" s="11"/>
      <c r="D55" s="11"/>
      <c r="E55" s="11"/>
      <c r="F55" s="11"/>
      <c r="G55" s="11"/>
      <c r="H55" s="11"/>
      <c r="I55" s="11"/>
    </row>
    <row r="56" spans="1:9" x14ac:dyDescent="0.25">
      <c r="A56" s="4" t="s">
        <v>48</v>
      </c>
      <c r="B56" s="10">
        <v>7089</v>
      </c>
      <c r="C56" s="11">
        <f ca="1">SUM(C57:C58)</f>
        <v>7884.5932401136115</v>
      </c>
      <c r="D56" s="11">
        <f t="shared" ref="D56:G56" ca="1" si="15">SUM(D57:D58)</f>
        <v>8667.6071632846542</v>
      </c>
      <c r="E56" s="11">
        <f t="shared" ca="1" si="15"/>
        <v>9159.1301107705222</v>
      </c>
      <c r="F56" s="11">
        <f t="shared" ca="1" si="15"/>
        <v>9898.1695962153517</v>
      </c>
      <c r="G56" s="11">
        <f t="shared" ca="1" si="15"/>
        <v>10691.034793859744</v>
      </c>
      <c r="H56" s="11"/>
      <c r="I56" s="11"/>
    </row>
    <row r="57" spans="1:9" ht="26.4" x14ac:dyDescent="0.25">
      <c r="A57" s="4" t="s">
        <v>49</v>
      </c>
      <c r="B57" s="10">
        <v>4148</v>
      </c>
      <c r="C57" s="11">
        <f ca="1">B57+C39</f>
        <v>4620.0832401136113</v>
      </c>
      <c r="D57" s="11">
        <f t="shared" ref="D57:G57" ca="1" si="16">C57+D39</f>
        <v>5141.9363632846525</v>
      </c>
      <c r="E57" s="11">
        <f t="shared" ca="1" si="16"/>
        <v>5703.9727267705221</v>
      </c>
      <c r="F57" s="11">
        <f t="shared" ca="1" si="16"/>
        <v>6304.80591685535</v>
      </c>
      <c r="G57" s="11">
        <f t="shared" ca="1" si="16"/>
        <v>6953.9365673253433</v>
      </c>
      <c r="H57" s="11"/>
      <c r="I57" s="11"/>
    </row>
    <row r="58" spans="1:9" x14ac:dyDescent="0.25">
      <c r="A58" s="4" t="s">
        <v>50</v>
      </c>
      <c r="B58" s="10">
        <f>B56-B57</f>
        <v>2941</v>
      </c>
      <c r="C58" s="11">
        <f>C$35*ppe_sales</f>
        <v>3264.51</v>
      </c>
      <c r="D58" s="11">
        <f>D$35*ppe_sales</f>
        <v>3525.6708000000008</v>
      </c>
      <c r="E58" s="11">
        <f>E$35*ppe_sales</f>
        <v>3455.157384000001</v>
      </c>
      <c r="F58" s="11">
        <f>F$35*ppe_sales</f>
        <v>3593.3636793600012</v>
      </c>
      <c r="G58" s="11">
        <f>G$35*ppe_sales</f>
        <v>3737.0982265344014</v>
      </c>
      <c r="H58" s="11"/>
      <c r="I58" s="11"/>
    </row>
    <row r="59" spans="1:9" x14ac:dyDescent="0.25">
      <c r="A59" s="4"/>
      <c r="B59" s="10"/>
      <c r="C59" s="11"/>
      <c r="D59" s="11"/>
      <c r="E59" s="11"/>
      <c r="F59" s="11"/>
      <c r="G59" s="11"/>
      <c r="H59" s="11"/>
      <c r="I59" s="11"/>
    </row>
    <row r="60" spans="1:9" x14ac:dyDescent="0.25">
      <c r="A60" s="4" t="s">
        <v>51</v>
      </c>
      <c r="B60" s="10">
        <v>320</v>
      </c>
      <c r="C60" s="11">
        <f>B60</f>
        <v>320</v>
      </c>
      <c r="D60" s="11">
        <f t="shared" ref="D60:G60" si="17">C60</f>
        <v>320</v>
      </c>
      <c r="E60" s="11">
        <f t="shared" si="17"/>
        <v>320</v>
      </c>
      <c r="F60" s="11">
        <f t="shared" si="17"/>
        <v>320</v>
      </c>
      <c r="G60" s="11">
        <f t="shared" si="17"/>
        <v>320</v>
      </c>
      <c r="H60" s="11"/>
      <c r="I60" s="11"/>
    </row>
    <row r="61" spans="1:9" x14ac:dyDescent="0.25">
      <c r="A61" s="4" t="s">
        <v>52</v>
      </c>
      <c r="B61" s="10">
        <v>1700</v>
      </c>
      <c r="C61" s="11">
        <f>B61</f>
        <v>1700</v>
      </c>
      <c r="D61" s="11">
        <f t="shared" ref="D61:G61" si="18">C61</f>
        <v>1700</v>
      </c>
      <c r="E61" s="11">
        <f t="shared" si="18"/>
        <v>1700</v>
      </c>
      <c r="F61" s="11">
        <f t="shared" si="18"/>
        <v>1700</v>
      </c>
      <c r="G61" s="11">
        <f t="shared" si="18"/>
        <v>1700</v>
      </c>
      <c r="H61" s="11"/>
      <c r="I61" s="11"/>
    </row>
    <row r="62" spans="1:9" x14ac:dyDescent="0.25">
      <c r="A62" s="4" t="s">
        <v>53</v>
      </c>
      <c r="B62" s="10">
        <v>1071</v>
      </c>
      <c r="C62" s="28">
        <f>B62*(1+$B$21)</f>
        <v>1155.9704210499467</v>
      </c>
      <c r="D62" s="28">
        <f t="shared" ref="D62:G62" si="19">C62*(1+$B$21)</f>
        <v>1247.6821795914013</v>
      </c>
      <c r="E62" s="28">
        <f t="shared" si="19"/>
        <v>1346.6701162266922</v>
      </c>
      <c r="F62" s="28">
        <f t="shared" si="19"/>
        <v>1453.5115044537347</v>
      </c>
      <c r="G62" s="28">
        <f t="shared" si="19"/>
        <v>1568.8294171842438</v>
      </c>
      <c r="H62" s="11"/>
      <c r="I62" s="11"/>
    </row>
    <row r="63" spans="1:9" x14ac:dyDescent="0.25">
      <c r="A63" s="32" t="s">
        <v>54</v>
      </c>
      <c r="B63" s="33">
        <f t="shared" ref="B63:G63" si="20">SUM(B58:B62)+B54</f>
        <v>9125</v>
      </c>
      <c r="C63" s="33">
        <f t="shared" si="20"/>
        <v>9781.7512060070731</v>
      </c>
      <c r="D63" s="33">
        <f t="shared" ref="D63:G63" si="21">SUM(D58:D62)+D54</f>
        <v>10393.045427345098</v>
      </c>
      <c r="E63" s="33">
        <f t="shared" si="21"/>
        <v>10351.746099025313</v>
      </c>
      <c r="F63" s="33">
        <f t="shared" si="21"/>
        <v>10733.550526564302</v>
      </c>
      <c r="G63" s="33">
        <f t="shared" si="21"/>
        <v>11134.830000179234</v>
      </c>
      <c r="H63" s="11"/>
      <c r="I63" s="11"/>
    </row>
    <row r="64" spans="1:9" x14ac:dyDescent="0.25">
      <c r="A64" s="4"/>
      <c r="B64" s="10"/>
      <c r="C64" s="11"/>
      <c r="D64" s="11"/>
      <c r="E64" s="11"/>
      <c r="F64" s="11"/>
      <c r="G64" s="11"/>
      <c r="H64" s="11"/>
      <c r="I64" s="11"/>
    </row>
    <row r="65" spans="1:9" ht="15.6" x14ac:dyDescent="0.3">
      <c r="A65" s="12" t="s">
        <v>55</v>
      </c>
      <c r="B65" s="3">
        <v>2000</v>
      </c>
      <c r="C65" s="3">
        <v>2001</v>
      </c>
      <c r="D65" s="3">
        <v>2002</v>
      </c>
      <c r="E65" s="3">
        <v>2003</v>
      </c>
      <c r="F65" s="3">
        <v>2004</v>
      </c>
      <c r="G65" s="3">
        <v>2005</v>
      </c>
      <c r="H65" s="8"/>
      <c r="I65" s="8"/>
    </row>
    <row r="66" spans="1:9" x14ac:dyDescent="0.25">
      <c r="A66" s="4" t="s">
        <v>56</v>
      </c>
      <c r="B66" s="10">
        <v>764</v>
      </c>
      <c r="C66" s="10">
        <f>C$35*ap_sales</f>
        <v>813.70281797334258</v>
      </c>
      <c r="D66" s="10">
        <f>D$35*ap_sales</f>
        <v>878.79904341121005</v>
      </c>
      <c r="E66" s="10">
        <f>E$35*ap_sales</f>
        <v>861.22306254298587</v>
      </c>
      <c r="F66" s="10">
        <f>F$35*ap_sales</f>
        <v>895.67198504470537</v>
      </c>
      <c r="G66" s="10">
        <f>G$35*ap_sales</f>
        <v>931.4988644464936</v>
      </c>
      <c r="H66" s="10"/>
      <c r="I66" s="10"/>
    </row>
    <row r="67" spans="1:9" x14ac:dyDescent="0.25">
      <c r="A67" s="4" t="s">
        <v>57</v>
      </c>
      <c r="B67" s="10">
        <v>606</v>
      </c>
      <c r="C67" s="10">
        <f>C$35*accruedexp_sales</f>
        <v>693.98345425247726</v>
      </c>
      <c r="D67" s="10">
        <f>D$35*accruedexp_sales</f>
        <v>749.50213059267548</v>
      </c>
      <c r="E67" s="10">
        <f>E$35*accruedexp_sales</f>
        <v>734.512087980822</v>
      </c>
      <c r="F67" s="10">
        <f>F$35*accruedexp_sales</f>
        <v>763.89257150005494</v>
      </c>
      <c r="G67" s="10">
        <f>G$35*accruedexp_sales</f>
        <v>794.4482743600571</v>
      </c>
      <c r="H67" s="10"/>
      <c r="I67" s="10"/>
    </row>
    <row r="68" spans="1:9" x14ac:dyDescent="0.25">
      <c r="A68" s="4" t="s">
        <v>58</v>
      </c>
      <c r="B68" s="10">
        <v>12</v>
      </c>
      <c r="C68" s="10">
        <f>B68</f>
        <v>12</v>
      </c>
      <c r="D68" s="10">
        <f t="shared" ref="D68:G68" si="22">C68</f>
        <v>12</v>
      </c>
      <c r="E68" s="10">
        <f t="shared" si="22"/>
        <v>12</v>
      </c>
      <c r="F68" s="10">
        <f t="shared" si="22"/>
        <v>12</v>
      </c>
      <c r="G68" s="10">
        <f t="shared" si="22"/>
        <v>12</v>
      </c>
      <c r="H68" s="10"/>
      <c r="I68" s="10"/>
    </row>
    <row r="69" spans="1:9" x14ac:dyDescent="0.25">
      <c r="A69" s="13"/>
      <c r="B69" s="10"/>
      <c r="C69" s="10"/>
      <c r="D69" s="10"/>
      <c r="E69" s="10"/>
      <c r="F69" s="10"/>
      <c r="G69" s="10"/>
      <c r="H69" s="10"/>
      <c r="I69" s="10"/>
    </row>
    <row r="70" spans="1:9" x14ac:dyDescent="0.25">
      <c r="A70" s="4" t="s">
        <v>59</v>
      </c>
      <c r="B70" s="10">
        <v>2971</v>
      </c>
      <c r="C70" s="10">
        <f>C$63*debt_assets</f>
        <v>3130.1603859222632</v>
      </c>
      <c r="D70" s="10">
        <f>D$63*debt_assets</f>
        <v>3325.7745367504313</v>
      </c>
      <c r="E70" s="10">
        <f>E$63*debt_assets</f>
        <v>3312.5587516881001</v>
      </c>
      <c r="F70" s="10">
        <f>F$63*debt_assets</f>
        <v>3434.7361685005767</v>
      </c>
      <c r="G70" s="10">
        <f>G$63*debt_assets</f>
        <v>3563.1456000573548</v>
      </c>
      <c r="H70" s="10"/>
      <c r="I70" s="10"/>
    </row>
    <row r="71" spans="1:9" x14ac:dyDescent="0.25">
      <c r="A71" s="4" t="s">
        <v>24</v>
      </c>
      <c r="B71" s="10">
        <v>543</v>
      </c>
      <c r="C71" s="10">
        <f>B71*(1+C$4)</f>
        <v>602.73</v>
      </c>
      <c r="D71" s="10">
        <f t="shared" ref="D71:G71" si="23">C71*(1+D$4)</f>
        <v>650.94840000000011</v>
      </c>
      <c r="E71" s="10">
        <f t="shared" si="23"/>
        <v>637.92943200000013</v>
      </c>
      <c r="F71" s="10">
        <f t="shared" si="23"/>
        <v>663.44660928000019</v>
      </c>
      <c r="G71" s="10">
        <f t="shared" si="23"/>
        <v>689.98447365120023</v>
      </c>
      <c r="H71" s="10"/>
      <c r="I71" s="10"/>
    </row>
    <row r="72" spans="1:9" x14ac:dyDescent="0.25">
      <c r="A72" s="26" t="s">
        <v>26</v>
      </c>
      <c r="B72" s="10">
        <v>128</v>
      </c>
      <c r="C72" s="27">
        <f>B72</f>
        <v>128</v>
      </c>
      <c r="D72" s="27">
        <f t="shared" ref="D72:G72" si="24">C72</f>
        <v>128</v>
      </c>
      <c r="E72" s="27">
        <f t="shared" si="24"/>
        <v>128</v>
      </c>
      <c r="F72" s="27">
        <f t="shared" si="24"/>
        <v>128</v>
      </c>
      <c r="G72" s="27">
        <f t="shared" si="24"/>
        <v>128</v>
      </c>
      <c r="H72" s="10"/>
      <c r="I72" s="10"/>
    </row>
    <row r="73" spans="1:9" x14ac:dyDescent="0.25">
      <c r="A73" s="4" t="s">
        <v>60</v>
      </c>
      <c r="B73" s="10">
        <v>1004</v>
      </c>
      <c r="C73" s="10">
        <f>B73*(1+$B$31)</f>
        <v>1129.8343093484204</v>
      </c>
      <c r="D73" s="10">
        <f t="shared" ref="D73:G73" si="25">C73*(1+$B$31)</f>
        <v>1271.4398073514167</v>
      </c>
      <c r="E73" s="10">
        <f t="shared" si="25"/>
        <v>1430.7931440408133</v>
      </c>
      <c r="F73" s="10">
        <f t="shared" si="25"/>
        <v>1610.1187088822783</v>
      </c>
      <c r="G73" s="10">
        <f t="shared" si="25"/>
        <v>1811.9196806961945</v>
      </c>
      <c r="H73" s="10"/>
      <c r="I73" s="10"/>
    </row>
    <row r="74" spans="1:9" x14ac:dyDescent="0.25">
      <c r="A74" s="4"/>
      <c r="B74" s="10"/>
      <c r="C74" s="10"/>
      <c r="D74" s="10"/>
      <c r="E74" s="10"/>
      <c r="F74" s="10"/>
      <c r="G74" s="10"/>
      <c r="H74" s="10"/>
      <c r="I74" s="10"/>
    </row>
    <row r="75" spans="1:9" x14ac:dyDescent="0.25">
      <c r="A75" s="2" t="s">
        <v>61</v>
      </c>
      <c r="B75" s="14"/>
      <c r="C75" s="14"/>
      <c r="D75" s="14"/>
      <c r="E75" s="14"/>
      <c r="F75" s="14"/>
      <c r="G75" s="14"/>
      <c r="H75" s="14"/>
      <c r="I75" s="14"/>
    </row>
    <row r="76" spans="1:9" x14ac:dyDescent="0.25">
      <c r="A76" s="4" t="s">
        <v>62</v>
      </c>
      <c r="B76" s="10">
        <v>484</v>
      </c>
      <c r="C76" s="10">
        <f>B76</f>
        <v>484</v>
      </c>
      <c r="D76" s="10">
        <f t="shared" ref="D76:G76" si="26">C76</f>
        <v>484</v>
      </c>
      <c r="E76" s="10">
        <f t="shared" si="26"/>
        <v>484</v>
      </c>
      <c r="F76" s="10">
        <f t="shared" si="26"/>
        <v>484</v>
      </c>
      <c r="G76" s="10">
        <f t="shared" si="26"/>
        <v>484</v>
      </c>
      <c r="H76" s="10"/>
      <c r="I76" s="10"/>
    </row>
    <row r="77" spans="1:9" x14ac:dyDescent="0.25">
      <c r="A77" s="4" t="s">
        <v>63</v>
      </c>
      <c r="B77" s="10">
        <v>102</v>
      </c>
      <c r="C77" s="10">
        <f>B77</f>
        <v>102</v>
      </c>
      <c r="D77" s="10">
        <f t="shared" ref="D77:G77" si="27">C77</f>
        <v>102</v>
      </c>
      <c r="E77" s="10">
        <f t="shared" si="27"/>
        <v>102</v>
      </c>
      <c r="F77" s="10">
        <f t="shared" si="27"/>
        <v>102</v>
      </c>
      <c r="G77" s="10">
        <f t="shared" si="27"/>
        <v>102</v>
      </c>
      <c r="H77" s="10"/>
      <c r="I77" s="10"/>
    </row>
    <row r="78" spans="1:9" x14ac:dyDescent="0.25">
      <c r="A78" s="4" t="s">
        <v>64</v>
      </c>
      <c r="B78" s="10">
        <v>6019</v>
      </c>
      <c r="C78" s="10">
        <f ca="1">B78+C47</f>
        <v>6510.273388238671</v>
      </c>
      <c r="D78" s="10">
        <f t="shared" ref="D78:G78" ca="1" si="28">C78+D47</f>
        <v>7047.6845251288578</v>
      </c>
      <c r="E78" s="10">
        <f t="shared" ca="1" si="28"/>
        <v>7517.9570654246891</v>
      </c>
      <c r="F78" s="10">
        <f t="shared" ca="1" si="28"/>
        <v>7999.9542340474381</v>
      </c>
      <c r="G78" s="10">
        <f t="shared" ca="1" si="28"/>
        <v>8486.3303246351188</v>
      </c>
      <c r="H78" s="10"/>
      <c r="I78" s="10"/>
    </row>
    <row r="79" spans="1:9" x14ac:dyDescent="0.25">
      <c r="A79" s="4" t="s">
        <v>65</v>
      </c>
      <c r="B79" s="10">
        <v>3508</v>
      </c>
      <c r="C79" s="10">
        <f ca="1">-C63+SUM(C66:C78)</f>
        <v>3824.9331497281</v>
      </c>
      <c r="D79" s="10">
        <f t="shared" ref="D79:G79" ca="1" si="29">-D63+SUM(D66:D78)</f>
        <v>4257.1030158894937</v>
      </c>
      <c r="E79" s="10">
        <f t="shared" ca="1" si="29"/>
        <v>4869.2274446520969</v>
      </c>
      <c r="F79" s="10">
        <f t="shared" ca="1" si="29"/>
        <v>5360.2697506907516</v>
      </c>
      <c r="G79" s="10">
        <f t="shared" ca="1" si="29"/>
        <v>5868.4972176671836</v>
      </c>
      <c r="H79" s="10"/>
      <c r="I79" s="10"/>
    </row>
    <row r="80" spans="1:9" x14ac:dyDescent="0.25">
      <c r="A80" s="4" t="s">
        <v>66</v>
      </c>
      <c r="B80" s="10">
        <v>3097</v>
      </c>
      <c r="C80" s="10">
        <f ca="1">SUM(C76:C78)-C79</f>
        <v>3271.340238510571</v>
      </c>
      <c r="D80" s="10">
        <f t="shared" ref="D80:G80" ca="1" si="30">SUM(D76:D78)-D79</f>
        <v>3376.5815092393641</v>
      </c>
      <c r="E80" s="10">
        <f t="shared" ca="1" si="30"/>
        <v>3234.7296207725922</v>
      </c>
      <c r="F80" s="10">
        <f t="shared" ca="1" si="30"/>
        <v>3225.6844833566865</v>
      </c>
      <c r="G80" s="10">
        <f t="shared" ca="1" si="30"/>
        <v>3203.8331069679352</v>
      </c>
      <c r="H80" s="10"/>
      <c r="I80" s="10"/>
    </row>
    <row r="81" spans="1:9" x14ac:dyDescent="0.25">
      <c r="A81" s="32" t="s">
        <v>67</v>
      </c>
      <c r="B81" s="33">
        <f t="shared" ref="B81:G81" si="31">SUM(B66:B73)+B80</f>
        <v>9125</v>
      </c>
      <c r="C81" s="33">
        <f t="shared" ca="1" si="31"/>
        <v>9781.7512060070731</v>
      </c>
      <c r="D81" s="33">
        <f t="shared" ref="D81:G81" ca="1" si="32">SUM(D66:D73)+D80</f>
        <v>10393.045427345098</v>
      </c>
      <c r="E81" s="33">
        <f t="shared" ca="1" si="32"/>
        <v>10351.746099025313</v>
      </c>
      <c r="F81" s="33">
        <f t="shared" ca="1" si="32"/>
        <v>10733.550526564302</v>
      </c>
      <c r="G81" s="33">
        <f t="shared" ca="1" si="32"/>
        <v>11134.830000179236</v>
      </c>
      <c r="H81" s="10"/>
      <c r="I81" s="10"/>
    </row>
    <row r="82" spans="1:9" x14ac:dyDescent="0.25">
      <c r="C82" s="11"/>
      <c r="D82" s="11"/>
      <c r="E82" s="11"/>
      <c r="F82" s="11"/>
      <c r="G82" s="11"/>
      <c r="H82" s="11"/>
      <c r="I82" s="11"/>
    </row>
    <row r="83" spans="1:9" x14ac:dyDescent="0.25">
      <c r="C83" s="11"/>
      <c r="D83" s="11"/>
      <c r="E83" s="11"/>
      <c r="F83" s="11"/>
      <c r="G83" s="11"/>
      <c r="H83" s="11"/>
      <c r="I83" s="11"/>
    </row>
    <row r="84" spans="1:9" ht="15.6" x14ac:dyDescent="0.3">
      <c r="A84" s="9" t="s">
        <v>68</v>
      </c>
      <c r="C84" s="3">
        <v>2001</v>
      </c>
      <c r="D84" s="3">
        <v>2002</v>
      </c>
      <c r="E84" s="3">
        <v>2003</v>
      </c>
      <c r="F84" s="3">
        <v>2004</v>
      </c>
      <c r="G84" s="3">
        <v>2005</v>
      </c>
      <c r="H84" s="8"/>
      <c r="I84" s="8"/>
    </row>
    <row r="85" spans="1:9" x14ac:dyDescent="0.25">
      <c r="A85" s="1" t="s">
        <v>69</v>
      </c>
      <c r="C85" s="11">
        <f ca="1">C45</f>
        <v>778.6721882386712</v>
      </c>
      <c r="D85" s="11">
        <f t="shared" ref="D85:G85" ca="1" si="33">D45</f>
        <v>836.67950733018665</v>
      </c>
      <c r="E85" s="11">
        <f t="shared" ca="1" si="33"/>
        <v>781.90069443500306</v>
      </c>
      <c r="F85" s="11">
        <f t="shared" ca="1" si="33"/>
        <v>806.49556552786953</v>
      </c>
      <c r="G85" s="11">
        <f t="shared" ca="1" si="33"/>
        <v>824.27627128498295</v>
      </c>
      <c r="H85" s="11"/>
      <c r="I85" s="11"/>
    </row>
    <row r="86" spans="1:9" x14ac:dyDescent="0.25">
      <c r="A86" s="1" t="s">
        <v>70</v>
      </c>
      <c r="C86" s="11">
        <f ca="1">C39</f>
        <v>472.08324011361151</v>
      </c>
      <c r="D86" s="11">
        <f t="shared" ref="D86:G86" ca="1" si="34">D39</f>
        <v>521.85312317104137</v>
      </c>
      <c r="E86" s="11">
        <f t="shared" ca="1" si="34"/>
        <v>562.03636348586986</v>
      </c>
      <c r="F86" s="11">
        <f t="shared" ca="1" si="34"/>
        <v>600.83319008482761</v>
      </c>
      <c r="G86" s="11">
        <f t="shared" ca="1" si="34"/>
        <v>649.13065046999338</v>
      </c>
      <c r="H86" s="11"/>
      <c r="I86" s="11"/>
    </row>
    <row r="87" spans="1:9" x14ac:dyDescent="0.25">
      <c r="A87" s="1" t="s">
        <v>71</v>
      </c>
      <c r="C87" s="11"/>
      <c r="D87" s="11"/>
      <c r="E87" s="11"/>
      <c r="F87" s="11"/>
      <c r="G87" s="11"/>
      <c r="H87" s="11"/>
      <c r="I87" s="11"/>
    </row>
    <row r="88" spans="1:9" x14ac:dyDescent="0.25">
      <c r="A88" s="1" t="s">
        <v>72</v>
      </c>
      <c r="C88" s="11">
        <f>+SUM(B51:B53)-SUM(C51:C53)</f>
        <v>-248.27078495712522</v>
      </c>
      <c r="D88" s="11">
        <f t="shared" ref="D88:G88" si="35">+SUM(C51:C53)-SUM(D51:D53)</f>
        <v>-258.42166279657022</v>
      </c>
      <c r="E88" s="11">
        <f t="shared" si="35"/>
        <v>69.7738489550743</v>
      </c>
      <c r="F88" s="11">
        <f t="shared" si="35"/>
        <v>-136.75674395194528</v>
      </c>
      <c r="G88" s="11">
        <f t="shared" si="35"/>
        <v>-142.22701371002313</v>
      </c>
      <c r="H88" s="11"/>
      <c r="I88" s="11"/>
    </row>
    <row r="89" spans="1:9" x14ac:dyDescent="0.25">
      <c r="A89" s="1" t="s">
        <v>73</v>
      </c>
      <c r="C89" s="11">
        <f>SUM(C66:C68)-SUM(B66:B68)</f>
        <v>137.68627222581972</v>
      </c>
      <c r="D89" s="11">
        <f t="shared" ref="D89:G89" si="36">SUM(D66:D68)-SUM(C66:C68)</f>
        <v>120.61490177806581</v>
      </c>
      <c r="E89" s="11">
        <f t="shared" si="36"/>
        <v>-32.566023480077547</v>
      </c>
      <c r="F89" s="11">
        <f t="shared" si="36"/>
        <v>63.82940602095232</v>
      </c>
      <c r="G89" s="11">
        <f t="shared" si="36"/>
        <v>66.382582261790503</v>
      </c>
      <c r="H89" s="11"/>
      <c r="I89" s="11"/>
    </row>
    <row r="90" spans="1:9" x14ac:dyDescent="0.25">
      <c r="A90" s="1" t="s">
        <v>74</v>
      </c>
      <c r="C90" s="11">
        <f ca="1">-C56+B56</f>
        <v>-795.5932401136115</v>
      </c>
      <c r="D90" s="11">
        <f t="shared" ref="D90:G90" ca="1" si="37">-D56+C56</f>
        <v>-783.01392317104273</v>
      </c>
      <c r="E90" s="11">
        <f t="shared" ca="1" si="37"/>
        <v>-491.52294748586792</v>
      </c>
      <c r="F90" s="11">
        <f t="shared" ca="1" si="37"/>
        <v>-739.03948544482955</v>
      </c>
      <c r="G90" s="11">
        <f t="shared" ca="1" si="37"/>
        <v>-792.86519764439254</v>
      </c>
      <c r="H90" s="11"/>
      <c r="I90" s="11"/>
    </row>
    <row r="91" spans="1:9" x14ac:dyDescent="0.25">
      <c r="A91" s="1" t="s">
        <v>75</v>
      </c>
      <c r="C91" s="11">
        <f>-C62+B62</f>
        <v>-84.970421049946708</v>
      </c>
      <c r="D91" s="11">
        <f t="shared" ref="D91:G91" si="38">-D62+C62</f>
        <v>-91.711758541454628</v>
      </c>
      <c r="E91" s="11">
        <f t="shared" si="38"/>
        <v>-98.987936635290907</v>
      </c>
      <c r="F91" s="11">
        <f t="shared" si="38"/>
        <v>-106.84138822704244</v>
      </c>
      <c r="G91" s="11">
        <f t="shared" si="38"/>
        <v>-115.31791273050908</v>
      </c>
      <c r="H91" s="11"/>
      <c r="I91" s="11"/>
    </row>
    <row r="92" spans="1:9" x14ac:dyDescent="0.25">
      <c r="A92" s="1" t="s">
        <v>76</v>
      </c>
      <c r="C92" s="11">
        <f>(1-tax)*C40</f>
        <v>130.23007832605754</v>
      </c>
      <c r="D92" s="11">
        <f>(1-tax)*D40</f>
        <v>137.80278790696053</v>
      </c>
      <c r="E92" s="11">
        <f>(1-tax)*E40</f>
        <v>141.69610523640475</v>
      </c>
      <c r="F92" s="11">
        <f>(1-tax)*F40</f>
        <v>144.02190573004503</v>
      </c>
      <c r="G92" s="11">
        <f>(1-tax)*G40</f>
        <v>149.3707152722277</v>
      </c>
      <c r="H92" s="11"/>
      <c r="I92" s="11"/>
    </row>
    <row r="93" spans="1:9" x14ac:dyDescent="0.25">
      <c r="A93" s="34" t="s">
        <v>77</v>
      </c>
      <c r="B93" s="35"/>
      <c r="C93" s="31">
        <f ca="1">SUM(C85:C92)</f>
        <v>389.83733278347654</v>
      </c>
      <c r="D93" s="31">
        <f t="shared" ref="D93:G93" ca="1" si="39">SUM(D85:D92)</f>
        <v>483.80297567718691</v>
      </c>
      <c r="E93" s="31">
        <f t="shared" ca="1" si="39"/>
        <v>932.33010451111568</v>
      </c>
      <c r="F93" s="31">
        <f t="shared" ca="1" si="39"/>
        <v>632.54244973987716</v>
      </c>
      <c r="G93" s="31">
        <f t="shared" ca="1" si="39"/>
        <v>638.75009520406979</v>
      </c>
      <c r="H93" s="11"/>
      <c r="I93" s="11"/>
    </row>
    <row r="96" spans="1:9" ht="15.6" x14ac:dyDescent="0.3">
      <c r="A96" s="9" t="s">
        <v>78</v>
      </c>
    </row>
    <row r="97" spans="1:9" x14ac:dyDescent="0.25">
      <c r="A97" s="1" t="s">
        <v>79</v>
      </c>
      <c r="B97" s="5">
        <v>7.4658170079831929E-2</v>
      </c>
    </row>
    <row r="98" spans="1:9" x14ac:dyDescent="0.25">
      <c r="A98" s="1" t="s">
        <v>80</v>
      </c>
      <c r="B98" s="6">
        <v>0.04</v>
      </c>
    </row>
    <row r="100" spans="1:9" x14ac:dyDescent="0.25">
      <c r="A100" s="1" t="s">
        <v>81</v>
      </c>
      <c r="C100" s="3">
        <v>2001</v>
      </c>
      <c r="D100" s="3">
        <v>2002</v>
      </c>
      <c r="E100" s="3">
        <v>2003</v>
      </c>
      <c r="F100" s="3">
        <v>2004</v>
      </c>
      <c r="G100" s="3">
        <v>2005</v>
      </c>
      <c r="H100" s="8"/>
      <c r="I100" s="8"/>
    </row>
    <row r="101" spans="1:9" x14ac:dyDescent="0.25">
      <c r="A101" s="1" t="s">
        <v>77</v>
      </c>
      <c r="C101" s="11">
        <f ca="1">C93</f>
        <v>389.83733278347654</v>
      </c>
      <c r="D101" s="11">
        <f ca="1">D93</f>
        <v>483.80297567718691</v>
      </c>
      <c r="E101" s="11">
        <f ca="1">E93</f>
        <v>932.33010451111568</v>
      </c>
      <c r="F101" s="11">
        <f ca="1">F93</f>
        <v>632.54244973987716</v>
      </c>
      <c r="G101" s="11">
        <f ca="1">G93</f>
        <v>638.75009520406979</v>
      </c>
      <c r="H101" s="11"/>
      <c r="I101" s="11"/>
    </row>
    <row r="102" spans="1:9" x14ac:dyDescent="0.25">
      <c r="A102" s="1" t="s">
        <v>82</v>
      </c>
      <c r="G102" s="11">
        <f ca="1">G101*(1+B98)/(B97-B98)</f>
        <v>19167.200619134768</v>
      </c>
      <c r="H102" s="1" t="str">
        <f ca="1">[2]!getformula(G102)</f>
        <v>&lt;--  =G101*(1+B98)/(B97-B98)</v>
      </c>
    </row>
    <row r="103" spans="1:9" x14ac:dyDescent="0.25">
      <c r="A103" s="1" t="s">
        <v>83</v>
      </c>
      <c r="C103" s="11">
        <f ca="1">C102+C101</f>
        <v>389.83733278347654</v>
      </c>
      <c r="D103" s="11">
        <f ca="1">D102+D101</f>
        <v>483.80297567718691</v>
      </c>
      <c r="E103" s="11">
        <f ca="1">E102+E101</f>
        <v>932.33010451111568</v>
      </c>
      <c r="F103" s="11">
        <f ca="1">F102+F101</f>
        <v>632.54244973987716</v>
      </c>
      <c r="G103" s="11">
        <f ca="1">G102+G101</f>
        <v>19805.950714338836</v>
      </c>
      <c r="H103" s="11"/>
      <c r="I103" s="11"/>
    </row>
    <row r="105" spans="1:9" x14ac:dyDescent="0.25">
      <c r="A105" s="1" t="s">
        <v>84</v>
      </c>
      <c r="B105" s="15">
        <f ca="1">NPV(B97,C103:I103)*(1+B97)^0.5</f>
        <v>16405.19284661422</v>
      </c>
      <c r="C105" s="1" t="str">
        <f ca="1">[2]!getformula(B105)</f>
        <v>&lt;--  =NPV(B97,C103:I103)*(1+B97)^0.5</v>
      </c>
    </row>
    <row r="106" spans="1:9" x14ac:dyDescent="0.25">
      <c r="A106" s="1" t="s">
        <v>85</v>
      </c>
      <c r="B106" s="11">
        <f>B50</f>
        <v>111</v>
      </c>
    </row>
    <row r="107" spans="1:9" x14ac:dyDescent="0.25">
      <c r="A107" s="1" t="s">
        <v>86</v>
      </c>
      <c r="B107" s="16">
        <f ca="1">B106+B105</f>
        <v>16516.19284661422</v>
      </c>
    </row>
    <row r="108" spans="1:9" x14ac:dyDescent="0.25">
      <c r="A108" s="1" t="s">
        <v>87</v>
      </c>
      <c r="B108" s="16">
        <f>SUM(B70:B73)</f>
        <v>4646</v>
      </c>
      <c r="C108" s="1" t="str">
        <f ca="1">[2]!getformula(B108)&amp;" -- this is controversial!"</f>
        <v>&lt;--  =SUM(B70:B73) -- this is controversial!</v>
      </c>
    </row>
    <row r="109" spans="1:9" x14ac:dyDescent="0.25">
      <c r="A109" s="35" t="s">
        <v>88</v>
      </c>
      <c r="B109" s="36">
        <f ca="1">B107-B108</f>
        <v>11870.19284661422</v>
      </c>
    </row>
    <row r="111" spans="1:9" x14ac:dyDescent="0.25">
      <c r="A111" s="1" t="s">
        <v>89</v>
      </c>
      <c r="B111" s="17">
        <v>168.22</v>
      </c>
    </row>
    <row r="112" spans="1:9" x14ac:dyDescent="0.25">
      <c r="A112" s="35" t="s">
        <v>90</v>
      </c>
      <c r="B112" s="37">
        <f ca="1">B109/B111</f>
        <v>70.5635052111177</v>
      </c>
    </row>
    <row r="114" spans="1:8" x14ac:dyDescent="0.25">
      <c r="A114" s="1" t="s">
        <v>91</v>
      </c>
      <c r="B114" s="18">
        <v>46.3125</v>
      </c>
    </row>
    <row r="115" spans="1:8" x14ac:dyDescent="0.25">
      <c r="A115" s="1" t="s">
        <v>92</v>
      </c>
      <c r="B115" s="19" t="str">
        <f ca="1">IF(B112&gt;B114*1.1,"undervalued",IF(B112&lt;B114/1.1,"overvalued","ok"))</f>
        <v>undervalued</v>
      </c>
      <c r="C115" s="1" t="str">
        <f ca="1">[2]!getformula(B115)</f>
        <v>&lt;--  =IF(B112&gt;B114*1.1,"undervalued",IF(B112&lt;B114/1.1,"overvalued","ok"))</v>
      </c>
    </row>
    <row r="117" spans="1:8" x14ac:dyDescent="0.25">
      <c r="C117" s="20" t="s">
        <v>93</v>
      </c>
      <c r="D117" s="20"/>
      <c r="E117" s="20"/>
      <c r="F117" s="20"/>
      <c r="G117" s="20"/>
      <c r="H117" s="20"/>
    </row>
    <row r="118" spans="1:8" x14ac:dyDescent="0.25">
      <c r="D118" s="8" t="s">
        <v>94</v>
      </c>
      <c r="E118" s="8"/>
      <c r="F118" s="8"/>
    </row>
    <row r="119" spans="1:8" x14ac:dyDescent="0.25">
      <c r="B119" s="21">
        <f ca="1">IF(B97&gt;B98,B112,"nmf")</f>
        <v>70.5635052111177</v>
      </c>
      <c r="C119" s="22">
        <v>0.01</v>
      </c>
      <c r="D119" s="22">
        <v>0.03</v>
      </c>
      <c r="E119" s="22">
        <v>0.04</v>
      </c>
      <c r="F119" s="22">
        <v>0.05</v>
      </c>
      <c r="G119" s="22">
        <v>0.06</v>
      </c>
      <c r="H119" s="22">
        <v>7.0000000000000007E-2</v>
      </c>
    </row>
    <row r="120" spans="1:8" x14ac:dyDescent="0.25">
      <c r="B120" s="22">
        <v>0.06</v>
      </c>
      <c r="C120" s="23">
        <f t="dataTable" ref="C120:H128" dt2D="1" dtr="1" r1="B98" r2="B97" ca="1"/>
        <v>47.716627759021186</v>
      </c>
      <c r="D120" s="23">
        <v>89.004410179526218</v>
      </c>
      <c r="E120" s="23">
        <v>140.61413820565483</v>
      </c>
      <c r="F120" s="23">
        <v>295.44332228413674</v>
      </c>
      <c r="G120" s="23" t="str">
        <v>nmf</v>
      </c>
      <c r="H120" s="23" t="str">
        <v>nmf</v>
      </c>
    </row>
    <row r="121" spans="1:8" x14ac:dyDescent="0.25">
      <c r="B121" s="22">
        <v>7.0000000000000007E-2</v>
      </c>
      <c r="C121" s="23">
        <v>35.468447425863914</v>
      </c>
      <c r="D121" s="23">
        <v>60.439041875779672</v>
      </c>
      <c r="E121" s="23">
        <v>85.409636325695459</v>
      </c>
      <c r="F121" s="23">
        <v>135.35082522552699</v>
      </c>
      <c r="G121" s="23">
        <v>285.17439192502133</v>
      </c>
      <c r="H121" s="23" t="str">
        <v>nmf</v>
      </c>
    </row>
    <row r="122" spans="1:8" x14ac:dyDescent="0.25">
      <c r="A122" s="24" t="s">
        <v>95</v>
      </c>
      <c r="B122" s="22">
        <v>0.08</v>
      </c>
      <c r="C122" s="23">
        <v>26.713681343469066</v>
      </c>
      <c r="D122" s="23">
        <v>43.28786536041504</v>
      </c>
      <c r="E122" s="23">
        <v>57.790276375242762</v>
      </c>
      <c r="F122" s="23">
        <v>81.96096139995565</v>
      </c>
      <c r="G122" s="23">
        <v>130.30233144938137</v>
      </c>
      <c r="H122" s="23">
        <v>275.32644159765874</v>
      </c>
    </row>
    <row r="123" spans="1:8" x14ac:dyDescent="0.25">
      <c r="B123" s="22">
        <v>0.09</v>
      </c>
      <c r="C123" s="23">
        <v>20.142594203960215</v>
      </c>
      <c r="D123" s="23">
        <v>31.844305115021594</v>
      </c>
      <c r="E123" s="23">
        <v>41.205673843870677</v>
      </c>
      <c r="F123" s="23">
        <v>55.247726937144314</v>
      </c>
      <c r="G123" s="23">
        <v>78.651148759267031</v>
      </c>
      <c r="H123" s="23">
        <v>125.45799240351253</v>
      </c>
    </row>
    <row r="124" spans="1:8" x14ac:dyDescent="0.25">
      <c r="B124" s="22">
        <v>0.1</v>
      </c>
      <c r="C124" s="23">
        <v>15.027539859125792</v>
      </c>
      <c r="D124" s="23">
        <v>23.662660260134476</v>
      </c>
      <c r="E124" s="23">
        <v>30.139000560890985</v>
      </c>
      <c r="F124" s="23">
        <v>39.205876981950119</v>
      </c>
      <c r="G124" s="23">
        <v>52.806191613538779</v>
      </c>
      <c r="H124" s="23">
        <v>75.473382666186581</v>
      </c>
    </row>
    <row r="125" spans="1:8" x14ac:dyDescent="0.25">
      <c r="B125" s="22">
        <v>0.11</v>
      </c>
      <c r="C125" s="23">
        <v>10.931917636825215</v>
      </c>
      <c r="D125" s="23">
        <v>17.520059345932772</v>
      </c>
      <c r="E125" s="23">
        <v>22.22587485243815</v>
      </c>
      <c r="F125" s="23">
        <v>28.500295527778679</v>
      </c>
      <c r="G125" s="23">
        <v>37.284484473255411</v>
      </c>
      <c r="H125" s="23">
        <v>50.460767891470518</v>
      </c>
    </row>
    <row r="126" spans="1:8" x14ac:dyDescent="0.25">
      <c r="B126" s="22">
        <v>0.12</v>
      </c>
      <c r="C126" s="23">
        <v>7.5778796995453606</v>
      </c>
      <c r="D126" s="23">
        <v>12.737111857743933</v>
      </c>
      <c r="E126" s="23">
        <v>16.284083966505463</v>
      </c>
      <c r="F126" s="23">
        <v>20.84447667777027</v>
      </c>
      <c r="G126" s="23">
        <v>26.925000292790017</v>
      </c>
      <c r="H126" s="23">
        <v>35.437733353817677</v>
      </c>
    </row>
    <row r="127" spans="1:8" x14ac:dyDescent="0.25">
      <c r="B127" s="22">
        <v>0.13</v>
      </c>
      <c r="C127" s="23">
        <v>4.7801846745245733</v>
      </c>
      <c r="D127" s="23">
        <v>8.9061687424731488</v>
      </c>
      <c r="E127" s="23">
        <v>11.656824787772194</v>
      </c>
      <c r="F127" s="23">
        <v>15.095144844395994</v>
      </c>
      <c r="G127" s="23">
        <v>19.515842060055181</v>
      </c>
      <c r="H127" s="23">
        <v>25.410105014267426</v>
      </c>
    </row>
    <row r="128" spans="1:8" x14ac:dyDescent="0.25">
      <c r="B128" s="22">
        <v>0.14000000000000001</v>
      </c>
      <c r="C128" s="23">
        <v>2.4105803358327464</v>
      </c>
      <c r="D128" s="23">
        <v>5.7678044025787987</v>
      </c>
      <c r="E128" s="23">
        <v>7.9500000459637343</v>
      </c>
      <c r="F128" s="23">
        <v>10.617128054545317</v>
      </c>
      <c r="G128" s="23">
        <v>13.9510380652723</v>
      </c>
      <c r="H128" s="23">
        <v>18.237493793349859</v>
      </c>
    </row>
    <row r="129" spans="1:8" x14ac:dyDescent="0.25">
      <c r="A129" s="34" t="s">
        <v>99</v>
      </c>
      <c r="B129" s="22"/>
      <c r="C129" s="23"/>
      <c r="D129" s="23"/>
      <c r="E129" s="23"/>
      <c r="F129" s="23"/>
      <c r="G129" s="23"/>
      <c r="H129" s="23"/>
    </row>
    <row r="130" spans="1:8" x14ac:dyDescent="0.25">
      <c r="B130" s="21"/>
      <c r="C130" s="21">
        <f ca="1">B112</f>
        <v>70.5635052111177</v>
      </c>
    </row>
    <row r="131" spans="1:8" x14ac:dyDescent="0.25">
      <c r="A131" s="24" t="s">
        <v>98</v>
      </c>
      <c r="B131" s="6">
        <v>0.34</v>
      </c>
      <c r="C131" s="1">
        <f t="dataTable" ref="C131:C138" dt2D="0" dtr="0" r1="B19" ca="1"/>
        <v>70.724732778550347</v>
      </c>
    </row>
    <row r="132" spans="1:8" x14ac:dyDescent="0.25">
      <c r="B132" s="6">
        <v>0.33</v>
      </c>
      <c r="C132" s="1">
        <v>72.673238657200741</v>
      </c>
    </row>
    <row r="133" spans="1:8" x14ac:dyDescent="0.25">
      <c r="B133" s="6">
        <v>0.32</v>
      </c>
      <c r="C133" s="1">
        <v>74.621744514871096</v>
      </c>
    </row>
    <row r="134" spans="1:8" x14ac:dyDescent="0.25">
      <c r="B134" s="6">
        <v>0.31000000000000005</v>
      </c>
      <c r="C134" s="1">
        <v>76.570250372541267</v>
      </c>
    </row>
    <row r="135" spans="1:8" x14ac:dyDescent="0.25">
      <c r="B135" s="6">
        <v>0.30000000000000004</v>
      </c>
      <c r="C135" s="1">
        <v>78.518756230211835</v>
      </c>
    </row>
    <row r="136" spans="1:8" x14ac:dyDescent="0.25">
      <c r="B136" s="6">
        <v>0.29000000000000004</v>
      </c>
      <c r="C136" s="1">
        <v>80.467262087882034</v>
      </c>
    </row>
    <row r="137" spans="1:8" x14ac:dyDescent="0.25">
      <c r="B137" s="6">
        <v>0.28000000000000003</v>
      </c>
      <c r="C137" s="1">
        <v>82.415767945552403</v>
      </c>
    </row>
    <row r="138" spans="1:8" x14ac:dyDescent="0.25">
      <c r="B138" s="6">
        <v>0.27</v>
      </c>
      <c r="C138" s="1">
        <v>84.364273803222773</v>
      </c>
    </row>
  </sheetData>
  <mergeCells count="2">
    <mergeCell ref="A1:G1"/>
    <mergeCell ref="C117:H117"/>
  </mergeCells>
  <phoneticPr fontId="1" type="noConversion"/>
  <conditionalFormatting sqref="C120:H129">
    <cfRule type="cellIs" dxfId="0" priority="1" stopIfTrue="1" operator="greaterThan">
      <formula>$B$114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14</vt:i4>
      </vt:variant>
    </vt:vector>
  </HeadingPairs>
  <TitlesOfParts>
    <vt:vector size="15" baseType="lpstr">
      <vt:lpstr>Sheet1</vt:lpstr>
      <vt:lpstr>accruedexp_sales</vt:lpstr>
      <vt:lpstr>ap_sales</vt:lpstr>
      <vt:lpstr>ar_sales</vt:lpstr>
      <vt:lpstr>cogs_sales</vt:lpstr>
      <vt:lpstr>debt_assets</vt:lpstr>
      <vt:lpstr>Depr</vt:lpstr>
      <vt:lpstr>divgrowth</vt:lpstr>
      <vt:lpstr>interest</vt:lpstr>
      <vt:lpstr>inventory_sales</vt:lpstr>
      <vt:lpstr>minority</vt:lpstr>
      <vt:lpstr>otherca_sales</vt:lpstr>
      <vt:lpstr>ppe_sales</vt:lpstr>
      <vt:lpstr>sga_sales</vt:lpstr>
      <vt:lpstr>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2024-10-17T05:15:58Z</dcterms:modified>
</cp:coreProperties>
</file>