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practice\"/>
    </mc:Choice>
  </mc:AlternateContent>
  <xr:revisionPtr revIDLastSave="0" documentId="13_ncr:1_{4BB2B22E-1DC4-4594-BD2A-7AE2A6B54EAF}" xr6:coauthVersionLast="47" xr6:coauthVersionMax="47" xr10:uidLastSave="{00000000-0000-0000-0000-000000000000}"/>
  <bookViews>
    <workbookView xWindow="-38505" yWindow="0" windowWidth="19395" windowHeight="20985" xr2:uid="{EA6F33A8-FE0E-48B1-8C74-8B2321C6BA8B}"/>
  </bookViews>
  <sheets>
    <sheet name="Sheet1" sheetId="1" r:id="rId1"/>
  </sheets>
  <externalReferences>
    <externalReference r:id="rId2"/>
  </externalReferences>
  <definedNames>
    <definedName name="accruedexp_sales" localSheetId="0">Sheet1!$B$25</definedName>
    <definedName name="ap_sales" localSheetId="0">Sheet1!$B$24</definedName>
    <definedName name="ar_sales" localSheetId="0">Sheet1!$B$16</definedName>
    <definedName name="cogs_sales" localSheetId="0">Sheet1!$B$5</definedName>
    <definedName name="debt_assets" localSheetId="0">Sheet1!$B$28</definedName>
    <definedName name="divgrowth" localSheetId="0">Sheet1!$B$10</definedName>
    <definedName name="interest" localSheetId="0">Sheet1!$B$8</definedName>
    <definedName name="inventory_sales" localSheetId="0">Sheet1!$B$17</definedName>
    <definedName name="minority" localSheetId="0">Sheet1!$B$9</definedName>
    <definedName name="otherca_sales" localSheetId="0">Sheet1!$B$18</definedName>
    <definedName name="ppe_sales" localSheetId="0">Sheet1!$B$19</definedName>
    <definedName name="sga_sales" localSheetId="0">Sheet1!$B$6</definedName>
    <definedName name="tax" localSheetId="0">Sheet1!$B$11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8" i="1" l="1"/>
  <c r="B106" i="1"/>
  <c r="G91" i="1"/>
  <c r="F91" i="1"/>
  <c r="E91" i="1"/>
  <c r="D91" i="1"/>
  <c r="C91" i="1"/>
  <c r="B81" i="1"/>
  <c r="C77" i="1"/>
  <c r="D77" i="1" s="1"/>
  <c r="E77" i="1" s="1"/>
  <c r="F77" i="1" s="1"/>
  <c r="G77" i="1" s="1"/>
  <c r="D76" i="1"/>
  <c r="E76" i="1" s="1"/>
  <c r="F76" i="1" s="1"/>
  <c r="G76" i="1" s="1"/>
  <c r="C76" i="1"/>
  <c r="E72" i="1"/>
  <c r="F72" i="1" s="1"/>
  <c r="G72" i="1" s="1"/>
  <c r="D72" i="1"/>
  <c r="C72" i="1"/>
  <c r="C71" i="1"/>
  <c r="D71" i="1" s="1"/>
  <c r="E71" i="1" s="1"/>
  <c r="F71" i="1" s="1"/>
  <c r="G71" i="1" s="1"/>
  <c r="D68" i="1"/>
  <c r="E68" i="1" s="1"/>
  <c r="F68" i="1" s="1"/>
  <c r="G68" i="1" s="1"/>
  <c r="C68" i="1"/>
  <c r="C66" i="1"/>
  <c r="C61" i="1"/>
  <c r="D61" i="1" s="1"/>
  <c r="E61" i="1" s="1"/>
  <c r="F61" i="1" s="1"/>
  <c r="G61" i="1" s="1"/>
  <c r="C60" i="1"/>
  <c r="D60" i="1" s="1"/>
  <c r="E60" i="1" s="1"/>
  <c r="F60" i="1" s="1"/>
  <c r="G60" i="1" s="1"/>
  <c r="C58" i="1"/>
  <c r="B58" i="1"/>
  <c r="B54" i="1"/>
  <c r="B63" i="1" s="1"/>
  <c r="C52" i="1"/>
  <c r="C51" i="1"/>
  <c r="C50" i="1"/>
  <c r="D50" i="1" s="1"/>
  <c r="B47" i="1"/>
  <c r="C46" i="1"/>
  <c r="D46" i="1" s="1"/>
  <c r="E46" i="1" s="1"/>
  <c r="F46" i="1" s="1"/>
  <c r="G46" i="1" s="1"/>
  <c r="B45" i="1"/>
  <c r="C41" i="1"/>
  <c r="D41" i="1" s="1"/>
  <c r="E41" i="1" s="1"/>
  <c r="F41" i="1" s="1"/>
  <c r="G41" i="1" s="1"/>
  <c r="C37" i="1"/>
  <c r="C36" i="1"/>
  <c r="C38" i="1" s="1"/>
  <c r="C35" i="1"/>
  <c r="C67" i="1" s="1"/>
  <c r="C89" i="1" s="1"/>
  <c r="C115" i="1"/>
  <c r="C108" i="1"/>
  <c r="C105" i="1"/>
  <c r="H102" i="1"/>
  <c r="E50" i="1" l="1"/>
  <c r="D35" i="1"/>
  <c r="C53" i="1"/>
  <c r="C54" i="1"/>
  <c r="C63" i="1" s="1"/>
  <c r="C88" i="1"/>
  <c r="C70" i="1" l="1"/>
  <c r="D36" i="1"/>
  <c r="D67" i="1"/>
  <c r="D53" i="1"/>
  <c r="D66" i="1"/>
  <c r="D89" i="1" s="1"/>
  <c r="E35" i="1"/>
  <c r="D52" i="1"/>
  <c r="D58" i="1"/>
  <c r="D37" i="1"/>
  <c r="D38" i="1" s="1"/>
  <c r="D51" i="1"/>
  <c r="F50" i="1"/>
  <c r="E36" i="1" l="1"/>
  <c r="E37" i="1"/>
  <c r="E67" i="1"/>
  <c r="E53" i="1"/>
  <c r="F35" i="1"/>
  <c r="E38" i="1"/>
  <c r="E52" i="1"/>
  <c r="E66" i="1"/>
  <c r="E89" i="1" s="1"/>
  <c r="E58" i="1"/>
  <c r="E51" i="1"/>
  <c r="E88" i="1"/>
  <c r="D54" i="1"/>
  <c r="D63" i="1" s="1"/>
  <c r="C40" i="1"/>
  <c r="C92" i="1" s="1"/>
  <c r="G50" i="1"/>
  <c r="D88" i="1"/>
  <c r="E54" i="1" l="1"/>
  <c r="E63" i="1" s="1"/>
  <c r="D70" i="1"/>
  <c r="F37" i="1"/>
  <c r="F67" i="1"/>
  <c r="F53" i="1"/>
  <c r="G35" i="1"/>
  <c r="F36" i="1"/>
  <c r="F38" i="1" s="1"/>
  <c r="F66" i="1"/>
  <c r="F89" i="1" s="1"/>
  <c r="F52" i="1"/>
  <c r="F58" i="1"/>
  <c r="F51" i="1"/>
  <c r="F54" i="1" l="1"/>
  <c r="F63" i="1" s="1"/>
  <c r="G67" i="1"/>
  <c r="G53" i="1"/>
  <c r="G36" i="1"/>
  <c r="G51" i="1"/>
  <c r="G37" i="1"/>
  <c r="G38" i="1" s="1"/>
  <c r="G58" i="1"/>
  <c r="G66" i="1"/>
  <c r="G89" i="1" s="1"/>
  <c r="G52" i="1"/>
  <c r="E40" i="1"/>
  <c r="E92" i="1" s="1"/>
  <c r="D40" i="1"/>
  <c r="D92" i="1" s="1"/>
  <c r="E70" i="1"/>
  <c r="F88" i="1"/>
  <c r="F70" i="1" l="1"/>
  <c r="G54" i="1"/>
  <c r="G63" i="1" s="1"/>
  <c r="G88" i="1"/>
  <c r="F40" i="1" l="1"/>
  <c r="F92" i="1" s="1"/>
  <c r="G70" i="1"/>
  <c r="G40" i="1" s="1"/>
  <c r="G92" i="1" s="1"/>
  <c r="C39" i="1"/>
  <c r="D39" i="1"/>
  <c r="E39" i="1"/>
  <c r="F39" i="1"/>
  <c r="G39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7" i="1"/>
  <c r="D47" i="1"/>
  <c r="E47" i="1"/>
  <c r="F47" i="1"/>
  <c r="G47" i="1"/>
  <c r="C56" i="1"/>
  <c r="D56" i="1"/>
  <c r="E56" i="1"/>
  <c r="F56" i="1"/>
  <c r="G56" i="1"/>
  <c r="C57" i="1"/>
  <c r="D57" i="1"/>
  <c r="E57" i="1"/>
  <c r="F57" i="1"/>
  <c r="G5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5" i="1"/>
  <c r="D85" i="1"/>
  <c r="E85" i="1"/>
  <c r="F85" i="1"/>
  <c r="G85" i="1"/>
  <c r="C86" i="1"/>
  <c r="D86" i="1"/>
  <c r="E86" i="1"/>
  <c r="F86" i="1"/>
  <c r="G86" i="1"/>
  <c r="C90" i="1"/>
  <c r="D90" i="1"/>
  <c r="E90" i="1"/>
  <c r="F90" i="1"/>
  <c r="G90" i="1"/>
  <c r="C93" i="1"/>
  <c r="D93" i="1"/>
  <c r="E93" i="1"/>
  <c r="F93" i="1"/>
  <c r="G93" i="1"/>
  <c r="C101" i="1"/>
  <c r="D101" i="1"/>
  <c r="E101" i="1"/>
  <c r="F101" i="1"/>
  <c r="G101" i="1"/>
  <c r="G102" i="1"/>
  <c r="C103" i="1"/>
  <c r="D103" i="1"/>
  <c r="E103" i="1"/>
  <c r="F103" i="1"/>
  <c r="G103" i="1"/>
  <c r="B105" i="1"/>
  <c r="B107" i="1"/>
  <c r="B109" i="1"/>
  <c r="B112" i="1"/>
  <c r="B115" i="1"/>
</calcChain>
</file>

<file path=xl/sharedStrings.xml><?xml version="1.0" encoding="utf-8"?>
<sst xmlns="http://schemas.openxmlformats.org/spreadsheetml/2006/main" count="102" uniqueCount="96">
  <si>
    <t>PPG, FINANCIAL MODEL, 2001-2005</t>
  </si>
  <si>
    <t>Profit and loss assumptions</t>
  </si>
  <si>
    <t>Sales growth</t>
  </si>
  <si>
    <t>COGS/Sales</t>
  </si>
  <si>
    <t>SG&amp;A/Sales</t>
  </si>
  <si>
    <t>Depreciation/Gross fixed assets</t>
  </si>
  <si>
    <t>Interest rate</t>
  </si>
  <si>
    <t>Minority interest as % of PAT</t>
  </si>
  <si>
    <t>Growth rate of total dividends</t>
  </si>
  <si>
    <t>Tax rate</t>
  </si>
  <si>
    <t>Balance sheet assumptions</t>
  </si>
  <si>
    <t>Assets</t>
  </si>
  <si>
    <t>Cash and short-term investments</t>
  </si>
  <si>
    <t>constant</t>
  </si>
  <si>
    <t>Receivables/Sales</t>
  </si>
  <si>
    <t>Inventories/Sales</t>
  </si>
  <si>
    <t>Other Current Assets/Sales</t>
  </si>
  <si>
    <t>Property, Plant, Equipment, Net/Sales</t>
  </si>
  <si>
    <t>Investments and advances</t>
  </si>
  <si>
    <t>Other Assets/Sales</t>
  </si>
  <si>
    <t>Liabilities</t>
  </si>
  <si>
    <t>Accounts Payable/Sales</t>
  </si>
  <si>
    <t>Accrued Expense/Sales</t>
  </si>
  <si>
    <t>Other Current Liabilities/Sales</t>
  </si>
  <si>
    <t>Debt/Assets</t>
  </si>
  <si>
    <t>Deferred Taxes</t>
  </si>
  <si>
    <t>growth at sales growth</t>
  </si>
  <si>
    <t>Minority Interest</t>
  </si>
  <si>
    <t>assumed constant</t>
  </si>
  <si>
    <t>Other liabilities, annual growth</t>
  </si>
  <si>
    <t>Treasury stock</t>
  </si>
  <si>
    <t>plug</t>
  </si>
  <si>
    <t>PROFIT AND LOSS</t>
  </si>
  <si>
    <t>Sales</t>
  </si>
  <si>
    <t>Cost of Goods Sold</t>
  </si>
  <si>
    <t>Selling, General, and Administrative Expense</t>
  </si>
  <si>
    <t>Operating Income Before Depreciation</t>
  </si>
  <si>
    <t>Depreciation and Amortization</t>
  </si>
  <si>
    <t>Interest Expense</t>
  </si>
  <si>
    <t>Nonoperating Income (Expense) and Special Items</t>
  </si>
  <si>
    <t>Pretax Income</t>
  </si>
  <si>
    <t>Income Taxes - Total</t>
  </si>
  <si>
    <t>Net Income</t>
  </si>
  <si>
    <t>Dividend</t>
  </si>
  <si>
    <t>Accrued</t>
  </si>
  <si>
    <t>ASSETS</t>
  </si>
  <si>
    <t>Cash and Short-Term Investments</t>
  </si>
  <si>
    <t>Receivables</t>
  </si>
  <si>
    <t>Inventories - Total</t>
  </si>
  <si>
    <t>Other Current Assets</t>
  </si>
  <si>
    <t>Total Current Assets</t>
  </si>
  <si>
    <t>Property, Plant, and Equipment, Gross</t>
  </si>
  <si>
    <t>Depreciation, Depletion, and Amortization (Accumulated)</t>
  </si>
  <si>
    <t>Property, Plant, and Equipment, Net</t>
  </si>
  <si>
    <t>Investments and Advances</t>
  </si>
  <si>
    <t>Intangibles</t>
  </si>
  <si>
    <t>Other Assets</t>
  </si>
  <si>
    <t>TOTAL ASSETS</t>
  </si>
  <si>
    <t>LIABILITIES</t>
  </si>
  <si>
    <t>Accounts Payable</t>
  </si>
  <si>
    <t>Accrued Expense</t>
  </si>
  <si>
    <t>Other Current Liabilities</t>
  </si>
  <si>
    <t>Debt</t>
  </si>
  <si>
    <t>Other Liabilities</t>
  </si>
  <si>
    <t>EQUITY</t>
  </si>
  <si>
    <t>Common Stock</t>
  </si>
  <si>
    <t>Capital Surplus</t>
  </si>
  <si>
    <t>Retained Earnings</t>
  </si>
  <si>
    <t>Less: Treasury Stock</t>
  </si>
  <si>
    <t>Total stockholders equity</t>
  </si>
  <si>
    <t>TOTAL LIABILITIES AND EQUITY</t>
  </si>
  <si>
    <t>FREE CASH FLOW (FCF)</t>
  </si>
  <si>
    <t>Profit after tax</t>
  </si>
  <si>
    <t>Add back depreciation</t>
  </si>
  <si>
    <t>Change in net working capital</t>
  </si>
  <si>
    <t xml:space="preserve">     Increase in operating current assets</t>
  </si>
  <si>
    <t xml:space="preserve">     Add increase in operating current liabilities</t>
  </si>
  <si>
    <t>Subtract capital expenditures</t>
  </si>
  <si>
    <t>Subtract increase in other assets</t>
  </si>
  <si>
    <t>Add back after-tax interest</t>
  </si>
  <si>
    <t>FCF</t>
  </si>
  <si>
    <t>Valuing PPG</t>
  </si>
  <si>
    <t>WACC</t>
  </si>
  <si>
    <t>Terminal value equity multiple</t>
  </si>
  <si>
    <t>Year</t>
  </si>
  <si>
    <t>Terminal</t>
  </si>
  <si>
    <t>Total</t>
  </si>
  <si>
    <t>Discounted value</t>
  </si>
  <si>
    <t>Add back initial cash</t>
  </si>
  <si>
    <t>Firm value</t>
  </si>
  <si>
    <t>Subtract total debt value, Dec.00</t>
  </si>
  <si>
    <t>Implied equity value</t>
  </si>
  <si>
    <t>Number of shares outstanding, Dec.00</t>
  </si>
  <si>
    <t>Implied value per share</t>
  </si>
  <si>
    <t>Market price per share, Dec. 00</t>
  </si>
  <si>
    <t>PPG over or under-valued?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</si>
</sst>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wrapText="1"/>
    </xf>
    <xf numFmtId="10" fontId="0" fillId="0" borderId="0" xfId="0" applyNumberFormat="1" applyAlignment="1"/>
    <xf numFmtId="9" fontId="0" fillId="0" borderId="0" xfId="0" applyNumberFormat="1" applyAlignment="1"/>
    <xf numFmtId="0" fontId="5" fillId="0" borderId="0" xfId="0" applyFont="1" applyAlignment="1"/>
    <xf numFmtId="0" fontId="4" fillId="0" borderId="0" xfId="0" applyFont="1" applyAlignment="1"/>
    <xf numFmtId="0" fontId="6" fillId="0" borderId="0" xfId="0" applyFont="1" applyAlignment="1"/>
    <xf numFmtId="3" fontId="5" fillId="0" borderId="0" xfId="0" applyNumberFormat="1" applyFont="1" applyAlignment="1">
      <alignment horizontal="right" wrapText="1"/>
    </xf>
    <xf numFmtId="3" fontId="0" fillId="0" borderId="0" xfId="0" applyNumberFormat="1" applyAlignment="1"/>
    <xf numFmtId="0" fontId="6" fillId="0" borderId="0" xfId="0" applyFont="1" applyAlignment="1">
      <alignment wrapText="1"/>
    </xf>
    <xf numFmtId="0" fontId="5" fillId="0" borderId="0" xfId="0" applyFont="1" applyAlignment="1">
      <alignment horizontal="left" wrapText="1"/>
    </xf>
    <xf numFmtId="3" fontId="5" fillId="0" borderId="0" xfId="0" applyNumberFormat="1" applyFont="1" applyAlignment="1"/>
    <xf numFmtId="0" fontId="0" fillId="2" borderId="0" xfId="0" applyFill="1" applyAlignment="1"/>
    <xf numFmtId="3" fontId="0" fillId="2" borderId="0" xfId="0" applyNumberFormat="1" applyFill="1" applyAlignment="1"/>
    <xf numFmtId="177" fontId="2" fillId="0" borderId="0" xfId="1" applyNumberFormat="1" applyAlignment="1"/>
    <xf numFmtId="37" fontId="0" fillId="0" borderId="0" xfId="0" applyNumberFormat="1" applyAlignment="1"/>
    <xf numFmtId="4" fontId="5" fillId="0" borderId="0" xfId="0" applyNumberFormat="1" applyFont="1" applyAlignment="1">
      <alignment horizontal="right" wrapText="1"/>
    </xf>
    <xf numFmtId="2" fontId="0" fillId="0" borderId="0" xfId="0" applyNumberFormat="1" applyAlignment="1"/>
    <xf numFmtId="0" fontId="0" fillId="0" borderId="0" xfId="0" applyAlignment="1">
      <alignment horizontal="center"/>
    </xf>
    <xf numFmtId="0" fontId="0" fillId="3" borderId="0" xfId="0" applyFill="1" applyAlignment="1"/>
    <xf numFmtId="176" fontId="0" fillId="3" borderId="0" xfId="0" applyNumberFormat="1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5"/>
  <sheetViews>
    <sheetView tabSelected="1" topLeftCell="A82" zoomScale="145" zoomScaleNormal="145" workbookViewId="0">
      <selection activeCell="G109" sqref="G109"/>
    </sheetView>
  </sheetViews>
  <sheetFormatPr defaultRowHeight="13.8" x14ac:dyDescent="0.25"/>
  <cols>
    <col min="1" max="1" width="36.109375" style="2" customWidth="1"/>
    <col min="2" max="2" width="11.6640625" style="2" customWidth="1"/>
    <col min="3" max="7" width="8.88671875" style="2"/>
    <col min="8" max="8" width="12" style="2" customWidth="1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3" t="s">
        <v>1</v>
      </c>
    </row>
    <row r="3" spans="1:7" x14ac:dyDescent="0.25">
      <c r="A3" s="3"/>
      <c r="C3" s="4">
        <v>2001</v>
      </c>
      <c r="D3" s="4">
        <v>2002</v>
      </c>
      <c r="E3" s="4">
        <v>2003</v>
      </c>
      <c r="F3" s="4">
        <v>2004</v>
      </c>
      <c r="G3" s="4">
        <v>2005</v>
      </c>
    </row>
    <row r="4" spans="1:7" x14ac:dyDescent="0.25">
      <c r="A4" s="5" t="s">
        <v>2</v>
      </c>
      <c r="B4" s="6"/>
      <c r="C4" s="7">
        <v>0.11</v>
      </c>
      <c r="D4" s="7">
        <v>0.08</v>
      </c>
      <c r="E4" s="7">
        <v>-0.02</v>
      </c>
      <c r="F4" s="7">
        <v>0.04</v>
      </c>
      <c r="G4" s="7">
        <v>0.04</v>
      </c>
    </row>
    <row r="5" spans="1:7" x14ac:dyDescent="0.25">
      <c r="A5" s="5" t="s">
        <v>3</v>
      </c>
      <c r="B5" s="6">
        <v>0.61390934668112129</v>
      </c>
    </row>
    <row r="6" spans="1:7" x14ac:dyDescent="0.25">
      <c r="A6" s="8" t="s">
        <v>4</v>
      </c>
      <c r="B6" s="6">
        <v>0.18382033710232065</v>
      </c>
    </row>
    <row r="7" spans="1:7" x14ac:dyDescent="0.25">
      <c r="A7" s="8" t="s">
        <v>5</v>
      </c>
      <c r="B7" s="6">
        <v>6.3055438002539141E-2</v>
      </c>
    </row>
    <row r="8" spans="1:7" x14ac:dyDescent="0.25">
      <c r="A8" s="2" t="s">
        <v>6</v>
      </c>
      <c r="B8" s="6">
        <v>6.7000000000000004E-2</v>
      </c>
    </row>
    <row r="9" spans="1:7" x14ac:dyDescent="0.25">
      <c r="A9" s="2" t="s">
        <v>7</v>
      </c>
      <c r="B9" s="6">
        <v>4.3209876543209874E-2</v>
      </c>
    </row>
    <row r="10" spans="1:7" x14ac:dyDescent="0.25">
      <c r="A10" s="8" t="s">
        <v>8</v>
      </c>
      <c r="B10" s="6">
        <v>4.1300000000000003E-2</v>
      </c>
    </row>
    <row r="11" spans="1:7" x14ac:dyDescent="0.25">
      <c r="A11" s="8" t="s">
        <v>9</v>
      </c>
      <c r="B11" s="6">
        <v>0.36283185840707965</v>
      </c>
    </row>
    <row r="12" spans="1:7" x14ac:dyDescent="0.25">
      <c r="A12" s="8"/>
      <c r="B12" s="6"/>
    </row>
    <row r="13" spans="1:7" x14ac:dyDescent="0.25">
      <c r="A13" s="9" t="s">
        <v>10</v>
      </c>
      <c r="B13" s="6"/>
    </row>
    <row r="14" spans="1:7" x14ac:dyDescent="0.25">
      <c r="A14" s="9" t="s">
        <v>11</v>
      </c>
      <c r="B14" s="6"/>
    </row>
    <row r="15" spans="1:7" x14ac:dyDescent="0.25">
      <c r="A15" s="8" t="s">
        <v>12</v>
      </c>
      <c r="B15" s="6" t="s">
        <v>13</v>
      </c>
    </row>
    <row r="16" spans="1:7" x14ac:dyDescent="0.25">
      <c r="A16" s="2" t="s">
        <v>14</v>
      </c>
      <c r="B16" s="6">
        <v>0.18279300645638166</v>
      </c>
    </row>
    <row r="17" spans="1:3" x14ac:dyDescent="0.25">
      <c r="A17" s="2" t="s">
        <v>15</v>
      </c>
      <c r="B17" s="6">
        <v>0.12239396312101744</v>
      </c>
    </row>
    <row r="18" spans="1:3" x14ac:dyDescent="0.25">
      <c r="A18" s="2" t="s">
        <v>16</v>
      </c>
      <c r="B18" s="6">
        <v>3.2065766582264128E-2</v>
      </c>
    </row>
    <row r="19" spans="1:3" x14ac:dyDescent="0.25">
      <c r="A19" s="2" t="s">
        <v>17</v>
      </c>
      <c r="B19" s="6">
        <v>0.34082744234557888</v>
      </c>
    </row>
    <row r="20" spans="1:3" x14ac:dyDescent="0.25">
      <c r="A20" s="2" t="s">
        <v>18</v>
      </c>
      <c r="B20" s="6" t="s">
        <v>13</v>
      </c>
    </row>
    <row r="21" spans="1:3" x14ac:dyDescent="0.25">
      <c r="A21" s="2" t="s">
        <v>19</v>
      </c>
      <c r="B21" s="6">
        <v>7.9337461297802614E-2</v>
      </c>
    </row>
    <row r="22" spans="1:3" x14ac:dyDescent="0.25">
      <c r="B22" s="6"/>
    </row>
    <row r="23" spans="1:3" x14ac:dyDescent="0.25">
      <c r="A23" s="9" t="s">
        <v>20</v>
      </c>
      <c r="B23" s="6"/>
    </row>
    <row r="24" spans="1:3" x14ac:dyDescent="0.25">
      <c r="A24" s="2" t="s">
        <v>21</v>
      </c>
      <c r="B24" s="6">
        <v>8.4953714425516982E-2</v>
      </c>
    </row>
    <row r="25" spans="1:3" x14ac:dyDescent="0.25">
      <c r="A25" s="2" t="s">
        <v>22</v>
      </c>
      <c r="B25" s="6">
        <v>7.2454550833975645E-2</v>
      </c>
    </row>
    <row r="26" spans="1:3" x14ac:dyDescent="0.25">
      <c r="A26" s="2" t="s">
        <v>23</v>
      </c>
      <c r="B26" s="6" t="s">
        <v>13</v>
      </c>
    </row>
    <row r="27" spans="1:3" x14ac:dyDescent="0.25">
      <c r="B27" s="6"/>
    </row>
    <row r="28" spans="1:3" x14ac:dyDescent="0.25">
      <c r="A28" s="2" t="s">
        <v>24</v>
      </c>
      <c r="B28" s="6">
        <v>0.32</v>
      </c>
    </row>
    <row r="29" spans="1:3" x14ac:dyDescent="0.25">
      <c r="A29" s="2" t="s">
        <v>25</v>
      </c>
      <c r="B29" s="6" t="s">
        <v>26</v>
      </c>
      <c r="C29" s="6"/>
    </row>
    <row r="30" spans="1:3" x14ac:dyDescent="0.25">
      <c r="A30" s="2" t="s">
        <v>27</v>
      </c>
      <c r="B30" s="6" t="s">
        <v>28</v>
      </c>
      <c r="C30" s="6"/>
    </row>
    <row r="31" spans="1:3" x14ac:dyDescent="0.25">
      <c r="A31" s="2" t="s">
        <v>29</v>
      </c>
      <c r="B31" s="6">
        <v>0.12533297743866578</v>
      </c>
    </row>
    <row r="32" spans="1:3" x14ac:dyDescent="0.25">
      <c r="A32" s="2" t="s">
        <v>30</v>
      </c>
      <c r="B32" s="7" t="s">
        <v>31</v>
      </c>
    </row>
    <row r="34" spans="1:8" ht="15.6" x14ac:dyDescent="0.3">
      <c r="A34" s="10" t="s">
        <v>32</v>
      </c>
      <c r="B34" s="4">
        <v>2000</v>
      </c>
      <c r="C34" s="4">
        <v>2001</v>
      </c>
      <c r="D34" s="4">
        <v>2002</v>
      </c>
      <c r="E34" s="4">
        <v>2003</v>
      </c>
      <c r="F34" s="4">
        <v>2004</v>
      </c>
      <c r="G34" s="4">
        <v>2005</v>
      </c>
      <c r="H34" s="9"/>
    </row>
    <row r="35" spans="1:8" x14ac:dyDescent="0.25">
      <c r="A35" s="5" t="s">
        <v>33</v>
      </c>
      <c r="B35" s="11">
        <v>8629</v>
      </c>
      <c r="C35" s="12">
        <f>B35*(1+C4)</f>
        <v>9578.19</v>
      </c>
      <c r="D35" s="12">
        <f>C35*(1+D4)</f>
        <v>10344.445200000002</v>
      </c>
      <c r="E35" s="12">
        <f>D35*(1+E4)</f>
        <v>10137.556296000002</v>
      </c>
      <c r="F35" s="12">
        <f>E35*(1+F4)</f>
        <v>10543.058547840003</v>
      </c>
      <c r="G35" s="12">
        <f>F35*(1+G4)</f>
        <v>10964.780889753603</v>
      </c>
      <c r="H35" s="12"/>
    </row>
    <row r="36" spans="1:8" x14ac:dyDescent="0.25">
      <c r="A36" s="5" t="s">
        <v>34</v>
      </c>
      <c r="B36" s="11">
        <v>5334</v>
      </c>
      <c r="C36" s="12">
        <f>C35*cogs_sales</f>
        <v>5880.1403652876497</v>
      </c>
      <c r="D36" s="12">
        <f>D35*cogs_sales</f>
        <v>6350.5515945106627</v>
      </c>
      <c r="E36" s="12">
        <f>E35*cogs_sales</f>
        <v>6223.5405626204492</v>
      </c>
      <c r="F36" s="12">
        <f>F35*cogs_sales</f>
        <v>6472.4821851252673</v>
      </c>
      <c r="G36" s="12">
        <f>G35*cogs_sales</f>
        <v>6731.3814725302782</v>
      </c>
      <c r="H36" s="12"/>
    </row>
    <row r="37" spans="1:8" ht="26.4" x14ac:dyDescent="0.25">
      <c r="A37" s="5" t="s">
        <v>35</v>
      </c>
      <c r="B37" s="11">
        <v>1646</v>
      </c>
      <c r="C37" s="12">
        <f>C35*sga_sales</f>
        <v>1760.6661146300767</v>
      </c>
      <c r="D37" s="12">
        <f>D35*sga_sales</f>
        <v>1901.5194038004831</v>
      </c>
      <c r="E37" s="12">
        <f>E35*sga_sales</f>
        <v>1863.4890157244736</v>
      </c>
      <c r="F37" s="12">
        <f>F35*sga_sales</f>
        <v>1938.0285763534525</v>
      </c>
      <c r="G37" s="12">
        <f>G35*sga_sales</f>
        <v>2015.5497194075908</v>
      </c>
      <c r="H37" s="12"/>
    </row>
    <row r="38" spans="1:8" x14ac:dyDescent="0.25">
      <c r="A38" s="5" t="s">
        <v>36</v>
      </c>
      <c r="B38" s="11">
        <v>1649</v>
      </c>
      <c r="C38" s="12">
        <f>C35-C36-C37</f>
        <v>1937.3835200822741</v>
      </c>
      <c r="D38" s="12">
        <f>D35-D36-D37</f>
        <v>2092.3742016888564</v>
      </c>
      <c r="E38" s="12">
        <f>E35-E36-E37</f>
        <v>2050.5267176550797</v>
      </c>
      <c r="F38" s="12">
        <f>F35-F36-F37</f>
        <v>2132.5477863612828</v>
      </c>
      <c r="G38" s="12">
        <f>G35-G36-G37</f>
        <v>2217.8496978157345</v>
      </c>
      <c r="H38" s="12"/>
    </row>
    <row r="39" spans="1:8" x14ac:dyDescent="0.25">
      <c r="A39" s="5" t="s">
        <v>37</v>
      </c>
      <c r="B39" s="11">
        <v>447</v>
      </c>
      <c r="C39" s="12">
        <f ca="1">$B$7*AVERAGE(B56:C56)</f>
        <v>472.08324011361151</v>
      </c>
      <c r="D39" s="12">
        <f ca="1">$B$7*AVERAGE(C56:D56)</f>
        <v>521.85312317104137</v>
      </c>
      <c r="E39" s="12">
        <f ca="1">$B$7*AVERAGE(D56:E56)</f>
        <v>562.03636348586986</v>
      </c>
      <c r="F39" s="12">
        <f ca="1">$B$7*AVERAGE(E56:F56)</f>
        <v>600.83319008482761</v>
      </c>
      <c r="G39" s="12">
        <f ca="1">$B$7*AVERAGE(F56:G56)</f>
        <v>649.13065046999338</v>
      </c>
      <c r="H39" s="12"/>
    </row>
    <row r="40" spans="1:8" x14ac:dyDescent="0.25">
      <c r="A40" s="5" t="s">
        <v>38</v>
      </c>
      <c r="B40" s="11">
        <v>193</v>
      </c>
      <c r="C40" s="12">
        <f>interest*AVERAGE(B70:C70)</f>
        <v>204.38887292839584</v>
      </c>
      <c r="D40" s="12">
        <f>interest*AVERAGE(C70:D70)</f>
        <v>216.27381990953529</v>
      </c>
      <c r="E40" s="12">
        <f>interest*AVERAGE(D70:E70)</f>
        <v>222.38416516269081</v>
      </c>
      <c r="F40" s="12">
        <f>interest*AVERAGE(E70:F70)</f>
        <v>226.03437982632067</v>
      </c>
      <c r="G40" s="12">
        <f>interest*AVERAGE(F70:G70)</f>
        <v>234.42903924669071</v>
      </c>
      <c r="H40" s="12"/>
    </row>
    <row r="41" spans="1:8" ht="26.4" x14ac:dyDescent="0.25">
      <c r="A41" s="5" t="s">
        <v>39</v>
      </c>
      <c r="B41" s="11">
        <v>8</v>
      </c>
      <c r="C41" s="12">
        <f>B41</f>
        <v>8</v>
      </c>
      <c r="D41" s="12">
        <f>C41</f>
        <v>8</v>
      </c>
      <c r="E41" s="12">
        <f>D41</f>
        <v>8</v>
      </c>
      <c r="F41" s="12">
        <f>E41</f>
        <v>8</v>
      </c>
      <c r="G41" s="12">
        <f>F41</f>
        <v>8</v>
      </c>
      <c r="H41" s="12"/>
    </row>
    <row r="42" spans="1:8" x14ac:dyDescent="0.25">
      <c r="A42" s="5" t="s">
        <v>40</v>
      </c>
      <c r="B42" s="11">
        <v>1017</v>
      </c>
      <c r="C42" s="12">
        <f ca="1">C38-C39-C40-C41</f>
        <v>1252.9114070402668</v>
      </c>
      <c r="D42" s="12">
        <f ca="1">D38-D39-D40-D41</f>
        <v>1346.2472586082799</v>
      </c>
      <c r="E42" s="12">
        <f ca="1">E38-E39-E40-E41</f>
        <v>1258.1061890065189</v>
      </c>
      <c r="F42" s="12">
        <f ca="1">F38-F39-F40-F41</f>
        <v>1297.6802164501346</v>
      </c>
      <c r="G42" s="12">
        <f ca="1">G38-G39-G40-G41</f>
        <v>1326.2900080990505</v>
      </c>
      <c r="H42" s="12"/>
    </row>
    <row r="43" spans="1:8" x14ac:dyDescent="0.25">
      <c r="A43" s="5" t="s">
        <v>41</v>
      </c>
      <c r="B43" s="11">
        <v>369</v>
      </c>
      <c r="C43" s="12">
        <f ca="1">tax*C42</f>
        <v>454.59617423584905</v>
      </c>
      <c r="D43" s="12">
        <f ca="1">tax*D42</f>
        <v>488.46139471627856</v>
      </c>
      <c r="E43" s="12">
        <f ca="1">tax*E42</f>
        <v>456.48100663068385</v>
      </c>
      <c r="F43" s="12">
        <f ca="1">tax*F42</f>
        <v>470.83972455270373</v>
      </c>
      <c r="G43" s="12">
        <f ca="1">tax*G42</f>
        <v>481.2202684253192</v>
      </c>
      <c r="H43" s="12"/>
    </row>
    <row r="44" spans="1:8" x14ac:dyDescent="0.25">
      <c r="A44" s="5" t="s">
        <v>27</v>
      </c>
      <c r="B44" s="11">
        <v>28</v>
      </c>
      <c r="C44" s="12">
        <f ca="1">minority*C43</f>
        <v>19.643044565746564</v>
      </c>
      <c r="D44" s="12">
        <f ca="1">minority*D43</f>
        <v>21.106356561814504</v>
      </c>
      <c r="E44" s="12">
        <f ca="1">minority*E43</f>
        <v>19.724487940832017</v>
      </c>
      <c r="F44" s="12">
        <f ca="1">minority*F43</f>
        <v>20.344926369561271</v>
      </c>
      <c r="G44" s="12">
        <f ca="1">minority*G43</f>
        <v>20.793468388748359</v>
      </c>
      <c r="H44" s="12"/>
    </row>
    <row r="45" spans="1:8" x14ac:dyDescent="0.25">
      <c r="A45" s="5" t="s">
        <v>42</v>
      </c>
      <c r="B45" s="12">
        <f t="shared" ref="B45:G45" si="0">B42-B43-B44</f>
        <v>620</v>
      </c>
      <c r="C45" s="12">
        <f t="shared" ca="1" si="0"/>
        <v>778.6721882386712</v>
      </c>
      <c r="D45" s="12">
        <f t="shared" ca="1" si="0"/>
        <v>836.67950733018677</v>
      </c>
      <c r="E45" s="12">
        <f t="shared" ca="1" si="0"/>
        <v>781.90069443500306</v>
      </c>
      <c r="F45" s="12">
        <f t="shared" ca="1" si="0"/>
        <v>806.49556552786964</v>
      </c>
      <c r="G45" s="12">
        <f t="shared" ca="1" si="0"/>
        <v>824.27627128498295</v>
      </c>
      <c r="H45" s="12"/>
    </row>
    <row r="46" spans="1:8" x14ac:dyDescent="0.25">
      <c r="A46" s="5" t="s">
        <v>43</v>
      </c>
      <c r="B46" s="12">
        <v>276</v>
      </c>
      <c r="C46" s="12">
        <f>B46*(1+divgrowth)</f>
        <v>287.39880000000005</v>
      </c>
      <c r="D46" s="12">
        <f>C46*(1+divgrowth)</f>
        <v>299.26837044000007</v>
      </c>
      <c r="E46" s="12">
        <f>D46*(1+divgrowth)</f>
        <v>311.62815413917212</v>
      </c>
      <c r="F46" s="12">
        <f>E46*(1+divgrowth)</f>
        <v>324.49839690511999</v>
      </c>
      <c r="G46" s="12">
        <f>F46*(1+divgrowth)</f>
        <v>337.90018069730149</v>
      </c>
      <c r="H46" s="12"/>
    </row>
    <row r="47" spans="1:8" x14ac:dyDescent="0.25">
      <c r="A47" s="5" t="s">
        <v>44</v>
      </c>
      <c r="B47" s="12">
        <f t="shared" ref="B47:G47" si="1">B45-B46</f>
        <v>344</v>
      </c>
      <c r="C47" s="12">
        <f t="shared" ca="1" si="1"/>
        <v>491.27338823867115</v>
      </c>
      <c r="D47" s="12">
        <f t="shared" ca="1" si="1"/>
        <v>537.41113689018675</v>
      </c>
      <c r="E47" s="12">
        <f t="shared" ca="1" si="1"/>
        <v>470.27254029583094</v>
      </c>
      <c r="F47" s="12">
        <f t="shared" ca="1" si="1"/>
        <v>481.99716862274965</v>
      </c>
      <c r="G47" s="12">
        <f t="shared" ca="1" si="1"/>
        <v>486.37609058768146</v>
      </c>
      <c r="H47" s="12"/>
    </row>
    <row r="49" spans="1:8" ht="15.6" x14ac:dyDescent="0.3">
      <c r="A49" s="13" t="s">
        <v>45</v>
      </c>
      <c r="B49" s="4">
        <v>2000</v>
      </c>
      <c r="C49" s="4">
        <v>2001</v>
      </c>
      <c r="D49" s="4">
        <v>2002</v>
      </c>
      <c r="E49" s="4">
        <v>2003</v>
      </c>
      <c r="F49" s="4">
        <v>2004</v>
      </c>
      <c r="G49" s="4">
        <v>2005</v>
      </c>
      <c r="H49" s="9"/>
    </row>
    <row r="50" spans="1:8" x14ac:dyDescent="0.25">
      <c r="A50" s="5" t="s">
        <v>46</v>
      </c>
      <c r="B50" s="11">
        <v>111</v>
      </c>
      <c r="C50" s="12">
        <f>B50</f>
        <v>111</v>
      </c>
      <c r="D50" s="12">
        <f>C50</f>
        <v>111</v>
      </c>
      <c r="E50" s="12">
        <f>D50</f>
        <v>111</v>
      </c>
      <c r="F50" s="12">
        <f>E50</f>
        <v>111</v>
      </c>
      <c r="G50" s="12">
        <f>F50</f>
        <v>111</v>
      </c>
      <c r="H50" s="12"/>
    </row>
    <row r="51" spans="1:8" x14ac:dyDescent="0.25">
      <c r="A51" s="5" t="s">
        <v>47</v>
      </c>
      <c r="B51" s="11">
        <v>1563</v>
      </c>
      <c r="C51" s="12">
        <f>ar_sales*C35</f>
        <v>1750.8261465104504</v>
      </c>
      <c r="D51" s="12">
        <f>ar_sales*D35</f>
        <v>1890.8922382312867</v>
      </c>
      <c r="E51" s="12">
        <f>ar_sales*E35</f>
        <v>1853.0743934666609</v>
      </c>
      <c r="F51" s="12">
        <f>ar_sales*F35</f>
        <v>1927.1973692053275</v>
      </c>
      <c r="G51" s="12">
        <f>ar_sales*G35</f>
        <v>2004.2852639735406</v>
      </c>
      <c r="H51" s="12"/>
    </row>
    <row r="52" spans="1:8" x14ac:dyDescent="0.25">
      <c r="A52" s="5" t="s">
        <v>48</v>
      </c>
      <c r="B52" s="11">
        <v>1121</v>
      </c>
      <c r="C52" s="12">
        <f>inventory_sales*C35</f>
        <v>1172.3126336260982</v>
      </c>
      <c r="D52" s="12">
        <f>inventory_sales*D35</f>
        <v>1266.097644316186</v>
      </c>
      <c r="E52" s="12">
        <f>inventory_sales*E35</f>
        <v>1240.7756914298625</v>
      </c>
      <c r="F52" s="12">
        <f>inventory_sales*F35</f>
        <v>1290.4067190870569</v>
      </c>
      <c r="G52" s="12">
        <f>inventory_sales*G35</f>
        <v>1342.0229878505393</v>
      </c>
      <c r="H52" s="12"/>
    </row>
    <row r="53" spans="1:8" x14ac:dyDescent="0.25">
      <c r="A53" s="5" t="s">
        <v>49</v>
      </c>
      <c r="B53" s="11">
        <v>298</v>
      </c>
      <c r="C53" s="12">
        <f>otherca_sales*C35</f>
        <v>307.13200482057647</v>
      </c>
      <c r="D53" s="12">
        <f>otherca_sales*D35</f>
        <v>331.70256520622263</v>
      </c>
      <c r="E53" s="12">
        <f>otherca_sales*E35</f>
        <v>325.06851390209818</v>
      </c>
      <c r="F53" s="12">
        <f>otherca_sales*F35</f>
        <v>338.07125445818212</v>
      </c>
      <c r="G53" s="12">
        <f>otherca_sales*G35</f>
        <v>351.59410463650943</v>
      </c>
      <c r="H53" s="12"/>
    </row>
    <row r="54" spans="1:8" x14ac:dyDescent="0.25">
      <c r="A54" s="5" t="s">
        <v>50</v>
      </c>
      <c r="B54" s="12">
        <f t="shared" ref="B54:G54" si="2">SUM(B50:B53)</f>
        <v>3093</v>
      </c>
      <c r="C54" s="12">
        <f t="shared" si="2"/>
        <v>3341.2707849571252</v>
      </c>
      <c r="D54" s="12">
        <f t="shared" si="2"/>
        <v>3599.6924477536954</v>
      </c>
      <c r="E54" s="12">
        <f t="shared" si="2"/>
        <v>3529.9185987986211</v>
      </c>
      <c r="F54" s="12">
        <f t="shared" si="2"/>
        <v>3666.6753427505664</v>
      </c>
      <c r="G54" s="12">
        <f t="shared" si="2"/>
        <v>3808.9023564605895</v>
      </c>
      <c r="H54" s="12"/>
    </row>
    <row r="55" spans="1:8" x14ac:dyDescent="0.25">
      <c r="A55" s="5"/>
      <c r="B55" s="11"/>
      <c r="C55" s="12"/>
      <c r="D55" s="12"/>
      <c r="E55" s="12"/>
      <c r="F55" s="12"/>
      <c r="G55" s="12"/>
      <c r="H55" s="12"/>
    </row>
    <row r="56" spans="1:8" x14ac:dyDescent="0.25">
      <c r="A56" s="5" t="s">
        <v>51</v>
      </c>
      <c r="B56" s="11">
        <v>7089</v>
      </c>
      <c r="C56" s="12">
        <f ca="1">C57+C58</f>
        <v>7884.5932401136115</v>
      </c>
      <c r="D56" s="12">
        <f ca="1">D57+D58</f>
        <v>8667.6071632846542</v>
      </c>
      <c r="E56" s="12">
        <f ca="1">E57+E58</f>
        <v>9159.1301107705222</v>
      </c>
      <c r="F56" s="12">
        <f ca="1">F57+F58</f>
        <v>9898.1695962153517</v>
      </c>
      <c r="G56" s="12">
        <f ca="1">G57+G58</f>
        <v>10691.034793859744</v>
      </c>
      <c r="H56" s="12"/>
    </row>
    <row r="57" spans="1:8" ht="26.4" x14ac:dyDescent="0.25">
      <c r="A57" s="5" t="s">
        <v>52</v>
      </c>
      <c r="B57" s="11">
        <v>4148</v>
      </c>
      <c r="C57" s="12">
        <f ca="1">B57+C39</f>
        <v>4620.0832401136113</v>
      </c>
      <c r="D57" s="12">
        <f ca="1">C57+D39</f>
        <v>5141.9363632846525</v>
      </c>
      <c r="E57" s="12">
        <f ca="1">D57+E39</f>
        <v>5703.9727267705221</v>
      </c>
      <c r="F57" s="12">
        <f ca="1">E57+F39</f>
        <v>6304.80591685535</v>
      </c>
      <c r="G57" s="12">
        <f ca="1">F57+G39</f>
        <v>6953.9365673253433</v>
      </c>
      <c r="H57" s="12"/>
    </row>
    <row r="58" spans="1:8" x14ac:dyDescent="0.25">
      <c r="A58" s="5" t="s">
        <v>53</v>
      </c>
      <c r="B58" s="11">
        <f>B56-B57</f>
        <v>2941</v>
      </c>
      <c r="C58" s="12">
        <f>ppe_sales*C35</f>
        <v>3264.51</v>
      </c>
      <c r="D58" s="12">
        <f>ppe_sales*D35</f>
        <v>3525.6708000000008</v>
      </c>
      <c r="E58" s="12">
        <f>ppe_sales*E35</f>
        <v>3455.157384000001</v>
      </c>
      <c r="F58" s="12">
        <f>ppe_sales*F35</f>
        <v>3593.3636793600012</v>
      </c>
      <c r="G58" s="12">
        <f>ppe_sales*G35</f>
        <v>3737.0982265344014</v>
      </c>
      <c r="H58" s="12"/>
    </row>
    <row r="59" spans="1:8" x14ac:dyDescent="0.25">
      <c r="A59" s="5"/>
      <c r="B59" s="11"/>
      <c r="C59" s="12"/>
      <c r="D59" s="12"/>
      <c r="E59" s="12"/>
      <c r="F59" s="12"/>
      <c r="G59" s="12"/>
      <c r="H59" s="12"/>
    </row>
    <row r="60" spans="1:8" x14ac:dyDescent="0.25">
      <c r="A60" s="5" t="s">
        <v>54</v>
      </c>
      <c r="B60" s="11">
        <v>320</v>
      </c>
      <c r="C60" s="12">
        <f t="shared" ref="C60:G61" si="3">B60</f>
        <v>320</v>
      </c>
      <c r="D60" s="12">
        <f t="shared" si="3"/>
        <v>320</v>
      </c>
      <c r="E60" s="12">
        <f t="shared" si="3"/>
        <v>320</v>
      </c>
      <c r="F60" s="12">
        <f t="shared" si="3"/>
        <v>320</v>
      </c>
      <c r="G60" s="12">
        <f t="shared" si="3"/>
        <v>320</v>
      </c>
      <c r="H60" s="12"/>
    </row>
    <row r="61" spans="1:8" x14ac:dyDescent="0.25">
      <c r="A61" s="5" t="s">
        <v>55</v>
      </c>
      <c r="B61" s="11">
        <v>1700</v>
      </c>
      <c r="C61" s="12">
        <f t="shared" si="3"/>
        <v>1700</v>
      </c>
      <c r="D61" s="12">
        <f t="shared" si="3"/>
        <v>1700</v>
      </c>
      <c r="E61" s="12">
        <f t="shared" si="3"/>
        <v>1700</v>
      </c>
      <c r="F61" s="12">
        <f t="shared" si="3"/>
        <v>1700</v>
      </c>
      <c r="G61" s="12">
        <f t="shared" si="3"/>
        <v>1700</v>
      </c>
      <c r="H61" s="12"/>
    </row>
    <row r="62" spans="1:8" x14ac:dyDescent="0.25">
      <c r="A62" s="5" t="s">
        <v>56</v>
      </c>
      <c r="B62" s="11">
        <v>1071</v>
      </c>
      <c r="C62" s="12">
        <v>1155.9704210499467</v>
      </c>
      <c r="D62" s="12">
        <v>1247.6821795914013</v>
      </c>
      <c r="E62" s="12">
        <v>1346.6701162266922</v>
      </c>
      <c r="F62" s="12">
        <v>1453.5115044537347</v>
      </c>
      <c r="G62" s="12">
        <v>1568.8294171842438</v>
      </c>
      <c r="H62" s="12"/>
    </row>
    <row r="63" spans="1:8" x14ac:dyDescent="0.25">
      <c r="A63" s="3" t="s">
        <v>57</v>
      </c>
      <c r="B63" s="11">
        <f t="shared" ref="B63:G63" si="4">SUM(B58:B62)+B54</f>
        <v>9125</v>
      </c>
      <c r="C63" s="12">
        <f t="shared" si="4"/>
        <v>9781.7512060070731</v>
      </c>
      <c r="D63" s="12">
        <f t="shared" si="4"/>
        <v>10393.045427345098</v>
      </c>
      <c r="E63" s="12">
        <f t="shared" si="4"/>
        <v>10351.746099025313</v>
      </c>
      <c r="F63" s="12">
        <f t="shared" si="4"/>
        <v>10733.550526564302</v>
      </c>
      <c r="G63" s="12">
        <f t="shared" si="4"/>
        <v>11134.830000179234</v>
      </c>
      <c r="H63" s="12"/>
    </row>
    <row r="64" spans="1:8" x14ac:dyDescent="0.25">
      <c r="A64" s="5"/>
      <c r="B64" s="11"/>
      <c r="C64" s="12"/>
      <c r="D64" s="12"/>
      <c r="E64" s="12"/>
      <c r="F64" s="12"/>
      <c r="G64" s="12"/>
      <c r="H64" s="12"/>
    </row>
    <row r="65" spans="1:8" ht="15.6" x14ac:dyDescent="0.3">
      <c r="A65" s="13" t="s">
        <v>58</v>
      </c>
      <c r="B65" s="4">
        <v>2000</v>
      </c>
      <c r="C65" s="4">
        <v>2001</v>
      </c>
      <c r="D65" s="4">
        <v>2002</v>
      </c>
      <c r="E65" s="4">
        <v>2003</v>
      </c>
      <c r="F65" s="4">
        <v>2004</v>
      </c>
      <c r="G65" s="4">
        <v>2005</v>
      </c>
      <c r="H65" s="9"/>
    </row>
    <row r="66" spans="1:8" x14ac:dyDescent="0.25">
      <c r="A66" s="5" t="s">
        <v>59</v>
      </c>
      <c r="B66" s="11">
        <v>764</v>
      </c>
      <c r="C66" s="11">
        <f>ap_sales*C35</f>
        <v>813.70281797334258</v>
      </c>
      <c r="D66" s="11">
        <f>ap_sales*D35</f>
        <v>878.79904341121005</v>
      </c>
      <c r="E66" s="11">
        <f>ap_sales*E35</f>
        <v>861.22306254298587</v>
      </c>
      <c r="F66" s="11">
        <f>ap_sales*F35</f>
        <v>895.67198504470537</v>
      </c>
      <c r="G66" s="11">
        <f>ap_sales*G35</f>
        <v>931.4988644464936</v>
      </c>
      <c r="H66" s="11"/>
    </row>
    <row r="67" spans="1:8" x14ac:dyDescent="0.25">
      <c r="A67" s="5" t="s">
        <v>60</v>
      </c>
      <c r="B67" s="11">
        <v>606</v>
      </c>
      <c r="C67" s="11">
        <f>accruedexp_sales*C35</f>
        <v>693.98345425247726</v>
      </c>
      <c r="D67" s="11">
        <f>accruedexp_sales*D35</f>
        <v>749.50213059267548</v>
      </c>
      <c r="E67" s="11">
        <f>accruedexp_sales*E35</f>
        <v>734.512087980822</v>
      </c>
      <c r="F67" s="11">
        <f>accruedexp_sales*F35</f>
        <v>763.89257150005494</v>
      </c>
      <c r="G67" s="11">
        <f>accruedexp_sales*G35</f>
        <v>794.4482743600571</v>
      </c>
      <c r="H67" s="11"/>
    </row>
    <row r="68" spans="1:8" x14ac:dyDescent="0.25">
      <c r="A68" s="5" t="s">
        <v>61</v>
      </c>
      <c r="B68" s="11">
        <v>12</v>
      </c>
      <c r="C68" s="11">
        <f>B68</f>
        <v>12</v>
      </c>
      <c r="D68" s="11">
        <f>C68</f>
        <v>12</v>
      </c>
      <c r="E68" s="11">
        <f>D68</f>
        <v>12</v>
      </c>
      <c r="F68" s="11">
        <f>E68</f>
        <v>12</v>
      </c>
      <c r="G68" s="11">
        <f>F68</f>
        <v>12</v>
      </c>
      <c r="H68" s="11"/>
    </row>
    <row r="69" spans="1:8" x14ac:dyDescent="0.25">
      <c r="A69" s="14"/>
      <c r="B69" s="11"/>
      <c r="C69" s="11"/>
      <c r="D69" s="11"/>
      <c r="E69" s="11"/>
      <c r="F69" s="11"/>
      <c r="G69" s="11"/>
      <c r="H69" s="11"/>
    </row>
    <row r="70" spans="1:8" x14ac:dyDescent="0.25">
      <c r="A70" s="5" t="s">
        <v>62</v>
      </c>
      <c r="B70" s="11">
        <v>2971</v>
      </c>
      <c r="C70" s="11">
        <f>debt_assets*C63</f>
        <v>3130.1603859222632</v>
      </c>
      <c r="D70" s="11">
        <f>debt_assets*D63</f>
        <v>3325.7745367504313</v>
      </c>
      <c r="E70" s="11">
        <f>debt_assets*E63</f>
        <v>3312.5587516881001</v>
      </c>
      <c r="F70" s="11">
        <f>debt_assets*F63</f>
        <v>3434.7361685005767</v>
      </c>
      <c r="G70" s="11">
        <f>debt_assets*G63</f>
        <v>3563.1456000573548</v>
      </c>
      <c r="H70" s="11"/>
    </row>
    <row r="71" spans="1:8" x14ac:dyDescent="0.25">
      <c r="A71" s="5" t="s">
        <v>25</v>
      </c>
      <c r="B71" s="11">
        <v>543</v>
      </c>
      <c r="C71" s="11">
        <f>B71*(1+C4)</f>
        <v>602.73</v>
      </c>
      <c r="D71" s="11">
        <f>C71*(1+D4)</f>
        <v>650.94840000000011</v>
      </c>
      <c r="E71" s="11">
        <f>D71*(1+E4)</f>
        <v>637.92943200000013</v>
      </c>
      <c r="F71" s="11">
        <f>E71*(1+F4)</f>
        <v>663.44660928000019</v>
      </c>
      <c r="G71" s="11">
        <f>F71*(1+G4)</f>
        <v>689.98447365120023</v>
      </c>
      <c r="H71" s="11"/>
    </row>
    <row r="72" spans="1:8" x14ac:dyDescent="0.25">
      <c r="A72" s="5" t="s">
        <v>27</v>
      </c>
      <c r="B72" s="11">
        <v>128</v>
      </c>
      <c r="C72" s="11">
        <f>B72</f>
        <v>128</v>
      </c>
      <c r="D72" s="11">
        <f>C72</f>
        <v>128</v>
      </c>
      <c r="E72" s="11">
        <f>D72</f>
        <v>128</v>
      </c>
      <c r="F72" s="11">
        <f>E72</f>
        <v>128</v>
      </c>
      <c r="G72" s="11">
        <f>F72</f>
        <v>128</v>
      </c>
      <c r="H72" s="11"/>
    </row>
    <row r="73" spans="1:8" x14ac:dyDescent="0.25">
      <c r="A73" s="5" t="s">
        <v>63</v>
      </c>
      <c r="B73" s="11">
        <v>1004</v>
      </c>
      <c r="C73" s="11">
        <v>1129.8343093484204</v>
      </c>
      <c r="D73" s="11">
        <v>1271.4398073514167</v>
      </c>
      <c r="E73" s="11">
        <v>1430.7931440408133</v>
      </c>
      <c r="F73" s="11">
        <v>1610.1187088822783</v>
      </c>
      <c r="G73" s="11">
        <v>1811.9196806961945</v>
      </c>
      <c r="H73" s="11"/>
    </row>
    <row r="74" spans="1:8" x14ac:dyDescent="0.25">
      <c r="A74" s="5"/>
      <c r="B74" s="11"/>
      <c r="C74" s="11"/>
      <c r="D74" s="11"/>
      <c r="E74" s="11"/>
      <c r="F74" s="11"/>
      <c r="G74" s="11"/>
      <c r="H74" s="11"/>
    </row>
    <row r="75" spans="1:8" x14ac:dyDescent="0.25">
      <c r="A75" s="3" t="s">
        <v>64</v>
      </c>
      <c r="B75" s="15"/>
      <c r="C75" s="15"/>
      <c r="D75" s="15"/>
      <c r="E75" s="15"/>
      <c r="F75" s="15"/>
      <c r="G75" s="15"/>
      <c r="H75" s="15"/>
    </row>
    <row r="76" spans="1:8" x14ac:dyDescent="0.25">
      <c r="A76" s="5" t="s">
        <v>65</v>
      </c>
      <c r="B76" s="11">
        <v>484</v>
      </c>
      <c r="C76" s="11">
        <f t="shared" ref="C76:G77" si="5">B76</f>
        <v>484</v>
      </c>
      <c r="D76" s="11">
        <f t="shared" si="5"/>
        <v>484</v>
      </c>
      <c r="E76" s="11">
        <f t="shared" si="5"/>
        <v>484</v>
      </c>
      <c r="F76" s="11">
        <f t="shared" si="5"/>
        <v>484</v>
      </c>
      <c r="G76" s="11">
        <f t="shared" si="5"/>
        <v>484</v>
      </c>
      <c r="H76" s="11"/>
    </row>
    <row r="77" spans="1:8" x14ac:dyDescent="0.25">
      <c r="A77" s="5" t="s">
        <v>66</v>
      </c>
      <c r="B77" s="11">
        <v>102</v>
      </c>
      <c r="C77" s="11">
        <f t="shared" si="5"/>
        <v>102</v>
      </c>
      <c r="D77" s="11">
        <f t="shared" si="5"/>
        <v>102</v>
      </c>
      <c r="E77" s="11">
        <f t="shared" si="5"/>
        <v>102</v>
      </c>
      <c r="F77" s="11">
        <f t="shared" si="5"/>
        <v>102</v>
      </c>
      <c r="G77" s="11">
        <f t="shared" si="5"/>
        <v>102</v>
      </c>
      <c r="H77" s="11"/>
    </row>
    <row r="78" spans="1:8" x14ac:dyDescent="0.25">
      <c r="A78" s="5" t="s">
        <v>67</v>
      </c>
      <c r="B78" s="11">
        <v>6019</v>
      </c>
      <c r="C78" s="11">
        <f ca="1">B78+C47</f>
        <v>6510.273388238671</v>
      </c>
      <c r="D78" s="11">
        <f ca="1">C78+D47</f>
        <v>7047.6845251288578</v>
      </c>
      <c r="E78" s="11">
        <f ca="1">D78+E47</f>
        <v>7517.9570654246891</v>
      </c>
      <c r="F78" s="11">
        <f ca="1">E78+F47</f>
        <v>7999.9542340474391</v>
      </c>
      <c r="G78" s="11">
        <f ca="1">F78+G47</f>
        <v>8486.3303246351206</v>
      </c>
      <c r="H78" s="11"/>
    </row>
    <row r="79" spans="1:8" x14ac:dyDescent="0.25">
      <c r="A79" s="5" t="s">
        <v>68</v>
      </c>
      <c r="B79" s="11">
        <v>3508</v>
      </c>
      <c r="C79" s="11">
        <f ca="1">-C63+SUM(C66:C78)</f>
        <v>3824.9331497281</v>
      </c>
      <c r="D79" s="11">
        <f ca="1">-D63+SUM(D66:D78)</f>
        <v>4257.1030158894937</v>
      </c>
      <c r="E79" s="11">
        <f ca="1">-E63+SUM(E66:E78)</f>
        <v>4869.2274446520969</v>
      </c>
      <c r="F79" s="11">
        <f ca="1">-F63+SUM(F66:F78)</f>
        <v>5360.2697506907516</v>
      </c>
      <c r="G79" s="11">
        <f ca="1">-G63+SUM(G66:G78)</f>
        <v>5868.4972176671872</v>
      </c>
      <c r="H79" s="11"/>
    </row>
    <row r="80" spans="1:8" x14ac:dyDescent="0.25">
      <c r="A80" s="5" t="s">
        <v>69</v>
      </c>
      <c r="B80" s="11">
        <v>3097</v>
      </c>
      <c r="C80" s="11">
        <f ca="1">SUM(C76:C78)-C79</f>
        <v>3271.340238510571</v>
      </c>
      <c r="D80" s="11">
        <f ca="1">SUM(D76:D78)-D79</f>
        <v>3376.5815092393641</v>
      </c>
      <c r="E80" s="11">
        <f ca="1">SUM(E76:E78)-E79</f>
        <v>3234.7296207725922</v>
      </c>
      <c r="F80" s="11">
        <f ca="1">SUM(F76:F78)-F79</f>
        <v>3225.6844833566884</v>
      </c>
      <c r="G80" s="11">
        <f ca="1">SUM(G76:G78)-G79</f>
        <v>3203.8331069679334</v>
      </c>
      <c r="H80" s="11"/>
    </row>
    <row r="81" spans="1:8" x14ac:dyDescent="0.25">
      <c r="A81" s="3" t="s">
        <v>70</v>
      </c>
      <c r="B81" s="11">
        <f t="shared" ref="B81:G81" si="6">SUM(B66:B73)+B80</f>
        <v>9125</v>
      </c>
      <c r="C81" s="11">
        <f t="shared" ca="1" si="6"/>
        <v>9781.7512060070731</v>
      </c>
      <c r="D81" s="11">
        <f t="shared" ca="1" si="6"/>
        <v>10393.045427345098</v>
      </c>
      <c r="E81" s="11">
        <f t="shared" ca="1" si="6"/>
        <v>10351.746099025313</v>
      </c>
      <c r="F81" s="11">
        <f t="shared" ca="1" si="6"/>
        <v>10733.550526564304</v>
      </c>
      <c r="G81" s="11">
        <f t="shared" ca="1" si="6"/>
        <v>11134.830000179234</v>
      </c>
      <c r="H81" s="11"/>
    </row>
    <row r="82" spans="1:8" x14ac:dyDescent="0.25">
      <c r="C82" s="12"/>
      <c r="D82" s="12"/>
      <c r="E82" s="12"/>
      <c r="F82" s="12"/>
      <c r="G82" s="12"/>
      <c r="H82" s="12"/>
    </row>
    <row r="83" spans="1:8" x14ac:dyDescent="0.25">
      <c r="C83" s="12"/>
      <c r="D83" s="12"/>
      <c r="E83" s="12"/>
      <c r="F83" s="12"/>
      <c r="G83" s="12"/>
      <c r="H83" s="12"/>
    </row>
    <row r="84" spans="1:8" ht="15.6" x14ac:dyDescent="0.3">
      <c r="A84" s="10" t="s">
        <v>71</v>
      </c>
      <c r="C84" s="4">
        <v>2001</v>
      </c>
      <c r="D84" s="4">
        <v>2002</v>
      </c>
      <c r="E84" s="4">
        <v>2003</v>
      </c>
      <c r="F84" s="4">
        <v>2004</v>
      </c>
      <c r="G84" s="4">
        <v>2005</v>
      </c>
      <c r="H84" s="9"/>
    </row>
    <row r="85" spans="1:8" x14ac:dyDescent="0.25">
      <c r="A85" s="2" t="s">
        <v>72</v>
      </c>
      <c r="C85" s="12">
        <f ca="1">C45</f>
        <v>778.6721882386712</v>
      </c>
      <c r="D85" s="12">
        <f ca="1">D45</f>
        <v>836.67950733018677</v>
      </c>
      <c r="E85" s="12">
        <f ca="1">E45</f>
        <v>781.90069443500306</v>
      </c>
      <c r="F85" s="12">
        <f ca="1">F45</f>
        <v>806.49556552786964</v>
      </c>
      <c r="G85" s="12">
        <f ca="1">G45</f>
        <v>824.27627128498295</v>
      </c>
      <c r="H85" s="12"/>
    </row>
    <row r="86" spans="1:8" x14ac:dyDescent="0.25">
      <c r="A86" s="2" t="s">
        <v>73</v>
      </c>
      <c r="C86" s="12">
        <f ca="1">C39</f>
        <v>472.08324011361151</v>
      </c>
      <c r="D86" s="12">
        <f ca="1">D39</f>
        <v>521.85312317104137</v>
      </c>
      <c r="E86" s="12">
        <f ca="1">E39</f>
        <v>562.03636348586986</v>
      </c>
      <c r="F86" s="12">
        <f ca="1">F39</f>
        <v>600.83319008482761</v>
      </c>
      <c r="G86" s="12">
        <f ca="1">G39</f>
        <v>649.13065046999338</v>
      </c>
      <c r="H86" s="12"/>
    </row>
    <row r="87" spans="1:8" x14ac:dyDescent="0.25">
      <c r="A87" s="2" t="s">
        <v>74</v>
      </c>
      <c r="C87" s="12"/>
      <c r="D87" s="12"/>
      <c r="E87" s="12"/>
      <c r="F87" s="12"/>
      <c r="G87" s="12"/>
      <c r="H87" s="12"/>
    </row>
    <row r="88" spans="1:8" x14ac:dyDescent="0.25">
      <c r="A88" s="2" t="s">
        <v>75</v>
      </c>
      <c r="C88" s="12">
        <f>+SUM(B51:B53)-SUM(C51:C53)</f>
        <v>-248.27078495712522</v>
      </c>
      <c r="D88" s="12">
        <f>+SUM(C51:C53)-SUM(D51:D53)</f>
        <v>-258.42166279657022</v>
      </c>
      <c r="E88" s="12">
        <f>+SUM(D51:D53)-SUM(E51:E53)</f>
        <v>69.7738489550743</v>
      </c>
      <c r="F88" s="12">
        <f>+SUM(E51:E53)-SUM(F51:F53)</f>
        <v>-136.75674395194528</v>
      </c>
      <c r="G88" s="12">
        <f>+SUM(F51:F53)-SUM(G51:G53)</f>
        <v>-142.22701371002313</v>
      </c>
      <c r="H88" s="12"/>
    </row>
    <row r="89" spans="1:8" x14ac:dyDescent="0.25">
      <c r="A89" s="2" t="s">
        <v>76</v>
      </c>
      <c r="C89" s="12">
        <f>SUM(C66:C68)-SUM(B66:B68)</f>
        <v>137.68627222581972</v>
      </c>
      <c r="D89" s="12">
        <f>SUM(D66:D68)-SUM(C66:C68)</f>
        <v>120.61490177806581</v>
      </c>
      <c r="E89" s="12">
        <f>SUM(E66:E68)-SUM(D66:D68)</f>
        <v>-32.566023480077547</v>
      </c>
      <c r="F89" s="12">
        <f>SUM(F66:F68)-SUM(E66:E68)</f>
        <v>63.82940602095232</v>
      </c>
      <c r="G89" s="12">
        <f>SUM(G66:G68)-SUM(F66:F68)</f>
        <v>66.382582261790503</v>
      </c>
      <c r="H89" s="12"/>
    </row>
    <row r="90" spans="1:8" x14ac:dyDescent="0.25">
      <c r="A90" s="2" t="s">
        <v>77</v>
      </c>
      <c r="C90" s="12">
        <f ca="1">-C56+B56</f>
        <v>-795.5932401136115</v>
      </c>
      <c r="D90" s="12">
        <f ca="1">-D56+C56</f>
        <v>-783.01392317104273</v>
      </c>
      <c r="E90" s="12">
        <f ca="1">-E56+D56</f>
        <v>-491.52294748586792</v>
      </c>
      <c r="F90" s="12">
        <f ca="1">-F56+E56</f>
        <v>-739.03948544482955</v>
      </c>
      <c r="G90" s="12">
        <f ca="1">-G56+F56</f>
        <v>-792.86519764439254</v>
      </c>
      <c r="H90" s="12"/>
    </row>
    <row r="91" spans="1:8" x14ac:dyDescent="0.25">
      <c r="A91" s="2" t="s">
        <v>78</v>
      </c>
      <c r="C91" s="12">
        <f>-C62+B62</f>
        <v>-84.970421049946708</v>
      </c>
      <c r="D91" s="12">
        <f>-D62+C62</f>
        <v>-91.711758541454628</v>
      </c>
      <c r="E91" s="12">
        <f>-E62+D62</f>
        <v>-98.987936635290907</v>
      </c>
      <c r="F91" s="12">
        <f>-F62+E62</f>
        <v>-106.84138822704244</v>
      </c>
      <c r="G91" s="12">
        <f>-G62+F62</f>
        <v>-115.31791273050908</v>
      </c>
      <c r="H91" s="12"/>
    </row>
    <row r="92" spans="1:8" x14ac:dyDescent="0.25">
      <c r="A92" s="2" t="s">
        <v>79</v>
      </c>
      <c r="C92" s="12">
        <f>(1-tax)*C40</f>
        <v>130.23007832605754</v>
      </c>
      <c r="D92" s="12">
        <f>(1-tax)*D40</f>
        <v>137.80278790696053</v>
      </c>
      <c r="E92" s="12">
        <f>(1-tax)*E40</f>
        <v>141.69610523640475</v>
      </c>
      <c r="F92" s="12">
        <f>(1-tax)*F40</f>
        <v>144.02190573004503</v>
      </c>
      <c r="G92" s="12">
        <f>(1-tax)*G40</f>
        <v>149.3707152722277</v>
      </c>
      <c r="H92" s="12"/>
    </row>
    <row r="93" spans="1:8" x14ac:dyDescent="0.25">
      <c r="A93" s="9" t="s">
        <v>80</v>
      </c>
      <c r="C93" s="12">
        <f ca="1">SUM(C85:C92)</f>
        <v>389.83733278347654</v>
      </c>
      <c r="D93" s="12">
        <f ca="1">SUM(D85:D92)</f>
        <v>483.80297567718691</v>
      </c>
      <c r="E93" s="12">
        <f ca="1">SUM(E85:E92)</f>
        <v>932.33010451111568</v>
      </c>
      <c r="F93" s="12">
        <f ca="1">SUM(F85:F92)</f>
        <v>632.54244973987738</v>
      </c>
      <c r="G93" s="12">
        <f ca="1">SUM(G85:G92)</f>
        <v>638.75009520406979</v>
      </c>
      <c r="H93" s="12"/>
    </row>
    <row r="96" spans="1:8" ht="15.6" x14ac:dyDescent="0.3">
      <c r="A96" s="10" t="s">
        <v>81</v>
      </c>
    </row>
    <row r="97" spans="1:8" x14ac:dyDescent="0.25">
      <c r="A97" s="2" t="s">
        <v>82</v>
      </c>
      <c r="B97" s="6">
        <v>7.4658170079831929E-2</v>
      </c>
    </row>
    <row r="98" spans="1:8" x14ac:dyDescent="0.25">
      <c r="A98" s="16" t="s">
        <v>83</v>
      </c>
      <c r="B98" s="16">
        <v>13</v>
      </c>
    </row>
    <row r="100" spans="1:8" x14ac:dyDescent="0.25">
      <c r="A100" s="2" t="s">
        <v>84</v>
      </c>
      <c r="C100" s="4">
        <v>2001</v>
      </c>
      <c r="D100" s="4">
        <v>2002</v>
      </c>
      <c r="E100" s="4">
        <v>2003</v>
      </c>
      <c r="F100" s="4">
        <v>2004</v>
      </c>
      <c r="G100" s="4">
        <v>2005</v>
      </c>
      <c r="H100" s="9"/>
    </row>
    <row r="101" spans="1:8" x14ac:dyDescent="0.25">
      <c r="A101" s="2" t="s">
        <v>80</v>
      </c>
      <c r="C101" s="12">
        <f ca="1">C93</f>
        <v>389.83733278347654</v>
      </c>
      <c r="D101" s="12">
        <f ca="1">D93</f>
        <v>483.80297567718691</v>
      </c>
      <c r="E101" s="12">
        <f ca="1">E93</f>
        <v>932.33010451111568</v>
      </c>
      <c r="F101" s="12">
        <f ca="1">F93</f>
        <v>632.54244973987738</v>
      </c>
      <c r="G101" s="12">
        <f ca="1">G93</f>
        <v>638.75009520406979</v>
      </c>
      <c r="H101" s="12"/>
    </row>
    <row r="102" spans="1:8" x14ac:dyDescent="0.25">
      <c r="A102" s="2" t="s">
        <v>85</v>
      </c>
      <c r="G102" s="17">
        <f ca="1">G45*B98+SUM(G70:G73)</f>
        <v>16908.641281109529</v>
      </c>
      <c r="H102" s="2" t="str">
        <f ca="1">[1]!getformula(G102)</f>
        <v>&lt;--  =G45*B98+SUM(G70:G73)</v>
      </c>
    </row>
    <row r="103" spans="1:8" x14ac:dyDescent="0.25">
      <c r="A103" s="2" t="s">
        <v>86</v>
      </c>
      <c r="C103" s="12">
        <f ca="1">C102+C101</f>
        <v>389.83733278347654</v>
      </c>
      <c r="D103" s="12">
        <f ca="1">D102+D101</f>
        <v>483.80297567718691</v>
      </c>
      <c r="E103" s="12">
        <f ca="1">E102+E101</f>
        <v>932.33010451111568</v>
      </c>
      <c r="F103" s="12">
        <f ca="1">F102+F101</f>
        <v>632.54244973987738</v>
      </c>
      <c r="G103" s="12">
        <f ca="1">G102+G101</f>
        <v>17547.391376313597</v>
      </c>
      <c r="H103" s="12"/>
    </row>
    <row r="105" spans="1:8" x14ac:dyDescent="0.25">
      <c r="A105" s="2" t="s">
        <v>87</v>
      </c>
      <c r="B105" s="18">
        <f ca="1">NPV(B97,C103:I103)*(1+B97)^0.5</f>
        <v>14771.708588093008</v>
      </c>
      <c r="C105" s="2" t="str">
        <f ca="1">[1]!getformula(B105)</f>
        <v>&lt;--  =NPV(B97,C103:I103)*(1+B97)^0.5</v>
      </c>
    </row>
    <row r="106" spans="1:8" x14ac:dyDescent="0.25">
      <c r="A106" s="2" t="s">
        <v>88</v>
      </c>
      <c r="B106" s="12">
        <f>B50</f>
        <v>111</v>
      </c>
    </row>
    <row r="107" spans="1:8" x14ac:dyDescent="0.25">
      <c r="A107" s="2" t="s">
        <v>89</v>
      </c>
      <c r="B107" s="19">
        <f ca="1">B106+B105</f>
        <v>14882.708588093008</v>
      </c>
    </row>
    <row r="108" spans="1:8" x14ac:dyDescent="0.25">
      <c r="A108" s="2" t="s">
        <v>90</v>
      </c>
      <c r="B108" s="19">
        <f>SUM(B70:B73)</f>
        <v>4646</v>
      </c>
      <c r="C108" s="2" t="str">
        <f ca="1">[1]!getformula(B108)&amp;" -- this is controversial!"</f>
        <v>&lt;--  =SUM(B70:B73) -- this is controversial!</v>
      </c>
    </row>
    <row r="109" spans="1:8" x14ac:dyDescent="0.25">
      <c r="A109" s="2" t="s">
        <v>91</v>
      </c>
      <c r="B109" s="19">
        <f ca="1">B107-B108</f>
        <v>10236.708588093008</v>
      </c>
    </row>
    <row r="111" spans="1:8" x14ac:dyDescent="0.25">
      <c r="A111" s="2" t="s">
        <v>92</v>
      </c>
      <c r="B111" s="20">
        <v>168.22</v>
      </c>
    </row>
    <row r="112" spans="1:8" x14ac:dyDescent="0.25">
      <c r="A112" s="23" t="s">
        <v>93</v>
      </c>
      <c r="B112" s="24">
        <f ca="1">B109/B111</f>
        <v>60.85310063068011</v>
      </c>
    </row>
    <row r="114" spans="1:3" x14ac:dyDescent="0.25">
      <c r="A114" s="2" t="s">
        <v>94</v>
      </c>
      <c r="B114" s="21">
        <v>46.3125</v>
      </c>
    </row>
    <row r="115" spans="1:3" x14ac:dyDescent="0.25">
      <c r="A115" s="2" t="s">
        <v>95</v>
      </c>
      <c r="B115" s="22" t="str">
        <f ca="1">IF(B112&gt;B114*1.1,"undervalued",IF(B112&lt;B114/1.1,"overvalued","ok"))</f>
        <v>undervalued</v>
      </c>
      <c r="C115" s="2" t="str">
        <f ca="1">[1]!getformula(B115)</f>
        <v>&lt;--  =IF(B112&gt;B114*1.1,"undervalued",IF(B112&lt;B114/1.1,"overvalued","ok"))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13</vt:i4>
      </vt:variant>
    </vt:vector>
  </HeadingPairs>
  <TitlesOfParts>
    <vt:vector size="14" baseType="lpstr">
      <vt:lpstr>Sheet1</vt:lpstr>
      <vt:lpstr>Sheet1!accruedexp_sales</vt:lpstr>
      <vt:lpstr>Sheet1!ap_sales</vt:lpstr>
      <vt:lpstr>Sheet1!ar_sales</vt:lpstr>
      <vt:lpstr>Sheet1!cogs_sales</vt:lpstr>
      <vt:lpstr>Sheet1!debt_assets</vt:lpstr>
      <vt:lpstr>Sheet1!divgrowth</vt:lpstr>
      <vt:lpstr>Sheet1!interest</vt:lpstr>
      <vt:lpstr>Sheet1!inventory_sales</vt:lpstr>
      <vt:lpstr>Sheet1!minority</vt:lpstr>
      <vt:lpstr>Sheet1!otherca_sales</vt:lpstr>
      <vt:lpstr>Sheet1!ppe_sales</vt:lpstr>
      <vt:lpstr>Sheet1!sga_sales</vt:lpstr>
      <vt:lpstr>Sheet1!tax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2024-10-17T05:38:29Z</dcterms:modified>
</cp:coreProperties>
</file>