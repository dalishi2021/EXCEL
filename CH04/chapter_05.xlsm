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379FE93B-B268-4F11-A38D-4E9BC4961D9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  <externalReference r:id="rId5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 l="1"/>
  <c r="C40" i="1"/>
  <c r="D40" i="1"/>
  <c r="E40" i="1"/>
  <c r="F40" i="1"/>
  <c r="G40" i="1"/>
  <c r="H40" i="1"/>
  <c r="I40" i="1"/>
  <c r="J40" i="1"/>
  <c r="E3" i="1" a="1"/>
  <c r="E3" i="1" s="1"/>
  <c r="B3" i="1"/>
  <c r="G3" i="1"/>
  <c r="G4" i="1"/>
  <c r="G13" i="1"/>
  <c r="E8" i="1" l="1"/>
  <c r="E10" i="1"/>
  <c r="E7" i="1"/>
  <c r="E6" i="1"/>
  <c r="E9" i="1"/>
  <c r="E5" i="1"/>
  <c r="E4" i="1"/>
  <c r="E11" i="1"/>
  <c r="D3" i="1" a="1"/>
  <c r="D4" i="1" s="1"/>
  <c r="F4" i="1" s="1"/>
  <c r="D5" i="1" l="1"/>
  <c r="F5" i="1" s="1"/>
  <c r="D6" i="1"/>
  <c r="F6" i="1" s="1"/>
  <c r="D8" i="1"/>
  <c r="F8" i="1" s="1"/>
  <c r="D3" i="1"/>
  <c r="D9" i="1"/>
  <c r="F9" i="1" s="1"/>
  <c r="D11" i="1"/>
  <c r="F11" i="1" s="1"/>
  <c r="D10" i="1"/>
  <c r="F10" i="1" s="1"/>
  <c r="D7" i="1"/>
  <c r="F7" i="1" s="1"/>
  <c r="B48" i="1" l="1"/>
  <c r="B49" i="1" s="1"/>
  <c r="H43" i="1"/>
  <c r="D43" i="1"/>
  <c r="J43" i="1"/>
  <c r="I43" i="1"/>
  <c r="G43" i="1"/>
  <c r="F43" i="1"/>
  <c r="E43" i="1"/>
  <c r="C43" i="1"/>
  <c r="B43" i="1"/>
  <c r="B13" i="1"/>
  <c r="C13" i="1"/>
  <c r="F3" i="1"/>
  <c r="F13" i="1" l="1"/>
</calcChain>
</file>

<file path=xl/sharedStrings.xml><?xml version="1.0" encoding="utf-8"?>
<sst xmlns="http://schemas.openxmlformats.org/spreadsheetml/2006/main" count="15" uniqueCount="15">
  <si>
    <t>Year</t>
  </si>
  <si>
    <t>Dividends
 per share</t>
  </si>
  <si>
    <t>Total cash
dividends</t>
  </si>
  <si>
    <t>Minus increase 
in common
stock and surplus</t>
    <phoneticPr fontId="5" type="noConversion"/>
  </si>
  <si>
    <t>Plus increase
in treasury stock</t>
  </si>
  <si>
    <t xml:space="preserve">Payout to equity                                                                                                                                                                                                                                                </t>
  </si>
  <si>
    <t>Growth</t>
  </si>
  <si>
    <t>Net income</t>
  </si>
  <si>
    <t>Cash Dividends</t>
  </si>
  <si>
    <t>Dividend/Net income</t>
  </si>
  <si>
    <t>Common shares outstanding</t>
  </si>
  <si>
    <t>Dividend growth rate?</t>
  </si>
  <si>
    <t>Next year's dividend/share</t>
  </si>
  <si>
    <t>Total dividends</t>
  </si>
  <si>
    <t>CALCULATING THE DIVIDENDS AND EQUITY PAYOUT FOR PPG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</si>
</sst>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3" fillId="0" borderId="0" xfId="0" applyFont="1" applyAlignment="1"/>
    <xf numFmtId="0" fontId="0" fillId="0" borderId="0" xfId="0" applyAlignme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2" borderId="0" xfId="1" applyNumberFormat="1" applyFont="1" applyFill="1" applyAlignment="1">
      <alignment horizontal="center"/>
    </xf>
    <xf numFmtId="0" fontId="4" fillId="0" borderId="0" xfId="0" applyFont="1" applyAlignment="1"/>
    <xf numFmtId="0" fontId="5" fillId="0" borderId="0" xfId="0" applyFont="1" applyAlignment="1">
      <alignment wrapText="1"/>
    </xf>
    <xf numFmtId="3" fontId="5" fillId="0" borderId="0" xfId="0" applyNumberFormat="1" applyFont="1" applyAlignment="1">
      <alignment horizontal="right" wrapText="1"/>
    </xf>
    <xf numFmtId="3" fontId="0" fillId="0" borderId="0" xfId="0" applyNumberFormat="1" applyAlignment="1"/>
    <xf numFmtId="9" fontId="0" fillId="0" borderId="0" xfId="1" applyFont="1" applyAlignment="1"/>
    <xf numFmtId="9" fontId="0" fillId="0" borderId="0" xfId="0" applyNumberFormat="1" applyAlignment="1"/>
    <xf numFmtId="2" fontId="0" fillId="0" borderId="0" xfId="0" applyNumberFormat="1" applyAlignment="1"/>
    <xf numFmtId="1" fontId="0" fillId="0" borderId="0" xfId="0" applyNumberFormat="1" applyAlignment="1"/>
    <xf numFmtId="176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PPG:  Dividends and Total Equity Payout</a:t>
            </a:r>
          </a:p>
        </c:rich>
      </c:tx>
      <c:layout>
        <c:manualLayout>
          <c:xMode val="edge"/>
          <c:yMode val="edge"/>
          <c:x val="0.25617316353974268"/>
          <c:y val="3.5190615835777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72174005541738"/>
          <c:y val="0.10000006781688625"/>
          <c:w val="0.7186087002770869"/>
          <c:h val="0.73888938998032638"/>
        </c:manualLayout>
      </c:layout>
      <c:lineChart>
        <c:grouping val="standard"/>
        <c:varyColors val="0"/>
        <c:ser>
          <c:idx val="1"/>
          <c:order val="0"/>
          <c:tx>
            <c:v>Dividends per share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'[4]Page 152'!$A$3:$A$11</c:f>
              <c:numCache>
                <c:formatCode>General</c:formatCode>
                <c:ptCount val="9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</c:numCache>
            </c:numRef>
          </c:cat>
          <c:val>
            <c:numRef>
              <c:f>Sheet1!$B$3:$B$11</c:f>
              <c:numCache>
                <c:formatCode>0.00</c:formatCode>
                <c:ptCount val="9"/>
                <c:pt idx="0">
                  <c:v>0.94062205466541005</c:v>
                </c:pt>
                <c:pt idx="1">
                  <c:v>1.0385700846660395</c:v>
                </c:pt>
                <c:pt idx="2">
                  <c:v>1.1222274657857481</c:v>
                </c:pt>
                <c:pt idx="3">
                  <c:v>1.1826732673267326</c:v>
                </c:pt>
                <c:pt idx="4">
                  <c:v>1.2598509052183173</c:v>
                </c:pt>
                <c:pt idx="5">
                  <c:v>1.3292547274749722</c:v>
                </c:pt>
                <c:pt idx="6">
                  <c:v>1.423728813559322</c:v>
                </c:pt>
                <c:pt idx="7">
                  <c:v>1.5189873417721518</c:v>
                </c:pt>
                <c:pt idx="8">
                  <c:v>1.6018572257690074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2D-446C-BAB2-49EF412D9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0062440"/>
        <c:axId val="1"/>
      </c:lineChart>
      <c:lineChart>
        <c:grouping val="standard"/>
        <c:varyColors val="0"/>
        <c:ser>
          <c:idx val="0"/>
          <c:order val="1"/>
          <c:tx>
            <c:v>Payout to equity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'[4]Page 152'!$A$3:$A$11</c:f>
              <c:numCache>
                <c:formatCode>General</c:formatCode>
                <c:ptCount val="9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</c:numCache>
            </c:numRef>
          </c:cat>
          <c:val>
            <c:numRef>
              <c:f>Sheet1!$F$3:$F$11</c:f>
              <c:numCache>
                <c:formatCode>0</c:formatCode>
                <c:ptCount val="9"/>
                <c:pt idx="0">
                  <c:v>210.6</c:v>
                </c:pt>
                <c:pt idx="1">
                  <c:v>180.50000000000006</c:v>
                </c:pt>
                <c:pt idx="2">
                  <c:v>489.49999999999994</c:v>
                </c:pt>
                <c:pt idx="3">
                  <c:v>796.09999999999991</c:v>
                </c:pt>
                <c:pt idx="4">
                  <c:v>828.9</c:v>
                </c:pt>
                <c:pt idx="5">
                  <c:v>559.70000000000016</c:v>
                </c:pt>
                <c:pt idx="6">
                  <c:v>454</c:v>
                </c:pt>
                <c:pt idx="7">
                  <c:v>335</c:v>
                </c:pt>
                <c:pt idx="8">
                  <c:v>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2D-446C-BAB2-49EF412D9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87006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Dividends per share</a:t>
                </a:r>
              </a:p>
            </c:rich>
          </c:tx>
          <c:layout>
            <c:manualLayout>
              <c:xMode val="edge"/>
              <c:yMode val="edge"/>
              <c:x val="2.3148148148148147E-2"/>
              <c:y val="0.2844574780058651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70062440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Total equity payout</a:t>
                </a:r>
              </a:p>
            </c:rich>
          </c:tx>
          <c:layout>
            <c:manualLayout>
              <c:xMode val="edge"/>
              <c:yMode val="edge"/>
              <c:x val="0.93981627296587922"/>
              <c:y val="0.2903225806451613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9500778221901464"/>
          <c:y val="0.63611154250185986"/>
          <c:w val="0.28744348011083476"/>
          <c:h val="0.15000010172532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13</xdr:row>
      <xdr:rowOff>91440</xdr:rowOff>
    </xdr:from>
    <xdr:to>
      <xdr:col>6</xdr:col>
      <xdr:colOff>891540</xdr:colOff>
      <xdr:row>33</xdr:row>
      <xdr:rowOff>99060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DCE62478-FCFD-46DA-BFFD-2030A0190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2.xlsm" TargetMode="External"/><Relationship Id="rId1" Type="http://schemas.openxmlformats.org/officeDocument/2006/relationships/externalLinkPath" Target="chapter_02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1.xlsm" TargetMode="External"/><Relationship Id="rId1" Type="http://schemas.openxmlformats.org/officeDocument/2006/relationships/externalLinkPath" Target="chapter_0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5">
          <cell r="B15">
            <v>620</v>
          </cell>
        </row>
        <row r="19">
          <cell r="J19">
            <v>0.94062205466541005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7">
          <cell r="B27">
            <v>-3.2999999999999545</v>
          </cell>
          <cell r="C27">
            <v>-64.700000000000045</v>
          </cell>
          <cell r="D27">
            <v>-12.199999999999932</v>
          </cell>
          <cell r="E27">
            <v>-13.800000000000068</v>
          </cell>
          <cell r="F27">
            <v>-15.299999999999955</v>
          </cell>
          <cell r="G27">
            <v>-2.1000000000000227</v>
          </cell>
          <cell r="H27">
            <v>-6</v>
          </cell>
          <cell r="I27">
            <v>1</v>
          </cell>
          <cell r="J27">
            <v>2</v>
          </cell>
        </row>
        <row r="36">
          <cell r="B36">
            <v>14.299999999999955</v>
          </cell>
          <cell r="C36">
            <v>24.400000000000091</v>
          </cell>
          <cell r="D36">
            <v>263.89999999999986</v>
          </cell>
          <cell r="E36">
            <v>571</v>
          </cell>
          <cell r="F36">
            <v>607.59999999999991</v>
          </cell>
          <cell r="G36">
            <v>322.80000000000018</v>
          </cell>
          <cell r="H36">
            <v>208</v>
          </cell>
          <cell r="I36">
            <v>70</v>
          </cell>
          <cell r="J36">
            <v>240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e mode mode "/>
      <sheetName val="Page 137, 140, 141"/>
      <sheetName val="Page 137, 140, 141 (中文)"/>
      <sheetName val="Page 138, top and page 139"/>
      <sheetName val="Page 138, top and page 139 (中文)"/>
      <sheetName val="Page 138, bottom"/>
      <sheetName val="Page 138, bottom (中文)"/>
      <sheetName val="Page 142"/>
      <sheetName val="Page 142 (中文)"/>
      <sheetName val="Page 144-146"/>
      <sheetName val="Page 144-146 (中文)"/>
      <sheetName val="page 147-150 and page 162"/>
      <sheetName val="page 147-150 and page 162（中文）"/>
      <sheetName val="Page 152"/>
      <sheetName val="Page 152 (中文)"/>
      <sheetName val="Page 155"/>
      <sheetName val="Page 155 (中文)"/>
      <sheetName val="Page 156"/>
      <sheetName val="Page 156 (中文)"/>
      <sheetName val="Page 158"/>
      <sheetName val="Page 158 (中文)"/>
      <sheetName val="Page 159, top"/>
      <sheetName val="Page 159, top (中文)"/>
      <sheetName val="Page 159, bottom"/>
      <sheetName val="Page 159, bottom (中文)"/>
      <sheetName val="Page 161"/>
      <sheetName val="Page 161 (中文)"/>
      <sheetName val="Acc Retained note"/>
      <sheetName val="Cash flow 91-00"/>
    </sheetNames>
    <sheetDataSet>
      <sheetData sheetId="0"/>
      <sheetData sheetId="1">
        <row r="3">
          <cell r="B3">
            <v>111</v>
          </cell>
        </row>
      </sheetData>
      <sheetData sheetId="2"/>
      <sheetData sheetId="3">
        <row r="8">
          <cell r="B8">
            <v>193</v>
          </cell>
        </row>
      </sheetData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>
        <row r="3">
          <cell r="A3">
            <v>1992</v>
          </cell>
        </row>
        <row r="4">
          <cell r="A4">
            <v>1993</v>
          </cell>
        </row>
        <row r="5">
          <cell r="A5">
            <v>1994</v>
          </cell>
        </row>
        <row r="6">
          <cell r="A6">
            <v>1995</v>
          </cell>
        </row>
        <row r="7">
          <cell r="A7">
            <v>1996</v>
          </cell>
        </row>
        <row r="8">
          <cell r="A8">
            <v>1997</v>
          </cell>
        </row>
        <row r="9">
          <cell r="A9">
            <v>1998</v>
          </cell>
        </row>
        <row r="10">
          <cell r="A10">
            <v>1999</v>
          </cell>
        </row>
        <row r="11">
          <cell r="A11">
            <v>2000</v>
          </cell>
        </row>
      </sheetData>
      <sheetData sheetId="14"/>
      <sheetData sheetId="15">
        <row r="2">
          <cell r="A2" t="str">
            <v>Year</v>
          </cell>
        </row>
      </sheetData>
      <sheetData sheetId="16"/>
      <sheetData sheetId="17">
        <row r="20">
          <cell r="B20">
            <v>0.13341864582616836</v>
          </cell>
        </row>
      </sheetData>
      <sheetData sheetId="18"/>
      <sheetData sheetId="19">
        <row r="2">
          <cell r="B2">
            <v>0.86717863603105427</v>
          </cell>
        </row>
      </sheetData>
      <sheetData sheetId="20"/>
      <sheetData sheetId="21">
        <row r="5">
          <cell r="B5">
            <v>7.6562500000000006E-2</v>
          </cell>
        </row>
      </sheetData>
      <sheetData sheetId="22"/>
      <sheetData sheetId="23">
        <row r="7">
          <cell r="B7">
            <v>6.7002256552681827E-2</v>
          </cell>
        </row>
      </sheetData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L49"/>
  <sheetViews>
    <sheetView tabSelected="1" zoomScale="160" zoomScaleNormal="160" workbookViewId="0">
      <selection activeCell="H17" sqref="H17"/>
    </sheetView>
  </sheetViews>
  <sheetFormatPr defaultRowHeight="13.8" x14ac:dyDescent="0.25"/>
  <cols>
    <col min="1" max="1" width="27.88671875" style="2" customWidth="1"/>
    <col min="2" max="2" width="10.5546875" style="2" customWidth="1"/>
    <col min="3" max="4" width="11" style="2" customWidth="1"/>
    <col min="5" max="5" width="14.6640625" style="2" customWidth="1"/>
    <col min="6" max="6" width="12.33203125" style="2" customWidth="1"/>
    <col min="7" max="7" width="18.33203125" style="2" bestFit="1" customWidth="1"/>
    <col min="8" max="8" width="18.88671875" style="2" customWidth="1"/>
    <col min="9" max="12" width="8.88671875" style="2"/>
  </cols>
  <sheetData>
    <row r="1" spans="1:8" ht="17.399999999999999" x14ac:dyDescent="0.3">
      <c r="A1" s="23" t="s">
        <v>14</v>
      </c>
      <c r="B1" s="23"/>
      <c r="C1" s="23"/>
      <c r="D1" s="23"/>
      <c r="E1" s="23"/>
      <c r="F1" s="23"/>
      <c r="G1" s="23"/>
      <c r="H1" s="1"/>
    </row>
    <row r="2" spans="1:8" ht="66" x14ac:dyDescent="0.25">
      <c r="A2" s="3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5"/>
    </row>
    <row r="3" spans="1:8" x14ac:dyDescent="0.25">
      <c r="A3" s="6">
        <v>1992</v>
      </c>
      <c r="B3" s="7">
        <f>[1]Sheet1!$J$19</f>
        <v>0.94062205466541005</v>
      </c>
      <c r="C3" s="8">
        <v>199.6</v>
      </c>
      <c r="D3" s="20">
        <f t="array" ref="D3:D11">TRANSPOSE([2]Sheet1!$B$27:$J$27)</f>
        <v>-3.2999999999999545</v>
      </c>
      <c r="E3" s="21">
        <f t="array" ref="E3:E11">TRANSPOSE([2]Sheet1!$B$36:$J$36)</f>
        <v>14.299999999999955</v>
      </c>
      <c r="F3" s="21">
        <f t="shared" ref="F3:F11" si="0">SUM(C3:E3)</f>
        <v>210.6</v>
      </c>
      <c r="G3" s="2" t="str">
        <f ca="1">_xlfn.FORMULATEXT(D3)</f>
        <v>{=TRANSPOSE([chapter_01.xlsm]Sheet1!$B$27:$J$27)}</v>
      </c>
    </row>
    <row r="4" spans="1:8" x14ac:dyDescent="0.25">
      <c r="A4" s="6">
        <v>1993</v>
      </c>
      <c r="B4" s="7">
        <v>1.0385700846660395</v>
      </c>
      <c r="C4" s="8">
        <v>220.8</v>
      </c>
      <c r="D4" s="8">
        <v>-64.700000000000045</v>
      </c>
      <c r="E4" s="9">
        <v>24.400000000000091</v>
      </c>
      <c r="F4" s="21">
        <f t="shared" si="0"/>
        <v>180.50000000000006</v>
      </c>
      <c r="G4" s="2" t="str">
        <f ca="1">[3]!getformula(F4)</f>
        <v>&lt;--  =SUM(C4:E4)</v>
      </c>
    </row>
    <row r="5" spans="1:8" x14ac:dyDescent="0.25">
      <c r="A5" s="6">
        <v>1994</v>
      </c>
      <c r="B5" s="7">
        <v>1.1222274657857481</v>
      </c>
      <c r="C5" s="8">
        <v>237.8</v>
      </c>
      <c r="D5" s="8">
        <v>-12.199999999999932</v>
      </c>
      <c r="E5" s="9">
        <v>263.89999999999986</v>
      </c>
      <c r="F5" s="21">
        <f t="shared" si="0"/>
        <v>489.49999999999994</v>
      </c>
    </row>
    <row r="6" spans="1:8" x14ac:dyDescent="0.25">
      <c r="A6" s="6">
        <v>1995</v>
      </c>
      <c r="B6" s="7">
        <v>1.1826732673267326</v>
      </c>
      <c r="C6" s="8">
        <v>238.9</v>
      </c>
      <c r="D6" s="8">
        <v>-13.800000000000068</v>
      </c>
      <c r="E6" s="9">
        <v>571</v>
      </c>
      <c r="F6" s="21">
        <f t="shared" si="0"/>
        <v>796.09999999999991</v>
      </c>
    </row>
    <row r="7" spans="1:8" x14ac:dyDescent="0.25">
      <c r="A7" s="6">
        <v>1996</v>
      </c>
      <c r="B7" s="7">
        <v>1.2598509052183173</v>
      </c>
      <c r="C7" s="8">
        <v>236.6</v>
      </c>
      <c r="D7" s="8">
        <v>-15.299999999999955</v>
      </c>
      <c r="E7" s="9">
        <v>607.59999999999991</v>
      </c>
      <c r="F7" s="21">
        <f t="shared" si="0"/>
        <v>828.9</v>
      </c>
    </row>
    <row r="8" spans="1:8" x14ac:dyDescent="0.25">
      <c r="A8" s="6">
        <v>1997</v>
      </c>
      <c r="B8" s="7">
        <v>1.3292547274749722</v>
      </c>
      <c r="C8" s="8">
        <v>239</v>
      </c>
      <c r="D8" s="8">
        <v>-2.1000000000000227</v>
      </c>
      <c r="E8" s="9">
        <v>322.80000000000018</v>
      </c>
      <c r="F8" s="21">
        <f t="shared" si="0"/>
        <v>559.70000000000016</v>
      </c>
    </row>
    <row r="9" spans="1:8" x14ac:dyDescent="0.25">
      <c r="A9" s="6">
        <v>1998</v>
      </c>
      <c r="B9" s="7">
        <v>1.423728813559322</v>
      </c>
      <c r="C9" s="8">
        <v>252</v>
      </c>
      <c r="D9" s="8">
        <v>-6</v>
      </c>
      <c r="E9" s="9">
        <v>208</v>
      </c>
      <c r="F9" s="21">
        <f t="shared" si="0"/>
        <v>454</v>
      </c>
    </row>
    <row r="10" spans="1:8" x14ac:dyDescent="0.25">
      <c r="A10" s="6">
        <v>1999</v>
      </c>
      <c r="B10" s="7">
        <v>1.5189873417721518</v>
      </c>
      <c r="C10" s="8">
        <v>264</v>
      </c>
      <c r="D10" s="8">
        <v>1</v>
      </c>
      <c r="E10" s="9">
        <v>70</v>
      </c>
      <c r="F10" s="21">
        <f t="shared" si="0"/>
        <v>335</v>
      </c>
    </row>
    <row r="11" spans="1:8" x14ac:dyDescent="0.25">
      <c r="A11" s="6">
        <v>2000</v>
      </c>
      <c r="B11" s="7">
        <v>1.6018572257690074</v>
      </c>
      <c r="C11" s="8">
        <v>276</v>
      </c>
      <c r="D11" s="8">
        <v>2</v>
      </c>
      <c r="E11" s="9">
        <v>240</v>
      </c>
      <c r="F11" s="22">
        <f t="shared" si="0"/>
        <v>518</v>
      </c>
    </row>
    <row r="12" spans="1:8" x14ac:dyDescent="0.25">
      <c r="B12" s="6"/>
      <c r="C12" s="6"/>
      <c r="D12" s="6"/>
      <c r="E12" s="6"/>
      <c r="F12" s="6"/>
    </row>
    <row r="13" spans="1:8" x14ac:dyDescent="0.25">
      <c r="A13" s="6" t="s">
        <v>6</v>
      </c>
      <c r="B13" s="10">
        <f>(B11/B3)^(1/8)-1</f>
        <v>6.8811408710489408E-2</v>
      </c>
      <c r="C13" s="11">
        <f>(C11/C3)^(1/8)-1</f>
        <v>4.1342439229842931E-2</v>
      </c>
      <c r="D13" s="6"/>
      <c r="E13" s="6"/>
      <c r="F13" s="11">
        <f>(F11/F3)^(1/8)-1</f>
        <v>0.11907430517493345</v>
      </c>
      <c r="G13" s="2" t="str">
        <f ca="1">[3]!getformula(F13)</f>
        <v>&lt;--  =(F11/F3)^(1/8)-1</v>
      </c>
    </row>
    <row r="39" spans="1:11" x14ac:dyDescent="0.25">
      <c r="B39" s="12">
        <v>2000</v>
      </c>
      <c r="C39" s="12">
        <v>1999</v>
      </c>
      <c r="D39" s="12">
        <v>1998</v>
      </c>
      <c r="E39" s="12">
        <v>1997</v>
      </c>
      <c r="F39" s="12">
        <v>1996</v>
      </c>
      <c r="G39" s="12">
        <v>1995</v>
      </c>
      <c r="H39" s="12">
        <v>1994</v>
      </c>
      <c r="I39" s="12">
        <v>1993</v>
      </c>
      <c r="J39" s="12">
        <v>1992</v>
      </c>
      <c r="K39" s="12"/>
    </row>
    <row r="40" spans="1:11" x14ac:dyDescent="0.25">
      <c r="A40" s="2" t="s">
        <v>7</v>
      </c>
      <c r="B40" s="2">
        <f>[1]Sheet1!$B$15</f>
        <v>620</v>
      </c>
      <c r="C40" s="2">
        <f>[1]Sheet1!$B$15</f>
        <v>620</v>
      </c>
      <c r="D40" s="2">
        <f>[1]Sheet1!$B$15</f>
        <v>620</v>
      </c>
      <c r="E40" s="2">
        <f>[1]Sheet1!$B$15</f>
        <v>620</v>
      </c>
      <c r="F40" s="2">
        <f>[1]Sheet1!$B$15</f>
        <v>620</v>
      </c>
      <c r="G40" s="2">
        <f>[1]Sheet1!$B$15</f>
        <v>620</v>
      </c>
      <c r="H40" s="2">
        <f>[1]Sheet1!$B$15</f>
        <v>620</v>
      </c>
      <c r="I40" s="2">
        <f>[1]Sheet1!$B$15</f>
        <v>620</v>
      </c>
      <c r="J40" s="2">
        <f>[1]Sheet1!$B$15</f>
        <v>620</v>
      </c>
    </row>
    <row r="41" spans="1:11" x14ac:dyDescent="0.25">
      <c r="A41" s="13" t="s">
        <v>8</v>
      </c>
      <c r="B41" s="14">
        <v>276</v>
      </c>
      <c r="C41" s="14">
        <v>264</v>
      </c>
      <c r="D41" s="14">
        <v>252</v>
      </c>
      <c r="E41" s="14">
        <v>239</v>
      </c>
      <c r="F41" s="14">
        <v>236.6</v>
      </c>
      <c r="G41" s="14">
        <v>238.9</v>
      </c>
      <c r="H41" s="14">
        <v>237.8</v>
      </c>
      <c r="I41" s="14">
        <v>220.8</v>
      </c>
      <c r="J41" s="14">
        <v>199.6</v>
      </c>
      <c r="K41" s="14"/>
    </row>
    <row r="42" spans="1:11" x14ac:dyDescent="0.25">
      <c r="B42" s="15"/>
      <c r="C42" s="15"/>
      <c r="D42" s="15"/>
      <c r="E42" s="15"/>
      <c r="F42" s="15"/>
      <c r="G42" s="15"/>
      <c r="H42" s="15"/>
      <c r="I42" s="15"/>
      <c r="J42" s="15"/>
      <c r="K42" s="15"/>
    </row>
    <row r="43" spans="1:11" x14ac:dyDescent="0.25">
      <c r="A43" s="2" t="s">
        <v>9</v>
      </c>
      <c r="B43" s="16">
        <f t="shared" ref="B43:J43" si="1">B41/B40</f>
        <v>0.44516129032258067</v>
      </c>
      <c r="C43" s="16">
        <f t="shared" si="1"/>
        <v>0.4258064516129032</v>
      </c>
      <c r="D43" s="16">
        <f t="shared" si="1"/>
        <v>0.40645161290322579</v>
      </c>
      <c r="E43" s="16">
        <f t="shared" si="1"/>
        <v>0.38548387096774195</v>
      </c>
      <c r="F43" s="16">
        <f t="shared" si="1"/>
        <v>0.38161290322580643</v>
      </c>
      <c r="G43" s="16">
        <f t="shared" si="1"/>
        <v>0.38532258064516128</v>
      </c>
      <c r="H43" s="16">
        <f t="shared" si="1"/>
        <v>0.38354838709677419</v>
      </c>
      <c r="I43" s="16">
        <f t="shared" si="1"/>
        <v>0.35612903225806453</v>
      </c>
      <c r="J43" s="16">
        <f t="shared" si="1"/>
        <v>0.32193548387096771</v>
      </c>
    </row>
    <row r="44" spans="1:11" x14ac:dyDescent="0.25">
      <c r="B44" s="15"/>
      <c r="C44" s="15"/>
      <c r="D44" s="15"/>
      <c r="E44" s="15"/>
      <c r="F44" s="15"/>
      <c r="G44" s="15"/>
      <c r="H44" s="15"/>
      <c r="I44" s="15"/>
      <c r="J44" s="15"/>
    </row>
    <row r="45" spans="1:11" x14ac:dyDescent="0.25">
      <c r="A45" s="13" t="s">
        <v>10</v>
      </c>
      <c r="B45" s="14">
        <v>168.22</v>
      </c>
      <c r="C45" s="14">
        <v>174.1</v>
      </c>
      <c r="D45" s="14">
        <v>175.12</v>
      </c>
      <c r="E45" s="14">
        <v>178.06</v>
      </c>
      <c r="F45" s="14">
        <v>183.22</v>
      </c>
      <c r="G45" s="14">
        <v>194.45</v>
      </c>
      <c r="H45" s="14">
        <v>207.14</v>
      </c>
      <c r="I45" s="14">
        <v>106.84</v>
      </c>
      <c r="J45" s="14">
        <v>106.14</v>
      </c>
      <c r="K45" s="14">
        <v>106.17</v>
      </c>
    </row>
    <row r="47" spans="1:11" x14ac:dyDescent="0.25">
      <c r="A47" s="2" t="s">
        <v>11</v>
      </c>
      <c r="B47" s="17">
        <v>0.06</v>
      </c>
    </row>
    <row r="48" spans="1:11" x14ac:dyDescent="0.25">
      <c r="A48" s="2" t="s">
        <v>12</v>
      </c>
      <c r="B48" s="18">
        <f>B11*(1+B47)</f>
        <v>1.697968659315148</v>
      </c>
    </row>
    <row r="49" spans="1:2" x14ac:dyDescent="0.25">
      <c r="A49" s="2" t="s">
        <v>13</v>
      </c>
      <c r="B49" s="19">
        <f>B48*B45</f>
        <v>285.63228786999417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2024-10-16T08:30:18Z</dcterms:modified>
</cp:coreProperties>
</file>