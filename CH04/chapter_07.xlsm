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17CFF93A-B744-4583-AF1E-81B596BA82A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4" i="1"/>
  <c r="B9" i="1"/>
  <c r="B20" i="1"/>
  <c r="C20" i="1"/>
  <c r="C14" i="1"/>
  <c r="C13" i="1"/>
  <c r="C15" i="1"/>
  <c r="B8" i="1" l="1"/>
  <c r="C9" i="1"/>
  <c r="C10" i="1"/>
  <c r="B15" i="1" l="1"/>
  <c r="B10" i="1"/>
  <c r="B4" i="1"/>
  <c r="C4" i="1"/>
</calcChain>
</file>

<file path=xl/sharedStrings.xml><?xml version="1.0" encoding="utf-8"?>
<sst xmlns="http://schemas.openxmlformats.org/spreadsheetml/2006/main" count="17" uniqueCount="17">
  <si>
    <r>
      <t>CALCULATING THE GORDON MODEL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FOR PPG</t>
    </r>
  </si>
  <si>
    <t>Number of shares outstanding, Dec. 2000 (million)</t>
  </si>
  <si>
    <t>Share price, 31Dec00</t>
  </si>
  <si>
    <t>Equity value, Dec00</t>
  </si>
  <si>
    <r>
      <t>Method 1:  r</t>
    </r>
    <r>
      <rPr>
        <b/>
        <vertAlign val="sub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Gordon using only dividends</t>
    </r>
  </si>
  <si>
    <t>Stock price, 31dec00</t>
  </si>
  <si>
    <t>Dividend, 2000</t>
  </si>
  <si>
    <r>
      <t>r</t>
    </r>
    <r>
      <rPr>
        <vertAlign val="subscript"/>
        <sz val="10"/>
        <rFont val="Arial"/>
        <family val="2"/>
      </rPr>
      <t>E</t>
    </r>
    <r>
      <rPr>
        <sz val="11"/>
        <color theme="1"/>
        <rFont val="等线"/>
        <family val="2"/>
        <charset val="134"/>
        <scheme val="minor"/>
      </rPr>
      <t>, cost of equity using only dividends</t>
    </r>
  </si>
  <si>
    <r>
      <t>Method 2:  r</t>
    </r>
    <r>
      <rPr>
        <b/>
        <vertAlign val="sub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Gordon using equity payout</t>
    </r>
  </si>
  <si>
    <t>Total equity payout, 2000</t>
  </si>
  <si>
    <t>Anticipated growth of this payout</t>
  </si>
  <si>
    <r>
      <t>r</t>
    </r>
    <r>
      <rPr>
        <vertAlign val="subscript"/>
        <sz val="10"/>
        <rFont val="Arial"/>
        <family val="2"/>
      </rPr>
      <t>E</t>
    </r>
    <r>
      <rPr>
        <sz val="11"/>
        <color theme="1"/>
        <rFont val="等线"/>
        <family val="2"/>
        <charset val="134"/>
        <scheme val="minor"/>
      </rPr>
      <t>, cost of equity using total equity payout</t>
    </r>
  </si>
  <si>
    <t>Using the two-stage Gordon model</t>
  </si>
  <si>
    <t xml:space="preserve">    Number of high-growth years</t>
  </si>
  <si>
    <t xml:space="preserve">    Normal growth after high-growth years</t>
  </si>
  <si>
    <r>
      <t>r</t>
    </r>
    <r>
      <rPr>
        <vertAlign val="subscript"/>
        <sz val="10"/>
        <rFont val="Arial"/>
        <family val="2"/>
      </rPr>
      <t>E</t>
    </r>
    <r>
      <rPr>
        <sz val="11"/>
        <color theme="1"/>
        <rFont val="等线"/>
        <family val="2"/>
        <charset val="134"/>
        <scheme val="minor"/>
      </rPr>
      <t>, cost of equity using two-stage Gordon model</t>
    </r>
  </si>
  <si>
    <t>Anticipated dividend growth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</si>
</sst>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/>
    <xf numFmtId="2" fontId="0" fillId="0" borderId="0" xfId="0" applyNumberFormat="1" applyAlignment="1"/>
    <xf numFmtId="3" fontId="0" fillId="0" borderId="0" xfId="0" applyNumberFormat="1" applyAlignment="1"/>
    <xf numFmtId="0" fontId="6" fillId="0" borderId="0" xfId="0" applyFont="1" applyAlignment="1"/>
    <xf numFmtId="10" fontId="0" fillId="0" borderId="0" xfId="0" applyNumberFormat="1" applyAlignment="1"/>
    <xf numFmtId="0" fontId="0" fillId="2" borderId="0" xfId="0" applyFill="1" applyAlignment="1"/>
    <xf numFmtId="10" fontId="0" fillId="2" borderId="0" xfId="1" applyNumberFormat="1" applyFont="1" applyFill="1" applyAlignment="1"/>
    <xf numFmtId="1" fontId="0" fillId="0" borderId="0" xfId="0" applyNumberFormat="1" applyAlignment="1"/>
    <xf numFmtId="0" fontId="3" fillId="0" borderId="0" xfId="0" applyFont="1" applyAlignment="1"/>
    <xf numFmtId="10" fontId="9" fillId="0" borderId="0" xfId="0" applyNumberFormat="1" applyFont="1" applyAlignment="1"/>
    <xf numFmtId="0" fontId="4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2.xlsm" TargetMode="External"/><Relationship Id="rId1" Type="http://schemas.openxmlformats.org/officeDocument/2006/relationships/externalLinkPath" Target="chapter_02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5.xlsm" TargetMode="External"/><Relationship Id="rId1" Type="http://schemas.openxmlformats.org/officeDocument/2006/relationships/externalLinkPath" Target="chapter_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wostagegordon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9">
          <cell r="B19">
            <v>1.6018572257690074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1">
          <cell r="F11">
            <v>518</v>
          </cell>
        </row>
        <row r="13">
          <cell r="B13">
            <v>6.8811408710489408E-2</v>
          </cell>
          <cell r="F13">
            <v>0.11907430517493345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20"/>
  <sheetViews>
    <sheetView tabSelected="1" zoomScale="160" zoomScaleNormal="160" workbookViewId="0">
      <selection activeCell="F12" sqref="F12"/>
    </sheetView>
  </sheetViews>
  <sheetFormatPr defaultRowHeight="13.8" x14ac:dyDescent="0.25"/>
  <cols>
    <col min="1" max="1" width="43.109375" style="1" customWidth="1"/>
    <col min="2" max="2" width="9.88671875" style="1" customWidth="1"/>
    <col min="3" max="3" width="37.6640625" style="1" bestFit="1" customWidth="1"/>
  </cols>
  <sheetData>
    <row r="1" spans="1:3" ht="21" x14ac:dyDescent="0.45">
      <c r="A1" s="11" t="s">
        <v>0</v>
      </c>
      <c r="B1" s="11"/>
      <c r="C1" s="11"/>
    </row>
    <row r="2" spans="1:3" x14ac:dyDescent="0.25">
      <c r="A2" s="1" t="s">
        <v>1</v>
      </c>
      <c r="B2" s="1">
        <v>168.22</v>
      </c>
    </row>
    <row r="3" spans="1:3" x14ac:dyDescent="0.25">
      <c r="A3" s="1" t="s">
        <v>2</v>
      </c>
      <c r="B3" s="2">
        <v>46.3125</v>
      </c>
    </row>
    <row r="4" spans="1:3" x14ac:dyDescent="0.25">
      <c r="A4" s="1" t="s">
        <v>3</v>
      </c>
      <c r="B4" s="3">
        <f>B2*B3</f>
        <v>7790.6887500000003</v>
      </c>
      <c r="C4" s="1" t="str">
        <f ca="1">[1]!getformula(B4)</f>
        <v>&lt;--  =B2*B3</v>
      </c>
    </row>
    <row r="6" spans="1:3" ht="15.6" x14ac:dyDescent="0.35">
      <c r="A6" s="4" t="s">
        <v>4</v>
      </c>
    </row>
    <row r="7" spans="1:3" x14ac:dyDescent="0.25">
      <c r="A7" s="1" t="s">
        <v>5</v>
      </c>
      <c r="B7" s="2">
        <v>46.3125</v>
      </c>
    </row>
    <row r="8" spans="1:3" x14ac:dyDescent="0.25">
      <c r="A8" s="1" t="s">
        <v>6</v>
      </c>
      <c r="B8" s="2">
        <f>[2]Sheet1!$B$19</f>
        <v>1.6018572257690074</v>
      </c>
    </row>
    <row r="9" spans="1:3" x14ac:dyDescent="0.25">
      <c r="A9" s="9" t="s">
        <v>16</v>
      </c>
      <c r="B9" s="10">
        <f>[3]Sheet1!$B$13</f>
        <v>6.8811408710489408E-2</v>
      </c>
      <c r="C9" s="1" t="str">
        <f ca="1">[1]!getformula(B9)</f>
        <v>&lt;--  =[chapter_05.xlsm]Sheet1!$B$13</v>
      </c>
    </row>
    <row r="10" spans="1:3" ht="15.6" x14ac:dyDescent="0.35">
      <c r="A10" s="6" t="s">
        <v>7</v>
      </c>
      <c r="B10" s="7">
        <f>B8*(1+B9)/B7+B9</f>
        <v>0.10577946869488344</v>
      </c>
      <c r="C10" s="1" t="str">
        <f ca="1">[1]!getformula(B10)</f>
        <v>&lt;--  =B8*(1+B9)/B7+B9</v>
      </c>
    </row>
    <row r="12" spans="1:3" ht="15.6" x14ac:dyDescent="0.35">
      <c r="A12" s="4" t="s">
        <v>8</v>
      </c>
    </row>
    <row r="13" spans="1:3" x14ac:dyDescent="0.25">
      <c r="A13" s="1" t="s">
        <v>9</v>
      </c>
      <c r="B13" s="8">
        <f>[3]Sheet1!$F$11</f>
        <v>518</v>
      </c>
      <c r="C13" s="1" t="str">
        <f ca="1">[1]!getformula(B13)</f>
        <v>&lt;--  =[chapter_05.xlsm]Sheet1!$F$11</v>
      </c>
    </row>
    <row r="14" spans="1:3" x14ac:dyDescent="0.25">
      <c r="A14" s="1" t="s">
        <v>10</v>
      </c>
      <c r="B14" s="5">
        <f>[3]Sheet1!$F$13</f>
        <v>0.11907430517493345</v>
      </c>
      <c r="C14" s="1" t="str">
        <f ca="1">[1]!getformula(B14)</f>
        <v>&lt;--  =[chapter_05.xlsm]Sheet1!$F$13</v>
      </c>
    </row>
    <row r="15" spans="1:3" ht="15.6" x14ac:dyDescent="0.35">
      <c r="A15" s="6" t="s">
        <v>11</v>
      </c>
      <c r="B15" s="7">
        <f>B13*(1+B14)/B4+B14</f>
        <v>0.19348113988266266</v>
      </c>
      <c r="C15" s="1" t="str">
        <f ca="1">[1]!getformula(B15)</f>
        <v>&lt;--  =B13*(1+B14)/B4+B14</v>
      </c>
    </row>
    <row r="17" spans="1:3" x14ac:dyDescent="0.25">
      <c r="A17" s="1" t="s">
        <v>12</v>
      </c>
    </row>
    <row r="18" spans="1:3" x14ac:dyDescent="0.25">
      <c r="A18" s="1" t="s">
        <v>13</v>
      </c>
      <c r="B18" s="1">
        <v>3</v>
      </c>
    </row>
    <row r="19" spans="1:3" x14ac:dyDescent="0.25">
      <c r="A19" s="1" t="s">
        <v>14</v>
      </c>
      <c r="B19" s="5">
        <v>0.05</v>
      </c>
    </row>
    <row r="20" spans="1:3" ht="15.6" x14ac:dyDescent="0.35">
      <c r="A20" s="6" t="s">
        <v>15</v>
      </c>
      <c r="B20" s="7">
        <f>[1]!twostagegordon(B4,B13,B14,B18,B19)</f>
        <v>0.13341864617541432</v>
      </c>
      <c r="C20" s="1" t="str">
        <f ca="1">[1]!getformula(B20)</f>
        <v>&lt;--  =twostagegordon(B4,B13,B14,B18,B19)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2024-10-16T08:30:13Z</dcterms:modified>
</cp:coreProperties>
</file>