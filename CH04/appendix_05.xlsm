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4\"/>
    </mc:Choice>
  </mc:AlternateContent>
  <xr:revisionPtr revIDLastSave="0" documentId="13_ncr:1_{AB8B2E67-18AD-4BAD-B8D0-0EAB227D42C7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1" l="1"/>
  <c r="B21" i="1"/>
  <c r="B28" i="1" s="1"/>
  <c r="C11" i="1"/>
  <c r="D11" i="1" s="1"/>
  <c r="B11" i="1"/>
  <c r="B10" i="1"/>
  <c r="C7" i="1"/>
  <c r="C10" i="1" s="1"/>
  <c r="D5" i="1"/>
  <c r="C4" i="1"/>
  <c r="C28" i="1"/>
  <c r="C26" i="1"/>
  <c r="C21" i="1"/>
  <c r="E5" i="1"/>
  <c r="E8" i="1"/>
  <c r="E11" i="1"/>
  <c r="D8" i="1" l="1"/>
</calcChain>
</file>

<file path=xl/sharedStrings.xml><?xml version="1.0" encoding="utf-8"?>
<sst xmlns="http://schemas.openxmlformats.org/spreadsheetml/2006/main" count="25" uniqueCount="20">
  <si>
    <t>COMPUTING THE FIXED ASSET ACCOUNTS</t>
  </si>
  <si>
    <t>Pre-acquistion</t>
  </si>
  <si>
    <t>Post-acquistion
fair-market value</t>
  </si>
  <si>
    <t>Total on post-
acquisition balance
sheet</t>
  </si>
  <si>
    <t>Fixed assets at cost</t>
  </si>
  <si>
    <t xml:space="preserve">     A</t>
  </si>
  <si>
    <t xml:space="preserve">     B (revalued)</t>
  </si>
  <si>
    <t>Accumulated depreciation</t>
  </si>
  <si>
    <t xml:space="preserve">     B (set to zero)</t>
  </si>
  <si>
    <t>Net fixed assets</t>
  </si>
  <si>
    <t xml:space="preserve">     B</t>
  </si>
  <si>
    <t>COMPUTING THE GOODWILL</t>
  </si>
  <si>
    <t>Acquisition price</t>
  </si>
  <si>
    <t>Book value of B's equity</t>
  </si>
  <si>
    <t>B's current assets</t>
  </si>
  <si>
    <t xml:space="preserve">     Fair-market value</t>
  </si>
  <si>
    <t xml:space="preserve">     Book value</t>
  </si>
  <si>
    <t xml:space="preserve">     Excess</t>
  </si>
  <si>
    <t>B's fixed assets</t>
  </si>
  <si>
    <t>Goodwill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</si>
</sst>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/>
    <xf numFmtId="3" fontId="0" fillId="0" borderId="0" xfId="0" applyNumberFormat="1" applyAlignment="1"/>
    <xf numFmtId="0" fontId="2" fillId="0" borderId="0" xfId="0" applyFont="1" applyAlignment="1">
      <alignment horizontal="center"/>
    </xf>
    <xf numFmtId="0" fontId="0" fillId="0" borderId="0" xfId="0" applyAlignment="1">
      <alignment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</xdr:colOff>
          <xdr:row>4</xdr:row>
          <xdr:rowOff>137160</xdr:rowOff>
        </xdr:from>
        <xdr:to>
          <xdr:col>19</xdr:col>
          <xdr:colOff>15240</xdr:colOff>
          <xdr:row>38</xdr:row>
          <xdr:rowOff>59055</xdr:rowOff>
        </xdr:to>
        <xdr:pic>
          <xdr:nvPicPr>
            <xdr:cNvPr id="2" name="图片 1">
              <a:extLst>
                <a:ext uri="{FF2B5EF4-FFF2-40B4-BE49-F238E27FC236}">
                  <a16:creationId xmlns:a16="http://schemas.microsoft.com/office/drawing/2014/main" id="{24F1A910-6FC8-87FB-C601-B58B96D7930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Pages 173-174'!$A$1:$E$32" spid="_x0000_s10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549640" y="1211580"/>
              <a:ext cx="6050280" cy="59359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4appendix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4appendix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164-166"/>
      <sheetName val="Page 164-166（中文）"/>
      <sheetName val="Page 167"/>
      <sheetName val="Page 167 (中文)"/>
      <sheetName val="Page 169"/>
      <sheetName val="Page 169 (中文)"/>
      <sheetName val="Page 170-171"/>
      <sheetName val="Page 170-171 (中文)"/>
      <sheetName val="Page 172"/>
      <sheetName val="Page 172 (中文)"/>
      <sheetName val="Pages 173-174"/>
      <sheetName val="Pages 173-174 (中文)"/>
      <sheetName val="Page 175"/>
      <sheetName val="Page 175 (中文)"/>
      <sheetName val="Page 176"/>
      <sheetName val="Page 176 (中文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28"/>
  <sheetViews>
    <sheetView tabSelected="1" zoomScale="160" zoomScaleNormal="160" workbookViewId="0">
      <selection activeCell="E18" sqref="E18"/>
    </sheetView>
  </sheetViews>
  <sheetFormatPr defaultRowHeight="13.8" x14ac:dyDescent="0.25"/>
  <cols>
    <col min="1" max="1" width="22.88671875" style="5" bestFit="1" customWidth="1"/>
    <col min="2" max="2" width="12.88671875" style="5" bestFit="1" customWidth="1"/>
    <col min="3" max="4" width="20.109375" style="5" customWidth="1"/>
    <col min="5" max="5" width="12.109375" style="5" customWidth="1"/>
  </cols>
  <sheetData>
    <row r="1" spans="1:5" ht="17.399999999999999" x14ac:dyDescent="0.3">
      <c r="A1" s="1" t="s">
        <v>0</v>
      </c>
      <c r="B1" s="1"/>
      <c r="C1" s="1"/>
      <c r="D1" s="1"/>
      <c r="E1" s="1"/>
    </row>
    <row r="2" spans="1:5" ht="39.6" x14ac:dyDescent="0.25">
      <c r="A2" s="2"/>
      <c r="B2" s="2" t="s">
        <v>1</v>
      </c>
      <c r="C2" s="3" t="s">
        <v>2</v>
      </c>
      <c r="D2" s="3" t="s">
        <v>3</v>
      </c>
      <c r="E2" s="4"/>
    </row>
    <row r="3" spans="1:5" x14ac:dyDescent="0.25">
      <c r="A3" s="5" t="s">
        <v>4</v>
      </c>
    </row>
    <row r="4" spans="1:5" x14ac:dyDescent="0.25">
      <c r="A4" s="5" t="s">
        <v>5</v>
      </c>
      <c r="B4" s="6">
        <v>10000</v>
      </c>
      <c r="C4" s="6">
        <f>B4</f>
        <v>10000</v>
      </c>
    </row>
    <row r="5" spans="1:5" x14ac:dyDescent="0.25">
      <c r="A5" s="5" t="s">
        <v>6</v>
      </c>
      <c r="B5" s="6">
        <v>1600</v>
      </c>
      <c r="C5" s="6">
        <v>1500</v>
      </c>
      <c r="D5" s="6">
        <f>C5+C4</f>
        <v>11500</v>
      </c>
      <c r="E5" s="5" t="str">
        <f ca="1">[2]!getformula(D5)</f>
        <v>&lt;--  =C5+C4</v>
      </c>
    </row>
    <row r="6" spans="1:5" x14ac:dyDescent="0.25">
      <c r="A6" s="5" t="s">
        <v>7</v>
      </c>
    </row>
    <row r="7" spans="1:5" x14ac:dyDescent="0.25">
      <c r="A7" s="5" t="s">
        <v>5</v>
      </c>
      <c r="B7" s="6">
        <v>-3000</v>
      </c>
      <c r="C7" s="6">
        <f>B7</f>
        <v>-3000</v>
      </c>
    </row>
    <row r="8" spans="1:5" x14ac:dyDescent="0.25">
      <c r="A8" s="5" t="s">
        <v>8</v>
      </c>
      <c r="B8" s="6">
        <v>-250</v>
      </c>
      <c r="C8" s="5">
        <v>0</v>
      </c>
      <c r="D8" s="6">
        <f>C8+C7</f>
        <v>-3000</v>
      </c>
      <c r="E8" s="5" t="str">
        <f ca="1">[2]!getformula(D8)</f>
        <v>&lt;--  =C8+C7</v>
      </c>
    </row>
    <row r="9" spans="1:5" x14ac:dyDescent="0.25">
      <c r="A9" s="5" t="s">
        <v>9</v>
      </c>
    </row>
    <row r="10" spans="1:5" x14ac:dyDescent="0.25">
      <c r="A10" s="5" t="s">
        <v>5</v>
      </c>
      <c r="B10" s="6">
        <f>B4+B7</f>
        <v>7000</v>
      </c>
      <c r="C10" s="6">
        <f>C4+C7</f>
        <v>7000</v>
      </c>
    </row>
    <row r="11" spans="1:5" x14ac:dyDescent="0.25">
      <c r="A11" s="5" t="s">
        <v>10</v>
      </c>
      <c r="B11" s="6">
        <f>B5+B8</f>
        <v>1350</v>
      </c>
      <c r="C11" s="6">
        <f>C5+C8</f>
        <v>1500</v>
      </c>
      <c r="D11" s="6">
        <f>C11+C10</f>
        <v>8500</v>
      </c>
      <c r="E11" s="5" t="str">
        <f ca="1">[2]!getformula(D11)</f>
        <v>&lt;--  =C11+C10</v>
      </c>
    </row>
    <row r="14" spans="1:5" ht="17.399999999999999" x14ac:dyDescent="0.3">
      <c r="A14" s="1" t="s">
        <v>11</v>
      </c>
      <c r="B14" s="1"/>
      <c r="C14" s="1"/>
      <c r="D14" s="7"/>
      <c r="E14" s="7"/>
    </row>
    <row r="15" spans="1:5" x14ac:dyDescent="0.25">
      <c r="A15" s="5" t="s">
        <v>12</v>
      </c>
      <c r="B15" s="6">
        <v>2000</v>
      </c>
    </row>
    <row r="16" spans="1:5" x14ac:dyDescent="0.25">
      <c r="A16" s="5" t="s">
        <v>13</v>
      </c>
      <c r="B16" s="6">
        <v>1050</v>
      </c>
    </row>
    <row r="18" spans="1:3" x14ac:dyDescent="0.25">
      <c r="A18" s="8" t="s">
        <v>14</v>
      </c>
    </row>
    <row r="19" spans="1:3" x14ac:dyDescent="0.25">
      <c r="A19" s="5" t="s">
        <v>15</v>
      </c>
      <c r="B19" s="6">
        <v>1200</v>
      </c>
    </row>
    <row r="20" spans="1:3" x14ac:dyDescent="0.25">
      <c r="A20" s="5" t="s">
        <v>16</v>
      </c>
      <c r="B20" s="6">
        <v>1000</v>
      </c>
    </row>
    <row r="21" spans="1:3" x14ac:dyDescent="0.25">
      <c r="A21" s="5" t="s">
        <v>17</v>
      </c>
      <c r="B21" s="6">
        <f>B19-B20</f>
        <v>200</v>
      </c>
      <c r="C21" s="5" t="str">
        <f ca="1">[2]!getformula(B21)</f>
        <v>&lt;--  =B19-B20</v>
      </c>
    </row>
    <row r="23" spans="1:3" x14ac:dyDescent="0.25">
      <c r="A23" s="8" t="s">
        <v>18</v>
      </c>
    </row>
    <row r="24" spans="1:3" x14ac:dyDescent="0.25">
      <c r="A24" s="5" t="s">
        <v>15</v>
      </c>
      <c r="B24" s="6">
        <v>1500</v>
      </c>
    </row>
    <row r="25" spans="1:3" x14ac:dyDescent="0.25">
      <c r="A25" s="5" t="s">
        <v>16</v>
      </c>
      <c r="B25" s="6">
        <v>1350</v>
      </c>
    </row>
    <row r="26" spans="1:3" x14ac:dyDescent="0.25">
      <c r="A26" s="5" t="s">
        <v>17</v>
      </c>
      <c r="B26" s="6">
        <f>B24-B25</f>
        <v>150</v>
      </c>
      <c r="C26" s="5" t="str">
        <f ca="1">[2]!getformula(B26)</f>
        <v>&lt;--  =B24-B25</v>
      </c>
    </row>
    <row r="28" spans="1:3" x14ac:dyDescent="0.25">
      <c r="A28" s="5" t="s">
        <v>19</v>
      </c>
      <c r="B28" s="6">
        <f>B15-B16-B21-B26</f>
        <v>600</v>
      </c>
      <c r="C28" s="5" t="str">
        <f ca="1">[2]!getformula(B28)</f>
        <v>&lt;--  =B15-B16-B21-B26</v>
      </c>
    </row>
  </sheetData>
  <mergeCells count="2">
    <mergeCell ref="A1:E1"/>
    <mergeCell ref="A14:C14"/>
  </mergeCells>
  <phoneticPr fontId="1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2024-10-18T05:07:40Z</dcterms:modified>
</cp:coreProperties>
</file>