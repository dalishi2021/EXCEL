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"/>
    </mc:Choice>
  </mc:AlternateContent>
  <xr:revisionPtr revIDLastSave="0" documentId="13_ncr:1_{C96AFD5F-DE79-44BE-A095-C4DACB8461B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  <c r="B10" i="1"/>
  <c r="B7" i="1"/>
  <c r="B5" i="1"/>
  <c r="C15" i="1"/>
  <c r="C11" i="1"/>
  <c r="C7" i="1"/>
  <c r="C5" i="1"/>
  <c r="B11" i="1" l="1"/>
  <c r="B15" i="1"/>
</calcChain>
</file>

<file path=xl/sharedStrings.xml><?xml version="1.0" encoding="utf-8"?>
<sst xmlns="http://schemas.openxmlformats.org/spreadsheetml/2006/main" count="17" uniqueCount="15">
  <si>
    <t>USING THE CAPM TO COMPUTE PPG'S COST OF EQUITY</t>
  </si>
  <si>
    <t>Market price/earnings multiple, December 2000</t>
    <phoneticPr fontId="5" type="noConversion"/>
  </si>
  <si>
    <t>Equity cash flow payout ratio</t>
  </si>
  <si>
    <t>Anticipated growth of market equity cash flow</t>
  </si>
  <si>
    <t>Treasury bill rate, December 2000</t>
    <phoneticPr fontId="5" type="noConversion"/>
  </si>
  <si>
    <r>
      <t>PPG's tax rate, T</t>
    </r>
    <r>
      <rPr>
        <vertAlign val="subscript"/>
        <sz val="10"/>
        <rFont val="Arial"/>
        <family val="2"/>
      </rPr>
      <t>C</t>
    </r>
  </si>
  <si>
    <r>
      <t>Method 3:  r</t>
    </r>
    <r>
      <rPr>
        <b/>
        <vertAlign val="sub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using the SML</t>
    </r>
  </si>
  <si>
    <t>Equity beta</t>
  </si>
  <si>
    <r>
      <t>r</t>
    </r>
    <r>
      <rPr>
        <vertAlign val="subscript"/>
        <sz val="10"/>
        <rFont val="Arial"/>
        <family val="2"/>
      </rPr>
      <t>E</t>
    </r>
    <r>
      <rPr>
        <sz val="11"/>
        <color theme="1"/>
        <rFont val="等线"/>
        <family val="2"/>
        <charset val="134"/>
        <scheme val="minor"/>
      </rPr>
      <t>, cost of equity</t>
    </r>
  </si>
  <si>
    <r>
      <t>Method 4:  r</t>
    </r>
    <r>
      <rPr>
        <b/>
        <vertAlign val="sub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using the tax-adjusted SML</t>
    </r>
  </si>
  <si>
    <r>
      <t>Note</t>
    </r>
    <r>
      <rPr>
        <sz val="10"/>
        <rFont val="Arial"/>
        <family val="2"/>
      </rPr>
      <t>:  Price/Earnings ratio for S&amp;P 500 from http://www.bullandbearwise.com</t>
    </r>
  </si>
  <si>
    <t>PE</t>
    <phoneticPr fontId="1" type="noConversion"/>
  </si>
  <si>
    <t>a</t>
    <phoneticPr fontId="1" type="noConversion"/>
  </si>
  <si>
    <t>g</t>
    <phoneticPr fontId="1" type="noConversion"/>
  </si>
  <si>
    <r>
      <t>Expected market return, E(r</t>
    </r>
    <r>
      <rPr>
        <vertAlign val="subscript"/>
        <sz val="10"/>
        <color rgb="FFFF0000"/>
        <rFont val="Arial"/>
        <family val="2"/>
      </rPr>
      <t>M</t>
    </r>
    <r>
      <rPr>
        <sz val="11"/>
        <color rgb="FFFF0000"/>
        <rFont val="等线"/>
        <family val="2"/>
        <charset val="134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</si>
</sst>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4"/>
      <name val="Arial"/>
      <family val="2"/>
    </font>
    <font>
      <sz val="8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  <charset val="177"/>
    </font>
    <font>
      <b/>
      <sz val="10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8" fillId="0" borderId="0"/>
  </cellStyleXfs>
  <cellXfs count="13">
    <xf numFmtId="0" fontId="0" fillId="0" borderId="0" xfId="0">
      <alignment vertical="center"/>
    </xf>
    <xf numFmtId="0" fontId="0" fillId="0" borderId="0" xfId="0" applyAlignment="1"/>
    <xf numFmtId="10" fontId="6" fillId="0" borderId="0" xfId="1" applyNumberFormat="1" applyFont="1" applyAlignment="1"/>
    <xf numFmtId="0" fontId="8" fillId="0" borderId="0" xfId="2"/>
    <xf numFmtId="2" fontId="0" fillId="0" borderId="0" xfId="0" applyNumberFormat="1" applyAlignment="1"/>
    <xf numFmtId="0" fontId="9" fillId="0" borderId="0" xfId="0" applyFont="1" applyAlignment="1"/>
    <xf numFmtId="176" fontId="0" fillId="0" borderId="0" xfId="0" applyNumberFormat="1" applyAlignment="1"/>
    <xf numFmtId="0" fontId="0" fillId="2" borderId="0" xfId="0" applyFill="1" applyAlignment="1"/>
    <xf numFmtId="10" fontId="0" fillId="2" borderId="0" xfId="0" applyNumberFormat="1" applyFill="1" applyAlignment="1"/>
    <xf numFmtId="0" fontId="3" fillId="0" borderId="0" xfId="0" applyFont="1" applyAlignment="1"/>
    <xf numFmtId="0" fontId="4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</cellXfs>
  <cellStyles count="3">
    <cellStyle name="Normal_Cascade Corp" xfId="2" xr:uid="{AF4FFBA3-565F-42E6-BAC4-76B78BE61F1C}"/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de mode mode "/>
      <sheetName val="Page 137, 140, 141"/>
      <sheetName val="Page 137, 140, 141 (中文)"/>
      <sheetName val="Page 138, top and page 139"/>
      <sheetName val="Page 138, top and page 139 (中文)"/>
      <sheetName val="Page 138, bottom"/>
      <sheetName val="Page 138, bottom (中文)"/>
      <sheetName val="Page 142"/>
      <sheetName val="Page 142 (中文)"/>
      <sheetName val="Page 144-146"/>
      <sheetName val="Page 144-146 (中文)"/>
      <sheetName val="page 147-150 and page 162"/>
      <sheetName val="page 147-150 and page 162（中文）"/>
      <sheetName val="Page 152"/>
      <sheetName val="Page 152 (中文)"/>
      <sheetName val="Page 155"/>
      <sheetName val="Page 155 (中文)"/>
      <sheetName val="Page 156"/>
      <sheetName val="Page 156 (中文)"/>
      <sheetName val="Page 158"/>
      <sheetName val="Page 158 (中文)"/>
      <sheetName val="Page 159, top"/>
      <sheetName val="Page 159, top (中文)"/>
      <sheetName val="Page 159, bottom"/>
      <sheetName val="Page 159, bottom (中文)"/>
      <sheetName val="Page 161"/>
      <sheetName val="Page 161 (中文)"/>
      <sheetName val="Acc Retained note"/>
      <sheetName val="Cash flow 91-00"/>
    </sheetNames>
    <sheetDataSet>
      <sheetData sheetId="0"/>
      <sheetData sheetId="1">
        <row r="3">
          <cell r="B3">
            <v>111</v>
          </cell>
        </row>
      </sheetData>
      <sheetData sheetId="2"/>
      <sheetData sheetId="3">
        <row r="8">
          <cell r="B8">
            <v>193</v>
          </cell>
        </row>
        <row r="35">
          <cell r="B35">
            <v>0.36283185840707965</v>
          </cell>
        </row>
      </sheetData>
      <sheetData sheetId="4"/>
      <sheetData sheetId="5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>
        <row r="3">
          <cell r="A3">
            <v>1992</v>
          </cell>
        </row>
      </sheetData>
      <sheetData sheetId="14"/>
      <sheetData sheetId="15">
        <row r="2">
          <cell r="A2" t="str">
            <v>Year</v>
          </cell>
        </row>
      </sheetData>
      <sheetData sheetId="16"/>
      <sheetData sheetId="17">
        <row r="20">
          <cell r="B20">
            <v>0.13341864582616836</v>
          </cell>
        </row>
      </sheetData>
      <sheetData sheetId="18"/>
      <sheetData sheetId="19">
        <row r="2">
          <cell r="B2">
            <v>0.86717863603105427</v>
          </cell>
        </row>
      </sheetData>
      <sheetData sheetId="20"/>
      <sheetData sheetId="21">
        <row r="5">
          <cell r="B5">
            <v>7.6562500000000006E-2</v>
          </cell>
        </row>
      </sheetData>
      <sheetData sheetId="22"/>
      <sheetData sheetId="23">
        <row r="7">
          <cell r="B7">
            <v>6.7002256552681827E-2</v>
          </cell>
        </row>
      </sheetData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D19"/>
  <sheetViews>
    <sheetView tabSelected="1" zoomScale="160" zoomScaleNormal="160" workbookViewId="0">
      <selection activeCell="G17" sqref="G17"/>
    </sheetView>
  </sheetViews>
  <sheetFormatPr defaultRowHeight="13.8" x14ac:dyDescent="0.25"/>
  <cols>
    <col min="1" max="1" width="42" style="1" customWidth="1"/>
    <col min="2" max="2" width="11.33203125" style="1" customWidth="1"/>
    <col min="3" max="3" width="34.88671875" style="1" customWidth="1"/>
  </cols>
  <sheetData>
    <row r="1" spans="1:4" ht="17.399999999999999" x14ac:dyDescent="0.25">
      <c r="A1" s="10" t="s">
        <v>0</v>
      </c>
      <c r="B1" s="10"/>
      <c r="C1" s="10"/>
    </row>
    <row r="2" spans="1:4" x14ac:dyDescent="0.25">
      <c r="A2" s="1" t="s">
        <v>1</v>
      </c>
      <c r="B2" s="1">
        <v>32</v>
      </c>
      <c r="D2" t="s">
        <v>11</v>
      </c>
    </row>
    <row r="3" spans="1:4" x14ac:dyDescent="0.25">
      <c r="A3" s="1" t="s">
        <v>2</v>
      </c>
      <c r="B3" s="2">
        <v>0.5</v>
      </c>
      <c r="D3" t="s">
        <v>12</v>
      </c>
    </row>
    <row r="4" spans="1:4" x14ac:dyDescent="0.25">
      <c r="A4" s="1" t="s">
        <v>3</v>
      </c>
      <c r="B4" s="2">
        <v>0.06</v>
      </c>
      <c r="D4" t="s">
        <v>13</v>
      </c>
    </row>
    <row r="5" spans="1:4" ht="15.6" x14ac:dyDescent="0.35">
      <c r="A5" s="9" t="s">
        <v>14</v>
      </c>
      <c r="B5" s="2">
        <f>B3*(1+B4)/B2+B4</f>
        <v>7.6562500000000006E-2</v>
      </c>
      <c r="C5" s="1" t="str">
        <f ca="1">[1]!getformula(B5)</f>
        <v>&lt;--  =B3*(1+B4)/B2+B4</v>
      </c>
    </row>
    <row r="6" spans="1:4" x14ac:dyDescent="0.25">
      <c r="A6" s="1" t="s">
        <v>4</v>
      </c>
      <c r="B6" s="2">
        <v>5.1416666666666703E-3</v>
      </c>
    </row>
    <row r="7" spans="1:4" ht="15.6" x14ac:dyDescent="0.35">
      <c r="A7" s="3" t="s">
        <v>5</v>
      </c>
      <c r="B7" s="2">
        <f>'[2]Page 138, top and page 139'!B35</f>
        <v>0.36283185840707965</v>
      </c>
      <c r="C7" s="1" t="str">
        <f ca="1">[1]!getformula(B7)</f>
        <v>&lt;--  ='D:\lizhengdong\交易框架\5_工具箱\_书库\编程\Excel\财务金融建模第三版（用ECCEL工具）\Chapter files\[fm3_chapter04.xls]Page 138, top and page 139'!B35</v>
      </c>
    </row>
    <row r="8" spans="1:4" x14ac:dyDescent="0.25">
      <c r="B8" s="4"/>
    </row>
    <row r="9" spans="1:4" ht="15.6" x14ac:dyDescent="0.35">
      <c r="A9" s="5" t="s">
        <v>6</v>
      </c>
    </row>
    <row r="10" spans="1:4" x14ac:dyDescent="0.25">
      <c r="A10" s="1" t="s">
        <v>7</v>
      </c>
      <c r="B10" s="6">
        <f>'[2]Page 158'!B2</f>
        <v>0.86717863603105427</v>
      </c>
    </row>
    <row r="11" spans="1:4" ht="15.6" x14ac:dyDescent="0.35">
      <c r="A11" s="7" t="s">
        <v>8</v>
      </c>
      <c r="B11" s="8">
        <f>B6+B10*(B5-B6)</f>
        <v>6.7076287500867929E-2</v>
      </c>
      <c r="C11" s="1" t="str">
        <f ca="1">[1]!getformula(B11)</f>
        <v>&lt;--  =B6+B10*(B5-B6)</v>
      </c>
    </row>
    <row r="13" spans="1:4" ht="15.6" x14ac:dyDescent="0.35">
      <c r="A13" s="5" t="s">
        <v>9</v>
      </c>
    </row>
    <row r="14" spans="1:4" x14ac:dyDescent="0.25">
      <c r="A14" s="1" t="s">
        <v>7</v>
      </c>
      <c r="B14" s="6">
        <f>'[2]Page 158'!B2</f>
        <v>0.86717863603105427</v>
      </c>
    </row>
    <row r="15" spans="1:4" ht="15.6" x14ac:dyDescent="0.35">
      <c r="A15" s="7" t="s">
        <v>8</v>
      </c>
      <c r="B15" s="8">
        <f>B6*(1-B7)+B14*(B5-B6*(1-B7))</f>
        <v>6.6828501214413472E-2</v>
      </c>
      <c r="C15" s="1" t="str">
        <f ca="1">[1]!getformula(B15)</f>
        <v>&lt;--  =B6*(1-B7)+B14*(B5-B6*(1-B7))</v>
      </c>
    </row>
    <row r="19" spans="1:3" x14ac:dyDescent="0.25">
      <c r="A19" s="11" t="s">
        <v>10</v>
      </c>
      <c r="B19" s="12"/>
      <c r="C19" s="12"/>
    </row>
  </sheetData>
  <mergeCells count="2">
    <mergeCell ref="A1:C1"/>
    <mergeCell ref="A19:C1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2024-10-16T08:30:07Z</dcterms:modified>
</cp:coreProperties>
</file>