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C412723B-C2E4-4125-BB6B-EEA613CD157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  <sheet name="Sheet2" sheetId="2" r:id="rId2"/>
  </sheets>
  <externalReferences>
    <externalReference r:id="rId3"/>
    <externalReference r:id="rId4"/>
    <externalReference r:id="rId5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" i="1" l="1"/>
  <c r="C50" i="1"/>
  <c r="D50" i="1"/>
  <c r="E50" i="1"/>
  <c r="F50" i="1"/>
  <c r="G50" i="1"/>
  <c r="B47" i="1" a="1"/>
  <c r="B47" i="1" s="1"/>
  <c r="I25" i="1" a="1"/>
  <c r="I29" i="1" s="1"/>
  <c r="G47" i="1" l="1"/>
  <c r="F47" i="1"/>
  <c r="E47" i="1"/>
  <c r="D47" i="1"/>
  <c r="C47" i="1"/>
  <c r="I30" i="1"/>
  <c r="I26" i="1"/>
  <c r="I25" i="1"/>
  <c r="I27" i="1"/>
  <c r="I28" i="1"/>
  <c r="I31" i="2" l="1"/>
  <c r="J31" i="2"/>
  <c r="K31" i="2"/>
  <c r="L31" i="2"/>
  <c r="M31" i="2"/>
  <c r="N31" i="2"/>
  <c r="I32" i="2"/>
  <c r="J32" i="2"/>
  <c r="K32" i="2"/>
  <c r="L32" i="2"/>
  <c r="M32" i="2"/>
  <c r="N32" i="2"/>
  <c r="I33" i="2"/>
  <c r="J33" i="2"/>
  <c r="K33" i="2"/>
  <c r="L33" i="2"/>
  <c r="M33" i="2"/>
  <c r="N33" i="2"/>
  <c r="I34" i="2"/>
  <c r="J34" i="2"/>
  <c r="K34" i="2"/>
  <c r="L34" i="2"/>
  <c r="M34" i="2"/>
  <c r="N34" i="2"/>
  <c r="I35" i="2"/>
  <c r="J35" i="2"/>
  <c r="K35" i="2"/>
  <c r="L35" i="2"/>
  <c r="M35" i="2"/>
  <c r="N35" i="2"/>
  <c r="J30" i="2"/>
  <c r="K30" i="2"/>
  <c r="L30" i="2"/>
  <c r="M30" i="2"/>
  <c r="N30" i="2"/>
  <c r="I30" i="2"/>
  <c r="L16" i="2" a="1"/>
  <c r="L16" i="2" s="1"/>
  <c r="K5" i="2" a="1"/>
  <c r="K5" i="2" s="1"/>
  <c r="E6" i="1"/>
  <c r="H18" i="1"/>
  <c r="H17" i="1"/>
  <c r="H16" i="1"/>
  <c r="G14" i="1"/>
  <c r="F14" i="1"/>
  <c r="E14" i="1"/>
  <c r="D14" i="1"/>
  <c r="C14" i="1"/>
  <c r="B14" i="1"/>
  <c r="G13" i="1"/>
  <c r="F13" i="1"/>
  <c r="E13" i="1"/>
  <c r="D13" i="1"/>
  <c r="C13" i="1"/>
  <c r="B13" i="1"/>
  <c r="G12" i="1"/>
  <c r="F12" i="1"/>
  <c r="E12" i="1"/>
  <c r="D12" i="1"/>
  <c r="C12" i="1"/>
  <c r="B12" i="1"/>
  <c r="G11" i="1"/>
  <c r="F11" i="1"/>
  <c r="E11" i="1"/>
  <c r="D11" i="1"/>
  <c r="C11" i="1"/>
  <c r="B11" i="1"/>
  <c r="G10" i="1"/>
  <c r="F10" i="1"/>
  <c r="E10" i="1"/>
  <c r="D10" i="1"/>
  <c r="C10" i="1"/>
  <c r="B10" i="1"/>
  <c r="G9" i="1"/>
  <c r="F9" i="1"/>
  <c r="E9" i="1"/>
  <c r="D9" i="1"/>
  <c r="C9" i="1"/>
  <c r="B9" i="1"/>
  <c r="G8" i="1"/>
  <c r="F8" i="1"/>
  <c r="E8" i="1"/>
  <c r="D8" i="1"/>
  <c r="C8" i="1"/>
  <c r="B8" i="1"/>
  <c r="G7" i="1"/>
  <c r="F7" i="1"/>
  <c r="E7" i="1"/>
  <c r="D7" i="1"/>
  <c r="C7" i="1"/>
  <c r="B7" i="1"/>
  <c r="G6" i="1"/>
  <c r="F6" i="1"/>
  <c r="D6" i="1"/>
  <c r="C6" i="1"/>
  <c r="B6" i="1"/>
  <c r="G5" i="1"/>
  <c r="F5" i="1"/>
  <c r="E5" i="1"/>
  <c r="D5" i="1"/>
  <c r="C5" i="1"/>
  <c r="B5" i="1"/>
  <c r="G4" i="1"/>
  <c r="G20" i="1" s="1"/>
  <c r="F4" i="1"/>
  <c r="F20" i="1" s="1"/>
  <c r="E4" i="1"/>
  <c r="E18" i="1" s="1"/>
  <c r="E39" i="1" s="1"/>
  <c r="D4" i="1"/>
  <c r="D16" i="1" s="1"/>
  <c r="C4" i="1"/>
  <c r="C18" i="1" s="1"/>
  <c r="C37" i="1" s="1"/>
  <c r="B4" i="1"/>
  <c r="B18" i="1" s="1"/>
  <c r="B36" i="1" s="1"/>
  <c r="A33" i="1"/>
  <c r="A23" i="1"/>
  <c r="I20" i="1"/>
  <c r="I18" i="1"/>
  <c r="I17" i="1"/>
  <c r="I16" i="1"/>
  <c r="L18" i="2" l="1"/>
  <c r="N17" i="2"/>
  <c r="P17" i="2"/>
  <c r="O17" i="2"/>
  <c r="O20" i="2"/>
  <c r="N20" i="2"/>
  <c r="M17" i="2"/>
  <c r="L19" i="2"/>
  <c r="O18" i="2"/>
  <c r="P20" i="2"/>
  <c r="M20" i="2"/>
  <c r="L17" i="2"/>
  <c r="P19" i="2"/>
  <c r="O16" i="2"/>
  <c r="P18" i="2"/>
  <c r="M16" i="2"/>
  <c r="N18" i="2"/>
  <c r="M18" i="2"/>
  <c r="L20" i="2"/>
  <c r="P16" i="2"/>
  <c r="O19" i="2"/>
  <c r="N16" i="2"/>
  <c r="N19" i="2"/>
  <c r="M19" i="2"/>
  <c r="K9" i="2"/>
  <c r="K8" i="2"/>
  <c r="K6" i="2"/>
  <c r="K7" i="2"/>
  <c r="F34" i="1"/>
  <c r="G34" i="1"/>
  <c r="C16" i="1"/>
  <c r="B16" i="1"/>
  <c r="G18" i="1"/>
  <c r="G41" i="1" s="1"/>
  <c r="B17" i="1"/>
  <c r="B20" i="1"/>
  <c r="C17" i="1"/>
  <c r="C20" i="1"/>
  <c r="D18" i="1"/>
  <c r="D38" i="1" s="1"/>
  <c r="F18" i="1"/>
  <c r="F40" i="1" s="1"/>
  <c r="G16" i="1"/>
  <c r="D17" i="1"/>
  <c r="D20" i="1"/>
  <c r="F16" i="1"/>
  <c r="E17" i="1"/>
  <c r="E20" i="1"/>
  <c r="E16" i="1"/>
  <c r="F17" i="1"/>
  <c r="G17" i="1"/>
  <c r="E34" i="1" l="1"/>
  <c r="C34" i="1"/>
  <c r="D34" i="1"/>
  <c r="B25" i="1" a="1"/>
  <c r="H36" i="1" a="1"/>
  <c r="B34" i="1"/>
  <c r="H36" i="1" l="1"/>
  <c r="H39" i="1"/>
  <c r="H37" i="1"/>
  <c r="H41" i="1"/>
  <c r="H40" i="1"/>
  <c r="H38" i="1"/>
  <c r="G29" i="1"/>
  <c r="F29" i="1"/>
  <c r="B27" i="1"/>
  <c r="C28" i="1"/>
  <c r="C30" i="1"/>
  <c r="E29" i="1"/>
  <c r="G26" i="1"/>
  <c r="F25" i="1"/>
  <c r="F30" i="1"/>
  <c r="F27" i="1"/>
  <c r="B30" i="1"/>
  <c r="D29" i="1"/>
  <c r="F26" i="1"/>
  <c r="E28" i="1"/>
  <c r="G30" i="1"/>
  <c r="G27" i="1"/>
  <c r="D30" i="1"/>
  <c r="C29" i="1"/>
  <c r="E26" i="1"/>
  <c r="D25" i="1"/>
  <c r="E30" i="1"/>
  <c r="C25" i="1"/>
  <c r="E27" i="1"/>
  <c r="B29" i="1"/>
  <c r="D26" i="1"/>
  <c r="G25" i="1"/>
  <c r="C27" i="1"/>
  <c r="G28" i="1"/>
  <c r="C26" i="1"/>
  <c r="D28" i="1"/>
  <c r="E25" i="1"/>
  <c r="B25" i="1"/>
  <c r="F28" i="1"/>
  <c r="B26" i="1"/>
  <c r="B28" i="1"/>
  <c r="D27" i="1"/>
  <c r="F38" i="1" l="1"/>
  <c r="G38" i="1"/>
  <c r="E38" i="1"/>
  <c r="B38" i="1"/>
  <c r="C38" i="1"/>
  <c r="G40" i="1"/>
  <c r="E40" i="1"/>
  <c r="B40" i="1"/>
  <c r="C40" i="1"/>
  <c r="D40" i="1"/>
  <c r="F41" i="1"/>
  <c r="D41" i="1"/>
  <c r="E41" i="1"/>
  <c r="C41" i="1"/>
  <c r="B41" i="1"/>
  <c r="F37" i="1"/>
  <c r="G37" i="1"/>
  <c r="E37" i="1"/>
  <c r="B37" i="1"/>
  <c r="D37" i="1"/>
  <c r="F39" i="1"/>
  <c r="G39" i="1"/>
  <c r="D39" i="1"/>
  <c r="B39" i="1"/>
  <c r="C39" i="1"/>
  <c r="F36" i="1"/>
  <c r="G36" i="1"/>
  <c r="E36" i="1"/>
  <c r="C36" i="1"/>
  <c r="D36" i="1"/>
</calcChain>
</file>

<file path=xl/sharedStrings.xml><?xml version="1.0" encoding="utf-8"?>
<sst xmlns="http://schemas.openxmlformats.org/spreadsheetml/2006/main" count="61" uniqueCount="19">
  <si>
    <t>ESTIMATING THE VARIANCE-COVARIANCE MATRIX USING 
THE SINGLE-INDEX MODEL</t>
  </si>
  <si>
    <t>Return data</t>
  </si>
  <si>
    <t>Date</t>
  </si>
  <si>
    <t>GE</t>
  </si>
  <si>
    <t>MSFT</t>
  </si>
  <si>
    <t>JNJ</t>
  </si>
  <si>
    <t>K</t>
  </si>
  <si>
    <t>BA</t>
  </si>
  <si>
    <t>IBM</t>
  </si>
  <si>
    <t>SP500</t>
  </si>
  <si>
    <t>Average</t>
  </si>
  <si>
    <t>Standard deviation</t>
  </si>
  <si>
    <t>Variance</t>
  </si>
  <si>
    <t>Beta</t>
  </si>
  <si>
    <t>Risk-free rate</t>
  </si>
  <si>
    <t>Efficient portfolio</t>
  </si>
  <si>
    <t>Market value ($billion)</t>
  </si>
  <si>
    <t>Market proportions</t>
  </si>
  <si>
    <t>Means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</si>
</sst>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/>
    <xf numFmtId="10" fontId="2" fillId="0" borderId="0" xfId="1" applyNumberFormat="1" applyAlignment="1"/>
    <xf numFmtId="10" fontId="0" fillId="0" borderId="0" xfId="1" applyNumberFormat="1" applyFont="1" applyAlignment="1"/>
    <xf numFmtId="0" fontId="0" fillId="0" borderId="0" xfId="0" applyAlignment="1">
      <alignment horizontal="center"/>
    </xf>
    <xf numFmtId="10" fontId="0" fillId="0" borderId="0" xfId="0" applyNumberFormat="1" applyAlignment="1"/>
    <xf numFmtId="176" fontId="0" fillId="0" borderId="0" xfId="0" applyNumberFormat="1" applyAlignment="1"/>
    <xf numFmtId="0" fontId="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76" fontId="0" fillId="2" borderId="0" xfId="0" applyNumberFormat="1" applyFill="1" applyAlignmen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9" fontId="0" fillId="0" borderId="0" xfId="0" applyNumberFormat="1" applyAlignment="1"/>
    <xf numFmtId="10" fontId="0" fillId="0" borderId="0" xfId="1" applyNumberFormat="1" applyFont="1" applyAlignment="1">
      <alignment horizontal="center"/>
    </xf>
    <xf numFmtId="2" fontId="0" fillId="0" borderId="0" xfId="0" applyNumberFormat="1" applyAlignment="1"/>
    <xf numFmtId="10" fontId="0" fillId="2" borderId="0" xfId="1" applyNumberFormat="1" applyFont="1" applyFill="1" applyAlignment="1"/>
    <xf numFmtId="10" fontId="0" fillId="3" borderId="0" xfId="1" applyNumberFormat="1" applyFon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111016</xdr:colOff>
      <xdr:row>0</xdr:row>
      <xdr:rowOff>207908</xdr:rowOff>
    </xdr:from>
    <xdr:to>
      <xdr:col>22</xdr:col>
      <xdr:colOff>168166</xdr:colOff>
      <xdr:row>43</xdr:row>
      <xdr:rowOff>57938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5BAF634-1126-17AE-C9F7-E5C993075B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092309" y="207908"/>
          <a:ext cx="7999029" cy="830218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0\charpter_01.xlsm" TargetMode="External"/><Relationship Id="rId1" Type="http://schemas.openxmlformats.org/officeDocument/2006/relationships/externalLinkPath" Target="charpter_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>
        <row r="23">
          <cell r="B23">
            <v>0.56444671520508838</v>
          </cell>
          <cell r="C23">
            <v>-1.5037877364540559E-2</v>
          </cell>
          <cell r="D23">
            <v>6.0103924069705515E-2</v>
          </cell>
          <cell r="E23">
            <v>-9.7915436027565986E-2</v>
          </cell>
          <cell r="F23">
            <v>0.58731171832467999</v>
          </cell>
          <cell r="G23">
            <v>0.21513873977235295</v>
          </cell>
        </row>
        <row r="24">
          <cell r="B24">
            <v>0.18232155679395459</v>
          </cell>
          <cell r="C24">
            <v>0.33213383502261484</v>
          </cell>
          <cell r="D24">
            <v>0.41559877382296978</v>
          </cell>
          <cell r="E24">
            <v>7.4571937519298012E-2</v>
          </cell>
          <cell r="F24">
            <v>-2.3781224049673243E-3</v>
          </cell>
          <cell r="G24">
            <v>6.038318283896326E-2</v>
          </cell>
        </row>
        <row r="25">
          <cell r="B25">
            <v>0.56932183044759921</v>
          </cell>
          <cell r="C25">
            <v>0.44280277854580868</v>
          </cell>
          <cell r="D25">
            <v>0.57713846354436926</v>
          </cell>
          <cell r="E25">
            <v>0.37761004630609196</v>
          </cell>
          <cell r="F25">
            <v>0.65554420578107764</v>
          </cell>
          <cell r="G25">
            <v>0.27325133966115783</v>
          </cell>
        </row>
        <row r="26">
          <cell r="B26">
            <v>0.42867843048794668</v>
          </cell>
          <cell r="C26">
            <v>0.79115085799206308</v>
          </cell>
          <cell r="D26">
            <v>0.22940287091404585</v>
          </cell>
          <cell r="E26">
            <v>-5.0876389807343811E-2</v>
          </cell>
          <cell r="F26">
            <v>0.5434160567213141</v>
          </cell>
          <cell r="G26">
            <v>0.41084015158897974</v>
          </cell>
        </row>
        <row r="27">
          <cell r="B27">
            <v>0.47111330200617335</v>
          </cell>
          <cell r="C27">
            <v>0.38036365668032207</v>
          </cell>
          <cell r="D27">
            <v>0.17623377849310673</v>
          </cell>
          <cell r="E27">
            <v>0.32039589477196262</v>
          </cell>
          <cell r="F27">
            <v>0.37114264453303181</v>
          </cell>
          <cell r="G27">
            <v>2.6291992182133208E-2</v>
          </cell>
        </row>
        <row r="28">
          <cell r="B28">
            <v>0.34547568192446243</v>
          </cell>
          <cell r="C28">
            <v>0.8525379124482414</v>
          </cell>
          <cell r="D28">
            <v>0.26618332488068819</v>
          </cell>
          <cell r="E28">
            <v>-0.10737956563486276</v>
          </cell>
          <cell r="F28">
            <v>0.15053557753818592</v>
          </cell>
          <cell r="G28">
            <v>-2.1107275447946366E-2</v>
          </cell>
        </row>
        <row r="29">
          <cell r="B29">
            <v>0.28152972131185594</v>
          </cell>
          <cell r="C29">
            <v>0.11200200440985024</v>
          </cell>
          <cell r="D29">
            <v>3.4111834506863122E-2</v>
          </cell>
          <cell r="E29">
            <v>-0.48928618090838627</v>
          </cell>
          <cell r="F29">
            <v>0.43526794343187897</v>
          </cell>
          <cell r="G29">
            <v>0.23764678955224222</v>
          </cell>
        </row>
        <row r="30">
          <cell r="B30">
            <v>4.6071091921937368E-2</v>
          </cell>
          <cell r="C30">
            <v>-0.47194325389691516</v>
          </cell>
          <cell r="D30">
            <v>0.10688374519834776</v>
          </cell>
          <cell r="E30">
            <v>0.11666758657251773</v>
          </cell>
          <cell r="F30">
            <v>0.28291473002020701</v>
          </cell>
          <cell r="G30">
            <v>0.21762375809061188</v>
          </cell>
        </row>
        <row r="31">
          <cell r="B31">
            <v>-0.19742801479649347</v>
          </cell>
          <cell r="C31">
            <v>4.2697300467286127E-2</v>
          </cell>
          <cell r="D31">
            <v>0.23114796006900939</v>
          </cell>
          <cell r="E31">
            <v>0.19904599973514916</v>
          </cell>
          <cell r="F31">
            <v>-0.15086637755437701</v>
          </cell>
          <cell r="G31">
            <v>4.5485151822900263E-2</v>
          </cell>
        </row>
        <row r="32">
          <cell r="B32">
            <v>-0.44784992572779375</v>
          </cell>
          <cell r="C32">
            <v>-0.29467288579706979</v>
          </cell>
          <cell r="D32">
            <v>-5.6657596004628455E-2</v>
          </cell>
          <cell r="E32">
            <v>0.10883878003415107</v>
          </cell>
          <cell r="F32">
            <v>-0.23230595878763066</v>
          </cell>
          <cell r="G32">
            <v>0.15535325852434001</v>
          </cell>
        </row>
        <row r="33">
          <cell r="B33">
            <v>0.35900929586965324</v>
          </cell>
          <cell r="C33">
            <v>0.18005140825941549</v>
          </cell>
          <cell r="D33">
            <v>-1.2736567388731407E-2</v>
          </cell>
          <cell r="E33">
            <v>0.1548647105609153</v>
          </cell>
          <cell r="F33">
            <v>0.39822571885658403</v>
          </cell>
          <cell r="G33">
            <v>0.31795050205482422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35">
          <cell r="B35">
            <v>0.23660815322221673</v>
          </cell>
          <cell r="C35">
            <v>0.21382597606973422</v>
          </cell>
          <cell r="D35">
            <v>0.1843100465550678</v>
          </cell>
          <cell r="E35">
            <v>5.5139762101993367E-2</v>
          </cell>
          <cell r="F35">
            <v>0.27625528513272585</v>
          </cell>
          <cell r="G35">
            <v>0.17625978096732356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50"/>
  <sheetViews>
    <sheetView tabSelected="1" topLeftCell="A22" zoomScale="145" zoomScaleNormal="145" workbookViewId="0">
      <selection activeCell="E45" sqref="E45"/>
    </sheetView>
  </sheetViews>
  <sheetFormatPr defaultRowHeight="13.8" x14ac:dyDescent="0.25"/>
  <cols>
    <col min="1" max="1" width="21.6640625" style="6" customWidth="1"/>
    <col min="2" max="8" width="8.88671875" style="3"/>
    <col min="9" max="9" width="32.33203125" style="3" customWidth="1"/>
  </cols>
  <sheetData>
    <row r="1" spans="1:9" ht="17.399999999999999" x14ac:dyDescent="0.25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2" t="s">
        <v>1</v>
      </c>
    </row>
    <row r="3" spans="1:9" x14ac:dyDescent="0.25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</row>
    <row r="4" spans="1:9" x14ac:dyDescent="0.25">
      <c r="A4" s="12">
        <v>34337</v>
      </c>
      <c r="B4" s="4">
        <f>'[1]Page 292-95'!B23</f>
        <v>0.56444671520508838</v>
      </c>
      <c r="C4" s="4">
        <f>'[1]Page 292-95'!C23</f>
        <v>-1.5037877364540559E-2</v>
      </c>
      <c r="D4" s="4">
        <f>'[1]Page 292-95'!D23</f>
        <v>6.0103924069705515E-2</v>
      </c>
      <c r="E4" s="4">
        <f>'[1]Page 292-95'!E23</f>
        <v>-9.7915436027565986E-2</v>
      </c>
      <c r="F4" s="4">
        <f>'[1]Page 292-95'!F23</f>
        <v>0.58731171832467999</v>
      </c>
      <c r="G4" s="4">
        <f>'[1]Page 292-95'!G23</f>
        <v>0.21513873977235295</v>
      </c>
      <c r="H4" s="5">
        <v>-2.3508745211243687E-2</v>
      </c>
    </row>
    <row r="5" spans="1:9" x14ac:dyDescent="0.25">
      <c r="A5" s="12">
        <v>34702</v>
      </c>
      <c r="B5" s="4">
        <f>'[1]Page 292-95'!B24</f>
        <v>0.18232155679395459</v>
      </c>
      <c r="C5" s="4">
        <f>'[1]Page 292-95'!C24</f>
        <v>0.33213383502261484</v>
      </c>
      <c r="D5" s="4">
        <f>'[1]Page 292-95'!D24</f>
        <v>0.41559877382296978</v>
      </c>
      <c r="E5" s="4">
        <f>'[1]Page 292-95'!E24</f>
        <v>7.4571937519298012E-2</v>
      </c>
      <c r="F5" s="4">
        <f>'[1]Page 292-95'!F24</f>
        <v>-2.3781224049673243E-3</v>
      </c>
      <c r="G5" s="4">
        <f>'[1]Page 292-95'!G24</f>
        <v>6.038318283896326E-2</v>
      </c>
      <c r="H5" s="5">
        <v>0.30160409669917299</v>
      </c>
    </row>
    <row r="6" spans="1:9" x14ac:dyDescent="0.25">
      <c r="A6" s="12">
        <v>35066</v>
      </c>
      <c r="B6" s="4">
        <f>'[1]Page 292-95'!B25</f>
        <v>0.56932183044759921</v>
      </c>
      <c r="C6" s="4">
        <f>'[1]Page 292-95'!C25</f>
        <v>0.44280277854580868</v>
      </c>
      <c r="D6" s="4">
        <f>'[1]Page 292-95'!D25</f>
        <v>0.57713846354436926</v>
      </c>
      <c r="E6" s="4">
        <f>'[1]Page 292-95'!E25</f>
        <v>0.37761004630609196</v>
      </c>
      <c r="F6" s="4">
        <f>'[1]Page 292-95'!F25</f>
        <v>0.65554420578107764</v>
      </c>
      <c r="G6" s="4">
        <f>'[1]Page 292-95'!G25</f>
        <v>0.27325133966115783</v>
      </c>
      <c r="H6" s="5">
        <v>0.21193032466760078</v>
      </c>
    </row>
    <row r="7" spans="1:9" x14ac:dyDescent="0.25">
      <c r="A7" s="12">
        <v>35432</v>
      </c>
      <c r="B7" s="4">
        <f>'[1]Page 292-95'!B26</f>
        <v>0.42867843048794668</v>
      </c>
      <c r="C7" s="4">
        <f>'[1]Page 292-95'!C26</f>
        <v>0.79115085799206308</v>
      </c>
      <c r="D7" s="4">
        <f>'[1]Page 292-95'!D26</f>
        <v>0.22940287091404585</v>
      </c>
      <c r="E7" s="4">
        <f>'[1]Page 292-95'!E26</f>
        <v>-5.0876389807343811E-2</v>
      </c>
      <c r="F7" s="4">
        <f>'[1]Page 292-95'!F26</f>
        <v>0.5434160567213141</v>
      </c>
      <c r="G7" s="4">
        <f>'[1]Page 292-95'!G26</f>
        <v>0.41084015158897974</v>
      </c>
      <c r="H7" s="5">
        <v>0.22067791108760687</v>
      </c>
    </row>
    <row r="8" spans="1:9" x14ac:dyDescent="0.25">
      <c r="A8" s="12">
        <v>35797</v>
      </c>
      <c r="B8" s="4">
        <f>'[1]Page 292-95'!B27</f>
        <v>0.47111330200617335</v>
      </c>
      <c r="C8" s="4">
        <f>'[1]Page 292-95'!C27</f>
        <v>0.38036365668032207</v>
      </c>
      <c r="D8" s="4">
        <f>'[1]Page 292-95'!D27</f>
        <v>0.17623377849310673</v>
      </c>
      <c r="E8" s="4">
        <f>'[1]Page 292-95'!E27</f>
        <v>0.32039589477196262</v>
      </c>
      <c r="F8" s="4">
        <f>'[1]Page 292-95'!F27</f>
        <v>0.37114264453303181</v>
      </c>
      <c r="G8" s="4">
        <f>'[1]Page 292-95'!G27</f>
        <v>2.6291992182133208E-2</v>
      </c>
      <c r="H8" s="5">
        <v>0.26649582221368606</v>
      </c>
    </row>
    <row r="9" spans="1:9" x14ac:dyDescent="0.25">
      <c r="A9" s="12">
        <v>36164</v>
      </c>
      <c r="B9" s="4">
        <f>'[1]Page 292-95'!B28</f>
        <v>0.34547568192446243</v>
      </c>
      <c r="C9" s="4">
        <f>'[1]Page 292-95'!C28</f>
        <v>0.8525379124482414</v>
      </c>
      <c r="D9" s="4">
        <f>'[1]Page 292-95'!D28</f>
        <v>0.26618332488068819</v>
      </c>
      <c r="E9" s="4">
        <f>'[1]Page 292-95'!E28</f>
        <v>-0.10737956563486276</v>
      </c>
      <c r="F9" s="4">
        <f>'[1]Page 292-95'!F28</f>
        <v>0.15053557753818592</v>
      </c>
      <c r="G9" s="4">
        <f>'[1]Page 292-95'!G28</f>
        <v>-2.1107275447946366E-2</v>
      </c>
      <c r="H9" s="5">
        <v>8.592845518451156E-2</v>
      </c>
    </row>
    <row r="10" spans="1:9" x14ac:dyDescent="0.25">
      <c r="A10" s="12">
        <v>36528</v>
      </c>
      <c r="B10" s="4">
        <f>'[1]Page 292-95'!B29</f>
        <v>0.28152972131185594</v>
      </c>
      <c r="C10" s="4">
        <f>'[1]Page 292-95'!C29</f>
        <v>0.11200200440985024</v>
      </c>
      <c r="D10" s="4">
        <f>'[1]Page 292-95'!D29</f>
        <v>3.4111834506863122E-2</v>
      </c>
      <c r="E10" s="4">
        <f>'[1]Page 292-95'!E29</f>
        <v>-0.48928618090838627</v>
      </c>
      <c r="F10" s="4">
        <f>'[1]Page 292-95'!F29</f>
        <v>0.43526794343187897</v>
      </c>
      <c r="G10" s="4">
        <f>'[1]Page 292-95'!G29</f>
        <v>0.23764678955224222</v>
      </c>
      <c r="H10" s="5">
        <v>-2.061316179181957E-2</v>
      </c>
    </row>
    <row r="11" spans="1:9" x14ac:dyDescent="0.25">
      <c r="A11" s="12">
        <v>36893</v>
      </c>
      <c r="B11" s="4">
        <f>'[1]Page 292-95'!B30</f>
        <v>4.6071091921937368E-2</v>
      </c>
      <c r="C11" s="4">
        <f>'[1]Page 292-95'!C30</f>
        <v>-0.47194325389691516</v>
      </c>
      <c r="D11" s="4">
        <f>'[1]Page 292-95'!D30</f>
        <v>0.10688374519834776</v>
      </c>
      <c r="E11" s="4">
        <f>'[1]Page 292-95'!E30</f>
        <v>0.11666758657251773</v>
      </c>
      <c r="F11" s="4">
        <f>'[1]Page 292-95'!F30</f>
        <v>0.28291473002020701</v>
      </c>
      <c r="G11" s="4">
        <f>'[1]Page 292-95'!G30</f>
        <v>0.21762375809061188</v>
      </c>
      <c r="H11" s="5">
        <v>-0.18949947355241326</v>
      </c>
    </row>
    <row r="12" spans="1:9" x14ac:dyDescent="0.25">
      <c r="A12" s="12">
        <v>37258</v>
      </c>
      <c r="B12" s="4">
        <f>'[1]Page 292-95'!B31</f>
        <v>-0.19742801479649347</v>
      </c>
      <c r="C12" s="4">
        <f>'[1]Page 292-95'!C31</f>
        <v>4.2697300467286127E-2</v>
      </c>
      <c r="D12" s="4">
        <f>'[1]Page 292-95'!D31</f>
        <v>0.23114796006900939</v>
      </c>
      <c r="E12" s="4">
        <f>'[1]Page 292-95'!E31</f>
        <v>0.19904599973514916</v>
      </c>
      <c r="F12" s="4">
        <f>'[1]Page 292-95'!F31</f>
        <v>-0.15086637755437701</v>
      </c>
      <c r="G12" s="4">
        <f>'[1]Page 292-95'!G31</f>
        <v>4.5485151822900263E-2</v>
      </c>
      <c r="H12" s="5">
        <v>-0.27823003977173388</v>
      </c>
    </row>
    <row r="13" spans="1:9" x14ac:dyDescent="0.25">
      <c r="A13" s="12">
        <v>37623</v>
      </c>
      <c r="B13" s="4">
        <f>'[1]Page 292-95'!B32</f>
        <v>-0.44784992572779375</v>
      </c>
      <c r="C13" s="4">
        <f>'[1]Page 292-95'!C32</f>
        <v>-0.29467288579706979</v>
      </c>
      <c r="D13" s="4">
        <f>'[1]Page 292-95'!D32</f>
        <v>-5.6657596004628455E-2</v>
      </c>
      <c r="E13" s="4">
        <f>'[1]Page 292-95'!E32</f>
        <v>0.10883878003415107</v>
      </c>
      <c r="F13" s="4">
        <f>'[1]Page 292-95'!F32</f>
        <v>-0.23230595878763066</v>
      </c>
      <c r="G13" s="4">
        <f>'[1]Page 292-95'!G32</f>
        <v>0.15535325852434001</v>
      </c>
      <c r="H13" s="5">
        <v>0.27905256461546069</v>
      </c>
    </row>
    <row r="14" spans="1:9" x14ac:dyDescent="0.25">
      <c r="A14" s="12">
        <v>37988</v>
      </c>
      <c r="B14" s="4">
        <f>'[1]Page 292-95'!B33</f>
        <v>0.35900929586965324</v>
      </c>
      <c r="C14" s="4">
        <f>'[1]Page 292-95'!C33</f>
        <v>0.18005140825941549</v>
      </c>
      <c r="D14" s="4">
        <f>'[1]Page 292-95'!D33</f>
        <v>-1.2736567388731407E-2</v>
      </c>
      <c r="E14" s="4">
        <f>'[1]Page 292-95'!E33</f>
        <v>0.1548647105609153</v>
      </c>
      <c r="F14" s="4">
        <f>'[1]Page 292-95'!F33</f>
        <v>0.39822571885658403</v>
      </c>
      <c r="G14" s="4">
        <f>'[1]Page 292-95'!G33</f>
        <v>0.31795050205482422</v>
      </c>
      <c r="H14" s="5">
        <v>4.3372997842082338E-2</v>
      </c>
    </row>
    <row r="16" spans="1:9" x14ac:dyDescent="0.25">
      <c r="A16" s="2" t="s">
        <v>10</v>
      </c>
      <c r="B16" s="7">
        <f t="shared" ref="B16:G16" si="0">AVERAGE(B4:B14)</f>
        <v>0.23660815322221673</v>
      </c>
      <c r="C16" s="7">
        <f t="shared" si="0"/>
        <v>0.21382597606973422</v>
      </c>
      <c r="D16" s="7">
        <f t="shared" si="0"/>
        <v>0.1843100465550678</v>
      </c>
      <c r="E16" s="7">
        <f t="shared" si="0"/>
        <v>5.5139762101993367E-2</v>
      </c>
      <c r="F16" s="7">
        <f t="shared" si="0"/>
        <v>0.27625528513272585</v>
      </c>
      <c r="G16" s="7">
        <f t="shared" si="0"/>
        <v>0.17625978096732356</v>
      </c>
      <c r="H16" s="7">
        <f>AVERAGE(H4:H14)</f>
        <v>8.1564613816628259E-2</v>
      </c>
      <c r="I16" s="7" t="str">
        <f ca="1">[2]!getformula(H16)</f>
        <v>&lt;--  =AVERAGE(H4:H14)</v>
      </c>
    </row>
    <row r="17" spans="1:9" x14ac:dyDescent="0.25">
      <c r="A17" s="2" t="s">
        <v>11</v>
      </c>
      <c r="B17" s="4">
        <f t="shared" ref="B17:G17" si="1">STDEV(B4:B14)</f>
        <v>0.32171943662556884</v>
      </c>
      <c r="C17" s="4">
        <f t="shared" si="1"/>
        <v>0.40711692921454828</v>
      </c>
      <c r="D17" s="4">
        <f t="shared" si="1"/>
        <v>0.18965192381063015</v>
      </c>
      <c r="E17" s="4">
        <f t="shared" si="1"/>
        <v>0.23864750057184578</v>
      </c>
      <c r="F17" s="4">
        <f t="shared" si="1"/>
        <v>0.29928419828700653</v>
      </c>
      <c r="G17" s="4">
        <f t="shared" si="1"/>
        <v>0.13561454751568608</v>
      </c>
      <c r="H17" s="4">
        <f>STDEV(H4:H14)</f>
        <v>0.19592152206440244</v>
      </c>
      <c r="I17" s="7" t="str">
        <f ca="1">[2]!getformula(H17)</f>
        <v>&lt;--  =STDEV(H4:H14)</v>
      </c>
    </row>
    <row r="18" spans="1:9" x14ac:dyDescent="0.25">
      <c r="A18" s="2" t="s">
        <v>12</v>
      </c>
      <c r="B18" s="8">
        <f t="shared" ref="B18:G18" si="2">VAR(B4:B14)</f>
        <v>0.10350339590267339</v>
      </c>
      <c r="C18" s="8">
        <f t="shared" si="2"/>
        <v>0.16574419405308352</v>
      </c>
      <c r="D18" s="8">
        <f t="shared" si="2"/>
        <v>3.5967852205073064E-2</v>
      </c>
      <c r="E18" s="8">
        <f t="shared" si="2"/>
        <v>5.6952629529189128E-2</v>
      </c>
      <c r="F18" s="8">
        <f t="shared" si="2"/>
        <v>8.9571031344296254E-2</v>
      </c>
      <c r="G18" s="8">
        <f t="shared" si="2"/>
        <v>1.8391305497884276E-2</v>
      </c>
      <c r="H18" s="8">
        <f>VAR(H4:H14)</f>
        <v>3.8385242808032134E-2</v>
      </c>
      <c r="I18" s="7" t="str">
        <f ca="1">[2]!getformula(H18)</f>
        <v>&lt;--  =VAR(H4:H14)</v>
      </c>
    </row>
    <row r="19" spans="1:9" x14ac:dyDescent="0.25">
      <c r="A19" s="2"/>
    </row>
    <row r="20" spans="1:9" x14ac:dyDescent="0.25">
      <c r="A20" s="2" t="s">
        <v>13</v>
      </c>
      <c r="B20" s="8">
        <f t="shared" ref="B20:G20" si="3">SLOPE(B4:B14,$H$4:$H$14)</f>
        <v>0.34106553265134559</v>
      </c>
      <c r="C20" s="8">
        <f t="shared" si="3"/>
        <v>0.91847715124117146</v>
      </c>
      <c r="D20" s="8">
        <f t="shared" si="3"/>
        <v>0.25976441769818265</v>
      </c>
      <c r="E20" s="8">
        <f t="shared" si="3"/>
        <v>0.23436979526559554</v>
      </c>
      <c r="F20" s="8">
        <f t="shared" si="3"/>
        <v>0.10459027833798389</v>
      </c>
      <c r="G20" s="8">
        <f t="shared" si="3"/>
        <v>1.8567556602957676E-2</v>
      </c>
      <c r="I20" s="7" t="str">
        <f ca="1">[2]!getformula(G20)</f>
        <v>&lt;--  =SLOPE(G4:G14,$H$4:$H$14)</v>
      </c>
    </row>
    <row r="23" spans="1:9" ht="53.4" customHeight="1" x14ac:dyDescent="0.25">
      <c r="A23" s="14" t="str">
        <f ca="1">"The SIM var-cov matrix uses the array formula"&amp;CHAR(10)&amp; [2]!ggetformula(B25)&amp;" to compute the sample var-cov matrix"</f>
        <v>The SIM var-cov matrix uses the array formula
 {=IF(B24:G24=A25:A30,B18:G18,MMULT(TRANSPOSE(B20:G20),B20:G20)*H18)} to compute the sample var-cov matrix</v>
      </c>
      <c r="B23" s="14"/>
      <c r="C23" s="14"/>
      <c r="D23" s="14"/>
      <c r="E23" s="14"/>
      <c r="F23" s="14"/>
      <c r="G23" s="14"/>
      <c r="H23" s="14"/>
      <c r="I23" s="9"/>
    </row>
    <row r="24" spans="1:9" x14ac:dyDescent="0.25">
      <c r="B24" s="2" t="s">
        <v>3</v>
      </c>
      <c r="C24" s="2" t="s">
        <v>4</v>
      </c>
      <c r="D24" s="2" t="s">
        <v>5</v>
      </c>
      <c r="E24" s="2" t="s">
        <v>6</v>
      </c>
      <c r="F24" s="2" t="s">
        <v>7</v>
      </c>
      <c r="G24" s="2" t="s">
        <v>8</v>
      </c>
      <c r="H24" s="2"/>
      <c r="I24" s="2" t="s">
        <v>18</v>
      </c>
    </row>
    <row r="25" spans="1:9" x14ac:dyDescent="0.25">
      <c r="A25" s="2" t="s">
        <v>3</v>
      </c>
      <c r="B25" s="8">
        <f t="array" ref="B25:G30">IF(B24:G24=A25:A30,B18:G18,MMULT(TRANSPOSE(B20:G20),B20:G20)*H18)</f>
        <v>0.10350339590267339</v>
      </c>
      <c r="C25" s="8">
        <v>1.2024595663320713E-2</v>
      </c>
      <c r="D25" s="8">
        <v>3.4008054379116724E-3</v>
      </c>
      <c r="E25" s="8">
        <v>3.0683420049760685E-3</v>
      </c>
      <c r="F25" s="8">
        <v>1.3692837166704816E-3</v>
      </c>
      <c r="G25" s="8">
        <v>2.43084283920049E-4</v>
      </c>
      <c r="H25" s="8"/>
      <c r="I25" s="16">
        <f t="array" ref="I25:I30">TRANSPOSE([3]Sheet1!$B$35:$G$35)</f>
        <v>0.23660815322221673</v>
      </c>
    </row>
    <row r="26" spans="1:9" x14ac:dyDescent="0.25">
      <c r="A26" s="2" t="s">
        <v>4</v>
      </c>
      <c r="B26" s="8">
        <v>1.2024595663320713E-2</v>
      </c>
      <c r="C26" s="8">
        <v>0.16574419405308352</v>
      </c>
      <c r="D26" s="8">
        <v>9.1582461184421711E-3</v>
      </c>
      <c r="E26" s="8">
        <v>8.2629341108031336E-3</v>
      </c>
      <c r="F26" s="8">
        <v>3.6874315547272456E-3</v>
      </c>
      <c r="G26" s="8">
        <v>6.5461719004781963E-4</v>
      </c>
      <c r="H26" s="8"/>
      <c r="I26" s="16">
        <v>0.21382597606973422</v>
      </c>
    </row>
    <row r="27" spans="1:9" x14ac:dyDescent="0.25">
      <c r="A27" s="2" t="s">
        <v>5</v>
      </c>
      <c r="B27" s="8">
        <v>3.4008054379116724E-3</v>
      </c>
      <c r="C27" s="8">
        <v>9.1582461184421711E-3</v>
      </c>
      <c r="D27" s="8">
        <v>3.5967852205073064E-2</v>
      </c>
      <c r="E27" s="8">
        <v>2.3369294106779862E-3</v>
      </c>
      <c r="F27" s="8">
        <v>1.0428822418948925E-3</v>
      </c>
      <c r="G27" s="8">
        <v>1.8513933956680663E-4</v>
      </c>
      <c r="H27" s="8"/>
      <c r="I27" s="16">
        <v>0.1843100465550678</v>
      </c>
    </row>
    <row r="28" spans="1:9" x14ac:dyDescent="0.25">
      <c r="A28" s="2" t="s">
        <v>6</v>
      </c>
      <c r="B28" s="8">
        <v>3.0683420049760685E-3</v>
      </c>
      <c r="C28" s="8">
        <v>8.2629341108031336E-3</v>
      </c>
      <c r="D28" s="8">
        <v>2.3369294106779862E-3</v>
      </c>
      <c r="E28" s="8">
        <v>5.6952629529189128E-2</v>
      </c>
      <c r="F28" s="8">
        <v>9.4092986131387793E-4</v>
      </c>
      <c r="G28" s="8">
        <v>1.6704007998622671E-4</v>
      </c>
      <c r="H28" s="8"/>
      <c r="I28" s="16">
        <v>5.5139762101993367E-2</v>
      </c>
    </row>
    <row r="29" spans="1:9" x14ac:dyDescent="0.25">
      <c r="A29" s="2" t="s">
        <v>7</v>
      </c>
      <c r="B29" s="8">
        <v>1.3692837166704816E-3</v>
      </c>
      <c r="C29" s="8">
        <v>3.6874315547272456E-3</v>
      </c>
      <c r="D29" s="8">
        <v>1.0428822418948925E-3</v>
      </c>
      <c r="E29" s="8">
        <v>9.4092986131387793E-4</v>
      </c>
      <c r="F29" s="8">
        <v>8.9571031344296254E-2</v>
      </c>
      <c r="G29" s="8">
        <v>7.4543600806409785E-5</v>
      </c>
      <c r="H29" s="8"/>
      <c r="I29" s="16">
        <v>0.27625528513272585</v>
      </c>
    </row>
    <row r="30" spans="1:9" x14ac:dyDescent="0.25">
      <c r="A30" s="2" t="s">
        <v>8</v>
      </c>
      <c r="B30" s="8">
        <v>2.43084283920049E-4</v>
      </c>
      <c r="C30" s="8">
        <v>6.5461719004781963E-4</v>
      </c>
      <c r="D30" s="8">
        <v>1.8513933956680663E-4</v>
      </c>
      <c r="E30" s="8">
        <v>1.6704007998622671E-4</v>
      </c>
      <c r="F30" s="8">
        <v>7.4543600806409785E-5</v>
      </c>
      <c r="G30" s="8">
        <v>1.8391305497884276E-2</v>
      </c>
      <c r="H30" s="8"/>
      <c r="I30" s="16">
        <v>0.17625978096732356</v>
      </c>
    </row>
    <row r="31" spans="1:9" x14ac:dyDescent="0.25">
      <c r="A31" s="2"/>
      <c r="B31" s="8"/>
      <c r="C31" s="8"/>
      <c r="D31" s="8"/>
      <c r="E31" s="8"/>
      <c r="F31" s="8"/>
      <c r="G31" s="8"/>
      <c r="H31" s="8"/>
      <c r="I31" s="8"/>
    </row>
    <row r="33" spans="1:9" ht="58.8" customHeight="1" x14ac:dyDescent="0.25">
      <c r="A33" s="14" t="str">
        <f ca="1">"Check--doing this another way:  In the cells below we use the formula "&amp;[2]!ggetformula(B36)&amp;CHAR(10)&amp;"Row "&amp;ROW(B34)&amp;" and column "&amp;CHAR(COLUMN(H36)+64)&amp;" contain the firm betas"</f>
        <v>Check--doing this another way:  In the cells below we use the formula =IF($A36=B$35,B$18,B$20*$H36*$H$18)
Row 34 and column H contain the firm betas</v>
      </c>
      <c r="B33" s="14"/>
      <c r="C33" s="14"/>
      <c r="D33" s="14"/>
      <c r="E33" s="14"/>
      <c r="F33" s="14"/>
      <c r="G33" s="14"/>
      <c r="H33" s="14"/>
      <c r="I33" s="10"/>
    </row>
    <row r="34" spans="1:9" x14ac:dyDescent="0.25">
      <c r="B34" s="11">
        <f t="shared" ref="B34:G34" si="4">B20</f>
        <v>0.34106553265134559</v>
      </c>
      <c r="C34" s="11">
        <f t="shared" si="4"/>
        <v>0.91847715124117146</v>
      </c>
      <c r="D34" s="11">
        <f t="shared" si="4"/>
        <v>0.25976441769818265</v>
      </c>
      <c r="E34" s="11">
        <f t="shared" si="4"/>
        <v>0.23436979526559554</v>
      </c>
      <c r="F34" s="11">
        <f t="shared" si="4"/>
        <v>0.10459027833798389</v>
      </c>
      <c r="G34" s="11">
        <f t="shared" si="4"/>
        <v>1.8567556602957676E-2</v>
      </c>
      <c r="H34" s="8"/>
      <c r="I34" s="8"/>
    </row>
    <row r="35" spans="1:9" x14ac:dyDescent="0.25">
      <c r="B35" s="2" t="s">
        <v>3</v>
      </c>
      <c r="C35" s="2" t="s">
        <v>4</v>
      </c>
      <c r="D35" s="2" t="s">
        <v>5</v>
      </c>
      <c r="E35" s="2" t="s">
        <v>6</v>
      </c>
      <c r="F35" s="2" t="s">
        <v>7</v>
      </c>
      <c r="G35" s="2" t="s">
        <v>8</v>
      </c>
      <c r="H35" s="2"/>
      <c r="I35" s="2"/>
    </row>
    <row r="36" spans="1:9" x14ac:dyDescent="0.25">
      <c r="A36" s="2" t="s">
        <v>3</v>
      </c>
      <c r="B36" s="8">
        <f t="shared" ref="B36:G41" si="5">IF($A36=B$35,B$18,B$20*$H36*$H$18)</f>
        <v>0.10350339590267339</v>
      </c>
      <c r="C36" s="8">
        <f t="shared" si="5"/>
        <v>1.2024595663320713E-2</v>
      </c>
      <c r="D36" s="8">
        <f t="shared" si="5"/>
        <v>3.4008054379116724E-3</v>
      </c>
      <c r="E36" s="8">
        <f t="shared" si="5"/>
        <v>3.0683420049760685E-3</v>
      </c>
      <c r="F36" s="8">
        <f t="shared" si="5"/>
        <v>1.3692837166704816E-3</v>
      </c>
      <c r="G36" s="8">
        <f t="shared" si="5"/>
        <v>2.43084283920049E-4</v>
      </c>
      <c r="H36" s="11">
        <f t="array" ref="H36:H41">TRANSPOSE(B20:G20)</f>
        <v>0.34106553265134559</v>
      </c>
      <c r="I36" s="8"/>
    </row>
    <row r="37" spans="1:9" x14ac:dyDescent="0.25">
      <c r="A37" s="2" t="s">
        <v>4</v>
      </c>
      <c r="B37" s="8">
        <f t="shared" si="5"/>
        <v>1.2024595663320713E-2</v>
      </c>
      <c r="C37" s="8">
        <f t="shared" si="5"/>
        <v>0.16574419405308352</v>
      </c>
      <c r="D37" s="8">
        <f t="shared" si="5"/>
        <v>9.1582461184421711E-3</v>
      </c>
      <c r="E37" s="8">
        <f t="shared" si="5"/>
        <v>8.2629341108031336E-3</v>
      </c>
      <c r="F37" s="8">
        <f t="shared" si="5"/>
        <v>3.6874315547272456E-3</v>
      </c>
      <c r="G37" s="8">
        <f t="shared" si="5"/>
        <v>6.5461719004781963E-4</v>
      </c>
      <c r="H37" s="11">
        <v>0.91847715124117146</v>
      </c>
      <c r="I37" s="8"/>
    </row>
    <row r="38" spans="1:9" x14ac:dyDescent="0.25">
      <c r="A38" s="2" t="s">
        <v>5</v>
      </c>
      <c r="B38" s="8">
        <f t="shared" si="5"/>
        <v>3.4008054379116724E-3</v>
      </c>
      <c r="C38" s="8">
        <f t="shared" si="5"/>
        <v>9.1582461184421711E-3</v>
      </c>
      <c r="D38" s="8">
        <f t="shared" si="5"/>
        <v>3.5967852205073064E-2</v>
      </c>
      <c r="E38" s="8">
        <f t="shared" si="5"/>
        <v>2.3369294106779862E-3</v>
      </c>
      <c r="F38" s="8">
        <f t="shared" si="5"/>
        <v>1.0428822418948925E-3</v>
      </c>
      <c r="G38" s="8">
        <f t="shared" si="5"/>
        <v>1.8513933956680663E-4</v>
      </c>
      <c r="H38" s="11">
        <v>0.25976441769818265</v>
      </c>
      <c r="I38" s="8"/>
    </row>
    <row r="39" spans="1:9" x14ac:dyDescent="0.25">
      <c r="A39" s="2" t="s">
        <v>6</v>
      </c>
      <c r="B39" s="8">
        <f t="shared" si="5"/>
        <v>3.0683420049760685E-3</v>
      </c>
      <c r="C39" s="8">
        <f t="shared" si="5"/>
        <v>8.2629341108031336E-3</v>
      </c>
      <c r="D39" s="8">
        <f t="shared" si="5"/>
        <v>2.3369294106779862E-3</v>
      </c>
      <c r="E39" s="8">
        <f t="shared" si="5"/>
        <v>5.6952629529189128E-2</v>
      </c>
      <c r="F39" s="8">
        <f t="shared" si="5"/>
        <v>9.4092986131387793E-4</v>
      </c>
      <c r="G39" s="8">
        <f t="shared" si="5"/>
        <v>1.6704007998622671E-4</v>
      </c>
      <c r="H39" s="11">
        <v>0.23436979526559554</v>
      </c>
      <c r="I39" s="8"/>
    </row>
    <row r="40" spans="1:9" x14ac:dyDescent="0.25">
      <c r="A40" s="2" t="s">
        <v>7</v>
      </c>
      <c r="B40" s="8">
        <f t="shared" si="5"/>
        <v>1.3692837166704816E-3</v>
      </c>
      <c r="C40" s="8">
        <f t="shared" si="5"/>
        <v>3.6874315547272456E-3</v>
      </c>
      <c r="D40" s="8">
        <f t="shared" si="5"/>
        <v>1.0428822418948925E-3</v>
      </c>
      <c r="E40" s="8">
        <f t="shared" si="5"/>
        <v>9.4092986131387793E-4</v>
      </c>
      <c r="F40" s="8">
        <f t="shared" si="5"/>
        <v>8.9571031344296254E-2</v>
      </c>
      <c r="G40" s="8">
        <f t="shared" si="5"/>
        <v>7.4543600806409785E-5</v>
      </c>
      <c r="H40" s="11">
        <v>0.10459027833798389</v>
      </c>
      <c r="I40" s="8"/>
    </row>
    <row r="41" spans="1:9" x14ac:dyDescent="0.25">
      <c r="A41" s="2" t="s">
        <v>8</v>
      </c>
      <c r="B41" s="8">
        <f t="shared" si="5"/>
        <v>2.43084283920049E-4</v>
      </c>
      <c r="C41" s="8">
        <f t="shared" si="5"/>
        <v>6.5461719004781963E-4</v>
      </c>
      <c r="D41" s="8">
        <f t="shared" si="5"/>
        <v>1.8513933956680663E-4</v>
      </c>
      <c r="E41" s="8">
        <f t="shared" si="5"/>
        <v>1.6704007998622671E-4</v>
      </c>
      <c r="F41" s="8">
        <f t="shared" si="5"/>
        <v>7.4543600806409785E-5</v>
      </c>
      <c r="G41" s="8">
        <f t="shared" si="5"/>
        <v>1.8391305497884276E-2</v>
      </c>
      <c r="H41" s="11">
        <v>1.8567556602957676E-2</v>
      </c>
      <c r="I41" s="8"/>
    </row>
    <row r="44" spans="1:9" x14ac:dyDescent="0.25">
      <c r="A44" s="3" t="s">
        <v>14</v>
      </c>
      <c r="B44" s="15">
        <v>0.02</v>
      </c>
    </row>
    <row r="46" spans="1:9" x14ac:dyDescent="0.25">
      <c r="A46" s="3"/>
      <c r="B46" s="2" t="s">
        <v>3</v>
      </c>
      <c r="C46" s="2" t="s">
        <v>4</v>
      </c>
      <c r="D46" s="2" t="s">
        <v>5</v>
      </c>
      <c r="E46" s="2" t="s">
        <v>6</v>
      </c>
      <c r="F46" s="2" t="s">
        <v>7</v>
      </c>
      <c r="G46" s="2" t="s">
        <v>8</v>
      </c>
    </row>
    <row r="47" spans="1:9" x14ac:dyDescent="0.25">
      <c r="A47" s="3" t="s">
        <v>15</v>
      </c>
      <c r="B47" s="19">
        <f t="array" ref="B47:G47">TRANSPOSE(MMULT(MINVERSE($B$25:$G$30),$I$25:$I$30-$B$44)/SUM(MMULT(MINVERSE($B$25:$G$30),$I$25:$I$30-$B$44)))</f>
        <v>0.10124873549529011</v>
      </c>
      <c r="C47" s="19">
        <v>3.9554732514780831E-2</v>
      </c>
      <c r="D47" s="19">
        <v>0.22770096895015859</v>
      </c>
      <c r="E47" s="19">
        <v>9.978021065546433E-3</v>
      </c>
      <c r="F47" s="19">
        <v>0.15327997725720036</v>
      </c>
      <c r="G47" s="19">
        <v>0.46823756471702371</v>
      </c>
    </row>
    <row r="48" spans="1:9" x14ac:dyDescent="0.25">
      <c r="A48" s="3"/>
    </row>
    <row r="49" spans="1:7" x14ac:dyDescent="0.25">
      <c r="A49" s="3" t="s">
        <v>16</v>
      </c>
      <c r="B49" s="17">
        <v>336.44159999999999</v>
      </c>
      <c r="C49" s="17">
        <v>305.81759999999997</v>
      </c>
      <c r="D49" s="17">
        <v>152.92530000000002</v>
      </c>
      <c r="E49" s="17">
        <v>15.444997599999999</v>
      </c>
      <c r="F49" s="17">
        <v>41.014549799999998</v>
      </c>
      <c r="G49" s="17">
        <v>16.982952700000002</v>
      </c>
    </row>
    <row r="50" spans="1:7" x14ac:dyDescent="0.25">
      <c r="A50" s="3" t="s">
        <v>17</v>
      </c>
      <c r="B50" s="18">
        <f t="shared" ref="B50:G50" si="6">B49/SUM($B$49:$G$49)</f>
        <v>0.3873257450680988</v>
      </c>
      <c r="C50" s="18">
        <f t="shared" si="6"/>
        <v>0.35207010600038102</v>
      </c>
      <c r="D50" s="18">
        <f t="shared" si="6"/>
        <v>0.17605404849537792</v>
      </c>
      <c r="E50" s="18">
        <f t="shared" si="6"/>
        <v>1.7780931974509091E-2</v>
      </c>
      <c r="F50" s="18">
        <f t="shared" si="6"/>
        <v>4.7217677778008553E-2</v>
      </c>
      <c r="G50" s="18">
        <f t="shared" si="6"/>
        <v>1.9551490683624679E-2</v>
      </c>
    </row>
  </sheetData>
  <mergeCells count="3">
    <mergeCell ref="A1:I1"/>
    <mergeCell ref="A23:H23"/>
    <mergeCell ref="A33:H33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9C96A-5409-453C-A5C4-DD67E7D3237D}">
  <dimension ref="E5:P35"/>
  <sheetViews>
    <sheetView workbookViewId="0">
      <selection activeCell="I30" sqref="I30:N35"/>
    </sheetView>
  </sheetViews>
  <sheetFormatPr defaultRowHeight="13.8" x14ac:dyDescent="0.25"/>
  <sheetData>
    <row r="5" spans="5:16" x14ac:dyDescent="0.25">
      <c r="K5">
        <f t="array" ref="K5:K9">TRANSPOSE(E13:I13)</f>
        <v>1</v>
      </c>
    </row>
    <row r="6" spans="5:16" x14ac:dyDescent="0.25">
      <c r="K6">
        <v>2</v>
      </c>
    </row>
    <row r="7" spans="5:16" x14ac:dyDescent="0.25">
      <c r="K7">
        <v>3</v>
      </c>
    </row>
    <row r="8" spans="5:16" x14ac:dyDescent="0.25">
      <c r="K8">
        <v>4</v>
      </c>
    </row>
    <row r="9" spans="5:16" x14ac:dyDescent="0.25">
      <c r="K9">
        <v>5</v>
      </c>
    </row>
    <row r="13" spans="5:16" x14ac:dyDescent="0.25">
      <c r="E13">
        <v>1</v>
      </c>
      <c r="F13">
        <v>2</v>
      </c>
      <c r="G13">
        <v>3</v>
      </c>
      <c r="H13">
        <v>4</v>
      </c>
      <c r="I13">
        <v>5</v>
      </c>
    </row>
    <row r="16" spans="5:16" x14ac:dyDescent="0.25">
      <c r="L16" s="13">
        <f t="array" ref="L16:P20">K5:K9*E13:I13</f>
        <v>1</v>
      </c>
      <c r="M16" s="13">
        <v>2</v>
      </c>
      <c r="N16" s="13">
        <v>3</v>
      </c>
      <c r="O16" s="13">
        <v>4</v>
      </c>
      <c r="P16" s="13">
        <v>5</v>
      </c>
    </row>
    <row r="17" spans="8:16" x14ac:dyDescent="0.25">
      <c r="L17" s="13">
        <v>2</v>
      </c>
      <c r="M17" s="13">
        <v>4</v>
      </c>
      <c r="N17" s="13">
        <v>6</v>
      </c>
      <c r="O17" s="13">
        <v>8</v>
      </c>
      <c r="P17" s="13">
        <v>10</v>
      </c>
    </row>
    <row r="18" spans="8:16" x14ac:dyDescent="0.25">
      <c r="L18" s="13">
        <v>3</v>
      </c>
      <c r="M18" s="13">
        <v>6</v>
      </c>
      <c r="N18" s="13">
        <v>9</v>
      </c>
      <c r="O18" s="13">
        <v>12</v>
      </c>
      <c r="P18" s="13">
        <v>15</v>
      </c>
    </row>
    <row r="19" spans="8:16" x14ac:dyDescent="0.25">
      <c r="L19" s="13">
        <v>4</v>
      </c>
      <c r="M19" s="13">
        <v>8</v>
      </c>
      <c r="N19" s="13">
        <v>12</v>
      </c>
      <c r="O19" s="13">
        <v>16</v>
      </c>
      <c r="P19" s="13">
        <v>20</v>
      </c>
    </row>
    <row r="20" spans="8:16" x14ac:dyDescent="0.25">
      <c r="L20" s="13">
        <v>5</v>
      </c>
      <c r="M20" s="13">
        <v>10</v>
      </c>
      <c r="N20" s="13">
        <v>15</v>
      </c>
      <c r="O20" s="13">
        <v>20</v>
      </c>
      <c r="P20" s="13">
        <v>25</v>
      </c>
    </row>
    <row r="29" spans="8:16" x14ac:dyDescent="0.25">
      <c r="I29" s="2" t="s">
        <v>3</v>
      </c>
      <c r="J29" s="2" t="s">
        <v>4</v>
      </c>
      <c r="K29" s="2" t="s">
        <v>5</v>
      </c>
      <c r="L29" s="2" t="s">
        <v>6</v>
      </c>
      <c r="M29" s="2" t="s">
        <v>7</v>
      </c>
      <c r="N29" s="2" t="s">
        <v>8</v>
      </c>
    </row>
    <row r="30" spans="8:16" x14ac:dyDescent="0.25">
      <c r="H30" s="2" t="s">
        <v>3</v>
      </c>
      <c r="I30">
        <f>IF($I$29:$N$29=$H$30:$H$35,1,"")</f>
        <v>1</v>
      </c>
      <c r="J30" t="str">
        <f t="shared" ref="J30:N35" si="0">IF($I$29:$N$29=$H$30:$H$35,1,"")</f>
        <v/>
      </c>
      <c r="K30" t="str">
        <f t="shared" si="0"/>
        <v/>
      </c>
      <c r="L30" t="str">
        <f t="shared" si="0"/>
        <v/>
      </c>
      <c r="M30" t="str">
        <f t="shared" si="0"/>
        <v/>
      </c>
      <c r="N30" t="str">
        <f t="shared" si="0"/>
        <v/>
      </c>
    </row>
    <row r="31" spans="8:16" x14ac:dyDescent="0.25">
      <c r="H31" s="2" t="s">
        <v>4</v>
      </c>
      <c r="I31" t="str">
        <f t="shared" ref="I31:I35" si="1">IF($I$29:$N$29=$H$30:$H$35,1,"")</f>
        <v/>
      </c>
      <c r="J31">
        <f t="shared" si="0"/>
        <v>1</v>
      </c>
      <c r="K31" t="str">
        <f t="shared" si="0"/>
        <v/>
      </c>
      <c r="L31" t="str">
        <f t="shared" si="0"/>
        <v/>
      </c>
      <c r="M31" t="str">
        <f t="shared" si="0"/>
        <v/>
      </c>
      <c r="N31" t="str">
        <f t="shared" si="0"/>
        <v/>
      </c>
    </row>
    <row r="32" spans="8:16" x14ac:dyDescent="0.25">
      <c r="H32" s="2" t="s">
        <v>5</v>
      </c>
      <c r="I32" t="str">
        <f t="shared" si="1"/>
        <v/>
      </c>
      <c r="J32" t="str">
        <f t="shared" si="0"/>
        <v/>
      </c>
      <c r="K32">
        <f t="shared" si="0"/>
        <v>1</v>
      </c>
      <c r="L32" t="str">
        <f t="shared" si="0"/>
        <v/>
      </c>
      <c r="M32" t="str">
        <f t="shared" si="0"/>
        <v/>
      </c>
      <c r="N32" t="str">
        <f t="shared" si="0"/>
        <v/>
      </c>
    </row>
    <row r="33" spans="8:14" x14ac:dyDescent="0.25">
      <c r="H33" s="2" t="s">
        <v>6</v>
      </c>
      <c r="I33" t="str">
        <f t="shared" si="1"/>
        <v/>
      </c>
      <c r="J33" t="str">
        <f t="shared" si="0"/>
        <v/>
      </c>
      <c r="K33" t="str">
        <f t="shared" si="0"/>
        <v/>
      </c>
      <c r="L33">
        <f t="shared" si="0"/>
        <v>1</v>
      </c>
      <c r="M33" t="str">
        <f t="shared" si="0"/>
        <v/>
      </c>
      <c r="N33" t="str">
        <f t="shared" si="0"/>
        <v/>
      </c>
    </row>
    <row r="34" spans="8:14" x14ac:dyDescent="0.25">
      <c r="H34" s="2" t="s">
        <v>7</v>
      </c>
      <c r="I34" t="str">
        <f t="shared" si="1"/>
        <v/>
      </c>
      <c r="J34" t="str">
        <f t="shared" si="0"/>
        <v/>
      </c>
      <c r="K34" t="str">
        <f t="shared" si="0"/>
        <v/>
      </c>
      <c r="L34" t="str">
        <f t="shared" si="0"/>
        <v/>
      </c>
      <c r="M34">
        <f t="shared" si="0"/>
        <v>1</v>
      </c>
      <c r="N34" t="str">
        <f t="shared" si="0"/>
        <v/>
      </c>
    </row>
    <row r="35" spans="8:14" x14ac:dyDescent="0.25">
      <c r="H35" s="2" t="s">
        <v>8</v>
      </c>
      <c r="I35" t="str">
        <f t="shared" si="1"/>
        <v/>
      </c>
      <c r="J35" t="str">
        <f t="shared" si="0"/>
        <v/>
      </c>
      <c r="K35" t="str">
        <f t="shared" si="0"/>
        <v/>
      </c>
      <c r="L35" t="str">
        <f t="shared" si="0"/>
        <v/>
      </c>
      <c r="M35" t="str">
        <f t="shared" si="0"/>
        <v/>
      </c>
      <c r="N35">
        <f t="shared" si="0"/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2024-10-31T07:24:08Z</dcterms:modified>
</cp:coreProperties>
</file>