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278345AD-A86C-413C-9AC4-9C344859824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D11" i="1"/>
  <c r="C11" i="1"/>
  <c r="B11" i="1" a="1"/>
  <c r="G11" i="1" s="1"/>
  <c r="F8" i="1"/>
  <c r="E8" i="1"/>
  <c r="B6" i="1"/>
  <c r="G5" i="1"/>
  <c r="B4" i="1" a="1"/>
  <c r="D8" i="1" s="1"/>
  <c r="G19" i="1"/>
  <c r="G18" i="1"/>
  <c r="G17" i="1"/>
  <c r="A13" i="1"/>
  <c r="C6" i="1" l="1"/>
  <c r="G8" i="1"/>
  <c r="D6" i="1"/>
  <c r="B9" i="1"/>
  <c r="E6" i="1"/>
  <c r="C9" i="1"/>
  <c r="B4" i="1"/>
  <c r="F6" i="1"/>
  <c r="D9" i="1"/>
  <c r="C4" i="1"/>
  <c r="G6" i="1"/>
  <c r="E9" i="1"/>
  <c r="D4" i="1"/>
  <c r="B7" i="1"/>
  <c r="F9" i="1"/>
  <c r="E4" i="1"/>
  <c r="C7" i="1"/>
  <c r="G9" i="1"/>
  <c r="F4" i="1"/>
  <c r="D7" i="1"/>
  <c r="G4" i="1"/>
  <c r="E7" i="1"/>
  <c r="B11" i="1"/>
  <c r="B5" i="1"/>
  <c r="F7" i="1"/>
  <c r="C5" i="1"/>
  <c r="G7" i="1"/>
  <c r="D5" i="1"/>
  <c r="B8" i="1"/>
  <c r="E5" i="1"/>
  <c r="C8" i="1"/>
  <c r="F11" i="1"/>
  <c r="F5" i="1"/>
  <c r="B14" i="1" l="1" a="1"/>
  <c r="B19" i="1" l="1"/>
  <c r="B18" i="1"/>
  <c r="B17" i="1"/>
  <c r="B16" i="1"/>
  <c r="B15" i="1"/>
  <c r="B14" i="1"/>
  <c r="F18" i="1" l="1" a="1"/>
  <c r="F18" i="1" s="1"/>
  <c r="F19" i="1" s="1"/>
  <c r="F17" i="1" a="1"/>
  <c r="F17" i="1" s="1"/>
</calcChain>
</file>

<file path=xl/sharedStrings.xml><?xml version="1.0" encoding="utf-8"?>
<sst xmlns="http://schemas.openxmlformats.org/spreadsheetml/2006/main" count="25" uniqueCount="13">
  <si>
    <t>COMPUTING THE GLOBAL MINIMUM VARIANCE PORTFOLIO 
USING THE SINGLE-INDEX MODEL</t>
  </si>
  <si>
    <t>Sample variance-covariance matrix</t>
  </si>
  <si>
    <t>GE</t>
  </si>
  <si>
    <t>MSFT</t>
  </si>
  <si>
    <t>JNJ</t>
  </si>
  <si>
    <t>K</t>
  </si>
  <si>
    <t>BA</t>
  </si>
  <si>
    <t>IBM</t>
  </si>
  <si>
    <t>Average</t>
  </si>
  <si>
    <t>GMVP statistics</t>
  </si>
  <si>
    <t>Mean return</t>
  </si>
  <si>
    <t>Variance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</si>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</sst>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/>
    <xf numFmtId="0" fontId="0" fillId="0" borderId="0" xfId="0" applyAlignment="1"/>
    <xf numFmtId="176" fontId="0" fillId="0" borderId="0" xfId="0" applyNumberFormat="1" applyAlignment="1"/>
    <xf numFmtId="177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0" fontId="4" fillId="0" borderId="0" xfId="0" applyFont="1" applyAlignment="1">
      <alignment horizontal="left" vertical="center" wrapText="1"/>
    </xf>
    <xf numFmtId="0" fontId="4" fillId="2" borderId="0" xfId="0" applyFont="1" applyFill="1" applyAlignment="1"/>
    <xf numFmtId="177" fontId="0" fillId="2" borderId="0" xfId="0" applyNumberFormat="1" applyFill="1" applyAlignment="1"/>
    <xf numFmtId="0" fontId="0" fillId="2" borderId="0" xfId="0" applyFill="1" applyAlignment="1"/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2767833</xdr:colOff>
      <xdr:row>1</xdr:row>
      <xdr:rowOff>34815</xdr:rowOff>
    </xdr:from>
    <xdr:to>
      <xdr:col>19</xdr:col>
      <xdr:colOff>608943</xdr:colOff>
      <xdr:row>28</xdr:row>
      <xdr:rowOff>94029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D594001-C365-0A45-D1A8-1C8F8D3C7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320126" y="251591"/>
          <a:ext cx="7779955" cy="520886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35">
          <cell r="B35">
            <v>0.23660815322221673</v>
          </cell>
          <cell r="C35">
            <v>0.21382597606973422</v>
          </cell>
          <cell r="D35">
            <v>0.1843100465550678</v>
          </cell>
          <cell r="E35">
            <v>5.5139762101993367E-2</v>
          </cell>
          <cell r="F35">
            <v>0.27625528513272585</v>
          </cell>
          <cell r="G35">
            <v>0.17625978096732356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5">
          <cell r="B25">
            <v>0.10350339590267339</v>
          </cell>
          <cell r="C25">
            <v>1.2024595663320713E-2</v>
          </cell>
          <cell r="D25">
            <v>3.4008054379116724E-3</v>
          </cell>
          <cell r="E25">
            <v>3.0683420049760685E-3</v>
          </cell>
          <cell r="F25">
            <v>1.3692837166704816E-3</v>
          </cell>
          <cell r="G25">
            <v>2.43084283920049E-4</v>
          </cell>
        </row>
        <row r="26">
          <cell r="B26">
            <v>1.2024595663320713E-2</v>
          </cell>
          <cell r="C26">
            <v>0.16574419405308352</v>
          </cell>
          <cell r="D26">
            <v>9.1582461184421711E-3</v>
          </cell>
          <cell r="E26">
            <v>8.2629341108031336E-3</v>
          </cell>
          <cell r="F26">
            <v>3.6874315547272456E-3</v>
          </cell>
          <cell r="G26">
            <v>6.5461719004781963E-4</v>
          </cell>
        </row>
        <row r="27">
          <cell r="B27">
            <v>3.4008054379116724E-3</v>
          </cell>
          <cell r="C27">
            <v>9.1582461184421711E-3</v>
          </cell>
          <cell r="D27">
            <v>3.5967852205073064E-2</v>
          </cell>
          <cell r="E27">
            <v>2.3369294106779862E-3</v>
          </cell>
          <cell r="F27">
            <v>1.0428822418948925E-3</v>
          </cell>
          <cell r="G27">
            <v>1.8513933956680663E-4</v>
          </cell>
        </row>
        <row r="28">
          <cell r="B28">
            <v>3.0683420049760685E-3</v>
          </cell>
          <cell r="C28">
            <v>8.2629341108031336E-3</v>
          </cell>
          <cell r="D28">
            <v>2.3369294106779862E-3</v>
          </cell>
          <cell r="E28">
            <v>5.6952629529189128E-2</v>
          </cell>
          <cell r="F28">
            <v>9.4092986131387793E-4</v>
          </cell>
          <cell r="G28">
            <v>1.6704007998622671E-4</v>
          </cell>
        </row>
        <row r="29">
          <cell r="B29">
            <v>1.3692837166704816E-3</v>
          </cell>
          <cell r="C29">
            <v>3.6874315547272456E-3</v>
          </cell>
          <cell r="D29">
            <v>1.0428822418948925E-3</v>
          </cell>
          <cell r="E29">
            <v>9.4092986131387793E-4</v>
          </cell>
          <cell r="F29">
            <v>8.9571031344296254E-2</v>
          </cell>
          <cell r="G29">
            <v>7.4543600806409785E-5</v>
          </cell>
        </row>
        <row r="30">
          <cell r="B30">
            <v>2.43084283920049E-4</v>
          </cell>
          <cell r="C30">
            <v>6.5461719004781963E-4</v>
          </cell>
          <cell r="D30">
            <v>1.8513933956680663E-4</v>
          </cell>
          <cell r="E30">
            <v>1.6704007998622671E-4</v>
          </cell>
          <cell r="F30">
            <v>7.4543600806409785E-5</v>
          </cell>
          <cell r="G30">
            <v>1.8391305497884276E-2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9"/>
  <sheetViews>
    <sheetView tabSelected="1" zoomScale="175" zoomScaleNormal="175" workbookViewId="0">
      <selection activeCell="E15" sqref="E15"/>
    </sheetView>
  </sheetViews>
  <sheetFormatPr defaultRowHeight="13.8" x14ac:dyDescent="0.25"/>
  <cols>
    <col min="1" max="1" width="11.109375" style="3" customWidth="1"/>
    <col min="2" max="4" width="8.88671875" style="3"/>
    <col min="5" max="5" width="10.6640625" style="3" bestFit="1" customWidth="1"/>
    <col min="6" max="7" width="8.88671875" style="3"/>
    <col min="8" max="8" width="46.88671875" style="3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</row>
    <row r="3" spans="1:8" x14ac:dyDescent="0.25">
      <c r="A3" s="4"/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/>
    </row>
    <row r="4" spans="1:8" x14ac:dyDescent="0.25">
      <c r="A4" s="2" t="s">
        <v>2</v>
      </c>
      <c r="B4" s="5">
        <f t="array" ref="B4:G9">'[1]Page 305'!B25:G30</f>
        <v>0.10350339590267339</v>
      </c>
      <c r="C4" s="5">
        <v>1.2024595663320713E-2</v>
      </c>
      <c r="D4" s="5">
        <v>3.4008054379116724E-3</v>
      </c>
      <c r="E4" s="5">
        <v>3.0683420049760685E-3</v>
      </c>
      <c r="F4" s="5">
        <v>1.3692837166704816E-3</v>
      </c>
      <c r="G4" s="5">
        <v>2.43084283920049E-4</v>
      </c>
      <c r="H4" s="5"/>
    </row>
    <row r="5" spans="1:8" x14ac:dyDescent="0.25">
      <c r="A5" s="2" t="s">
        <v>3</v>
      </c>
      <c r="B5" s="5">
        <v>1.2024595663320713E-2</v>
      </c>
      <c r="C5" s="5">
        <v>0.16574419405308352</v>
      </c>
      <c r="D5" s="5">
        <v>9.1582461184421711E-3</v>
      </c>
      <c r="E5" s="5">
        <v>8.2629341108031336E-3</v>
      </c>
      <c r="F5" s="5">
        <v>3.6874315547272456E-3</v>
      </c>
      <c r="G5" s="5">
        <v>6.5461719004781963E-4</v>
      </c>
      <c r="H5" s="5"/>
    </row>
    <row r="6" spans="1:8" x14ac:dyDescent="0.25">
      <c r="A6" s="2" t="s">
        <v>4</v>
      </c>
      <c r="B6" s="5">
        <v>3.4008054379116724E-3</v>
      </c>
      <c r="C6" s="5">
        <v>9.1582461184421711E-3</v>
      </c>
      <c r="D6" s="5">
        <v>3.5967852205073064E-2</v>
      </c>
      <c r="E6" s="5">
        <v>2.3369294106779862E-3</v>
      </c>
      <c r="F6" s="5">
        <v>1.0428822418948925E-3</v>
      </c>
      <c r="G6" s="5">
        <v>1.8513933956680663E-4</v>
      </c>
      <c r="H6" s="5"/>
    </row>
    <row r="7" spans="1:8" x14ac:dyDescent="0.25">
      <c r="A7" s="2" t="s">
        <v>5</v>
      </c>
      <c r="B7" s="5">
        <v>3.0683420049760685E-3</v>
      </c>
      <c r="C7" s="5">
        <v>8.2629341108031336E-3</v>
      </c>
      <c r="D7" s="5">
        <v>2.3369294106779862E-3</v>
      </c>
      <c r="E7" s="5">
        <v>5.6952629529189128E-2</v>
      </c>
      <c r="F7" s="5">
        <v>9.4092986131387793E-4</v>
      </c>
      <c r="G7" s="5">
        <v>1.6704007998622671E-4</v>
      </c>
      <c r="H7" s="5"/>
    </row>
    <row r="8" spans="1:8" x14ac:dyDescent="0.25">
      <c r="A8" s="2" t="s">
        <v>6</v>
      </c>
      <c r="B8" s="5">
        <v>1.3692837166704816E-3</v>
      </c>
      <c r="C8" s="5">
        <v>3.6874315547272456E-3</v>
      </c>
      <c r="D8" s="5">
        <v>1.0428822418948925E-3</v>
      </c>
      <c r="E8" s="5">
        <v>9.4092986131387793E-4</v>
      </c>
      <c r="F8" s="5">
        <v>8.9571031344296254E-2</v>
      </c>
      <c r="G8" s="5">
        <v>7.4543600806409785E-5</v>
      </c>
      <c r="H8" s="5"/>
    </row>
    <row r="9" spans="1:8" x14ac:dyDescent="0.25">
      <c r="A9" s="2" t="s">
        <v>7</v>
      </c>
      <c r="B9" s="5">
        <v>2.43084283920049E-4</v>
      </c>
      <c r="C9" s="5">
        <v>6.5461719004781963E-4</v>
      </c>
      <c r="D9" s="5">
        <v>1.8513933956680663E-4</v>
      </c>
      <c r="E9" s="5">
        <v>1.6704007998622671E-4</v>
      </c>
      <c r="F9" s="5">
        <v>7.4543600806409785E-5</v>
      </c>
      <c r="G9" s="5">
        <v>1.8391305497884276E-2</v>
      </c>
      <c r="H9" s="5"/>
    </row>
    <row r="10" spans="1:8" x14ac:dyDescent="0.25">
      <c r="A10" s="2"/>
      <c r="B10" s="5"/>
      <c r="C10" s="5"/>
      <c r="D10" s="5"/>
      <c r="E10" s="5"/>
      <c r="F10" s="5"/>
      <c r="G10" s="5"/>
      <c r="H10" s="5"/>
    </row>
    <row r="11" spans="1:8" x14ac:dyDescent="0.25">
      <c r="A11" s="6" t="s">
        <v>8</v>
      </c>
      <c r="B11" s="7">
        <f t="array" ref="B11:G11">'[1]Page 292-95'!B35:G35</f>
        <v>0.23660815322221673</v>
      </c>
      <c r="C11" s="7">
        <v>0.21382597606973422</v>
      </c>
      <c r="D11" s="7">
        <v>0.1843100465550678</v>
      </c>
      <c r="E11" s="7">
        <v>5.5139762101993367E-2</v>
      </c>
      <c r="F11" s="7">
        <v>0.27625528513272585</v>
      </c>
      <c r="G11" s="7">
        <v>0.17625978096732356</v>
      </c>
      <c r="H11" s="7"/>
    </row>
    <row r="12" spans="1:8" x14ac:dyDescent="0.25">
      <c r="A12" s="2"/>
      <c r="B12" s="5"/>
      <c r="C12" s="5"/>
      <c r="D12" s="5"/>
      <c r="E12" s="5"/>
      <c r="F12" s="5"/>
      <c r="G12" s="5"/>
      <c r="H12" s="5"/>
    </row>
    <row r="13" spans="1:8" ht="56.4" customHeight="1" x14ac:dyDescent="0.25">
      <c r="A13" s="8" t="str">
        <f ca="1">"Uses formula "&amp;[2]!ggetformula(B15)&amp;" to compute the global minimum variance portfolio"</f>
        <v>Uses formula  {=MMULT(MINVERSE(B4:G9),IF(A14:A19=A14:A19,1,0))/SUM(MMULT(MINVERSE(B4:G9),IF(A14:A19=A14:A19,1,0)))} to compute the global minimum variance portfolio</v>
      </c>
      <c r="B13" s="8"/>
      <c r="C13" s="8"/>
      <c r="D13" s="8"/>
      <c r="E13" s="8"/>
      <c r="F13" s="8"/>
      <c r="G13" s="8"/>
      <c r="H13" s="8"/>
    </row>
    <row r="14" spans="1:8" x14ac:dyDescent="0.25">
      <c r="A14" s="9" t="s">
        <v>2</v>
      </c>
      <c r="B14" s="10">
        <f t="array" ref="B14:B19">MMULT(MINVERSE(B4:G9),IF(A14:A19=A14:A19,1,0))/SUM(MMULT(MINVERSE(B4:G9),IF(A14:A19=A14:A19,1,0)))</f>
        <v>6.7775379256725332E-2</v>
      </c>
    </row>
    <row r="15" spans="1:8" x14ac:dyDescent="0.25">
      <c r="A15" s="9" t="s">
        <v>3</v>
      </c>
      <c r="B15" s="10">
        <v>2.5132155047848277E-2</v>
      </c>
    </row>
    <row r="16" spans="1:8" x14ac:dyDescent="0.25">
      <c r="A16" s="9" t="s">
        <v>4</v>
      </c>
      <c r="B16" s="10">
        <v>0.21527968937098907</v>
      </c>
      <c r="E16" s="2" t="s">
        <v>9</v>
      </c>
    </row>
    <row r="17" spans="1:7" x14ac:dyDescent="0.25">
      <c r="A17" s="9" t="s">
        <v>5</v>
      </c>
      <c r="B17" s="10">
        <v>0.13371242624683863</v>
      </c>
      <c r="E17" s="11" t="s">
        <v>10</v>
      </c>
      <c r="F17" s="12">
        <f t="array" ref="F17">MMULT(B11:G11,B14:B19)</f>
        <v>0.17590444455743581</v>
      </c>
      <c r="G17" s="3" t="str">
        <f ca="1">[2]!getformula(F17)</f>
        <v>&lt;--  {=MMULT(B11:G11,B14:B19)}</v>
      </c>
    </row>
    <row r="18" spans="1:7" x14ac:dyDescent="0.25">
      <c r="A18" s="9" t="s">
        <v>6</v>
      </c>
      <c r="B18" s="10">
        <v>9.0730111551765261E-2</v>
      </c>
      <c r="E18" s="11" t="s">
        <v>11</v>
      </c>
      <c r="F18" s="10">
        <f t="array" ref="F18">MMULT(MMULT(TRANSPOSE(B14:B19),B4:G9),B14:B19)</f>
        <v>8.6974313307032966E-3</v>
      </c>
      <c r="G18" s="3" t="str">
        <f ca="1">[2]!getformula(F18)</f>
        <v>&lt;--  {=MMULT(MMULT(TRANSPOSE(B14:B19),B4:G9),B14:B19)}</v>
      </c>
    </row>
    <row r="19" spans="1:7" x14ac:dyDescent="0.25">
      <c r="A19" s="9" t="s">
        <v>7</v>
      </c>
      <c r="B19" s="10">
        <v>0.46737023852583343</v>
      </c>
      <c r="E19" s="11" t="s">
        <v>12</v>
      </c>
      <c r="F19" s="12">
        <f>SQRT(F18)</f>
        <v>9.3260020001623936E-2</v>
      </c>
      <c r="G19" s="3" t="str">
        <f ca="1">[2]!getformula(F19)</f>
        <v>&lt;--  =SQRT(F18)</v>
      </c>
    </row>
  </sheetData>
  <mergeCells count="2">
    <mergeCell ref="A1:H1"/>
    <mergeCell ref="A13:H1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2024-11-01T01:35:34Z</dcterms:modified>
</cp:coreProperties>
</file>