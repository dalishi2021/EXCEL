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B6DE7BAC-7E19-428E-9E09-69EC03B9198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C16" i="1"/>
  <c r="B16" i="1"/>
  <c r="B34" i="1" s="1" a="1"/>
  <c r="A1" i="1"/>
  <c r="A42" i="1"/>
  <c r="A32" i="1"/>
  <c r="A22" i="1"/>
  <c r="H17" i="1"/>
  <c r="H18" i="1"/>
  <c r="H16" i="1"/>
  <c r="G39" i="1" l="1"/>
  <c r="C37" i="1"/>
  <c r="E34" i="1"/>
  <c r="F39" i="1"/>
  <c r="B37" i="1"/>
  <c r="D34" i="1"/>
  <c r="E39" i="1"/>
  <c r="G36" i="1"/>
  <c r="C34" i="1"/>
  <c r="E36" i="1"/>
  <c r="D35" i="1"/>
  <c r="B35" i="1"/>
  <c r="D37" i="1"/>
  <c r="D39" i="1"/>
  <c r="F36" i="1"/>
  <c r="B34" i="1"/>
  <c r="C39" i="1"/>
  <c r="B39" i="1"/>
  <c r="G38" i="1"/>
  <c r="C36" i="1"/>
  <c r="B38" i="1"/>
  <c r="D36" i="1"/>
  <c r="F37" i="1"/>
  <c r="G34" i="1"/>
  <c r="F38" i="1"/>
  <c r="B36" i="1"/>
  <c r="C35" i="1"/>
  <c r="E38" i="1"/>
  <c r="G35" i="1"/>
  <c r="D38" i="1"/>
  <c r="F35" i="1"/>
  <c r="C38" i="1"/>
  <c r="E35" i="1"/>
  <c r="G37" i="1"/>
  <c r="E37" i="1"/>
  <c r="F34" i="1"/>
  <c r="B44" i="1" a="1"/>
  <c r="B24" i="1" l="1" a="1"/>
  <c r="C49" i="1"/>
  <c r="B49" i="1"/>
  <c r="D46" i="1"/>
  <c r="G48" i="1"/>
  <c r="C46" i="1"/>
  <c r="F48" i="1"/>
  <c r="B46" i="1"/>
  <c r="E48" i="1"/>
  <c r="G45" i="1"/>
  <c r="E45" i="1"/>
  <c r="C45" i="1"/>
  <c r="F49" i="1"/>
  <c r="D44" i="1"/>
  <c r="E49" i="1"/>
  <c r="C44" i="1"/>
  <c r="D48" i="1"/>
  <c r="F45" i="1"/>
  <c r="D45" i="1"/>
  <c r="C48" i="1"/>
  <c r="E46" i="1"/>
  <c r="B48" i="1"/>
  <c r="G47" i="1"/>
  <c r="B44" i="1"/>
  <c r="F47" i="1"/>
  <c r="B45" i="1"/>
  <c r="B47" i="1"/>
  <c r="F46" i="1"/>
  <c r="E47" i="1"/>
  <c r="G44" i="1"/>
  <c r="D49" i="1"/>
  <c r="D47" i="1"/>
  <c r="F44" i="1"/>
  <c r="G49" i="1"/>
  <c r="C47" i="1"/>
  <c r="E44" i="1"/>
  <c r="G46" i="1"/>
  <c r="C28" i="1" l="1"/>
  <c r="E25" i="1"/>
  <c r="B28" i="1"/>
  <c r="D25" i="1"/>
  <c r="G27" i="1"/>
  <c r="C25" i="1"/>
  <c r="G29" i="1"/>
  <c r="E24" i="1"/>
  <c r="B29" i="1"/>
  <c r="D26" i="1"/>
  <c r="G28" i="1"/>
  <c r="G25" i="1"/>
  <c r="D28" i="1"/>
  <c r="F27" i="1"/>
  <c r="B25" i="1"/>
  <c r="E27" i="1"/>
  <c r="G24" i="1"/>
  <c r="C27" i="1"/>
  <c r="D27" i="1"/>
  <c r="F24" i="1"/>
  <c r="F25" i="1"/>
  <c r="F29" i="1"/>
  <c r="B27" i="1"/>
  <c r="D24" i="1"/>
  <c r="F28" i="1"/>
  <c r="E28" i="1"/>
  <c r="E29" i="1"/>
  <c r="G26" i="1"/>
  <c r="C24" i="1"/>
  <c r="C26" i="1"/>
  <c r="D29" i="1"/>
  <c r="F26" i="1"/>
  <c r="B24" i="1"/>
  <c r="C29" i="1"/>
  <c r="E26" i="1"/>
  <c r="B26" i="1"/>
</calcChain>
</file>

<file path=xl/sharedStrings.xml><?xml version="1.0" encoding="utf-8"?>
<sst xmlns="http://schemas.openxmlformats.org/spreadsheetml/2006/main" count="49" uniqueCount="13">
  <si>
    <t>Return data</t>
  </si>
  <si>
    <t>Date</t>
  </si>
  <si>
    <t>GE</t>
  </si>
  <si>
    <t>MSFT</t>
  </si>
  <si>
    <t>JNJ</t>
  </si>
  <si>
    <t>K</t>
  </si>
  <si>
    <t>BA</t>
  </si>
  <si>
    <t>IBM</t>
  </si>
  <si>
    <t>Average</t>
  </si>
  <si>
    <t>Standard deviation</t>
  </si>
  <si>
    <t>Variance</t>
  </si>
  <si>
    <t>&lt;-- This is the weight put on the sample var-cov</t>
  </si>
  <si>
    <r>
      <t xml:space="preserve">Shrinkage factor </t>
    </r>
    <r>
      <rPr>
        <b/>
        <sz val="10"/>
        <rFont val="Arial"/>
        <family val="1"/>
      </rPr>
      <t>l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</si>
</sst>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Arial"/>
      <family val="1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176" fontId="0" fillId="0" borderId="0" xfId="0" applyNumberFormat="1" applyAlignment="1"/>
    <xf numFmtId="1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/>
    <xf numFmtId="0" fontId="6" fillId="0" borderId="0" xfId="0" applyFont="1" applyAlignment="1">
      <alignment horizontal="left" vertical="center" wrapText="1"/>
    </xf>
    <xf numFmtId="176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104775</xdr:rowOff>
    </xdr:from>
    <xdr:to>
      <xdr:col>19</xdr:col>
      <xdr:colOff>476250</xdr:colOff>
      <xdr:row>51</xdr:row>
      <xdr:rowOff>37246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3517B86-A552-3C59-E2E9-703F0F1A7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172325" y="104775"/>
          <a:ext cx="6696075" cy="10106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3"/>
  <sheetViews>
    <sheetView tabSelected="1" topLeftCell="A18" zoomScale="145" zoomScaleNormal="145" workbookViewId="0">
      <selection activeCell="U34" sqref="U34"/>
    </sheetView>
  </sheetViews>
  <sheetFormatPr defaultRowHeight="13.8" x14ac:dyDescent="0.25"/>
  <cols>
    <col min="1" max="1" width="21.6640625" style="5" customWidth="1"/>
    <col min="2" max="7" width="8.88671875" style="3"/>
    <col min="8" max="8" width="22.5546875" style="3" customWidth="1"/>
  </cols>
  <sheetData>
    <row r="1" spans="1:8" ht="17.399999999999999" x14ac:dyDescent="0.25">
      <c r="A1" s="1" t="str">
        <f>"ESTIMATING THE VARIANCE-COVARIANCE MATRIX USING 
THE SHRINKAGE APPROACH"&amp;CHAR(10)&amp;"Gives weight "&amp;TEXT(B20,"0.00")&amp;" (the shrinkage factor) to sample var-cov and"&amp;CHAR(10)&amp;" weight "&amp;TEXT(1-B20,"0.00")&amp;" to a diagonal matrix of only variances"</f>
        <v>ESTIMATING THE VARIANCE-COVARIANCE MATRIX USING 
THE SHRINKAGE APPROACH
Gives weight 0.30 (the shrinkage factor) to sample var-cov and
 weight 0.70 to a diagonal matrix of only variances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0</v>
      </c>
    </row>
    <row r="3" spans="1:8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</row>
    <row r="4" spans="1:8" x14ac:dyDescent="0.25">
      <c r="A4" s="8">
        <v>34337</v>
      </c>
      <c r="B4" s="4">
        <v>0.56444671520508838</v>
      </c>
      <c r="C4" s="4">
        <v>-1.5037877364540559E-2</v>
      </c>
      <c r="D4" s="4">
        <v>6.0103924069705515E-2</v>
      </c>
      <c r="E4" s="4">
        <v>-9.7915436027565986E-2</v>
      </c>
      <c r="F4" s="4">
        <v>0.58731171832467999</v>
      </c>
      <c r="G4" s="4">
        <v>7.7432759692560069E-2</v>
      </c>
      <c r="H4" s="4"/>
    </row>
    <row r="5" spans="1:8" x14ac:dyDescent="0.25">
      <c r="A5" s="8">
        <v>34702</v>
      </c>
      <c r="B5" s="4">
        <v>0.18232155679395459</v>
      </c>
      <c r="C5" s="4">
        <v>0.33213383502261484</v>
      </c>
      <c r="D5" s="4">
        <v>0.41559877382296978</v>
      </c>
      <c r="E5" s="4">
        <v>7.4571937519298012E-2</v>
      </c>
      <c r="F5" s="4">
        <v>-2.3781224049673243E-3</v>
      </c>
      <c r="G5" s="4">
        <v>-0.12164032105614142</v>
      </c>
      <c r="H5" s="4"/>
    </row>
    <row r="6" spans="1:8" x14ac:dyDescent="0.25">
      <c r="A6" s="8">
        <v>35066</v>
      </c>
      <c r="B6" s="4">
        <v>0.56932183044759921</v>
      </c>
      <c r="C6" s="4">
        <v>0.44280277854580868</v>
      </c>
      <c r="D6" s="4">
        <v>0.57713846354436926</v>
      </c>
      <c r="E6" s="4">
        <v>0.37761004630609196</v>
      </c>
      <c r="F6" s="4">
        <v>0.65554420578107764</v>
      </c>
      <c r="G6" s="4">
        <v>0.30003749411770636</v>
      </c>
      <c r="H6" s="4"/>
    </row>
    <row r="7" spans="1:8" x14ac:dyDescent="0.25">
      <c r="A7" s="8">
        <v>35432</v>
      </c>
      <c r="B7" s="4">
        <v>0.42867843048794668</v>
      </c>
      <c r="C7" s="4">
        <v>0.79115085799206308</v>
      </c>
      <c r="D7" s="4">
        <v>0.22940287091404585</v>
      </c>
      <c r="E7" s="4">
        <v>-5.0876389807343811E-2</v>
      </c>
      <c r="F7" s="4">
        <v>0.5434160567213141</v>
      </c>
      <c r="G7" s="4">
        <v>-0.41775259729894415</v>
      </c>
      <c r="H7" s="4"/>
    </row>
    <row r="8" spans="1:8" x14ac:dyDescent="0.25">
      <c r="A8" s="8">
        <v>35797</v>
      </c>
      <c r="B8" s="4">
        <v>0.47111330200617335</v>
      </c>
      <c r="C8" s="4">
        <v>0.38036365668032207</v>
      </c>
      <c r="D8" s="4">
        <v>0.17623377849310673</v>
      </c>
      <c r="E8" s="4">
        <v>0.32039589477196262</v>
      </c>
      <c r="F8" s="4">
        <v>0.37114264453303181</v>
      </c>
      <c r="G8" s="4">
        <v>0.47322088565612025</v>
      </c>
      <c r="H8" s="4"/>
    </row>
    <row r="9" spans="1:8" x14ac:dyDescent="0.25">
      <c r="A9" s="8">
        <v>36164</v>
      </c>
      <c r="B9" s="4">
        <v>0.34547568192446243</v>
      </c>
      <c r="C9" s="4">
        <v>0.8525379124482414</v>
      </c>
      <c r="D9" s="4">
        <v>0.26618332488068819</v>
      </c>
      <c r="E9" s="4">
        <v>-0.10737956563486276</v>
      </c>
      <c r="F9" s="4">
        <v>0.15053557753818592</v>
      </c>
      <c r="G9" s="4">
        <v>0.37702757971044587</v>
      </c>
      <c r="H9" s="4"/>
    </row>
    <row r="10" spans="1:8" x14ac:dyDescent="0.25">
      <c r="A10" s="8">
        <v>36528</v>
      </c>
      <c r="B10" s="4">
        <v>0.28152972131185594</v>
      </c>
      <c r="C10" s="4">
        <v>0.11200200440985024</v>
      </c>
      <c r="D10" s="4">
        <v>3.4111834506863122E-2</v>
      </c>
      <c r="E10" s="4">
        <v>-0.48928618090838627</v>
      </c>
      <c r="F10" s="4">
        <v>0.43526794343187897</v>
      </c>
      <c r="G10" s="4">
        <v>-0.13323909043172966</v>
      </c>
      <c r="H10" s="4"/>
    </row>
    <row r="11" spans="1:8" x14ac:dyDescent="0.25">
      <c r="A11" s="8">
        <v>36893</v>
      </c>
      <c r="B11" s="4">
        <v>4.6071091921937368E-2</v>
      </c>
      <c r="C11" s="4">
        <v>-0.47194325389691516</v>
      </c>
      <c r="D11" s="4">
        <v>0.10688374519834776</v>
      </c>
      <c r="E11" s="4">
        <v>0.11666758657251773</v>
      </c>
      <c r="F11" s="4">
        <v>0.28291473002020701</v>
      </c>
      <c r="G11" s="4">
        <v>-0.78390104636559421</v>
      </c>
      <c r="H11" s="4"/>
    </row>
    <row r="12" spans="1:8" x14ac:dyDescent="0.25">
      <c r="A12" s="8">
        <v>37258</v>
      </c>
      <c r="B12" s="4">
        <v>-0.19742801479649347</v>
      </c>
      <c r="C12" s="4">
        <v>4.2697300467286127E-2</v>
      </c>
      <c r="D12" s="4">
        <v>0.23114796006900939</v>
      </c>
      <c r="E12" s="4">
        <v>0.19904599973514916</v>
      </c>
      <c r="F12" s="4">
        <v>-0.15086637755437701</v>
      </c>
      <c r="G12" s="4">
        <v>-0.25162574624802359</v>
      </c>
      <c r="H12" s="4"/>
    </row>
    <row r="13" spans="1:8" x14ac:dyDescent="0.25">
      <c r="A13" s="8">
        <v>37623</v>
      </c>
      <c r="B13" s="4">
        <v>-0.44784992572779375</v>
      </c>
      <c r="C13" s="4">
        <v>-0.29467288579706979</v>
      </c>
      <c r="D13" s="4">
        <v>-5.6657596004628455E-2</v>
      </c>
      <c r="E13" s="4">
        <v>0.10883878003415107</v>
      </c>
      <c r="F13" s="4">
        <v>-0.23230595878763066</v>
      </c>
      <c r="G13" s="4">
        <v>-1.3703095882162164</v>
      </c>
      <c r="H13" s="4"/>
    </row>
    <row r="14" spans="1:8" x14ac:dyDescent="0.25">
      <c r="A14" s="8">
        <v>37988</v>
      </c>
      <c r="B14" s="4">
        <v>0.35900929586965324</v>
      </c>
      <c r="C14" s="4">
        <v>0.18005140825941549</v>
      </c>
      <c r="D14" s="4">
        <v>-1.2736567388731407E-2</v>
      </c>
      <c r="E14" s="4">
        <v>0.1548647105609153</v>
      </c>
      <c r="F14" s="4">
        <v>0.39822571885658403</v>
      </c>
      <c r="G14" s="4">
        <v>0.16442004456429668</v>
      </c>
      <c r="H14" s="4"/>
    </row>
    <row r="16" spans="1:8" x14ac:dyDescent="0.25">
      <c r="A16" s="2" t="s">
        <v>8</v>
      </c>
      <c r="B16" s="6">
        <f t="shared" ref="B16:G16" si="0">AVERAGE(B4:B14)</f>
        <v>0.23660815322221673</v>
      </c>
      <c r="C16" s="6">
        <f t="shared" si="0"/>
        <v>0.21382597606973422</v>
      </c>
      <c r="D16" s="6">
        <f t="shared" si="0"/>
        <v>0.1843100465550678</v>
      </c>
      <c r="E16" s="6">
        <f t="shared" si="0"/>
        <v>5.5139762101993367E-2</v>
      </c>
      <c r="F16" s="6">
        <f t="shared" si="0"/>
        <v>0.27625528513272585</v>
      </c>
      <c r="G16" s="6">
        <f t="shared" si="0"/>
        <v>-0.15330269326141094</v>
      </c>
      <c r="H16" s="6" t="str">
        <f ca="1">[2]!getformula(G16)</f>
        <v>&lt;--  =AVERAGE(G4:G14)</v>
      </c>
    </row>
    <row r="17" spans="1:8" x14ac:dyDescent="0.25">
      <c r="A17" s="2" t="s">
        <v>9</v>
      </c>
      <c r="B17" s="4">
        <f t="shared" ref="B17:G17" si="1">STDEV(B4:B14)</f>
        <v>0.32171943662556884</v>
      </c>
      <c r="C17" s="4">
        <f t="shared" si="1"/>
        <v>0.40711692921454828</v>
      </c>
      <c r="D17" s="4">
        <f t="shared" si="1"/>
        <v>0.18965192381063015</v>
      </c>
      <c r="E17" s="4">
        <f t="shared" si="1"/>
        <v>0.23864750057184578</v>
      </c>
      <c r="F17" s="4">
        <f t="shared" si="1"/>
        <v>0.29928419828700653</v>
      </c>
      <c r="G17" s="4">
        <f t="shared" si="1"/>
        <v>0.54710622369113959</v>
      </c>
      <c r="H17" s="6" t="str">
        <f ca="1">[2]!getformula(G17)</f>
        <v>&lt;--  =STDEV(G4:G14)</v>
      </c>
    </row>
    <row r="18" spans="1:8" x14ac:dyDescent="0.25">
      <c r="A18" s="2" t="s">
        <v>10</v>
      </c>
      <c r="B18" s="7">
        <f t="shared" ref="B18:G18" si="2">VAR(B4:B14)</f>
        <v>0.10350339590267339</v>
      </c>
      <c r="C18" s="7">
        <f t="shared" si="2"/>
        <v>0.16574419405308352</v>
      </c>
      <c r="D18" s="7">
        <f t="shared" si="2"/>
        <v>3.5967852205073064E-2</v>
      </c>
      <c r="E18" s="7">
        <f t="shared" si="2"/>
        <v>5.6952629529189128E-2</v>
      </c>
      <c r="F18" s="7">
        <f t="shared" si="2"/>
        <v>8.9571031344296254E-2</v>
      </c>
      <c r="G18" s="7">
        <f t="shared" si="2"/>
        <v>0.29932522000157924</v>
      </c>
      <c r="H18" s="6" t="str">
        <f ca="1">[2]!getformula(G18)</f>
        <v>&lt;--  =VAR(G4:G14)</v>
      </c>
    </row>
    <row r="20" spans="1:8" x14ac:dyDescent="0.25">
      <c r="A20" s="9" t="s">
        <v>12</v>
      </c>
      <c r="B20" s="10">
        <v>0.3</v>
      </c>
      <c r="C20" s="3" t="s">
        <v>11</v>
      </c>
    </row>
    <row r="22" spans="1:8" ht="49.8" customHeight="1" x14ac:dyDescent="0.25">
      <c r="A22" s="11" t="str">
        <f ca="1">"Shrinkage matrix"&amp;CHAR(10)&amp;"Uses the array formula "&amp;[2]!ggetformula(B24)&amp;" to compute the shrinkage covariance matrix"</f>
        <v>Shrinkage matrix
Uses the array formula  {=B20*B34:G39+(1-B20)*B44:G49} to compute the shrinkage covariance matrix</v>
      </c>
      <c r="B22" s="11"/>
      <c r="C22" s="11"/>
      <c r="D22" s="11"/>
      <c r="E22" s="11"/>
      <c r="F22" s="11"/>
      <c r="G22" s="11"/>
      <c r="H22" s="11"/>
    </row>
    <row r="23" spans="1:8" x14ac:dyDescent="0.25">
      <c r="B23" s="2" t="s">
        <v>2</v>
      </c>
      <c r="C23" s="2" t="s">
        <v>3</v>
      </c>
      <c r="D23" s="2" t="s">
        <v>4</v>
      </c>
      <c r="E23" s="2" t="s">
        <v>5</v>
      </c>
      <c r="F23" s="2" t="s">
        <v>6</v>
      </c>
      <c r="G23" s="2" t="s">
        <v>7</v>
      </c>
      <c r="H23" s="2"/>
    </row>
    <row r="24" spans="1:8" x14ac:dyDescent="0.25">
      <c r="A24" s="2" t="s">
        <v>2</v>
      </c>
      <c r="B24" s="12">
        <f t="array" ref="B24:G29">B20*B34:G39+(1-B20)*B44:G49</f>
        <v>0.10350339590267339</v>
      </c>
      <c r="C24" s="12">
        <v>2.2754555235448462E-2</v>
      </c>
      <c r="D24" s="12">
        <v>6.6478191089750314E-3</v>
      </c>
      <c r="E24" s="12">
        <v>-1.2894695388770878E-3</v>
      </c>
      <c r="F24" s="12">
        <v>2.5723621130988101E-2</v>
      </c>
      <c r="G24" s="12">
        <v>4.2426979098494244E-2</v>
      </c>
      <c r="H24" s="7"/>
    </row>
    <row r="25" spans="1:8" x14ac:dyDescent="0.25">
      <c r="A25" s="2" t="s">
        <v>3</v>
      </c>
      <c r="B25" s="12">
        <v>2.2754555235448462E-2</v>
      </c>
      <c r="C25" s="12">
        <v>0.16574419405308355</v>
      </c>
      <c r="D25" s="12">
        <v>1.2368453613489898E-2</v>
      </c>
      <c r="E25" s="12">
        <v>-1.5517943141013988E-3</v>
      </c>
      <c r="F25" s="12">
        <v>1.1377632267826765E-2</v>
      </c>
      <c r="G25" s="12">
        <v>4.2014441901008455E-2</v>
      </c>
      <c r="H25" s="7"/>
    </row>
    <row r="26" spans="1:8" x14ac:dyDescent="0.25">
      <c r="A26" s="2" t="s">
        <v>4</v>
      </c>
      <c r="B26" s="12">
        <v>6.6478191089750314E-3</v>
      </c>
      <c r="C26" s="12">
        <v>1.2368453613489898E-2</v>
      </c>
      <c r="D26" s="12">
        <v>3.5967852205073078E-2</v>
      </c>
      <c r="E26" s="12">
        <v>5.4332849898242937E-3</v>
      </c>
      <c r="F26" s="12">
        <v>3.0303486734404167E-3</v>
      </c>
      <c r="G26" s="12">
        <v>1.3651309247858902E-2</v>
      </c>
      <c r="H26" s="7"/>
    </row>
    <row r="27" spans="1:8" x14ac:dyDescent="0.25">
      <c r="A27" s="2" t="s">
        <v>5</v>
      </c>
      <c r="B27" s="12">
        <v>-1.2894695388770878E-3</v>
      </c>
      <c r="C27" s="12">
        <v>-1.5517943141013988E-3</v>
      </c>
      <c r="D27" s="12">
        <v>5.4332849898242937E-3</v>
      </c>
      <c r="E27" s="12">
        <v>5.6952629529189121E-2</v>
      </c>
      <c r="F27" s="12">
        <v>-2.2862388820474411E-3</v>
      </c>
      <c r="G27" s="12">
        <v>3.659580839226453E-3</v>
      </c>
      <c r="H27" s="7"/>
    </row>
    <row r="28" spans="1:8" x14ac:dyDescent="0.25">
      <c r="A28" s="2" t="s">
        <v>6</v>
      </c>
      <c r="B28" s="12">
        <v>2.5723621130988101E-2</v>
      </c>
      <c r="C28" s="12">
        <v>1.1377632267826765E-2</v>
      </c>
      <c r="D28" s="12">
        <v>3.0303486734404167E-3</v>
      </c>
      <c r="E28" s="12">
        <v>-2.2862388820474411E-3</v>
      </c>
      <c r="F28" s="12">
        <v>8.9571031344296226E-2</v>
      </c>
      <c r="G28" s="12">
        <v>2.5670525449941247E-2</v>
      </c>
      <c r="H28" s="7"/>
    </row>
    <row r="29" spans="1:8" x14ac:dyDescent="0.25">
      <c r="A29" s="2" t="s">
        <v>7</v>
      </c>
      <c r="B29" s="12">
        <v>4.2426979098494244E-2</v>
      </c>
      <c r="C29" s="12">
        <v>4.2014441901008455E-2</v>
      </c>
      <c r="D29" s="12">
        <v>1.3651309247858902E-2</v>
      </c>
      <c r="E29" s="12">
        <v>3.659580839226453E-3</v>
      </c>
      <c r="F29" s="12">
        <v>2.5670525449941247E-2</v>
      </c>
      <c r="G29" s="12">
        <v>0.29932522000157924</v>
      </c>
      <c r="H29" s="7"/>
    </row>
    <row r="30" spans="1:8" x14ac:dyDescent="0.25">
      <c r="A30" s="2"/>
      <c r="B30" s="7"/>
      <c r="C30" s="7"/>
      <c r="D30" s="7"/>
      <c r="E30" s="7"/>
      <c r="F30" s="7"/>
      <c r="G30" s="7"/>
      <c r="H30" s="7"/>
    </row>
    <row r="32" spans="1:8" ht="43.2" customHeight="1" x14ac:dyDescent="0.25">
      <c r="A32" s="11" t="str">
        <f ca="1">"Uses the array formula "&amp;[2]!ggetformula(B34)&amp;" to compute the constant sample covariance matrix.  In the shrinkage var-cov, this matrix is given weight lambda."</f>
        <v>Uses the array formula  {=MMULT(TRANSPOSE(B4:G14-B16:G16),B4:G14-B16:G16)/10} to compute the constant sample covariance matrix.  In the shrinkage var-cov, this matrix is given weight lambda.</v>
      </c>
      <c r="B32" s="11"/>
      <c r="C32" s="11"/>
      <c r="D32" s="11"/>
      <c r="E32" s="11"/>
      <c r="F32" s="11"/>
      <c r="G32" s="11"/>
      <c r="H32" s="11"/>
    </row>
    <row r="33" spans="1:8" x14ac:dyDescent="0.25">
      <c r="B33" s="2" t="s">
        <v>2</v>
      </c>
      <c r="C33" s="2" t="s">
        <v>3</v>
      </c>
      <c r="D33" s="2" t="s">
        <v>4</v>
      </c>
      <c r="E33" s="2" t="s">
        <v>5</v>
      </c>
      <c r="F33" s="2" t="s">
        <v>6</v>
      </c>
      <c r="G33" s="2" t="s">
        <v>7</v>
      </c>
      <c r="H33" s="2"/>
    </row>
    <row r="34" spans="1:8" x14ac:dyDescent="0.25">
      <c r="A34" s="2" t="s">
        <v>2</v>
      </c>
      <c r="B34" s="7">
        <f t="array" ref="B34:G39">MMULT(TRANSPOSE(B4:G14-B16:G16),B4:G14-B16:G16)/10</f>
        <v>0.10350339590267339</v>
      </c>
      <c r="C34" s="7">
        <v>7.5848517451494873E-2</v>
      </c>
      <c r="D34" s="7">
        <v>2.2159397029916771E-2</v>
      </c>
      <c r="E34" s="7">
        <v>-4.2982317962569593E-3</v>
      </c>
      <c r="F34" s="7">
        <v>8.5745403769960343E-2</v>
      </c>
      <c r="G34" s="7">
        <v>0.14142326366164748</v>
      </c>
      <c r="H34" s="7"/>
    </row>
    <row r="35" spans="1:8" x14ac:dyDescent="0.25">
      <c r="A35" s="2" t="s">
        <v>3</v>
      </c>
      <c r="B35" s="7">
        <v>7.5848517451494873E-2</v>
      </c>
      <c r="C35" s="7">
        <v>0.16574419405308355</v>
      </c>
      <c r="D35" s="7">
        <v>4.1228178711632993E-2</v>
      </c>
      <c r="E35" s="7">
        <v>-5.1726477136713293E-3</v>
      </c>
      <c r="F35" s="7">
        <v>3.7925440892755881E-2</v>
      </c>
      <c r="G35" s="7">
        <v>0.14004813967002819</v>
      </c>
      <c r="H35" s="7"/>
    </row>
    <row r="36" spans="1:8" x14ac:dyDescent="0.25">
      <c r="A36" s="2" t="s">
        <v>4</v>
      </c>
      <c r="B36" s="7">
        <v>2.2159397029916771E-2</v>
      </c>
      <c r="C36" s="7">
        <v>4.1228178711632993E-2</v>
      </c>
      <c r="D36" s="7">
        <v>3.5967852205073078E-2</v>
      </c>
      <c r="E36" s="7">
        <v>1.811094996608098E-2</v>
      </c>
      <c r="F36" s="7">
        <v>1.010116224480139E-2</v>
      </c>
      <c r="G36" s="7">
        <v>4.5504364159529673E-2</v>
      </c>
      <c r="H36" s="7"/>
    </row>
    <row r="37" spans="1:8" x14ac:dyDescent="0.25">
      <c r="A37" s="2" t="s">
        <v>5</v>
      </c>
      <c r="B37" s="7">
        <v>-4.2982317962569593E-3</v>
      </c>
      <c r="C37" s="7">
        <v>-5.1726477136713293E-3</v>
      </c>
      <c r="D37" s="7">
        <v>1.811094996608098E-2</v>
      </c>
      <c r="E37" s="7">
        <v>5.6952629529189128E-2</v>
      </c>
      <c r="F37" s="7">
        <v>-7.6207962734914699E-3</v>
      </c>
      <c r="G37" s="7">
        <v>1.219860279742151E-2</v>
      </c>
      <c r="H37" s="7"/>
    </row>
    <row r="38" spans="1:8" x14ac:dyDescent="0.25">
      <c r="A38" s="2" t="s">
        <v>6</v>
      </c>
      <c r="B38" s="7">
        <v>8.5745403769960343E-2</v>
      </c>
      <c r="C38" s="7">
        <v>3.7925440892755881E-2</v>
      </c>
      <c r="D38" s="7">
        <v>1.010116224480139E-2</v>
      </c>
      <c r="E38" s="7">
        <v>-7.6207962734914699E-3</v>
      </c>
      <c r="F38" s="7">
        <v>8.9571031344296226E-2</v>
      </c>
      <c r="G38" s="7">
        <v>8.556841816647083E-2</v>
      </c>
      <c r="H38" s="7"/>
    </row>
    <row r="39" spans="1:8" x14ac:dyDescent="0.25">
      <c r="A39" s="2" t="s">
        <v>7</v>
      </c>
      <c r="B39" s="7">
        <v>0.14142326366164748</v>
      </c>
      <c r="C39" s="7">
        <v>0.14004813967002819</v>
      </c>
      <c r="D39" s="7">
        <v>4.5504364159529673E-2</v>
      </c>
      <c r="E39" s="7">
        <v>1.219860279742151E-2</v>
      </c>
      <c r="F39" s="7">
        <v>8.556841816647083E-2</v>
      </c>
      <c r="G39" s="7">
        <v>0.29932522000157924</v>
      </c>
      <c r="H39" s="7"/>
    </row>
    <row r="40" spans="1:8" x14ac:dyDescent="0.25">
      <c r="A40" s="2"/>
      <c r="B40" s="7"/>
      <c r="C40" s="7"/>
      <c r="D40" s="7"/>
      <c r="E40" s="7"/>
      <c r="F40" s="7"/>
      <c r="G40" s="7"/>
      <c r="H40" s="7"/>
    </row>
    <row r="41" spans="1:8" x14ac:dyDescent="0.25">
      <c r="A41" s="2"/>
      <c r="B41" s="7"/>
      <c r="C41" s="7"/>
      <c r="D41" s="7"/>
      <c r="E41" s="7"/>
      <c r="F41" s="7"/>
      <c r="G41" s="7"/>
      <c r="H41" s="7"/>
    </row>
    <row r="42" spans="1:8" ht="55.8" customHeight="1" x14ac:dyDescent="0.25">
      <c r="A42" s="11" t="str">
        <f ca="1">"Uses the array formula "&amp;[2]!ggetformula(B44)&amp;" to compute a matrix with only variances on diagonal and zeros elsewhere.  In the shrinkage var-cov this matrix is given weight 1-lambda."</f>
        <v>Uses the array formula  {=MMULT(TRANSPOSE(B4:G14-B16:G16),B4:G14-B16:G16)/10*IF(A44:A49=B43:G43,1,0)} to compute a matrix with only variances on diagonal and zeros elsewhere.  In the shrinkage var-cov this matrix is given weight 1-lambda.</v>
      </c>
      <c r="B42" s="11"/>
      <c r="C42" s="11"/>
      <c r="D42" s="11"/>
      <c r="E42" s="11"/>
      <c r="F42" s="11"/>
      <c r="G42" s="11"/>
      <c r="H42" s="11"/>
    </row>
    <row r="43" spans="1:8" x14ac:dyDescent="0.25">
      <c r="B43" s="2" t="s">
        <v>2</v>
      </c>
      <c r="C43" s="2" t="s">
        <v>3</v>
      </c>
      <c r="D43" s="2" t="s">
        <v>4</v>
      </c>
      <c r="E43" s="2" t="s">
        <v>5</v>
      </c>
      <c r="F43" s="2" t="s">
        <v>6</v>
      </c>
      <c r="G43" s="2" t="s">
        <v>7</v>
      </c>
      <c r="H43" s="2"/>
    </row>
    <row r="44" spans="1:8" x14ac:dyDescent="0.25">
      <c r="A44" s="2" t="s">
        <v>2</v>
      </c>
      <c r="B44" s="7">
        <f t="array" ref="B44:G49">MMULT(TRANSPOSE(B4:G14-B16:G16),B4:G14-B16:G16)/10*IF(A44:A49=B43:G43,1,0)</f>
        <v>0.10350339590267339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/>
    </row>
    <row r="45" spans="1:8" x14ac:dyDescent="0.25">
      <c r="A45" s="2" t="s">
        <v>3</v>
      </c>
      <c r="B45" s="7">
        <v>0</v>
      </c>
      <c r="C45" s="7">
        <v>0.16574419405308355</v>
      </c>
      <c r="D45" s="7">
        <v>0</v>
      </c>
      <c r="E45" s="7">
        <v>0</v>
      </c>
      <c r="F45" s="7">
        <v>0</v>
      </c>
      <c r="G45" s="7">
        <v>0</v>
      </c>
      <c r="H45" s="7"/>
    </row>
    <row r="46" spans="1:8" x14ac:dyDescent="0.25">
      <c r="A46" s="2" t="s">
        <v>4</v>
      </c>
      <c r="B46" s="7">
        <v>0</v>
      </c>
      <c r="C46" s="7">
        <v>0</v>
      </c>
      <c r="D46" s="7">
        <v>3.5967852205073078E-2</v>
      </c>
      <c r="E46" s="7">
        <v>0</v>
      </c>
      <c r="F46" s="7">
        <v>0</v>
      </c>
      <c r="G46" s="7">
        <v>0</v>
      </c>
      <c r="H46" s="7"/>
    </row>
    <row r="47" spans="1:8" x14ac:dyDescent="0.25">
      <c r="A47" s="2" t="s">
        <v>5</v>
      </c>
      <c r="B47" s="7">
        <v>0</v>
      </c>
      <c r="C47" s="7">
        <v>0</v>
      </c>
      <c r="D47" s="7">
        <v>0</v>
      </c>
      <c r="E47" s="7">
        <v>5.6952629529189128E-2</v>
      </c>
      <c r="F47" s="7">
        <v>0</v>
      </c>
      <c r="G47" s="7">
        <v>0</v>
      </c>
      <c r="H47" s="7"/>
    </row>
    <row r="48" spans="1:8" x14ac:dyDescent="0.25">
      <c r="A48" s="2" t="s">
        <v>6</v>
      </c>
      <c r="B48" s="7">
        <v>0</v>
      </c>
      <c r="C48" s="7">
        <v>0</v>
      </c>
      <c r="D48" s="7">
        <v>0</v>
      </c>
      <c r="E48" s="7">
        <v>0</v>
      </c>
      <c r="F48" s="7">
        <v>8.9571031344296226E-2</v>
      </c>
      <c r="G48" s="7">
        <v>0</v>
      </c>
      <c r="H48" s="7"/>
    </row>
    <row r="49" spans="1:8" x14ac:dyDescent="0.25">
      <c r="A49" s="2" t="s">
        <v>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0.29932522000157924</v>
      </c>
      <c r="H49" s="7"/>
    </row>
    <row r="50" spans="1:8" x14ac:dyDescent="0.25">
      <c r="A50" s="2"/>
      <c r="B50" s="7"/>
      <c r="C50" s="7"/>
      <c r="D50" s="7"/>
      <c r="E50" s="7"/>
      <c r="F50" s="7"/>
      <c r="G50" s="7"/>
      <c r="H50" s="7"/>
    </row>
    <row r="51" spans="1:8" x14ac:dyDescent="0.25">
      <c r="A51" s="2"/>
      <c r="B51" s="7"/>
      <c r="C51" s="7"/>
      <c r="D51" s="7"/>
      <c r="E51" s="7"/>
      <c r="F51" s="7"/>
      <c r="G51" s="7"/>
      <c r="H51" s="7"/>
    </row>
    <row r="52" spans="1:8" x14ac:dyDescent="0.25">
      <c r="A52" s="2"/>
      <c r="B52" s="7"/>
      <c r="C52" s="7"/>
      <c r="D52" s="7"/>
      <c r="E52" s="7"/>
      <c r="F52" s="7"/>
      <c r="G52" s="7"/>
      <c r="H52" s="7"/>
    </row>
    <row r="53" spans="1:8" x14ac:dyDescent="0.25">
      <c r="A53" s="2"/>
      <c r="B53" s="7"/>
      <c r="C53" s="7"/>
      <c r="D53" s="7"/>
      <c r="E53" s="7"/>
      <c r="F53" s="7"/>
      <c r="G53" s="7"/>
      <c r="H53" s="7"/>
    </row>
  </sheetData>
  <mergeCells count="4">
    <mergeCell ref="A1:H1"/>
    <mergeCell ref="A22:H22"/>
    <mergeCell ref="A32:H32"/>
    <mergeCell ref="A42:H42"/>
  </mergeCells>
  <phoneticPr fontId="1" type="noConversion"/>
  <conditionalFormatting sqref="B44:G49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2024-10-31T08:51:02Z</dcterms:modified>
</cp:coreProperties>
</file>