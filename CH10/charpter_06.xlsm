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081F8FB4-B757-4F4B-B76F-1FA016AC062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I23" i="1"/>
  <c r="H23" i="1"/>
  <c r="I3" i="1" a="1"/>
  <c r="I3" i="1" s="1"/>
  <c r="A20" i="1"/>
  <c r="G17" i="1"/>
  <c r="F17" i="1"/>
  <c r="E17" i="1"/>
  <c r="D17" i="1"/>
  <c r="C17" i="1"/>
  <c r="B17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D6" i="1"/>
  <c r="C6" i="1"/>
  <c r="B6" i="1"/>
  <c r="G5" i="1"/>
  <c r="F5" i="1"/>
  <c r="E5" i="1"/>
  <c r="D5" i="1"/>
  <c r="C5" i="1"/>
  <c r="B5" i="1"/>
  <c r="G4" i="1"/>
  <c r="F4" i="1"/>
  <c r="E4" i="1"/>
  <c r="D4" i="1"/>
  <c r="C4" i="1"/>
  <c r="B4" i="1"/>
  <c r="G3" i="1"/>
  <c r="F3" i="1"/>
  <c r="E3" i="1"/>
  <c r="D3" i="1"/>
  <c r="C3" i="1"/>
  <c r="B3" i="1"/>
  <c r="A12" i="1"/>
  <c r="H17" i="1"/>
  <c r="I8" i="1" l="1"/>
  <c r="I7" i="1"/>
  <c r="I6" i="1"/>
  <c r="I5" i="1"/>
  <c r="I4" i="1"/>
  <c r="B14" i="1" s="1" a="1"/>
  <c r="B14" i="1" s="1"/>
  <c r="B22" i="1" s="1"/>
  <c r="D14" i="1" l="1"/>
  <c r="D22" i="1" s="1"/>
  <c r="E14" i="1"/>
  <c r="E22" i="1" s="1"/>
  <c r="G14" i="1"/>
  <c r="G22" i="1" s="1"/>
  <c r="C14" i="1"/>
  <c r="C22" i="1" s="1"/>
  <c r="F14" i="1"/>
  <c r="F22" i="1" s="1"/>
  <c r="I22" i="1"/>
  <c r="H22" i="1"/>
</calcChain>
</file>

<file path=xl/sharedStrings.xml><?xml version="1.0" encoding="utf-8"?>
<sst xmlns="http://schemas.openxmlformats.org/spreadsheetml/2006/main" count="34" uniqueCount="16">
  <si>
    <t>COMPUTING AN EFFICIENT PORTFOLIO</t>
  </si>
  <si>
    <t>GE</t>
  </si>
  <si>
    <t>MSFT</t>
  </si>
  <si>
    <t>JNJ</t>
  </si>
  <si>
    <t>K</t>
  </si>
  <si>
    <t>BA</t>
  </si>
  <si>
    <t>IBM</t>
  </si>
  <si>
    <t>Means</t>
  </si>
  <si>
    <t>Risk-free rate</t>
  </si>
  <si>
    <t>Efficient portfolio</t>
  </si>
  <si>
    <t>Market value ($billion)</t>
  </si>
  <si>
    <t>Market proportions</t>
  </si>
  <si>
    <t>Largest long position</t>
  </si>
  <si>
    <t>Smallest position</t>
  </si>
  <si>
    <t>c</t>
  </si>
  <si>
    <t>&lt;-- Data table header is 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</si>
</sst>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76" fontId="0" fillId="0" borderId="0" xfId="0" applyNumberFormat="1" applyAlignment="1"/>
    <xf numFmtId="10" fontId="0" fillId="0" borderId="0" xfId="1" applyNumberFormat="1" applyFont="1" applyAlignment="1"/>
    <xf numFmtId="0" fontId="0" fillId="0" borderId="0" xfId="0" applyAlignment="1"/>
    <xf numFmtId="9" fontId="0" fillId="0" borderId="0" xfId="0" applyNumberFormat="1" applyAlignment="1"/>
    <xf numFmtId="0" fontId="4" fillId="0" borderId="0" xfId="0" applyFont="1" applyAlignment="1">
      <alignment vertical="center" wrapText="1"/>
    </xf>
    <xf numFmtId="10" fontId="5" fillId="2" borderId="0" xfId="1" applyNumberFormat="1" applyFont="1" applyFill="1" applyAlignment="1">
      <alignment horizontal="right"/>
    </xf>
    <xf numFmtId="10" fontId="5" fillId="0" borderId="0" xfId="1" applyNumberFormat="1" applyFont="1" applyFill="1" applyAlignment="1">
      <alignment horizontal="right"/>
    </xf>
    <xf numFmtId="2" fontId="0" fillId="0" borderId="0" xfId="0" applyNumberFormat="1" applyAlignment="1"/>
    <xf numFmtId="10" fontId="0" fillId="2" borderId="0" xfId="1" applyNumberFormat="1" applyFont="1" applyFill="1" applyAlignment="1"/>
    <xf numFmtId="10" fontId="0" fillId="0" borderId="0" xfId="1" applyNumberFormat="1" applyFont="1" applyFill="1" applyAlignment="1"/>
    <xf numFmtId="0" fontId="4" fillId="0" borderId="0" xfId="0" applyFont="1" applyAlignment="1"/>
    <xf numFmtId="0" fontId="4" fillId="0" borderId="0" xfId="0" applyFont="1" applyAlignment="1">
      <alignment horizontal="center" vertical="center" wrapText="1"/>
    </xf>
    <xf numFmtId="177" fontId="0" fillId="0" borderId="0" xfId="0" applyNumberFormat="1" applyAlignment="1"/>
    <xf numFmtId="9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 wrapText="1"/>
    </xf>
  </cellXfs>
  <cellStyles count="2">
    <cellStyle name="百分比" xfId="1" builtinId="5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7040</xdr:colOff>
      <xdr:row>0</xdr:row>
      <xdr:rowOff>57565</xdr:rowOff>
    </xdr:from>
    <xdr:to>
      <xdr:col>25</xdr:col>
      <xdr:colOff>587568</xdr:colOff>
      <xdr:row>42</xdr:row>
      <xdr:rowOff>152814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14356FD-9EE0-DA1B-BEEB-87FF107601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730823" y="57565"/>
          <a:ext cx="9155595" cy="807264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0\charpter_01.xlsm" TargetMode="External"/><Relationship Id="rId1" Type="http://schemas.openxmlformats.org/officeDocument/2006/relationships/externalLinkPath" Target="charpter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56">
          <cell r="B56">
            <v>0.10350339590267339</v>
          </cell>
          <cell r="C56">
            <v>7.5848517451494873E-2</v>
          </cell>
          <cell r="D56">
            <v>2.2159397029916771E-2</v>
          </cell>
          <cell r="E56">
            <v>-4.2982317962569593E-3</v>
          </cell>
          <cell r="F56">
            <v>8.5745403769960343E-2</v>
          </cell>
          <cell r="G56">
            <v>1.2299771404392935E-2</v>
          </cell>
        </row>
        <row r="57">
          <cell r="B57">
            <v>7.5848517451494873E-2</v>
          </cell>
          <cell r="C57">
            <v>0.16574419405308355</v>
          </cell>
          <cell r="D57">
            <v>4.1228178711632993E-2</v>
          </cell>
          <cell r="E57">
            <v>-5.1726477136713293E-3</v>
          </cell>
          <cell r="F57">
            <v>3.7925440892755881E-2</v>
          </cell>
          <cell r="G57">
            <v>-2.2397303974877624E-3</v>
          </cell>
        </row>
        <row r="58">
          <cell r="B58">
            <v>2.2159397029916771E-2</v>
          </cell>
          <cell r="C58">
            <v>4.1228178711632993E-2</v>
          </cell>
          <cell r="D58">
            <v>3.5967852205073078E-2</v>
          </cell>
          <cell r="E58">
            <v>1.811094996608098E-2</v>
          </cell>
          <cell r="F58">
            <v>1.010116224480139E-2</v>
          </cell>
          <cell r="G58">
            <v>-3.9328902436987553E-3</v>
          </cell>
        </row>
        <row r="59">
          <cell r="B59">
            <v>-4.2982317962569593E-3</v>
          </cell>
          <cell r="C59">
            <v>-5.1726477136713293E-3</v>
          </cell>
          <cell r="D59">
            <v>1.811094996608098E-2</v>
          </cell>
          <cell r="E59">
            <v>5.6952629529189128E-2</v>
          </cell>
          <cell r="F59">
            <v>-7.6207962734914699E-3</v>
          </cell>
          <cell r="G59">
            <v>-4.6186177423792676E-3</v>
          </cell>
        </row>
        <row r="60">
          <cell r="B60">
            <v>8.5745403769960343E-2</v>
          </cell>
          <cell r="C60">
            <v>3.7925440892755881E-2</v>
          </cell>
          <cell r="D60">
            <v>1.010116224480139E-2</v>
          </cell>
          <cell r="E60">
            <v>-7.6207962734914699E-3</v>
          </cell>
          <cell r="F60">
            <v>8.9571031344296226E-2</v>
          </cell>
          <cell r="G60">
            <v>2.4822979456358491E-2</v>
          </cell>
        </row>
        <row r="61">
          <cell r="B61">
            <v>1.2299771404392935E-2</v>
          </cell>
          <cell r="C61">
            <v>-2.2397303974877624E-3</v>
          </cell>
          <cell r="D61">
            <v>-3.9328902436987553E-3</v>
          </cell>
          <cell r="E61">
            <v>-4.6186177423792676E-3</v>
          </cell>
          <cell r="F61">
            <v>2.4822979456358491E-2</v>
          </cell>
          <cell r="G61">
            <v>1.8391305497884269E-2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5">
          <cell r="B35">
            <v>0.23660815322221673</v>
          </cell>
          <cell r="C35">
            <v>0.21382597606973422</v>
          </cell>
          <cell r="D35">
            <v>0.1843100465550678</v>
          </cell>
          <cell r="E35">
            <v>5.5139762101993367E-2</v>
          </cell>
          <cell r="F35">
            <v>0.27625528513272585</v>
          </cell>
          <cell r="G35">
            <v>0.17625978096732356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41"/>
  <sheetViews>
    <sheetView tabSelected="1" zoomScale="145" zoomScaleNormal="145" workbookViewId="0">
      <selection activeCell="J20" sqref="J20"/>
    </sheetView>
  </sheetViews>
  <sheetFormatPr defaultRowHeight="13.8" x14ac:dyDescent="0.25"/>
  <cols>
    <col min="1" max="1" width="25.109375" style="6" bestFit="1" customWidth="1"/>
    <col min="2" max="2" width="9.33203125" style="6" bestFit="1" customWidth="1"/>
    <col min="3" max="8" width="8.88671875" style="6"/>
    <col min="9" max="9" width="17.88671875" style="6" customWidth="1"/>
    <col min="10" max="10" width="27" style="6" bestFit="1" customWidth="1"/>
  </cols>
  <sheetData>
    <row r="1" spans="1:10" ht="17.399999999999999" x14ac:dyDescent="0.3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"/>
    </row>
    <row r="2" spans="1:10" x14ac:dyDescent="0.25">
      <c r="A2" s="2"/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/>
      <c r="I2" s="3" t="s">
        <v>7</v>
      </c>
      <c r="J2" s="3"/>
    </row>
    <row r="3" spans="1:10" x14ac:dyDescent="0.25">
      <c r="A3" s="3" t="s">
        <v>1</v>
      </c>
      <c r="B3" s="4">
        <f>'[1]Page 292-95'!B56</f>
        <v>0.10350339590267339</v>
      </c>
      <c r="C3" s="4">
        <f>'[1]Page 292-95'!C56</f>
        <v>7.5848517451494873E-2</v>
      </c>
      <c r="D3" s="4">
        <f>'[1]Page 292-95'!D56</f>
        <v>2.2159397029916771E-2</v>
      </c>
      <c r="E3" s="4">
        <f>'[1]Page 292-95'!E56</f>
        <v>-4.2982317962569593E-3</v>
      </c>
      <c r="F3" s="4">
        <f>'[1]Page 292-95'!F56</f>
        <v>8.5745403769960343E-2</v>
      </c>
      <c r="G3" s="4">
        <f>'[1]Page 292-95'!G56</f>
        <v>1.2299771404392935E-2</v>
      </c>
      <c r="H3" s="4"/>
      <c r="I3" s="5">
        <f t="array" ref="I3:I8">TRANSPOSE([2]Sheet1!$B$35:$G$35)</f>
        <v>0.23660815322221673</v>
      </c>
      <c r="J3" s="4"/>
    </row>
    <row r="4" spans="1:10" x14ac:dyDescent="0.25">
      <c r="A4" s="3" t="s">
        <v>2</v>
      </c>
      <c r="B4" s="4">
        <f>'[1]Page 292-95'!B57</f>
        <v>7.5848517451494873E-2</v>
      </c>
      <c r="C4" s="4">
        <f>'[1]Page 292-95'!C57</f>
        <v>0.16574419405308355</v>
      </c>
      <c r="D4" s="4">
        <f>'[1]Page 292-95'!D57</f>
        <v>4.1228178711632993E-2</v>
      </c>
      <c r="E4" s="4">
        <f>'[1]Page 292-95'!E57</f>
        <v>-5.1726477136713293E-3</v>
      </c>
      <c r="F4" s="4">
        <f>'[1]Page 292-95'!F57</f>
        <v>3.7925440892755881E-2</v>
      </c>
      <c r="G4" s="4">
        <f>'[1]Page 292-95'!G57</f>
        <v>-2.2397303974877624E-3</v>
      </c>
      <c r="H4" s="4"/>
      <c r="I4" s="5">
        <v>0.21382597606973422</v>
      </c>
      <c r="J4" s="4"/>
    </row>
    <row r="5" spans="1:10" x14ac:dyDescent="0.25">
      <c r="A5" s="3" t="s">
        <v>3</v>
      </c>
      <c r="B5" s="4">
        <f>'[1]Page 292-95'!B58</f>
        <v>2.2159397029916771E-2</v>
      </c>
      <c r="C5" s="4">
        <f>'[1]Page 292-95'!C58</f>
        <v>4.1228178711632993E-2</v>
      </c>
      <c r="D5" s="4">
        <f>'[1]Page 292-95'!D58</f>
        <v>3.5967852205073078E-2</v>
      </c>
      <c r="E5" s="4">
        <f>'[1]Page 292-95'!E58</f>
        <v>1.811094996608098E-2</v>
      </c>
      <c r="F5" s="4">
        <f>'[1]Page 292-95'!F58</f>
        <v>1.010116224480139E-2</v>
      </c>
      <c r="G5" s="4">
        <f>'[1]Page 292-95'!G58</f>
        <v>-3.9328902436987553E-3</v>
      </c>
      <c r="H5" s="4"/>
      <c r="I5" s="5">
        <v>0.1843100465550678</v>
      </c>
      <c r="J5" s="4"/>
    </row>
    <row r="6" spans="1:10" x14ac:dyDescent="0.25">
      <c r="A6" s="3" t="s">
        <v>4</v>
      </c>
      <c r="B6" s="4">
        <f>'[1]Page 292-95'!B59</f>
        <v>-4.2982317962569593E-3</v>
      </c>
      <c r="C6" s="4">
        <f>'[1]Page 292-95'!C59</f>
        <v>-5.1726477136713293E-3</v>
      </c>
      <c r="D6" s="4">
        <f>'[1]Page 292-95'!D59</f>
        <v>1.811094996608098E-2</v>
      </c>
      <c r="E6" s="4">
        <f>'[1]Page 292-95'!E59</f>
        <v>5.6952629529189128E-2</v>
      </c>
      <c r="F6" s="4">
        <f>'[1]Page 292-95'!F59</f>
        <v>-7.6207962734914699E-3</v>
      </c>
      <c r="G6" s="4">
        <f>'[1]Page 292-95'!G59</f>
        <v>-4.6186177423792676E-3</v>
      </c>
      <c r="H6" s="4"/>
      <c r="I6" s="5">
        <v>5.5139762101993367E-2</v>
      </c>
      <c r="J6" s="4"/>
    </row>
    <row r="7" spans="1:10" x14ac:dyDescent="0.25">
      <c r="A7" s="3" t="s">
        <v>5</v>
      </c>
      <c r="B7" s="4">
        <f>'[1]Page 292-95'!B60</f>
        <v>8.5745403769960343E-2</v>
      </c>
      <c r="C7" s="4">
        <f>'[1]Page 292-95'!C60</f>
        <v>3.7925440892755881E-2</v>
      </c>
      <c r="D7" s="4">
        <f>'[1]Page 292-95'!D60</f>
        <v>1.010116224480139E-2</v>
      </c>
      <c r="E7" s="4">
        <f>'[1]Page 292-95'!E60</f>
        <v>-7.6207962734914699E-3</v>
      </c>
      <c r="F7" s="4">
        <f>'[1]Page 292-95'!F60</f>
        <v>8.9571031344296226E-2</v>
      </c>
      <c r="G7" s="4">
        <f>'[1]Page 292-95'!G60</f>
        <v>2.4822979456358491E-2</v>
      </c>
      <c r="H7" s="4"/>
      <c r="I7" s="5">
        <v>0.27625528513272585</v>
      </c>
      <c r="J7" s="4"/>
    </row>
    <row r="8" spans="1:10" x14ac:dyDescent="0.25">
      <c r="A8" s="3" t="s">
        <v>6</v>
      </c>
      <c r="B8" s="4">
        <f>'[1]Page 292-95'!B61</f>
        <v>1.2299771404392935E-2</v>
      </c>
      <c r="C8" s="4">
        <f>'[1]Page 292-95'!C61</f>
        <v>-2.2397303974877624E-3</v>
      </c>
      <c r="D8" s="4">
        <f>'[1]Page 292-95'!D61</f>
        <v>-3.9328902436987553E-3</v>
      </c>
      <c r="E8" s="4">
        <f>'[1]Page 292-95'!E61</f>
        <v>-4.6186177423792676E-3</v>
      </c>
      <c r="F8" s="4">
        <f>'[1]Page 292-95'!F61</f>
        <v>2.4822979456358491E-2</v>
      </c>
      <c r="G8" s="4">
        <f>'[1]Page 292-95'!G61</f>
        <v>1.8391305497884269E-2</v>
      </c>
      <c r="H8" s="4"/>
      <c r="I8" s="5">
        <v>0.17625978096732356</v>
      </c>
      <c r="J8" s="4"/>
    </row>
    <row r="9" spans="1:10" x14ac:dyDescent="0.25">
      <c r="A9" s="3"/>
      <c r="B9" s="4"/>
      <c r="C9" s="4"/>
      <c r="D9" s="4"/>
      <c r="E9" s="4"/>
      <c r="F9" s="4"/>
      <c r="G9" s="4"/>
      <c r="H9" s="4"/>
      <c r="I9" s="4"/>
      <c r="J9" s="4"/>
    </row>
    <row r="10" spans="1:10" x14ac:dyDescent="0.25">
      <c r="A10" s="6" t="s">
        <v>8</v>
      </c>
      <c r="B10" s="7">
        <v>0.02</v>
      </c>
    </row>
    <row r="11" spans="1:10" x14ac:dyDescent="0.25">
      <c r="B11" s="7"/>
    </row>
    <row r="12" spans="1:10" ht="36.6" customHeight="1" x14ac:dyDescent="0.25">
      <c r="A12" s="19" t="str">
        <f ca="1">"The efficient portfolio is computed by the array formula "&amp;[3]!ggetformula(B14)&amp;"  .  The cells below use TRANSPOSE( ) to make this a row vector."</f>
        <v>The efficient portfolio is computed by the array formula  {=TRANSPOSE(MMULT(MINVERSE($B$3:$G$8),$I$3:$I$8-$B$10)/SUM(MMULT(MINVERSE($B$3:$G$8),$I$3:$I$8-$B$10)))}  .  The cells below use TRANSPOSE( ) to make this a row vector.</v>
      </c>
      <c r="B12" s="19"/>
      <c r="C12" s="19"/>
      <c r="D12" s="19"/>
      <c r="E12" s="19"/>
      <c r="F12" s="19"/>
      <c r="G12" s="19"/>
      <c r="H12" s="19"/>
      <c r="I12" s="19"/>
      <c r="J12" s="8"/>
    </row>
    <row r="13" spans="1:10" x14ac:dyDescent="0.25">
      <c r="B13" s="3" t="s">
        <v>1</v>
      </c>
      <c r="C13" s="3" t="s">
        <v>2</v>
      </c>
      <c r="D13" s="3" t="s">
        <v>3</v>
      </c>
      <c r="E13" s="3" t="s">
        <v>4</v>
      </c>
      <c r="F13" s="3" t="s">
        <v>5</v>
      </c>
      <c r="G13" s="3" t="s">
        <v>6</v>
      </c>
      <c r="H13" s="3"/>
      <c r="I13" s="3"/>
      <c r="J13" s="3"/>
    </row>
    <row r="14" spans="1:10" x14ac:dyDescent="0.25">
      <c r="A14" s="6" t="s">
        <v>9</v>
      </c>
      <c r="B14" s="9">
        <f t="array" ref="B14:G14">TRANSPOSE(MMULT(MINVERSE($B$3:$G$8),$I$3:$I$8-$B$10)/SUM(MMULT(MINVERSE($B$3:$G$8),$I$3:$I$8-$B$10)))</f>
        <v>0.26365359686479795</v>
      </c>
      <c r="C14" s="9">
        <v>-6.0469390020371848E-2</v>
      </c>
      <c r="D14" s="9">
        <v>0.36977520516804152</v>
      </c>
      <c r="E14" s="9">
        <v>-4.8126159231361709E-2</v>
      </c>
      <c r="F14" s="9">
        <v>-0.33873608173393949</v>
      </c>
      <c r="G14" s="9">
        <v>0.81390282895283361</v>
      </c>
      <c r="H14" s="10"/>
      <c r="I14" s="10"/>
      <c r="J14" s="10"/>
    </row>
    <row r="15" spans="1:10" x14ac:dyDescent="0.25">
      <c r="B15" s="3"/>
      <c r="C15" s="3"/>
      <c r="D15" s="3"/>
      <c r="E15" s="3"/>
      <c r="F15" s="3"/>
      <c r="G15" s="3"/>
      <c r="H15" s="3"/>
      <c r="I15" s="3"/>
      <c r="J15" s="3"/>
    </row>
    <row r="16" spans="1:10" x14ac:dyDescent="0.25">
      <c r="A16" s="6" t="s">
        <v>10</v>
      </c>
      <c r="B16" s="11">
        <v>336.44159999999999</v>
      </c>
      <c r="C16" s="11">
        <v>305.81759999999997</v>
      </c>
      <c r="D16" s="11">
        <v>152.92530000000002</v>
      </c>
      <c r="E16" s="11">
        <v>15.444997599999999</v>
      </c>
      <c r="F16" s="11">
        <v>41.014549799999998</v>
      </c>
      <c r="G16" s="11">
        <v>16.982952700000002</v>
      </c>
      <c r="H16" s="11"/>
      <c r="I16" s="11"/>
      <c r="J16" s="11"/>
    </row>
    <row r="17" spans="1:10" x14ac:dyDescent="0.25">
      <c r="A17" s="6" t="s">
        <v>11</v>
      </c>
      <c r="B17" s="12">
        <f t="shared" ref="B17:G17" si="0">B16/SUM($B$16:$K$16)</f>
        <v>0.3873257450680988</v>
      </c>
      <c r="C17" s="12">
        <f t="shared" si="0"/>
        <v>0.35207010600038102</v>
      </c>
      <c r="D17" s="12">
        <f t="shared" si="0"/>
        <v>0.17605404849537792</v>
      </c>
      <c r="E17" s="12">
        <f t="shared" si="0"/>
        <v>1.7780931974509091E-2</v>
      </c>
      <c r="F17" s="12">
        <f t="shared" si="0"/>
        <v>4.7217677778008553E-2</v>
      </c>
      <c r="G17" s="12">
        <f t="shared" si="0"/>
        <v>1.9551490683624679E-2</v>
      </c>
      <c r="H17" s="6" t="str">
        <f ca="1">[3]!getformula(G17)</f>
        <v>&lt;--  =G16/SUM($B$16:$K$16)</v>
      </c>
      <c r="I17" s="13"/>
      <c r="J17" s="13"/>
    </row>
    <row r="20" spans="1:10" x14ac:dyDescent="0.25">
      <c r="A20" s="20" t="str">
        <f>"Data table:  Optimal portfolio for various c's:  the table header (hidden) in row "&amp;ROW(B22)&amp;" refers to the computation of the efficient portfolio in row "&amp;ROW(B14)</f>
        <v>Data table:  Optimal portfolio for various c's:  the table header (hidden) in row 22 refers to the computation of the efficient portfolio in row 14</v>
      </c>
      <c r="B20" s="21"/>
      <c r="C20" s="21"/>
      <c r="D20" s="21"/>
      <c r="E20" s="21"/>
      <c r="F20" s="21"/>
      <c r="G20" s="21"/>
      <c r="H20" s="21"/>
      <c r="I20" s="21"/>
    </row>
    <row r="21" spans="1:10" ht="39.6" x14ac:dyDescent="0.25">
      <c r="A21" s="14"/>
      <c r="B21" s="3" t="s">
        <v>1</v>
      </c>
      <c r="C21" s="3" t="s">
        <v>2</v>
      </c>
      <c r="D21" s="3" t="s">
        <v>3</v>
      </c>
      <c r="E21" s="3" t="s">
        <v>4</v>
      </c>
      <c r="F21" s="3" t="s">
        <v>5</v>
      </c>
      <c r="G21" s="3" t="s">
        <v>6</v>
      </c>
      <c r="H21" s="15" t="s">
        <v>12</v>
      </c>
      <c r="I21" s="15" t="s">
        <v>13</v>
      </c>
      <c r="J21" s="3"/>
    </row>
    <row r="22" spans="1:10" x14ac:dyDescent="0.25">
      <c r="A22" s="2" t="s">
        <v>14</v>
      </c>
      <c r="B22" s="16">
        <f>B14</f>
        <v>0.26365359686479795</v>
      </c>
      <c r="C22" s="16">
        <f t="shared" ref="C22:G22" si="1">C14</f>
        <v>-6.0469390020371848E-2</v>
      </c>
      <c r="D22" s="16">
        <f t="shared" si="1"/>
        <v>0.36977520516804152</v>
      </c>
      <c r="E22" s="16">
        <f t="shared" si="1"/>
        <v>-4.8126159231361709E-2</v>
      </c>
      <c r="F22" s="16">
        <f t="shared" si="1"/>
        <v>-0.33873608173393949</v>
      </c>
      <c r="G22" s="16">
        <f t="shared" si="1"/>
        <v>0.81390282895283361</v>
      </c>
      <c r="H22" s="16">
        <f>MAX(B22:G22)</f>
        <v>0.81390282895283361</v>
      </c>
      <c r="I22" s="16">
        <f>MIN(B22:G22)</f>
        <v>-0.33873608173393949</v>
      </c>
      <c r="J22" s="6" t="s">
        <v>15</v>
      </c>
    </row>
    <row r="23" spans="1:10" x14ac:dyDescent="0.25">
      <c r="A23" s="17">
        <v>-0.1</v>
      </c>
      <c r="B23" s="5">
        <f t="dataTable" ref="B23:G41" dt2D="0" dtr="0" r1="B10"/>
        <v>0.44675039316241588</v>
      </c>
      <c r="C23" s="5">
        <v>-8.31348555200596E-2</v>
      </c>
      <c r="D23" s="5">
        <v>0.28407846090402883</v>
      </c>
      <c r="E23" s="5">
        <v>5.7273826309596531E-3</v>
      </c>
      <c r="F23" s="5">
        <v>-0.56657968185432195</v>
      </c>
      <c r="G23" s="5">
        <v>0.91315830067697712</v>
      </c>
      <c r="H23" s="5">
        <f>MAX(B23:G23)</f>
        <v>0.91315830067697712</v>
      </c>
      <c r="I23" s="5">
        <f>MIN(B23:G23)</f>
        <v>-0.56657968185432195</v>
      </c>
      <c r="J23" s="5"/>
    </row>
    <row r="24" spans="1:10" x14ac:dyDescent="0.25">
      <c r="A24" s="17">
        <v>-0.09</v>
      </c>
      <c r="B24" s="5">
        <v>0.43921515744626333</v>
      </c>
      <c r="C24" s="5">
        <v>-8.2202072267648793E-2</v>
      </c>
      <c r="D24" s="5">
        <v>0.28760525755582012</v>
      </c>
      <c r="E24" s="5">
        <v>3.5110733328840051E-3</v>
      </c>
      <c r="F24" s="5">
        <v>-0.55720291902700669</v>
      </c>
      <c r="G24" s="5">
        <v>0.90907350295968814</v>
      </c>
      <c r="H24" s="5">
        <f t="shared" ref="H24:H41" si="2">MAX(B24:G24)</f>
        <v>0.90907350295968814</v>
      </c>
      <c r="I24" s="5">
        <f t="shared" ref="I24:I41" si="3">MIN(B24:G24)</f>
        <v>-0.55720291902700669</v>
      </c>
      <c r="J24" s="5"/>
    </row>
    <row r="25" spans="1:10" x14ac:dyDescent="0.25">
      <c r="A25" s="17">
        <v>-0.08</v>
      </c>
      <c r="B25" s="5">
        <v>0.43095303140206015</v>
      </c>
      <c r="C25" s="5">
        <v>-8.1179307606575574E-2</v>
      </c>
      <c r="D25" s="5">
        <v>0.29147226843205765</v>
      </c>
      <c r="E25" s="12">
        <v>1.0809666363690311E-3</v>
      </c>
      <c r="F25" s="5">
        <v>-0.54692162202659544</v>
      </c>
      <c r="G25" s="5">
        <v>0.90459466316268411</v>
      </c>
      <c r="H25" s="5">
        <f t="shared" si="2"/>
        <v>0.90459466316268411</v>
      </c>
      <c r="I25" s="5">
        <f t="shared" si="3"/>
        <v>-0.54692162202659544</v>
      </c>
      <c r="J25" s="5"/>
    </row>
    <row r="26" spans="1:10" x14ac:dyDescent="0.25">
      <c r="A26" s="17">
        <v>-7.0000000000000007E-2</v>
      </c>
      <c r="B26" s="5">
        <v>0.42185350506471936</v>
      </c>
      <c r="C26" s="5">
        <v>-8.0052881560719075E-2</v>
      </c>
      <c r="D26" s="5">
        <v>0.29573121668906122</v>
      </c>
      <c r="E26" s="12">
        <v>-1.5954413207571792E-3</v>
      </c>
      <c r="F26" s="5">
        <v>-0.53559827349175837</v>
      </c>
      <c r="G26" s="5">
        <v>0.89966187461945413</v>
      </c>
      <c r="H26" s="5">
        <f t="shared" si="2"/>
        <v>0.89966187461945413</v>
      </c>
      <c r="I26" s="5">
        <f t="shared" si="3"/>
        <v>-0.53559827349175837</v>
      </c>
      <c r="J26" s="5"/>
    </row>
    <row r="27" spans="1:10" x14ac:dyDescent="0.25">
      <c r="A27" s="17">
        <v>-0.06</v>
      </c>
      <c r="B27" s="5">
        <v>0.41178247136290047</v>
      </c>
      <c r="C27" s="5">
        <v>-7.8806193079377626E-2</v>
      </c>
      <c r="D27" s="5">
        <v>0.30044486988819336</v>
      </c>
      <c r="E27" s="5">
        <v>-4.5575949248878918E-3</v>
      </c>
      <c r="F27" s="5">
        <v>-0.52306599208675675</v>
      </c>
      <c r="G27" s="5">
        <v>0.89420243883992845</v>
      </c>
      <c r="H27" s="5">
        <f t="shared" si="2"/>
        <v>0.89420243883992845</v>
      </c>
      <c r="I27" s="5">
        <f t="shared" si="3"/>
        <v>-0.52306599208675675</v>
      </c>
      <c r="J27" s="5"/>
    </row>
    <row r="28" spans="1:10" x14ac:dyDescent="0.25">
      <c r="A28" s="17">
        <v>-0.05</v>
      </c>
      <c r="B28" s="5">
        <v>0.40057557259927917</v>
      </c>
      <c r="C28" s="5">
        <v>-7.7418896401218046E-2</v>
      </c>
      <c r="D28" s="5">
        <v>0.30569015411357997</v>
      </c>
      <c r="E28" s="5">
        <v>-7.8538360602731991E-3</v>
      </c>
      <c r="F28" s="5">
        <v>-0.5091202529360962</v>
      </c>
      <c r="G28" s="5">
        <v>0.8881272586847283</v>
      </c>
      <c r="H28" s="5">
        <f t="shared" si="2"/>
        <v>0.8881272586847283</v>
      </c>
      <c r="I28" s="5">
        <f t="shared" si="3"/>
        <v>-0.5091202529360962</v>
      </c>
      <c r="J28" s="5"/>
    </row>
    <row r="29" spans="1:10" x14ac:dyDescent="0.25">
      <c r="A29" s="17">
        <v>-3.9999999999999897E-2</v>
      </c>
      <c r="B29" s="5">
        <v>0.38802916113051056</v>
      </c>
      <c r="C29" s="5">
        <v>-7.5865782081139893E-2</v>
      </c>
      <c r="D29" s="5">
        <v>0.31156238474137571</v>
      </c>
      <c r="E29" s="5">
        <v>-1.1544062808735699E-2</v>
      </c>
      <c r="F29" s="5">
        <v>-0.4935076391960429</v>
      </c>
      <c r="G29" s="5">
        <v>0.88132593821403227</v>
      </c>
      <c r="H29" s="5">
        <f t="shared" si="2"/>
        <v>0.88132593821403227</v>
      </c>
      <c r="I29" s="5">
        <f t="shared" si="3"/>
        <v>-0.4935076391960429</v>
      </c>
      <c r="J29" s="5"/>
    </row>
    <row r="30" spans="1:10" x14ac:dyDescent="0.25">
      <c r="A30" s="17">
        <v>-2.9999999999999898E-2</v>
      </c>
      <c r="B30" s="5">
        <v>0.37388781273189531</v>
      </c>
      <c r="C30" s="5">
        <v>-7.4115231275614604E-2</v>
      </c>
      <c r="D30" s="5">
        <v>0.31818111069272731</v>
      </c>
      <c r="E30" s="5">
        <v>-1.5703402094697706E-2</v>
      </c>
      <c r="F30" s="5">
        <v>-0.47591030382563165</v>
      </c>
      <c r="G30" s="5">
        <v>0.8736600137713213</v>
      </c>
      <c r="H30" s="5">
        <f t="shared" si="2"/>
        <v>0.8736600137713213</v>
      </c>
      <c r="I30" s="5">
        <f t="shared" si="3"/>
        <v>-0.47591030382563165</v>
      </c>
      <c r="J30" s="5"/>
    </row>
    <row r="31" spans="1:10" x14ac:dyDescent="0.25">
      <c r="A31" s="17">
        <v>-1.99999999999999E-2</v>
      </c>
      <c r="B31" s="5">
        <v>0.35782675472268954</v>
      </c>
      <c r="C31" s="5">
        <v>-7.2127040528659092E-2</v>
      </c>
      <c r="D31" s="5">
        <v>0.32569833878549609</v>
      </c>
      <c r="E31" s="5">
        <v>-2.042737803169873E-2</v>
      </c>
      <c r="F31" s="5">
        <v>-0.45592410334284772</v>
      </c>
      <c r="G31" s="5">
        <v>0.86495342839501987</v>
      </c>
      <c r="H31" s="5">
        <f t="shared" si="2"/>
        <v>0.86495342839501987</v>
      </c>
      <c r="I31" s="5">
        <f t="shared" si="3"/>
        <v>-0.45592410334284772</v>
      </c>
      <c r="J31" s="5"/>
    </row>
    <row r="32" spans="1:10" x14ac:dyDescent="0.25">
      <c r="A32" s="17">
        <v>-9.99999999999991E-3</v>
      </c>
      <c r="B32" s="5">
        <v>0.33942661676034752</v>
      </c>
      <c r="C32" s="5">
        <v>-6.9849296184639892E-2</v>
      </c>
      <c r="D32" s="5">
        <v>0.33431035138902782</v>
      </c>
      <c r="E32" s="5">
        <v>-2.5839338372155941E-2</v>
      </c>
      <c r="F32" s="5">
        <v>-0.43302717799611867</v>
      </c>
      <c r="G32" s="5">
        <v>0.85497884440353911</v>
      </c>
      <c r="H32" s="5">
        <f t="shared" si="2"/>
        <v>0.85497884440353911</v>
      </c>
      <c r="I32" s="5">
        <f t="shared" si="3"/>
        <v>-0.43302717799611867</v>
      </c>
      <c r="J32" s="5"/>
    </row>
    <row r="33" spans="1:10" x14ac:dyDescent="0.25">
      <c r="A33" s="17">
        <v>0</v>
      </c>
      <c r="B33" s="5">
        <v>0.31813628360445112</v>
      </c>
      <c r="C33" s="5">
        <v>-6.7213775949553495E-2</v>
      </c>
      <c r="D33" s="5">
        <v>0.34427509284081587</v>
      </c>
      <c r="E33" s="5">
        <v>-3.2101380478071033E-2</v>
      </c>
      <c r="F33" s="5">
        <v>-0.40653372616030997</v>
      </c>
      <c r="G33" s="5">
        <v>0.84343750614266744</v>
      </c>
      <c r="H33" s="5">
        <f t="shared" si="2"/>
        <v>0.84343750614266744</v>
      </c>
      <c r="I33" s="5">
        <f t="shared" si="3"/>
        <v>-0.40653372616030997</v>
      </c>
      <c r="J33" s="5"/>
    </row>
    <row r="34" spans="1:10" x14ac:dyDescent="0.25">
      <c r="A34" s="17">
        <v>0.01</v>
      </c>
      <c r="B34" s="5">
        <v>0.29321675127063168</v>
      </c>
      <c r="C34" s="5">
        <v>-6.412899887097244E-2</v>
      </c>
      <c r="D34" s="5">
        <v>0.35593844704893035</v>
      </c>
      <c r="E34" s="5">
        <v>-3.9430864690058048E-2</v>
      </c>
      <c r="F34" s="5">
        <v>-0.37552413956424213</v>
      </c>
      <c r="G34" s="5">
        <v>0.82992880480571063</v>
      </c>
      <c r="H34" s="5">
        <f t="shared" si="2"/>
        <v>0.82992880480571063</v>
      </c>
      <c r="I34" s="5">
        <f t="shared" si="3"/>
        <v>-0.37552413956424213</v>
      </c>
      <c r="J34" s="5"/>
    </row>
    <row r="35" spans="1:10" x14ac:dyDescent="0.25">
      <c r="A35" s="17">
        <v>0.02</v>
      </c>
      <c r="B35" s="5">
        <v>0.26365359686479795</v>
      </c>
      <c r="C35" s="5">
        <v>-6.0469390020371848E-2</v>
      </c>
      <c r="D35" s="5">
        <v>0.36977520516804152</v>
      </c>
      <c r="E35" s="5">
        <v>-4.8126159231361709E-2</v>
      </c>
      <c r="F35" s="5">
        <v>-0.33873608173393949</v>
      </c>
      <c r="G35" s="5">
        <v>0.81390282895283361</v>
      </c>
      <c r="H35" s="5">
        <f t="shared" si="2"/>
        <v>0.81390282895283361</v>
      </c>
      <c r="I35" s="5">
        <f t="shared" si="3"/>
        <v>-0.33873608173393949</v>
      </c>
      <c r="J35" s="5"/>
    </row>
    <row r="36" spans="1:10" x14ac:dyDescent="0.25">
      <c r="A36" s="17">
        <v>0.03</v>
      </c>
      <c r="B36" s="5">
        <v>0.22801548850638895</v>
      </c>
      <c r="C36" s="5">
        <v>-5.6057765503694498E-2</v>
      </c>
      <c r="D36" s="5">
        <v>0.38645528870745749</v>
      </c>
      <c r="E36" s="5">
        <v>-5.8608256128643496E-2</v>
      </c>
      <c r="F36" s="5">
        <v>-0.29438841932775728</v>
      </c>
      <c r="G36" s="5">
        <v>0.79458366374624889</v>
      </c>
      <c r="H36" s="5">
        <f t="shared" si="2"/>
        <v>0.79458366374624889</v>
      </c>
      <c r="I36" s="5">
        <f t="shared" si="3"/>
        <v>-0.29438841932775728</v>
      </c>
      <c r="J36" s="5"/>
    </row>
    <row r="37" spans="1:10" x14ac:dyDescent="0.25">
      <c r="A37" s="17">
        <v>0.04</v>
      </c>
      <c r="B37" s="5">
        <v>0.18421548238649096</v>
      </c>
      <c r="C37" s="5">
        <v>-5.0635783537483714E-2</v>
      </c>
      <c r="D37" s="5">
        <v>0.40695547221213163</v>
      </c>
      <c r="E37" s="5">
        <v>-7.1490979971138943E-2</v>
      </c>
      <c r="F37" s="5">
        <v>-0.23988418287224414</v>
      </c>
      <c r="G37" s="5">
        <v>0.77083999178224427</v>
      </c>
      <c r="H37" s="5">
        <f t="shared" si="2"/>
        <v>0.77083999178224427</v>
      </c>
      <c r="I37" s="5">
        <f t="shared" si="3"/>
        <v>-0.23988418287224414</v>
      </c>
      <c r="J37" s="5"/>
    </row>
    <row r="38" spans="1:10" x14ac:dyDescent="0.25">
      <c r="A38" s="17">
        <v>0.05</v>
      </c>
      <c r="B38" s="12">
        <v>0.12908710648235283</v>
      </c>
      <c r="C38" s="5">
        <v>-4.3811468053131873E-2</v>
      </c>
      <c r="D38" s="5">
        <v>0.43275779331811121</v>
      </c>
      <c r="E38" s="5">
        <v>-8.7705672743422516E-2</v>
      </c>
      <c r="F38" s="12">
        <v>-0.17128305009015274</v>
      </c>
      <c r="G38" s="5">
        <v>0.74095529108624314</v>
      </c>
      <c r="H38" s="5">
        <f t="shared" si="2"/>
        <v>0.74095529108624314</v>
      </c>
      <c r="I38" s="5">
        <f t="shared" si="3"/>
        <v>-0.17128305009015274</v>
      </c>
      <c r="J38" s="5"/>
    </row>
    <row r="39" spans="1:10" x14ac:dyDescent="0.25">
      <c r="A39" s="17">
        <v>7.0000000000000007E-2</v>
      </c>
      <c r="B39" s="12">
        <v>-3.8867503979337595E-2</v>
      </c>
      <c r="C39" s="12">
        <v>-2.3020446550247958E-2</v>
      </c>
      <c r="D39" s="5">
        <v>0.51136737902217611</v>
      </c>
      <c r="E39" s="5">
        <v>-0.13710550293360355</v>
      </c>
      <c r="F39" s="12">
        <v>3.7717783775916287E-2</v>
      </c>
      <c r="G39" s="5">
        <v>0.64990829066509681</v>
      </c>
      <c r="H39" s="5">
        <f t="shared" si="2"/>
        <v>0.64990829066509681</v>
      </c>
      <c r="I39" s="5">
        <f t="shared" si="3"/>
        <v>-0.13710550293360355</v>
      </c>
      <c r="J39" s="5"/>
    </row>
    <row r="40" spans="1:10" x14ac:dyDescent="0.25">
      <c r="A40" s="17">
        <v>0.09</v>
      </c>
      <c r="B40" s="5">
        <v>-0.38679921775671805</v>
      </c>
      <c r="C40" s="12">
        <v>2.0049855138974379E-2</v>
      </c>
      <c r="D40" s="5">
        <v>0.6742135658470606</v>
      </c>
      <c r="E40" s="5">
        <v>-0.23944129193715538</v>
      </c>
      <c r="F40" s="5">
        <v>0.47068010679895628</v>
      </c>
      <c r="G40" s="12">
        <v>0.46129698190888208</v>
      </c>
      <c r="H40" s="5">
        <f t="shared" si="2"/>
        <v>0.6742135658470606</v>
      </c>
      <c r="I40" s="5">
        <f t="shared" si="3"/>
        <v>-0.38679921775671805</v>
      </c>
      <c r="J40" s="5"/>
    </row>
    <row r="41" spans="1:10" x14ac:dyDescent="0.25">
      <c r="A41" s="17">
        <v>0.11</v>
      </c>
      <c r="B41" s="5">
        <v>-1.5378976294284168</v>
      </c>
      <c r="C41" s="5">
        <v>0.1625437811063154</v>
      </c>
      <c r="D41" s="5">
        <v>1.2129744191358067</v>
      </c>
      <c r="E41" s="5">
        <v>-0.57800934858326525</v>
      </c>
      <c r="F41" s="5">
        <v>1.9030940622120338</v>
      </c>
      <c r="G41" s="12">
        <v>-0.16270528444247381</v>
      </c>
      <c r="H41" s="5">
        <f t="shared" si="2"/>
        <v>1.9030940622120338</v>
      </c>
      <c r="I41" s="5">
        <f t="shared" si="3"/>
        <v>-1.5378976294284168</v>
      </c>
      <c r="J41" s="5"/>
    </row>
  </sheetData>
  <mergeCells count="3">
    <mergeCell ref="A1:I1"/>
    <mergeCell ref="A12:I12"/>
    <mergeCell ref="A20:I20"/>
  </mergeCells>
  <phoneticPr fontId="1" type="noConversion"/>
  <conditionalFormatting sqref="B14:G14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2024-10-31T07:24:13Z</dcterms:modified>
</cp:coreProperties>
</file>