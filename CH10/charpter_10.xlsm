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8AA090FD-3A3E-4285-A1D2-D901E5BC1D2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 a="1"/>
  <c r="F28" i="1" s="1"/>
  <c r="G18" i="1"/>
  <c r="F18" i="1"/>
  <c r="E18" i="1"/>
  <c r="D18" i="1"/>
  <c r="C18" i="1"/>
  <c r="B18" i="1"/>
  <c r="G17" i="1"/>
  <c r="F17" i="1"/>
  <c r="E17" i="1"/>
  <c r="D17" i="1"/>
  <c r="C17" i="1"/>
  <c r="B17" i="1"/>
  <c r="G16" i="1"/>
  <c r="F16" i="1"/>
  <c r="E16" i="1"/>
  <c r="D16" i="1"/>
  <c r="C16" i="1"/>
  <c r="B16" i="1"/>
  <c r="A1" i="1"/>
  <c r="A21" i="1"/>
  <c r="H18" i="1"/>
  <c r="H17" i="1"/>
  <c r="H16" i="1"/>
  <c r="B27" i="1" l="1"/>
  <c r="E23" i="1"/>
  <c r="C26" i="1"/>
  <c r="G28" i="1"/>
  <c r="F23" i="1"/>
  <c r="D26" i="1"/>
  <c r="F24" i="1"/>
  <c r="G23" i="1"/>
  <c r="E26" i="1"/>
  <c r="B24" i="1"/>
  <c r="F26" i="1"/>
  <c r="G24" i="1"/>
  <c r="E27" i="1"/>
  <c r="B25" i="1"/>
  <c r="F27" i="1"/>
  <c r="C25" i="1"/>
  <c r="G27" i="1"/>
  <c r="C24" i="1"/>
  <c r="D25" i="1"/>
  <c r="B28" i="1"/>
  <c r="E25" i="1"/>
  <c r="C28" i="1"/>
  <c r="C27" i="1"/>
  <c r="D28" i="1"/>
  <c r="C23" i="1"/>
  <c r="G25" i="1"/>
  <c r="E28" i="1"/>
  <c r="G26" i="1"/>
  <c r="D24" i="1"/>
  <c r="E24" i="1"/>
  <c r="D27" i="1"/>
  <c r="B23" i="1"/>
  <c r="F25" i="1"/>
  <c r="D23" i="1"/>
  <c r="B26" i="1"/>
</calcChain>
</file>

<file path=xl/sharedStrings.xml><?xml version="1.0" encoding="utf-8"?>
<sst xmlns="http://schemas.openxmlformats.org/spreadsheetml/2006/main" count="25" uniqueCount="13">
  <si>
    <t>Return data</t>
  </si>
  <si>
    <t>Date</t>
  </si>
  <si>
    <t>GE</t>
  </si>
  <si>
    <t>MSFT</t>
  </si>
  <si>
    <t>JNJ</t>
  </si>
  <si>
    <t>K</t>
  </si>
  <si>
    <t>BA</t>
  </si>
  <si>
    <t>IBM</t>
  </si>
  <si>
    <t>Average</t>
  </si>
  <si>
    <t>Standard deviation</t>
  </si>
  <si>
    <t>Variance</t>
  </si>
  <si>
    <t>Constant correlation</t>
  </si>
  <si>
    <t>&lt;-- This is an educated guesstimate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</si>
</sst>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/>
    <xf numFmtId="15" fontId="0" fillId="0" borderId="0" xfId="0" applyNumberFormat="1" applyAlignment="1">
      <alignment horizontal="center"/>
    </xf>
    <xf numFmtId="10" fontId="2" fillId="0" borderId="0" xfId="1" applyNumberFormat="1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176" fontId="0" fillId="0" borderId="0" xfId="0" applyNumberFormat="1" applyAlignment="1"/>
    <xf numFmtId="176" fontId="0" fillId="2" borderId="0" xfId="0" applyNumberFormat="1" applyFill="1" applyAlignment="1"/>
    <xf numFmtId="0" fontId="4" fillId="0" borderId="0" xfId="0" applyFont="1" applyAlignment="1">
      <alignment horizontal="left" vertical="center" wrapText="1"/>
    </xf>
    <xf numFmtId="0" fontId="0" fillId="3" borderId="0" xfId="0" applyFill="1" applyAlignment="1">
      <alignment horizontal="center"/>
    </xf>
    <xf numFmtId="176" fontId="0" fillId="3" borderId="0" xfId="0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228600</xdr:colOff>
      <xdr:row>3</xdr:row>
      <xdr:rowOff>57150</xdr:rowOff>
    </xdr:from>
    <xdr:to>
      <xdr:col>20</xdr:col>
      <xdr:colOff>228600</xdr:colOff>
      <xdr:row>35</xdr:row>
      <xdr:rowOff>76135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BFEA79B-4FD4-AA06-3E1D-38E2832AAF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34275" y="619125"/>
          <a:ext cx="6705600" cy="6086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28"/>
  <sheetViews>
    <sheetView tabSelected="1" zoomScale="145" zoomScaleNormal="145" workbookViewId="0">
      <selection activeCell="G30" sqref="G30"/>
    </sheetView>
  </sheetViews>
  <sheetFormatPr defaultRowHeight="13.8" x14ac:dyDescent="0.25"/>
  <cols>
    <col min="1" max="1" width="21.6640625" style="6" customWidth="1"/>
    <col min="2" max="7" width="8.88671875" style="3"/>
    <col min="8" max="8" width="22.6640625" style="3" bestFit="1" customWidth="1"/>
  </cols>
  <sheetData>
    <row r="1" spans="1:8" ht="17.399999999999999" x14ac:dyDescent="0.25">
      <c r="A1" s="1" t="str">
        <f>"ESTIMATING THE VARIANCE-COVARIANCE MATRIX USING 
THE CONSTANT-CORRELATION APPROACH
The constant correlation is set as r = "&amp;TEXT(B19,"0.0")</f>
        <v>ESTIMATING THE VARIANCE-COVARIANCE MATRIX USING 
THE CONSTANT-CORRELATION APPROACH
The constant correlation is set as r = 0.3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0</v>
      </c>
    </row>
    <row r="3" spans="1:8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/>
    </row>
    <row r="4" spans="1:8" x14ac:dyDescent="0.25">
      <c r="A4" s="4">
        <v>34337</v>
      </c>
      <c r="B4" s="5">
        <v>0.56444671520508838</v>
      </c>
      <c r="C4" s="5">
        <v>-1.5037877364540559E-2</v>
      </c>
      <c r="D4" s="5">
        <v>6.0103924069705515E-2</v>
      </c>
      <c r="E4" s="5">
        <v>-9.7915436027565986E-2</v>
      </c>
      <c r="F4" s="5">
        <v>0.58731171832467999</v>
      </c>
      <c r="G4" s="5">
        <v>7.7432759692560069E-2</v>
      </c>
      <c r="H4" s="5"/>
    </row>
    <row r="5" spans="1:8" x14ac:dyDescent="0.25">
      <c r="A5" s="4">
        <v>34702</v>
      </c>
      <c r="B5" s="5">
        <v>0.18232155679395459</v>
      </c>
      <c r="C5" s="5">
        <v>0.33213383502261484</v>
      </c>
      <c r="D5" s="5">
        <v>0.41559877382296978</v>
      </c>
      <c r="E5" s="5">
        <v>7.4571937519298012E-2</v>
      </c>
      <c r="F5" s="5">
        <v>-2.3781224049673243E-3</v>
      </c>
      <c r="G5" s="5">
        <v>-0.12164032105614142</v>
      </c>
      <c r="H5" s="5"/>
    </row>
    <row r="6" spans="1:8" x14ac:dyDescent="0.25">
      <c r="A6" s="4">
        <v>35066</v>
      </c>
      <c r="B6" s="5">
        <v>0.56932183044759921</v>
      </c>
      <c r="C6" s="5">
        <v>0.44280277854580868</v>
      </c>
      <c r="D6" s="5">
        <v>0.57713846354436926</v>
      </c>
      <c r="E6" s="5">
        <v>0.37761004630609196</v>
      </c>
      <c r="F6" s="5">
        <v>0.65554420578107764</v>
      </c>
      <c r="G6" s="5">
        <v>0.30003749411770636</v>
      </c>
      <c r="H6" s="5"/>
    </row>
    <row r="7" spans="1:8" x14ac:dyDescent="0.25">
      <c r="A7" s="4">
        <v>35432</v>
      </c>
      <c r="B7" s="5">
        <v>0.42867843048794668</v>
      </c>
      <c r="C7" s="5">
        <v>0.79115085799206308</v>
      </c>
      <c r="D7" s="5">
        <v>0.22940287091404585</v>
      </c>
      <c r="E7" s="5">
        <v>-5.0876389807343811E-2</v>
      </c>
      <c r="F7" s="5">
        <v>0.5434160567213141</v>
      </c>
      <c r="G7" s="5">
        <v>-0.41775259729894415</v>
      </c>
      <c r="H7" s="5"/>
    </row>
    <row r="8" spans="1:8" x14ac:dyDescent="0.25">
      <c r="A8" s="4">
        <v>35797</v>
      </c>
      <c r="B8" s="5">
        <v>0.47111330200617335</v>
      </c>
      <c r="C8" s="5">
        <v>0.38036365668032207</v>
      </c>
      <c r="D8" s="5">
        <v>0.17623377849310673</v>
      </c>
      <c r="E8" s="5">
        <v>0.32039589477196262</v>
      </c>
      <c r="F8" s="5">
        <v>0.37114264453303181</v>
      </c>
      <c r="G8" s="5">
        <v>0.47322088565612025</v>
      </c>
      <c r="H8" s="5"/>
    </row>
    <row r="9" spans="1:8" x14ac:dyDescent="0.25">
      <c r="A9" s="4">
        <v>36164</v>
      </c>
      <c r="B9" s="5">
        <v>0.34547568192446243</v>
      </c>
      <c r="C9" s="5">
        <v>0.8525379124482414</v>
      </c>
      <c r="D9" s="5">
        <v>0.26618332488068819</v>
      </c>
      <c r="E9" s="5">
        <v>-0.10737956563486276</v>
      </c>
      <c r="F9" s="5">
        <v>0.15053557753818592</v>
      </c>
      <c r="G9" s="5">
        <v>0.37702757971044587</v>
      </c>
      <c r="H9" s="5"/>
    </row>
    <row r="10" spans="1:8" x14ac:dyDescent="0.25">
      <c r="A10" s="4">
        <v>36528</v>
      </c>
      <c r="B10" s="5">
        <v>0.28152972131185594</v>
      </c>
      <c r="C10" s="5">
        <v>0.11200200440985024</v>
      </c>
      <c r="D10" s="5">
        <v>3.4111834506863122E-2</v>
      </c>
      <c r="E10" s="5">
        <v>-0.48928618090838627</v>
      </c>
      <c r="F10" s="5">
        <v>0.43526794343187897</v>
      </c>
      <c r="G10" s="5">
        <v>-0.13323909043172966</v>
      </c>
      <c r="H10" s="5"/>
    </row>
    <row r="11" spans="1:8" x14ac:dyDescent="0.25">
      <c r="A11" s="4">
        <v>36893</v>
      </c>
      <c r="B11" s="5">
        <v>4.6071091921937368E-2</v>
      </c>
      <c r="C11" s="5">
        <v>-0.47194325389691516</v>
      </c>
      <c r="D11" s="5">
        <v>0.10688374519834776</v>
      </c>
      <c r="E11" s="5">
        <v>0.11666758657251773</v>
      </c>
      <c r="F11" s="5">
        <v>0.28291473002020701</v>
      </c>
      <c r="G11" s="5">
        <v>-0.78390104636559421</v>
      </c>
      <c r="H11" s="5"/>
    </row>
    <row r="12" spans="1:8" x14ac:dyDescent="0.25">
      <c r="A12" s="4">
        <v>37258</v>
      </c>
      <c r="B12" s="5">
        <v>-0.19742801479649347</v>
      </c>
      <c r="C12" s="5">
        <v>4.2697300467286127E-2</v>
      </c>
      <c r="D12" s="5">
        <v>0.23114796006900939</v>
      </c>
      <c r="E12" s="5">
        <v>0.19904599973514916</v>
      </c>
      <c r="F12" s="5">
        <v>-0.15086637755437701</v>
      </c>
      <c r="G12" s="5">
        <v>-0.25162574624802359</v>
      </c>
      <c r="H12" s="5"/>
    </row>
    <row r="13" spans="1:8" x14ac:dyDescent="0.25">
      <c r="A13" s="4">
        <v>37623</v>
      </c>
      <c r="B13" s="5">
        <v>-0.44784992572779375</v>
      </c>
      <c r="C13" s="5">
        <v>-0.29467288579706979</v>
      </c>
      <c r="D13" s="5">
        <v>-5.6657596004628455E-2</v>
      </c>
      <c r="E13" s="5">
        <v>0.10883878003415107</v>
      </c>
      <c r="F13" s="5">
        <v>-0.23230595878763066</v>
      </c>
      <c r="G13" s="5">
        <v>-1.3703095882162164</v>
      </c>
      <c r="H13" s="5"/>
    </row>
    <row r="14" spans="1:8" x14ac:dyDescent="0.25">
      <c r="A14" s="4">
        <v>37988</v>
      </c>
      <c r="B14" s="5">
        <v>0.35900929586965324</v>
      </c>
      <c r="C14" s="5">
        <v>0.18005140825941549</v>
      </c>
      <c r="D14" s="5">
        <v>-1.2736567388731407E-2</v>
      </c>
      <c r="E14" s="5">
        <v>0.1548647105609153</v>
      </c>
      <c r="F14" s="5">
        <v>0.39822571885658403</v>
      </c>
      <c r="G14" s="5">
        <v>0.16442004456429668</v>
      </c>
      <c r="H14" s="5"/>
    </row>
    <row r="16" spans="1:8" x14ac:dyDescent="0.25">
      <c r="A16" s="6" t="s">
        <v>8</v>
      </c>
      <c r="B16" s="7">
        <f t="shared" ref="B16:G16" si="0">AVERAGE(B4:B14)</f>
        <v>0.23660815322221673</v>
      </c>
      <c r="C16" s="7">
        <f t="shared" si="0"/>
        <v>0.21382597606973422</v>
      </c>
      <c r="D16" s="7">
        <f t="shared" si="0"/>
        <v>0.1843100465550678</v>
      </c>
      <c r="E16" s="7">
        <f t="shared" si="0"/>
        <v>5.5139762101993367E-2</v>
      </c>
      <c r="F16" s="7">
        <f t="shared" si="0"/>
        <v>0.27625528513272585</v>
      </c>
      <c r="G16" s="7">
        <f t="shared" si="0"/>
        <v>-0.15330269326141094</v>
      </c>
      <c r="H16" s="7" t="str">
        <f ca="1">[2]!getformula(G16)</f>
        <v>&lt;--  =AVERAGE(G4:G14)</v>
      </c>
    </row>
    <row r="17" spans="1:8" x14ac:dyDescent="0.25">
      <c r="A17" s="6" t="s">
        <v>9</v>
      </c>
      <c r="B17" s="5">
        <f t="shared" ref="B17:G17" si="1">STDEV(B4:B14)</f>
        <v>0.32171943662556884</v>
      </c>
      <c r="C17" s="5">
        <f t="shared" si="1"/>
        <v>0.40711692921454828</v>
      </c>
      <c r="D17" s="5">
        <f t="shared" si="1"/>
        <v>0.18965192381063015</v>
      </c>
      <c r="E17" s="5">
        <f t="shared" si="1"/>
        <v>0.23864750057184578</v>
      </c>
      <c r="F17" s="5">
        <f t="shared" si="1"/>
        <v>0.29928419828700653</v>
      </c>
      <c r="G17" s="5">
        <f t="shared" si="1"/>
        <v>0.54710622369113959</v>
      </c>
      <c r="H17" s="7" t="str">
        <f ca="1">[2]!getformula(G17)</f>
        <v>&lt;--  =STDEV(G4:G14)</v>
      </c>
    </row>
    <row r="18" spans="1:8" x14ac:dyDescent="0.25">
      <c r="A18" s="6" t="s">
        <v>10</v>
      </c>
      <c r="B18" s="8">
        <f t="shared" ref="B18:G18" si="2">VAR(B4:B14)</f>
        <v>0.10350339590267339</v>
      </c>
      <c r="C18" s="8">
        <f t="shared" si="2"/>
        <v>0.16574419405308352</v>
      </c>
      <c r="D18" s="8">
        <f t="shared" si="2"/>
        <v>3.5967852205073064E-2</v>
      </c>
      <c r="E18" s="8">
        <f t="shared" si="2"/>
        <v>5.6952629529189128E-2</v>
      </c>
      <c r="F18" s="8">
        <f t="shared" si="2"/>
        <v>8.9571031344296254E-2</v>
      </c>
      <c r="G18" s="8">
        <f t="shared" si="2"/>
        <v>0.29932522000157924</v>
      </c>
      <c r="H18" s="7" t="str">
        <f ca="1">[2]!getformula(G18)</f>
        <v>&lt;--  =VAR(G4:G14)</v>
      </c>
    </row>
    <row r="19" spans="1:8" x14ac:dyDescent="0.25">
      <c r="A19" s="11" t="s">
        <v>11</v>
      </c>
      <c r="B19" s="12">
        <v>0.3</v>
      </c>
      <c r="C19" s="3" t="s">
        <v>12</v>
      </c>
    </row>
    <row r="21" spans="1:8" ht="58.2" customHeight="1" x14ac:dyDescent="0.25">
      <c r="A21" s="10" t="str">
        <f ca="1">"Uses the array formula "&amp;[2]!ggetformula(B23)&amp;" to compute the constant correlation matrix"</f>
        <v>Uses the array formula  {=IF(A23:A28=B22:G22,B18:G18,MMULT(TRANSPOSE(B17:G17),B17:G17)*B19)} to compute the constant correlation matrix</v>
      </c>
      <c r="B21" s="10"/>
      <c r="C21" s="10"/>
      <c r="D21" s="10"/>
      <c r="E21" s="10"/>
      <c r="F21" s="10"/>
      <c r="G21" s="10"/>
      <c r="H21" s="10"/>
    </row>
    <row r="22" spans="1:8" x14ac:dyDescent="0.25">
      <c r="B22" s="2" t="s">
        <v>2</v>
      </c>
      <c r="C22" s="2" t="s">
        <v>3</v>
      </c>
      <c r="D22" s="2" t="s">
        <v>4</v>
      </c>
      <c r="E22" s="2" t="s">
        <v>5</v>
      </c>
      <c r="F22" s="2" t="s">
        <v>6</v>
      </c>
      <c r="G22" s="2" t="s">
        <v>7</v>
      </c>
      <c r="H22" s="2"/>
    </row>
    <row r="23" spans="1:8" x14ac:dyDescent="0.25">
      <c r="A23" s="2" t="s">
        <v>2</v>
      </c>
      <c r="B23" s="9">
        <f t="array" ref="B23:G28">IF(A23:A28=B22:G22,B18:G18,MMULT(TRANSPOSE(B17:G17),B17:G17)*B19)</f>
        <v>0.10350339590267339</v>
      </c>
      <c r="C23" s="9">
        <v>3.9293228732290818E-2</v>
      </c>
      <c r="D23" s="9">
        <v>1.8304413024993371E-2</v>
      </c>
      <c r="E23" s="9">
        <v>2.3033261830822303E-2</v>
      </c>
      <c r="F23" s="9">
        <v>2.8885663099149233E-2</v>
      </c>
      <c r="G23" s="9">
        <v>5.2804411818076762E-2</v>
      </c>
      <c r="H23" s="8"/>
    </row>
    <row r="24" spans="1:8" x14ac:dyDescent="0.25">
      <c r="A24" s="2" t="s">
        <v>3</v>
      </c>
      <c r="B24" s="9">
        <v>3.9293228732290818E-2</v>
      </c>
      <c r="C24" s="9">
        <v>0.16574419405308352</v>
      </c>
      <c r="D24" s="9">
        <v>2.3163152652424562E-2</v>
      </c>
      <c r="E24" s="9">
        <v>2.9147231279261099E-2</v>
      </c>
      <c r="F24" s="9">
        <v>3.6553099130713217E-2</v>
      </c>
      <c r="G24" s="9">
        <v>6.6820861722991343E-2</v>
      </c>
      <c r="H24" s="8"/>
    </row>
    <row r="25" spans="1:8" x14ac:dyDescent="0.25">
      <c r="A25" s="2" t="s">
        <v>4</v>
      </c>
      <c r="B25" s="9">
        <v>1.8304413024993371E-2</v>
      </c>
      <c r="C25" s="9">
        <v>2.3163152652424562E-2</v>
      </c>
      <c r="D25" s="9">
        <v>3.5967852205073064E-2</v>
      </c>
      <c r="E25" s="9">
        <v>1.3577987278814704E-2</v>
      </c>
      <c r="F25" s="9">
        <v>1.7027947191375865E-2</v>
      </c>
      <c r="G25" s="9">
        <v>3.1127924355538072E-2</v>
      </c>
      <c r="H25" s="8"/>
    </row>
    <row r="26" spans="1:8" x14ac:dyDescent="0.25">
      <c r="A26" s="2" t="s">
        <v>5</v>
      </c>
      <c r="B26" s="9">
        <v>2.3033261830822303E-2</v>
      </c>
      <c r="C26" s="9">
        <v>2.9147231279261099E-2</v>
      </c>
      <c r="D26" s="9">
        <v>1.3577987278814704E-2</v>
      </c>
      <c r="E26" s="9">
        <v>5.6952629529189128E-2</v>
      </c>
      <c r="F26" s="9">
        <v>2.1427027764552836E-2</v>
      </c>
      <c r="G26" s="9">
        <v>3.916965984935749E-2</v>
      </c>
      <c r="H26" s="8"/>
    </row>
    <row r="27" spans="1:8" x14ac:dyDescent="0.25">
      <c r="A27" s="2" t="s">
        <v>6</v>
      </c>
      <c r="B27" s="9">
        <v>2.8885663099149233E-2</v>
      </c>
      <c r="C27" s="9">
        <v>3.6553099130713217E-2</v>
      </c>
      <c r="D27" s="9">
        <v>1.7027947191375865E-2</v>
      </c>
      <c r="E27" s="9">
        <v>2.1427027764552836E-2</v>
      </c>
      <c r="F27" s="9">
        <v>8.9571031344296254E-2</v>
      </c>
      <c r="G27" s="9">
        <v>4.912207426057031E-2</v>
      </c>
      <c r="H27" s="8"/>
    </row>
    <row r="28" spans="1:8" x14ac:dyDescent="0.25">
      <c r="A28" s="2" t="s">
        <v>7</v>
      </c>
      <c r="B28" s="9">
        <v>5.2804411818076762E-2</v>
      </c>
      <c r="C28" s="9">
        <v>6.6820861722991343E-2</v>
      </c>
      <c r="D28" s="9">
        <v>3.1127924355538072E-2</v>
      </c>
      <c r="E28" s="9">
        <v>3.916965984935749E-2</v>
      </c>
      <c r="F28" s="9">
        <v>4.912207426057031E-2</v>
      </c>
      <c r="G28" s="9">
        <v>0.29932522000157924</v>
      </c>
      <c r="H28" s="8"/>
    </row>
  </sheetData>
  <mergeCells count="2">
    <mergeCell ref="A1:H1"/>
    <mergeCell ref="A21:H2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2024-10-31T07:43:50Z</dcterms:modified>
</cp:coreProperties>
</file>