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0\"/>
    </mc:Choice>
  </mc:AlternateContent>
  <xr:revisionPtr revIDLastSave="0" documentId="13_ncr:1_{41F1A06C-195B-4097-99C2-B556759F4DD0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definedNames>
    <definedName name="_xlnm.Print_Area" localSheetId="0">Sheet1!$A$1:$Q$28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1" i="1" l="1"/>
  <c r="G14" i="1"/>
  <c r="F14" i="1"/>
  <c r="E14" i="1"/>
  <c r="D14" i="1"/>
  <c r="C14" i="1"/>
  <c r="B14" i="1"/>
  <c r="G13" i="1"/>
  <c r="F13" i="1"/>
  <c r="E13" i="1"/>
  <c r="D13" i="1"/>
  <c r="C13" i="1"/>
  <c r="B13" i="1"/>
  <c r="G12" i="1"/>
  <c r="F12" i="1"/>
  <c r="E12" i="1"/>
  <c r="D12" i="1"/>
  <c r="C12" i="1"/>
  <c r="B12" i="1"/>
  <c r="G11" i="1"/>
  <c r="F11" i="1"/>
  <c r="E11" i="1"/>
  <c r="D11" i="1"/>
  <c r="C11" i="1"/>
  <c r="B11" i="1"/>
  <c r="G10" i="1"/>
  <c r="F10" i="1"/>
  <c r="E10" i="1"/>
  <c r="D10" i="1"/>
  <c r="C10" i="1"/>
  <c r="B10" i="1"/>
  <c r="G9" i="1"/>
  <c r="F9" i="1"/>
  <c r="E9" i="1"/>
  <c r="D9" i="1"/>
  <c r="C9" i="1"/>
  <c r="B9" i="1"/>
  <c r="G8" i="1"/>
  <c r="F8" i="1"/>
  <c r="E8" i="1"/>
  <c r="D8" i="1"/>
  <c r="C8" i="1"/>
  <c r="B8" i="1"/>
  <c r="B18" i="1" s="1"/>
  <c r="G7" i="1"/>
  <c r="F7" i="1"/>
  <c r="E7" i="1"/>
  <c r="B21" i="1" s="1"/>
  <c r="D7" i="1"/>
  <c r="C7" i="1"/>
  <c r="B7" i="1"/>
  <c r="G6" i="1"/>
  <c r="F6" i="1"/>
  <c r="E6" i="1"/>
  <c r="D6" i="1"/>
  <c r="C6" i="1"/>
  <c r="B6" i="1"/>
  <c r="G5" i="1"/>
  <c r="F5" i="1"/>
  <c r="E5" i="1"/>
  <c r="D5" i="1"/>
  <c r="D18" i="1" s="1"/>
  <c r="C5" i="1"/>
  <c r="B5" i="1"/>
  <c r="G4" i="1"/>
  <c r="G23" i="1" s="1"/>
  <c r="F4" i="1"/>
  <c r="F20" i="1" s="1"/>
  <c r="E4" i="1"/>
  <c r="E18" i="1" s="1"/>
  <c r="D4" i="1"/>
  <c r="D23" i="1" s="1"/>
  <c r="C4" i="1"/>
  <c r="C21" i="1" s="1"/>
  <c r="B4" i="1"/>
  <c r="B23" i="1" s="1"/>
  <c r="A16" i="1"/>
  <c r="F18" i="1" l="1"/>
  <c r="D21" i="1"/>
  <c r="B19" i="1"/>
  <c r="F21" i="1"/>
  <c r="C19" i="1"/>
  <c r="G21" i="1"/>
  <c r="D19" i="1"/>
  <c r="B22" i="1"/>
  <c r="E19" i="1"/>
  <c r="C22" i="1"/>
  <c r="F19" i="1"/>
  <c r="D22" i="1"/>
  <c r="G19" i="1"/>
  <c r="E22" i="1"/>
  <c r="G18" i="1"/>
  <c r="B20" i="1"/>
  <c r="F22" i="1"/>
  <c r="C20" i="1"/>
  <c r="G22" i="1"/>
  <c r="D20" i="1"/>
  <c r="E20" i="1"/>
  <c r="C23" i="1"/>
  <c r="C18" i="1"/>
  <c r="G20" i="1"/>
  <c r="E23" i="1"/>
  <c r="F23" i="1"/>
</calcChain>
</file>

<file path=xl/sharedStrings.xml><?xml version="1.0" encoding="utf-8"?>
<sst xmlns="http://schemas.openxmlformats.org/spreadsheetml/2006/main" count="9" uniqueCount="9">
  <si>
    <t>USING OFFSET AND COVAR TO CREATE THE 
VARIANCE-COVARIANCE MATRIX</t>
  </si>
  <si>
    <t>Return data</t>
  </si>
  <si>
    <t>Date</t>
  </si>
  <si>
    <t>GE</t>
  </si>
  <si>
    <t>MSFT</t>
  </si>
  <si>
    <t>JNJ</t>
  </si>
  <si>
    <t>K</t>
  </si>
  <si>
    <t>BA</t>
  </si>
  <si>
    <t>IBM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</si>
</sst>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/>
    <xf numFmtId="0" fontId="4" fillId="0" borderId="0" xfId="0" applyFont="1" applyAlignment="1">
      <alignment horizontal="center"/>
    </xf>
    <xf numFmtId="0" fontId="0" fillId="0" borderId="0" xfId="0" applyAlignment="1"/>
    <xf numFmtId="10" fontId="2" fillId="0" borderId="0" xfId="1" applyNumberFormat="1" applyAlignment="1"/>
    <xf numFmtId="0" fontId="0" fillId="0" borderId="0" xfId="0" applyAlignment="1">
      <alignment horizontal="center"/>
    </xf>
    <xf numFmtId="0" fontId="4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 wrapText="1"/>
    </xf>
    <xf numFmtId="176" fontId="0" fillId="0" borderId="0" xfId="0" applyNumberFormat="1" applyAlignment="1"/>
    <xf numFmtId="14" fontId="0" fillId="0" borderId="0" xfId="0" applyNumberFormat="1" applyAlignment="1">
      <alignment horizont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257175</xdr:colOff>
      <xdr:row>0</xdr:row>
      <xdr:rowOff>35378</xdr:rowOff>
    </xdr:from>
    <xdr:to>
      <xdr:col>16</xdr:col>
      <xdr:colOff>169545</xdr:colOff>
      <xdr:row>26</xdr:row>
      <xdr:rowOff>12518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523A738A-8DE8-16A5-CB27-0659070FA9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046889" y="35378"/>
          <a:ext cx="5398770" cy="4968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0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0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292-95"/>
      <sheetName val="Page 292-95中文"/>
      <sheetName val="Page 296"/>
      <sheetName val="Page 296中文"/>
      <sheetName val="Page 298"/>
      <sheetName val="Page 298中文"/>
      <sheetName val="Page 299"/>
      <sheetName val="Page 299中文"/>
      <sheetName val="Page 300"/>
      <sheetName val="Page 300中文"/>
      <sheetName val="Pages 301-302"/>
      <sheetName val="Pages 301-302中文"/>
      <sheetName val="Page 303"/>
      <sheetName val="Page 303中文"/>
      <sheetName val="Page 305"/>
      <sheetName val="Page 305中文"/>
      <sheetName val="Page 306"/>
      <sheetName val="Page 306中文"/>
      <sheetName val="Page 307"/>
      <sheetName val="Page 307中文"/>
      <sheetName val="Page 308"/>
      <sheetName val="Page 308中文"/>
      <sheetName val="Page 309"/>
      <sheetName val="Page 309中文"/>
      <sheetName val="Page 311, top"/>
      <sheetName val="Page 311, top中文"/>
      <sheetName val="Page 311, bottom"/>
      <sheetName val="Page 311, bottom中文"/>
      <sheetName val="Page 312"/>
      <sheetName val="Page 312中文"/>
      <sheetName val="Page 313"/>
      <sheetName val="Page 313中文"/>
      <sheetName val="Page 314"/>
      <sheetName val="Page 314中文"/>
      <sheetName val="Compare"/>
      <sheetName val="Compare中文"/>
    </sheetNames>
    <sheetDataSet>
      <sheetData sheetId="0">
        <row r="23">
          <cell r="B23">
            <v>0.56444671520508838</v>
          </cell>
          <cell r="C23">
            <v>-1.5037877364540559E-2</v>
          </cell>
          <cell r="D23">
            <v>6.0103924069705515E-2</v>
          </cell>
          <cell r="E23">
            <v>-9.7915436027565986E-2</v>
          </cell>
          <cell r="F23">
            <v>0.58731171832467999</v>
          </cell>
          <cell r="G23">
            <v>0.21513873977235295</v>
          </cell>
        </row>
        <row r="24">
          <cell r="B24">
            <v>0.18232155679395459</v>
          </cell>
          <cell r="C24">
            <v>0.33213383502261484</v>
          </cell>
          <cell r="D24">
            <v>0.41559877382296978</v>
          </cell>
          <cell r="E24">
            <v>7.4571937519298012E-2</v>
          </cell>
          <cell r="F24">
            <v>-2.3781224049673243E-3</v>
          </cell>
          <cell r="G24">
            <v>6.038318283896326E-2</v>
          </cell>
        </row>
        <row r="25">
          <cell r="B25">
            <v>0.56932183044759921</v>
          </cell>
          <cell r="C25">
            <v>0.44280277854580868</v>
          </cell>
          <cell r="D25">
            <v>0.57713846354436926</v>
          </cell>
          <cell r="E25">
            <v>0.37761004630609196</v>
          </cell>
          <cell r="F25">
            <v>0.65554420578107764</v>
          </cell>
          <cell r="G25">
            <v>0.27325133966115783</v>
          </cell>
        </row>
        <row r="26">
          <cell r="B26">
            <v>0.42867843048794668</v>
          </cell>
          <cell r="C26">
            <v>0.79115085799206308</v>
          </cell>
          <cell r="D26">
            <v>0.22940287091404585</v>
          </cell>
          <cell r="E26">
            <v>-5.0876389807343811E-2</v>
          </cell>
          <cell r="F26">
            <v>0.5434160567213141</v>
          </cell>
          <cell r="G26">
            <v>0.41084015158897974</v>
          </cell>
        </row>
        <row r="27">
          <cell r="B27">
            <v>0.47111330200617335</v>
          </cell>
          <cell r="C27">
            <v>0.38036365668032207</v>
          </cell>
          <cell r="D27">
            <v>0.17623377849310673</v>
          </cell>
          <cell r="E27">
            <v>0.32039589477196262</v>
          </cell>
          <cell r="F27">
            <v>0.37114264453303181</v>
          </cell>
          <cell r="G27">
            <v>2.6291992182133208E-2</v>
          </cell>
        </row>
        <row r="28">
          <cell r="B28">
            <v>0.34547568192446243</v>
          </cell>
          <cell r="C28">
            <v>0.8525379124482414</v>
          </cell>
          <cell r="D28">
            <v>0.26618332488068819</v>
          </cell>
          <cell r="E28">
            <v>-0.10737956563486276</v>
          </cell>
          <cell r="F28">
            <v>0.15053557753818592</v>
          </cell>
          <cell r="G28">
            <v>-2.1107275447946366E-2</v>
          </cell>
        </row>
        <row r="29">
          <cell r="B29">
            <v>0.28152972131185594</v>
          </cell>
          <cell r="C29">
            <v>0.11200200440985024</v>
          </cell>
          <cell r="D29">
            <v>3.4111834506863122E-2</v>
          </cell>
          <cell r="E29">
            <v>-0.48928618090838627</v>
          </cell>
          <cell r="F29">
            <v>0.43526794343187897</v>
          </cell>
          <cell r="G29">
            <v>0.23764678955224222</v>
          </cell>
        </row>
        <row r="30">
          <cell r="B30">
            <v>4.6071091921937368E-2</v>
          </cell>
          <cell r="C30">
            <v>-0.47194325389691516</v>
          </cell>
          <cell r="D30">
            <v>0.10688374519834776</v>
          </cell>
          <cell r="E30">
            <v>0.11666758657251773</v>
          </cell>
          <cell r="F30">
            <v>0.28291473002020701</v>
          </cell>
          <cell r="G30">
            <v>0.21762375809061188</v>
          </cell>
        </row>
        <row r="31">
          <cell r="B31">
            <v>-0.19742801479649347</v>
          </cell>
          <cell r="C31">
            <v>4.2697300467286127E-2</v>
          </cell>
          <cell r="D31">
            <v>0.23114796006900939</v>
          </cell>
          <cell r="E31">
            <v>0.19904599973514916</v>
          </cell>
          <cell r="F31">
            <v>-0.15086637755437701</v>
          </cell>
          <cell r="G31">
            <v>4.5485151822900263E-2</v>
          </cell>
        </row>
        <row r="32">
          <cell r="B32">
            <v>-0.44784992572779375</v>
          </cell>
          <cell r="C32">
            <v>-0.29467288579706979</v>
          </cell>
          <cell r="D32">
            <v>-5.6657596004628455E-2</v>
          </cell>
          <cell r="E32">
            <v>0.10883878003415107</v>
          </cell>
          <cell r="F32">
            <v>-0.23230595878763066</v>
          </cell>
          <cell r="G32">
            <v>0.15535325852434001</v>
          </cell>
        </row>
        <row r="33">
          <cell r="B33">
            <v>0.35900929586965324</v>
          </cell>
          <cell r="C33">
            <v>0.18005140825941549</v>
          </cell>
          <cell r="D33">
            <v>-1.2736567388731407E-2</v>
          </cell>
          <cell r="E33">
            <v>0.1548647105609153</v>
          </cell>
          <cell r="F33">
            <v>0.39822571885658403</v>
          </cell>
          <cell r="G33">
            <v>0.31795050205482422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>
    <pageSetUpPr fitToPage="1"/>
  </sheetPr>
  <dimension ref="A1:H23"/>
  <sheetViews>
    <sheetView tabSelected="1" zoomScale="175" zoomScaleNormal="175" workbookViewId="0">
      <selection activeCell="A16" sqref="A16:G16"/>
    </sheetView>
  </sheetViews>
  <sheetFormatPr defaultRowHeight="13.8" x14ac:dyDescent="0.25"/>
  <cols>
    <col min="1" max="1" width="16.5546875" style="6" customWidth="1"/>
    <col min="2" max="8" width="8.88671875" style="4"/>
  </cols>
  <sheetData>
    <row r="1" spans="1:8" ht="17.399999999999999" x14ac:dyDescent="0.3">
      <c r="A1" s="1" t="s">
        <v>0</v>
      </c>
      <c r="B1" s="1"/>
      <c r="C1" s="1"/>
      <c r="D1" s="1"/>
      <c r="E1" s="1"/>
      <c r="F1" s="1"/>
      <c r="G1" s="1"/>
      <c r="H1" s="2"/>
    </row>
    <row r="2" spans="1:8" x14ac:dyDescent="0.25">
      <c r="A2" s="3" t="s">
        <v>1</v>
      </c>
    </row>
    <row r="3" spans="1:8" x14ac:dyDescent="0.25">
      <c r="A3" s="3" t="s">
        <v>2</v>
      </c>
      <c r="B3" s="3" t="s">
        <v>3</v>
      </c>
      <c r="C3" s="3" t="s">
        <v>4</v>
      </c>
      <c r="D3" s="3" t="s">
        <v>5</v>
      </c>
      <c r="E3" s="3" t="s">
        <v>6</v>
      </c>
      <c r="F3" s="3" t="s">
        <v>7</v>
      </c>
      <c r="G3" s="3" t="s">
        <v>8</v>
      </c>
      <c r="H3" s="3"/>
    </row>
    <row r="4" spans="1:8" x14ac:dyDescent="0.25">
      <c r="A4" s="11">
        <v>34337</v>
      </c>
      <c r="B4" s="5">
        <f>'[1]Page 292-95'!B23</f>
        <v>0.56444671520508838</v>
      </c>
      <c r="C4" s="5">
        <f>'[1]Page 292-95'!C23</f>
        <v>-1.5037877364540559E-2</v>
      </c>
      <c r="D4" s="5">
        <f>'[1]Page 292-95'!D23</f>
        <v>6.0103924069705515E-2</v>
      </c>
      <c r="E4" s="5">
        <f>'[1]Page 292-95'!E23</f>
        <v>-9.7915436027565986E-2</v>
      </c>
      <c r="F4" s="5">
        <f>'[1]Page 292-95'!F23</f>
        <v>0.58731171832467999</v>
      </c>
      <c r="G4" s="5">
        <f>'[1]Page 292-95'!G23</f>
        <v>0.21513873977235295</v>
      </c>
      <c r="H4" s="5"/>
    </row>
    <row r="5" spans="1:8" x14ac:dyDescent="0.25">
      <c r="A5" s="11">
        <v>34702</v>
      </c>
      <c r="B5" s="5">
        <f>'[1]Page 292-95'!B24</f>
        <v>0.18232155679395459</v>
      </c>
      <c r="C5" s="5">
        <f>'[1]Page 292-95'!C24</f>
        <v>0.33213383502261484</v>
      </c>
      <c r="D5" s="5">
        <f>'[1]Page 292-95'!D24</f>
        <v>0.41559877382296978</v>
      </c>
      <c r="E5" s="5">
        <f>'[1]Page 292-95'!E24</f>
        <v>7.4571937519298012E-2</v>
      </c>
      <c r="F5" s="5">
        <f>'[1]Page 292-95'!F24</f>
        <v>-2.3781224049673243E-3</v>
      </c>
      <c r="G5" s="5">
        <f>'[1]Page 292-95'!G24</f>
        <v>6.038318283896326E-2</v>
      </c>
      <c r="H5" s="5"/>
    </row>
    <row r="6" spans="1:8" x14ac:dyDescent="0.25">
      <c r="A6" s="11">
        <v>35066</v>
      </c>
      <c r="B6" s="5">
        <f>'[1]Page 292-95'!B25</f>
        <v>0.56932183044759921</v>
      </c>
      <c r="C6" s="5">
        <f>'[1]Page 292-95'!C25</f>
        <v>0.44280277854580868</v>
      </c>
      <c r="D6" s="5">
        <f>'[1]Page 292-95'!D25</f>
        <v>0.57713846354436926</v>
      </c>
      <c r="E6" s="5">
        <f>'[1]Page 292-95'!E25</f>
        <v>0.37761004630609196</v>
      </c>
      <c r="F6" s="5">
        <f>'[1]Page 292-95'!F25</f>
        <v>0.65554420578107764</v>
      </c>
      <c r="G6" s="5">
        <f>'[1]Page 292-95'!G25</f>
        <v>0.27325133966115783</v>
      </c>
      <c r="H6" s="5"/>
    </row>
    <row r="7" spans="1:8" x14ac:dyDescent="0.25">
      <c r="A7" s="11">
        <v>35432</v>
      </c>
      <c r="B7" s="5">
        <f>'[1]Page 292-95'!B26</f>
        <v>0.42867843048794668</v>
      </c>
      <c r="C7" s="5">
        <f>'[1]Page 292-95'!C26</f>
        <v>0.79115085799206308</v>
      </c>
      <c r="D7" s="5">
        <f>'[1]Page 292-95'!D26</f>
        <v>0.22940287091404585</v>
      </c>
      <c r="E7" s="5">
        <f>'[1]Page 292-95'!E26</f>
        <v>-5.0876389807343811E-2</v>
      </c>
      <c r="F7" s="5">
        <f>'[1]Page 292-95'!F26</f>
        <v>0.5434160567213141</v>
      </c>
      <c r="G7" s="5">
        <f>'[1]Page 292-95'!G26</f>
        <v>0.41084015158897974</v>
      </c>
      <c r="H7" s="5"/>
    </row>
    <row r="8" spans="1:8" x14ac:dyDescent="0.25">
      <c r="A8" s="11">
        <v>35797</v>
      </c>
      <c r="B8" s="5">
        <f>'[1]Page 292-95'!B27</f>
        <v>0.47111330200617335</v>
      </c>
      <c r="C8" s="5">
        <f>'[1]Page 292-95'!C27</f>
        <v>0.38036365668032207</v>
      </c>
      <c r="D8" s="5">
        <f>'[1]Page 292-95'!D27</f>
        <v>0.17623377849310673</v>
      </c>
      <c r="E8" s="5">
        <f>'[1]Page 292-95'!E27</f>
        <v>0.32039589477196262</v>
      </c>
      <c r="F8" s="5">
        <f>'[1]Page 292-95'!F27</f>
        <v>0.37114264453303181</v>
      </c>
      <c r="G8" s="5">
        <f>'[1]Page 292-95'!G27</f>
        <v>2.6291992182133208E-2</v>
      </c>
      <c r="H8" s="5"/>
    </row>
    <row r="9" spans="1:8" x14ac:dyDescent="0.25">
      <c r="A9" s="11">
        <v>36164</v>
      </c>
      <c r="B9" s="5">
        <f>'[1]Page 292-95'!B28</f>
        <v>0.34547568192446243</v>
      </c>
      <c r="C9" s="5">
        <f>'[1]Page 292-95'!C28</f>
        <v>0.8525379124482414</v>
      </c>
      <c r="D9" s="5">
        <f>'[1]Page 292-95'!D28</f>
        <v>0.26618332488068819</v>
      </c>
      <c r="E9" s="5">
        <f>'[1]Page 292-95'!E28</f>
        <v>-0.10737956563486276</v>
      </c>
      <c r="F9" s="5">
        <f>'[1]Page 292-95'!F28</f>
        <v>0.15053557753818592</v>
      </c>
      <c r="G9" s="5">
        <f>'[1]Page 292-95'!G28</f>
        <v>-2.1107275447946366E-2</v>
      </c>
      <c r="H9" s="5"/>
    </row>
    <row r="10" spans="1:8" x14ac:dyDescent="0.25">
      <c r="A10" s="11">
        <v>36528</v>
      </c>
      <c r="B10" s="5">
        <f>'[1]Page 292-95'!B29</f>
        <v>0.28152972131185594</v>
      </c>
      <c r="C10" s="5">
        <f>'[1]Page 292-95'!C29</f>
        <v>0.11200200440985024</v>
      </c>
      <c r="D10" s="5">
        <f>'[1]Page 292-95'!D29</f>
        <v>3.4111834506863122E-2</v>
      </c>
      <c r="E10" s="5">
        <f>'[1]Page 292-95'!E29</f>
        <v>-0.48928618090838627</v>
      </c>
      <c r="F10" s="5">
        <f>'[1]Page 292-95'!F29</f>
        <v>0.43526794343187897</v>
      </c>
      <c r="G10" s="5">
        <f>'[1]Page 292-95'!G29</f>
        <v>0.23764678955224222</v>
      </c>
      <c r="H10" s="5"/>
    </row>
    <row r="11" spans="1:8" x14ac:dyDescent="0.25">
      <c r="A11" s="11">
        <v>36893</v>
      </c>
      <c r="B11" s="5">
        <f>'[1]Page 292-95'!B30</f>
        <v>4.6071091921937368E-2</v>
      </c>
      <c r="C11" s="5">
        <f>'[1]Page 292-95'!C30</f>
        <v>-0.47194325389691516</v>
      </c>
      <c r="D11" s="5">
        <f>'[1]Page 292-95'!D30</f>
        <v>0.10688374519834776</v>
      </c>
      <c r="E11" s="5">
        <f>'[1]Page 292-95'!E30</f>
        <v>0.11666758657251773</v>
      </c>
      <c r="F11" s="5">
        <f>'[1]Page 292-95'!F30</f>
        <v>0.28291473002020701</v>
      </c>
      <c r="G11" s="5">
        <f>'[1]Page 292-95'!G30</f>
        <v>0.21762375809061188</v>
      </c>
      <c r="H11" s="5"/>
    </row>
    <row r="12" spans="1:8" x14ac:dyDescent="0.25">
      <c r="A12" s="11">
        <v>37258</v>
      </c>
      <c r="B12" s="5">
        <f>'[1]Page 292-95'!B31</f>
        <v>-0.19742801479649347</v>
      </c>
      <c r="C12" s="5">
        <f>'[1]Page 292-95'!C31</f>
        <v>4.2697300467286127E-2</v>
      </c>
      <c r="D12" s="5">
        <f>'[1]Page 292-95'!D31</f>
        <v>0.23114796006900939</v>
      </c>
      <c r="E12" s="5">
        <f>'[1]Page 292-95'!E31</f>
        <v>0.19904599973514916</v>
      </c>
      <c r="F12" s="5">
        <f>'[1]Page 292-95'!F31</f>
        <v>-0.15086637755437701</v>
      </c>
      <c r="G12" s="5">
        <f>'[1]Page 292-95'!G31</f>
        <v>4.5485151822900263E-2</v>
      </c>
      <c r="H12" s="5"/>
    </row>
    <row r="13" spans="1:8" x14ac:dyDescent="0.25">
      <c r="A13" s="11">
        <v>37623</v>
      </c>
      <c r="B13" s="5">
        <f>'[1]Page 292-95'!B32</f>
        <v>-0.44784992572779375</v>
      </c>
      <c r="C13" s="5">
        <f>'[1]Page 292-95'!C32</f>
        <v>-0.29467288579706979</v>
      </c>
      <c r="D13" s="5">
        <f>'[1]Page 292-95'!D32</f>
        <v>-5.6657596004628455E-2</v>
      </c>
      <c r="E13" s="5">
        <f>'[1]Page 292-95'!E32</f>
        <v>0.10883878003415107</v>
      </c>
      <c r="F13" s="5">
        <f>'[1]Page 292-95'!F32</f>
        <v>-0.23230595878763066</v>
      </c>
      <c r="G13" s="5">
        <f>'[1]Page 292-95'!G32</f>
        <v>0.15535325852434001</v>
      </c>
      <c r="H13" s="5"/>
    </row>
    <row r="14" spans="1:8" x14ac:dyDescent="0.25">
      <c r="A14" s="11">
        <v>37988</v>
      </c>
      <c r="B14" s="5">
        <f>'[1]Page 292-95'!B33</f>
        <v>0.35900929586965324</v>
      </c>
      <c r="C14" s="5">
        <f>'[1]Page 292-95'!C33</f>
        <v>0.18005140825941549</v>
      </c>
      <c r="D14" s="5">
        <f>'[1]Page 292-95'!D33</f>
        <v>-1.2736567388731407E-2</v>
      </c>
      <c r="E14" s="5">
        <f>'[1]Page 292-95'!E33</f>
        <v>0.1548647105609153</v>
      </c>
      <c r="F14" s="5">
        <f>'[1]Page 292-95'!F33</f>
        <v>0.39822571885658403</v>
      </c>
      <c r="G14" s="5">
        <f>'[1]Page 292-95'!G33</f>
        <v>0.31795050205482422</v>
      </c>
      <c r="H14" s="5"/>
    </row>
    <row r="15" spans="1:8" x14ac:dyDescent="0.25">
      <c r="B15" s="5"/>
    </row>
    <row r="16" spans="1:8" ht="46.8" customHeight="1" x14ac:dyDescent="0.25">
      <c r="A16" s="7" t="str">
        <f ca="1">"Sample var-cov matrix, uses the formula "&amp;[2]!ggetformula(B18)&amp;" to compute the sample var-cov matrix.  This formula is copied in each cell."</f>
        <v>Sample var-cov matrix, uses the formula =COVAR(OFFSET($B$4:$B$14,0,B$17),OFFSET($B$4:$B$14,0,$A18))*11/10 to compute the sample var-cov matrix.  This formula is copied in each cell.</v>
      </c>
      <c r="B16" s="8"/>
      <c r="C16" s="8"/>
      <c r="D16" s="8"/>
      <c r="E16" s="8"/>
      <c r="F16" s="8"/>
      <c r="G16" s="8"/>
      <c r="H16" s="9"/>
    </row>
    <row r="17" spans="1:8" x14ac:dyDescent="0.25">
      <c r="B17" s="3">
        <v>0</v>
      </c>
      <c r="C17" s="3">
        <v>1</v>
      </c>
      <c r="D17" s="3">
        <v>2</v>
      </c>
      <c r="E17" s="3">
        <v>3</v>
      </c>
      <c r="F17" s="3">
        <v>4</v>
      </c>
      <c r="G17" s="3">
        <v>5</v>
      </c>
      <c r="H17" s="3"/>
    </row>
    <row r="18" spans="1:8" x14ac:dyDescent="0.25">
      <c r="A18" s="3">
        <v>0</v>
      </c>
      <c r="B18" s="10">
        <f t="shared" ref="B18:G23" ca="1" si="0">COVAR(OFFSET($B$4:$B$14,0,B$17),OFFSET($B$4:$B$14,0,$A18))*11/10</f>
        <v>0.10350339590267339</v>
      </c>
      <c r="C18" s="10">
        <f ca="1">COVAR(OFFSET($B$4:$B$14,0,C$17),OFFSET($B$4:$B$14,0,$A18))*11/10</f>
        <v>7.584851745149486E-2</v>
      </c>
      <c r="D18" s="10">
        <f ca="1">COVAR(OFFSET($B$4:$B$14,0,D$17),OFFSET($B$4:$B$14,0,$A18))*11/10</f>
        <v>2.2159397029916771E-2</v>
      </c>
      <c r="E18" s="10">
        <f ca="1">COVAR(OFFSET($B$4:$B$14,0,E$17),OFFSET($B$4:$B$14,0,$A18))*11/10</f>
        <v>-4.2982317962569584E-3</v>
      </c>
      <c r="F18" s="10">
        <f ca="1">COVAR(OFFSET($B$4:$B$14,0,F$17),OFFSET($B$4:$B$14,0,$A18))*11/10</f>
        <v>8.5745403769960343E-2</v>
      </c>
      <c r="G18" s="10">
        <f ca="1">COVAR(OFFSET($B$4:$B$14,0,G$17),OFFSET($B$4:$B$14,0,$A18))*11/10</f>
        <v>1.2299771404392937E-2</v>
      </c>
      <c r="H18" s="10"/>
    </row>
    <row r="19" spans="1:8" x14ac:dyDescent="0.25">
      <c r="A19" s="3">
        <v>1</v>
      </c>
      <c r="B19" s="10">
        <f t="shared" ca="1" si="0"/>
        <v>7.584851745149486E-2</v>
      </c>
      <c r="C19" s="10">
        <f t="shared" ca="1" si="0"/>
        <v>0.16574419405308355</v>
      </c>
      <c r="D19" s="10">
        <f t="shared" ca="1" si="0"/>
        <v>4.1228178711632993E-2</v>
      </c>
      <c r="E19" s="10">
        <f t="shared" ca="1" si="0"/>
        <v>-5.1726477136713293E-3</v>
      </c>
      <c r="F19" s="10">
        <f t="shared" ca="1" si="0"/>
        <v>3.7925440892755888E-2</v>
      </c>
      <c r="G19" s="10">
        <f t="shared" ca="1" si="0"/>
        <v>-2.239730397487762E-3</v>
      </c>
      <c r="H19" s="10"/>
    </row>
    <row r="20" spans="1:8" x14ac:dyDescent="0.25">
      <c r="A20" s="3">
        <v>2</v>
      </c>
      <c r="B20" s="10">
        <f t="shared" ca="1" si="0"/>
        <v>2.2159397029916771E-2</v>
      </c>
      <c r="C20" s="10">
        <f t="shared" ca="1" si="0"/>
        <v>4.1228178711632993E-2</v>
      </c>
      <c r="D20" s="10">
        <f t="shared" ca="1" si="0"/>
        <v>3.5967852205073078E-2</v>
      </c>
      <c r="E20" s="10">
        <f t="shared" ca="1" si="0"/>
        <v>1.811094996608098E-2</v>
      </c>
      <c r="F20" s="10">
        <f t="shared" ca="1" si="0"/>
        <v>1.010116224480139E-2</v>
      </c>
      <c r="G20" s="10">
        <f t="shared" ca="1" si="0"/>
        <v>-3.9328902436987553E-3</v>
      </c>
      <c r="H20" s="10"/>
    </row>
    <row r="21" spans="1:8" x14ac:dyDescent="0.25">
      <c r="A21" s="3">
        <v>3</v>
      </c>
      <c r="B21" s="10">
        <f t="shared" ca="1" si="0"/>
        <v>-4.2982317962569584E-3</v>
      </c>
      <c r="C21" s="10">
        <f t="shared" ca="1" si="0"/>
        <v>-5.1726477136713293E-3</v>
      </c>
      <c r="D21" s="10">
        <f t="shared" ca="1" si="0"/>
        <v>1.811094996608098E-2</v>
      </c>
      <c r="E21" s="10">
        <f t="shared" ca="1" si="0"/>
        <v>5.6952629529189128E-2</v>
      </c>
      <c r="F21" s="10">
        <f t="shared" ca="1" si="0"/>
        <v>-7.6207962734914699E-3</v>
      </c>
      <c r="G21" s="10">
        <f t="shared" ca="1" si="0"/>
        <v>-4.6186177423792676E-3</v>
      </c>
      <c r="H21" s="10"/>
    </row>
    <row r="22" spans="1:8" x14ac:dyDescent="0.25">
      <c r="A22" s="3">
        <v>4</v>
      </c>
      <c r="B22" s="10">
        <f t="shared" ca="1" si="0"/>
        <v>8.5745403769960343E-2</v>
      </c>
      <c r="C22" s="10">
        <f t="shared" ca="1" si="0"/>
        <v>3.7925440892755888E-2</v>
      </c>
      <c r="D22" s="10">
        <f t="shared" ca="1" si="0"/>
        <v>1.010116224480139E-2</v>
      </c>
      <c r="E22" s="10">
        <f t="shared" ca="1" si="0"/>
        <v>-7.6207962734914699E-3</v>
      </c>
      <c r="F22" s="10">
        <f t="shared" ca="1" si="0"/>
        <v>8.9571031344296226E-2</v>
      </c>
      <c r="G22" s="10">
        <f t="shared" ca="1" si="0"/>
        <v>2.4822979456358491E-2</v>
      </c>
      <c r="H22" s="10"/>
    </row>
    <row r="23" spans="1:8" x14ac:dyDescent="0.25">
      <c r="A23" s="3">
        <v>5</v>
      </c>
      <c r="B23" s="10">
        <f t="shared" ca="1" si="0"/>
        <v>1.2299771404392937E-2</v>
      </c>
      <c r="C23" s="10">
        <f t="shared" ca="1" si="0"/>
        <v>-2.239730397487762E-3</v>
      </c>
      <c r="D23" s="10">
        <f t="shared" ca="1" si="0"/>
        <v>-3.9328902436987553E-3</v>
      </c>
      <c r="E23" s="10">
        <f t="shared" ca="1" si="0"/>
        <v>-4.6186177423792676E-3</v>
      </c>
      <c r="F23" s="10">
        <f t="shared" ca="1" si="0"/>
        <v>2.4822979456358491E-2</v>
      </c>
      <c r="G23" s="10">
        <f t="shared" ca="1" si="0"/>
        <v>1.8391305497884269E-2</v>
      </c>
      <c r="H23" s="10"/>
    </row>
  </sheetData>
  <mergeCells count="2">
    <mergeCell ref="A1:G1"/>
    <mergeCell ref="A16:G16"/>
  </mergeCells>
  <phoneticPr fontId="1" type="noConversion"/>
  <printOptions horizontalCentered="1"/>
  <pageMargins left="0" right="0" top="0.74803149606299213" bottom="0.74803149606299213" header="0.31496062992125984" footer="0.31496062992125984"/>
  <pageSetup paperSize="9" scale="8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cp:lastPrinted>2024-10-30T09:35:40Z</cp:lastPrinted>
  <dcterms:created xsi:type="dcterms:W3CDTF">2024-10-05T13:27:14Z</dcterms:created>
  <dcterms:modified xsi:type="dcterms:W3CDTF">2024-10-30T09:35:42Z</dcterms:modified>
</cp:coreProperties>
</file>