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E5768E7C-6EE4-4F6E-86B4-2052EFA430B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1" l="1" a="1"/>
  <c r="G29" i="1" s="1"/>
  <c r="G18" i="1"/>
  <c r="F18" i="1"/>
  <c r="E18" i="1"/>
  <c r="D18" i="1"/>
  <c r="C18" i="1"/>
  <c r="B18" i="1"/>
  <c r="G17" i="1"/>
  <c r="F17" i="1"/>
  <c r="E17" i="1"/>
  <c r="D17" i="1"/>
  <c r="C17" i="1"/>
  <c r="B17" i="1"/>
  <c r="G16" i="1"/>
  <c r="F16" i="1"/>
  <c r="E16" i="1"/>
  <c r="D16" i="1"/>
  <c r="C16" i="1"/>
  <c r="B16" i="1"/>
  <c r="G37" i="1"/>
  <c r="G36" i="1"/>
  <c r="G35" i="1"/>
  <c r="A31" i="1"/>
  <c r="A22" i="1"/>
  <c r="H16" i="1"/>
  <c r="H17" i="1"/>
  <c r="H18" i="1"/>
  <c r="F24" i="1" l="1"/>
  <c r="D27" i="1"/>
  <c r="G24" i="1"/>
  <c r="E27" i="1"/>
  <c r="B25" i="1"/>
  <c r="F27" i="1"/>
  <c r="D25" i="1"/>
  <c r="B28" i="1"/>
  <c r="E25" i="1"/>
  <c r="C28" i="1"/>
  <c r="F25" i="1"/>
  <c r="D28" i="1"/>
  <c r="G25" i="1"/>
  <c r="E28" i="1"/>
  <c r="C25" i="1"/>
  <c r="B26" i="1"/>
  <c r="F28" i="1"/>
  <c r="C26" i="1"/>
  <c r="G28" i="1"/>
  <c r="G27" i="1"/>
  <c r="D26" i="1"/>
  <c r="B29" i="1"/>
  <c r="E26" i="1"/>
  <c r="C29" i="1"/>
  <c r="B24" i="1"/>
  <c r="F26" i="1"/>
  <c r="D29" i="1"/>
  <c r="C24" i="1"/>
  <c r="G26" i="1"/>
  <c r="E29" i="1"/>
  <c r="D24" i="1"/>
  <c r="B27" i="1"/>
  <c r="F29" i="1"/>
  <c r="E24" i="1"/>
  <c r="C27" i="1"/>
  <c r="B32" i="1" l="1" a="1"/>
  <c r="B33" i="1" l="1"/>
  <c r="B37" i="1"/>
  <c r="B36" i="1"/>
  <c r="B35" i="1"/>
  <c r="B34" i="1"/>
  <c r="B32" i="1"/>
  <c r="M4" i="1" l="1" a="1"/>
  <c r="F36" i="1" a="1"/>
  <c r="F36" i="1" s="1"/>
  <c r="F37" i="1" s="1"/>
  <c r="L4" i="1" s="1"/>
  <c r="F35" i="1" a="1"/>
  <c r="F35" i="1" s="1"/>
  <c r="K4" i="1" s="1"/>
  <c r="M4" i="1" l="1"/>
  <c r="Q4" i="1"/>
  <c r="R4" i="1"/>
  <c r="P4" i="1"/>
  <c r="O4" i="1"/>
  <c r="N4" i="1"/>
</calcChain>
</file>

<file path=xl/sharedStrings.xml><?xml version="1.0" encoding="utf-8"?>
<sst xmlns="http://schemas.openxmlformats.org/spreadsheetml/2006/main" count="46" uniqueCount="21">
  <si>
    <t>COMPUTING THE GLOBAL MINIMUM VARIANCE PORTFOLIO 
USING A SHRINKAGE VARIANCE-COVARIANCE MATRIX</t>
  </si>
  <si>
    <t>Return data</t>
  </si>
  <si>
    <r>
      <t>Data table:  varying the shrinkage factor</t>
    </r>
    <r>
      <rPr>
        <b/>
        <sz val="12"/>
        <rFont val="Symbol"/>
        <family val="1"/>
        <charset val="2"/>
      </rPr>
      <t xml:space="preserve"> l</t>
    </r>
  </si>
  <si>
    <t>Date</t>
  </si>
  <si>
    <t>GE</t>
  </si>
  <si>
    <t>MSFT</t>
  </si>
  <si>
    <t>JNJ</t>
  </si>
  <si>
    <t>K</t>
  </si>
  <si>
    <t>BA</t>
  </si>
  <si>
    <t>IBM</t>
  </si>
  <si>
    <t>l</t>
  </si>
  <si>
    <t>GMVP
mean</t>
  </si>
  <si>
    <t>GMVP
sigma</t>
  </si>
  <si>
    <t>Average</t>
  </si>
  <si>
    <t>Standard deviation</t>
  </si>
  <si>
    <t>Variance</t>
  </si>
  <si>
    <r>
      <t xml:space="preserve">Shrinkage factor </t>
    </r>
    <r>
      <rPr>
        <b/>
        <sz val="10"/>
        <rFont val="Symbol"/>
        <family val="1"/>
        <charset val="2"/>
      </rPr>
      <t>l</t>
    </r>
  </si>
  <si>
    <t>&lt;-- This is the weight put on the sample var-cov</t>
  </si>
  <si>
    <t>GMVP statistics</t>
  </si>
  <si>
    <t>Mean return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</si>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</sst>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"/>
    <numFmt numFmtId="177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2"/>
      <name val="Symbol"/>
      <family val="1"/>
      <charset val="2"/>
    </font>
    <font>
      <b/>
      <sz val="10"/>
      <name val="Symbol"/>
      <family val="1"/>
      <charset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0" fontId="2" fillId="0" borderId="0" xfId="1" applyNumberFormat="1" applyAlignment="1"/>
    <xf numFmtId="176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/>
    </xf>
    <xf numFmtId="10" fontId="0" fillId="0" borderId="0" xfId="1" applyNumberFormat="1" applyFont="1" applyAlignment="1"/>
    <xf numFmtId="177" fontId="0" fillId="0" borderId="0" xfId="0" applyNumberFormat="1" applyAlignment="1"/>
    <xf numFmtId="10" fontId="0" fillId="0" borderId="0" xfId="0" applyNumberFormat="1" applyAlignment="1"/>
    <xf numFmtId="0" fontId="0" fillId="2" borderId="0" xfId="0" applyFill="1" applyAlignme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wrapText="1"/>
    </xf>
    <xf numFmtId="0" fontId="4" fillId="2" borderId="0" xfId="0" applyFont="1" applyFill="1" applyAlignment="1"/>
    <xf numFmtId="177" fontId="0" fillId="2" borderId="0" xfId="0" applyNumberFormat="1" applyFill="1" applyAlignment="1"/>
    <xf numFmtId="0" fontId="4" fillId="0" borderId="0" xfId="0" applyFont="1" applyAlignment="1"/>
    <xf numFmtId="10" fontId="2" fillId="2" borderId="0" xfId="1" applyNumberFormat="1" applyFill="1" applyAlignment="1"/>
    <xf numFmtId="14" fontId="0" fillId="0" borderId="0" xfId="0" applyNumberFormat="1" applyAlignment="1">
      <alignment horizontal="center"/>
    </xf>
    <xf numFmtId="0" fontId="4" fillId="3" borderId="0" xfId="0" applyFont="1" applyFill="1" applyAlignment="1">
      <alignment horizontal="center"/>
    </xf>
    <xf numFmtId="0" fontId="8" fillId="0" borderId="0" xfId="0" applyFont="1" applyAlignment="1">
      <alignment vertical="center" wrapText="1"/>
    </xf>
  </cellXfs>
  <cellStyles count="2">
    <cellStyle name="百分比" xfId="1" builtinId="5"/>
    <cellStyle name="常规" xfId="0" builtinId="0"/>
  </cellStyles>
  <dxfs count="1">
    <dxf>
      <fill>
        <patternFill>
          <bgColor indexed="4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428625</xdr:colOff>
      <xdr:row>0</xdr:row>
      <xdr:rowOff>0</xdr:rowOff>
    </xdr:from>
    <xdr:to>
      <xdr:col>44</xdr:col>
      <xdr:colOff>323850</xdr:colOff>
      <xdr:row>44</xdr:row>
      <xdr:rowOff>94224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9DD7A9C-A3AA-4BBA-B9BE-5280E8A5F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163925" y="0"/>
          <a:ext cx="15135225" cy="9163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R37"/>
  <sheetViews>
    <sheetView tabSelected="1" zoomScale="130" zoomScaleNormal="130" workbookViewId="0">
      <selection activeCell="L22" sqref="L22"/>
    </sheetView>
  </sheetViews>
  <sheetFormatPr defaultRowHeight="13.8" x14ac:dyDescent="0.25"/>
  <cols>
    <col min="1" max="1" width="19.109375" style="3" customWidth="1"/>
    <col min="2" max="3" width="8.88671875" style="3"/>
    <col min="4" max="4" width="10.5546875" style="3" bestFit="1" customWidth="1"/>
    <col min="5" max="7" width="11.5546875" style="3" bestFit="1" customWidth="1"/>
    <col min="8" max="8" width="46.88671875" style="3" customWidth="1"/>
    <col min="9" max="9" width="11.5546875" style="3" bestFit="1" customWidth="1"/>
    <col min="10" max="18" width="8.88671875" style="3"/>
  </cols>
  <sheetData>
    <row r="1" spans="1:18" ht="17.399999999999999" x14ac:dyDescent="0.25">
      <c r="A1" s="1" t="s">
        <v>0</v>
      </c>
      <c r="B1" s="1"/>
      <c r="C1" s="1"/>
      <c r="D1" s="1"/>
      <c r="E1" s="1"/>
      <c r="F1" s="1"/>
      <c r="G1" s="1"/>
      <c r="H1" s="1"/>
      <c r="I1" s="2"/>
      <c r="J1" s="2"/>
      <c r="K1" s="2"/>
    </row>
    <row r="2" spans="1:18" ht="15.6" x14ac:dyDescent="0.25">
      <c r="A2" s="4" t="s">
        <v>1</v>
      </c>
      <c r="J2" s="5" t="s">
        <v>2</v>
      </c>
      <c r="K2" s="5"/>
      <c r="L2" s="5"/>
      <c r="M2" s="5"/>
      <c r="N2" s="5"/>
      <c r="O2" s="5"/>
      <c r="P2" s="5"/>
      <c r="Q2" s="5"/>
      <c r="R2" s="5"/>
    </row>
    <row r="3" spans="1:18" ht="26.4" x14ac:dyDescent="0.25">
      <c r="A3" s="6" t="s">
        <v>3</v>
      </c>
      <c r="B3" s="6" t="s">
        <v>4</v>
      </c>
      <c r="C3" s="6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/>
      <c r="I3" s="6"/>
      <c r="J3" s="7" t="s">
        <v>10</v>
      </c>
      <c r="K3" s="8" t="s">
        <v>11</v>
      </c>
      <c r="L3" s="8" t="s">
        <v>12</v>
      </c>
      <c r="M3" s="8" t="s">
        <v>4</v>
      </c>
      <c r="N3" s="8" t="s">
        <v>5</v>
      </c>
      <c r="O3" s="8" t="s">
        <v>6</v>
      </c>
      <c r="P3" s="8" t="s">
        <v>7</v>
      </c>
      <c r="Q3" s="8" t="s">
        <v>8</v>
      </c>
      <c r="R3" s="8" t="s">
        <v>9</v>
      </c>
    </row>
    <row r="4" spans="1:18" x14ac:dyDescent="0.25">
      <c r="A4" s="22">
        <v>34337</v>
      </c>
      <c r="B4" s="9">
        <v>0.56444671520508838</v>
      </c>
      <c r="C4" s="9">
        <v>-1.5037877364540559E-2</v>
      </c>
      <c r="D4" s="9">
        <v>6.0103924069705515E-2</v>
      </c>
      <c r="E4" s="9">
        <v>-9.7915436027565986E-2</v>
      </c>
      <c r="F4" s="9">
        <v>0.58731171832467999</v>
      </c>
      <c r="G4" s="9">
        <v>0.21513873977235295</v>
      </c>
      <c r="H4" s="9"/>
      <c r="I4" s="9"/>
      <c r="J4" s="7"/>
      <c r="K4" s="10">
        <f>F35</f>
        <v>0.14935278057547019</v>
      </c>
      <c r="L4" s="10">
        <f>F37</f>
        <v>0.44347376025210333</v>
      </c>
      <c r="M4" s="10">
        <f t="array" ref="M4:R4">TRANSPOSE(B32:B37)</f>
        <v>4.0695039899119934E-2</v>
      </c>
      <c r="N4" s="10">
        <v>3.3692438358673804E-2</v>
      </c>
      <c r="O4" s="10">
        <v>0.22608718588154775</v>
      </c>
      <c r="P4" s="10">
        <v>0.15563386746166641</v>
      </c>
      <c r="Q4" s="10">
        <v>4.1240869023113191E-2</v>
      </c>
      <c r="R4" s="10">
        <v>0.50265059937587897</v>
      </c>
    </row>
    <row r="5" spans="1:18" x14ac:dyDescent="0.25">
      <c r="A5" s="22">
        <v>34702</v>
      </c>
      <c r="B5" s="9">
        <v>0.18232155679395459</v>
      </c>
      <c r="C5" s="9">
        <v>0.33213383502261484</v>
      </c>
      <c r="D5" s="9">
        <v>0.41559877382296978</v>
      </c>
      <c r="E5" s="9">
        <v>7.4571937519298012E-2</v>
      </c>
      <c r="F5" s="9">
        <v>-2.3781224049673243E-3</v>
      </c>
      <c r="G5" s="9">
        <v>6.038318283896326E-2</v>
      </c>
      <c r="H5" s="9"/>
      <c r="I5" s="9"/>
      <c r="J5" s="11">
        <v>0</v>
      </c>
      <c r="K5" s="12">
        <f t="dataTable" ref="K5:R15" dt2D="0" dtr="0" r1="B20"/>
        <v>0.13910132598583907</v>
      </c>
      <c r="L5" s="12">
        <v>0.47525254304465936</v>
      </c>
      <c r="M5" s="13">
        <v>7.631904394074368E-2</v>
      </c>
      <c r="N5" s="13">
        <v>4.765946864710318E-2</v>
      </c>
      <c r="O5" s="13">
        <v>0.21962057047148809</v>
      </c>
      <c r="P5" s="13">
        <v>0.13869913093062389</v>
      </c>
      <c r="Q5" s="13">
        <v>8.8190122424166281E-2</v>
      </c>
      <c r="R5" s="13">
        <v>0.42951166358587495</v>
      </c>
    </row>
    <row r="6" spans="1:18" x14ac:dyDescent="0.25">
      <c r="A6" s="22">
        <v>35066</v>
      </c>
      <c r="B6" s="9">
        <v>0.56932183044759921</v>
      </c>
      <c r="C6" s="9">
        <v>0.44280277854580868</v>
      </c>
      <c r="D6" s="9">
        <v>0.57713846354436926</v>
      </c>
      <c r="E6" s="9">
        <v>0.37761004630609196</v>
      </c>
      <c r="F6" s="9">
        <v>0.65554420578107764</v>
      </c>
      <c r="G6" s="9">
        <v>0.27325133966115783</v>
      </c>
      <c r="H6" s="9"/>
      <c r="I6" s="9"/>
      <c r="J6" s="11">
        <v>0.1</v>
      </c>
      <c r="K6" s="12">
        <v>0.14327140265698252</v>
      </c>
      <c r="L6" s="12">
        <v>0.46407648769276888</v>
      </c>
      <c r="M6" s="13">
        <v>6.296213729635762E-2</v>
      </c>
      <c r="N6" s="13">
        <v>4.1964083650587007E-2</v>
      </c>
      <c r="O6" s="13">
        <v>0.2216255079375436</v>
      </c>
      <c r="P6" s="13">
        <v>0.14673465562818341</v>
      </c>
      <c r="Q6" s="13">
        <v>7.263784545263674E-2</v>
      </c>
      <c r="R6" s="13">
        <v>0.45407577003469163</v>
      </c>
    </row>
    <row r="7" spans="1:18" x14ac:dyDescent="0.25">
      <c r="A7" s="22">
        <v>35432</v>
      </c>
      <c r="B7" s="9">
        <v>0.42867843048794668</v>
      </c>
      <c r="C7" s="9">
        <v>0.79115085799206308</v>
      </c>
      <c r="D7" s="9">
        <v>0.22940287091404585</v>
      </c>
      <c r="E7" s="9">
        <v>-5.0876389807343811E-2</v>
      </c>
      <c r="F7" s="9">
        <v>0.5434160567213141</v>
      </c>
      <c r="G7" s="9">
        <v>0.41084015158897974</v>
      </c>
      <c r="H7" s="9"/>
      <c r="I7" s="9"/>
      <c r="J7" s="11">
        <v>0.2</v>
      </c>
      <c r="K7" s="12">
        <v>0.14667503362286466</v>
      </c>
      <c r="L7" s="12">
        <v>0.45349401476916024</v>
      </c>
      <c r="M7" s="13">
        <v>5.1100866173274133E-2</v>
      </c>
      <c r="N7" s="13">
        <v>3.7355337159830984E-2</v>
      </c>
      <c r="O7" s="13">
        <v>0.22375121832997369</v>
      </c>
      <c r="P7" s="13">
        <v>0.15230715973419184</v>
      </c>
      <c r="Q7" s="13">
        <v>5.7149312205083687E-2</v>
      </c>
      <c r="R7" s="13">
        <v>0.47833610639764568</v>
      </c>
    </row>
    <row r="8" spans="1:18" x14ac:dyDescent="0.25">
      <c r="A8" s="22">
        <v>35797</v>
      </c>
      <c r="B8" s="9">
        <v>0.47111330200617335</v>
      </c>
      <c r="C8" s="9">
        <v>0.38036365668032207</v>
      </c>
      <c r="D8" s="9">
        <v>0.17623377849310673</v>
      </c>
      <c r="E8" s="9">
        <v>0.32039589477196262</v>
      </c>
      <c r="F8" s="9">
        <v>0.37114264453303181</v>
      </c>
      <c r="G8" s="9">
        <v>2.6291992182133208E-2</v>
      </c>
      <c r="H8" s="9"/>
      <c r="I8" s="9"/>
      <c r="J8" s="11">
        <v>0.3</v>
      </c>
      <c r="K8" s="12">
        <v>0.14935278057547019</v>
      </c>
      <c r="L8" s="12">
        <v>0.44347376025210333</v>
      </c>
      <c r="M8" s="13">
        <v>4.0695039899119934E-2</v>
      </c>
      <c r="N8" s="13">
        <v>3.3692438358673804E-2</v>
      </c>
      <c r="O8" s="13">
        <v>0.22608718588154775</v>
      </c>
      <c r="P8" s="13">
        <v>0.15563386746166641</v>
      </c>
      <c r="Q8" s="13">
        <v>4.1240869023113191E-2</v>
      </c>
      <c r="R8" s="13">
        <v>0.50265059937587897</v>
      </c>
    </row>
    <row r="9" spans="1:18" x14ac:dyDescent="0.25">
      <c r="A9" s="22">
        <v>36164</v>
      </c>
      <c r="B9" s="9">
        <v>0.34547568192446243</v>
      </c>
      <c r="C9" s="9">
        <v>0.8525379124482414</v>
      </c>
      <c r="D9" s="9">
        <v>0.26618332488068819</v>
      </c>
      <c r="E9" s="9">
        <v>-0.10737956563486276</v>
      </c>
      <c r="F9" s="9">
        <v>0.15053557753818592</v>
      </c>
      <c r="G9" s="9">
        <v>-2.1107275447946366E-2</v>
      </c>
      <c r="H9" s="9"/>
      <c r="I9" s="9"/>
      <c r="J9" s="11">
        <v>0.4</v>
      </c>
      <c r="K9" s="12">
        <v>0.15131841812898106</v>
      </c>
      <c r="L9" s="12">
        <v>0.43396510210547845</v>
      </c>
      <c r="M9" s="13">
        <v>3.1880959250109066E-2</v>
      </c>
      <c r="N9" s="13">
        <v>3.083680430834072E-2</v>
      </c>
      <c r="O9" s="13">
        <v>0.22869856405440428</v>
      </c>
      <c r="P9" s="13">
        <v>0.15682974018373966</v>
      </c>
      <c r="Q9" s="13">
        <v>2.4306249975156114E-2</v>
      </c>
      <c r="R9" s="13">
        <v>0.52744768222825023</v>
      </c>
    </row>
    <row r="10" spans="1:18" x14ac:dyDescent="0.25">
      <c r="A10" s="22">
        <v>36528</v>
      </c>
      <c r="B10" s="9">
        <v>0.28152972131185594</v>
      </c>
      <c r="C10" s="9">
        <v>0.11200200440985024</v>
      </c>
      <c r="D10" s="9">
        <v>3.4111834506863122E-2</v>
      </c>
      <c r="E10" s="9">
        <v>-0.48928618090838627</v>
      </c>
      <c r="F10" s="9">
        <v>0.43526794343187897</v>
      </c>
      <c r="G10" s="9">
        <v>0.23764678955224222</v>
      </c>
      <c r="H10" s="9"/>
      <c r="I10" s="9"/>
      <c r="J10" s="11">
        <v>0.5</v>
      </c>
      <c r="K10" s="12">
        <v>0.15255106353165665</v>
      </c>
      <c r="L10" s="12">
        <v>0.42488031374299029</v>
      </c>
      <c r="M10" s="13">
        <v>2.5090975514416022E-2</v>
      </c>
      <c r="N10" s="13">
        <v>2.8618862455449815E-2</v>
      </c>
      <c r="O10" s="13">
        <v>0.23162511552916332</v>
      </c>
      <c r="P10" s="13">
        <v>0.15590801486802097</v>
      </c>
      <c r="Q10" s="13">
        <v>5.4585988935785161E-3</v>
      </c>
      <c r="R10" s="13">
        <v>0.55329843273937129</v>
      </c>
    </row>
    <row r="11" spans="1:18" x14ac:dyDescent="0.25">
      <c r="A11" s="22">
        <v>36893</v>
      </c>
      <c r="B11" s="9">
        <v>4.6071091921937368E-2</v>
      </c>
      <c r="C11" s="9">
        <v>-0.47194325389691516</v>
      </c>
      <c r="D11" s="9">
        <v>0.10688374519834776</v>
      </c>
      <c r="E11" s="9">
        <v>0.11666758657251773</v>
      </c>
      <c r="F11" s="9">
        <v>0.28291473002020701</v>
      </c>
      <c r="G11" s="9">
        <v>0.21762375809061188</v>
      </c>
      <c r="H11" s="9"/>
      <c r="I11" s="9"/>
      <c r="J11" s="11">
        <v>0.6</v>
      </c>
      <c r="K11" s="12">
        <v>0.15297342720207013</v>
      </c>
      <c r="L11" s="12">
        <v>0.41604545011260324</v>
      </c>
      <c r="M11" s="13">
        <v>2.1360795977034195E-2</v>
      </c>
      <c r="N11" s="13">
        <v>2.676608094227088E-2</v>
      </c>
      <c r="O11" s="13">
        <v>0.23486369875680588</v>
      </c>
      <c r="P11" s="13">
        <v>0.15275379725708865</v>
      </c>
      <c r="Q11" s="13">
        <v>-1.6825838436326315E-2</v>
      </c>
      <c r="R11" s="13">
        <v>0.58108146550312667</v>
      </c>
    </row>
    <row r="12" spans="1:18" x14ac:dyDescent="0.25">
      <c r="A12" s="22">
        <v>37258</v>
      </c>
      <c r="B12" s="9">
        <v>-0.19742801479649347</v>
      </c>
      <c r="C12" s="9">
        <v>4.2697300467286127E-2</v>
      </c>
      <c r="D12" s="9">
        <v>0.23114796006900939</v>
      </c>
      <c r="E12" s="9">
        <v>0.19904599973514916</v>
      </c>
      <c r="F12" s="9">
        <v>-0.15086637755437701</v>
      </c>
      <c r="G12" s="9">
        <v>4.5485151822900263E-2</v>
      </c>
      <c r="H12" s="9"/>
      <c r="I12" s="9"/>
      <c r="J12" s="11">
        <v>0.7</v>
      </c>
      <c r="K12" s="12">
        <v>0.15238860162873147</v>
      </c>
      <c r="L12" s="12">
        <v>0.40705688872054829</v>
      </c>
      <c r="M12" s="13">
        <v>2.3214828747367626E-2</v>
      </c>
      <c r="N12" s="13">
        <v>2.470555281546118E-2</v>
      </c>
      <c r="O12" s="13">
        <v>0.23830450833391972</v>
      </c>
      <c r="P12" s="13">
        <v>0.14703001791415934</v>
      </c>
      <c r="Q12" s="13">
        <v>-4.5688160873851656E-2</v>
      </c>
      <c r="R12" s="13">
        <v>0.61243325306294383</v>
      </c>
    </row>
    <row r="13" spans="1:18" x14ac:dyDescent="0.25">
      <c r="A13" s="22">
        <v>37623</v>
      </c>
      <c r="B13" s="9">
        <v>-0.44784992572779375</v>
      </c>
      <c r="C13" s="9">
        <v>-0.29467288579706979</v>
      </c>
      <c r="D13" s="9">
        <v>-5.6657596004628455E-2</v>
      </c>
      <c r="E13" s="9">
        <v>0.10883878003415107</v>
      </c>
      <c r="F13" s="9">
        <v>-0.23230595878763066</v>
      </c>
      <c r="G13" s="9">
        <v>0.15535325852434001</v>
      </c>
      <c r="H13" s="9"/>
      <c r="I13" s="9"/>
      <c r="J13" s="11">
        <v>0.8</v>
      </c>
      <c r="K13" s="12">
        <v>0.15025221736894176</v>
      </c>
      <c r="L13" s="12">
        <v>0.39677018762987987</v>
      </c>
      <c r="M13" s="13">
        <v>3.7875235066360854E-2</v>
      </c>
      <c r="N13" s="13">
        <v>2.0855665596084615E-2</v>
      </c>
      <c r="O13" s="13">
        <v>0.24148326285082328</v>
      </c>
      <c r="P13" s="13">
        <v>0.13782863556007938</v>
      </c>
      <c r="Q13" s="13">
        <v>-8.9385300457560962E-2</v>
      </c>
      <c r="R13" s="13">
        <v>0.65134250138421279</v>
      </c>
    </row>
    <row r="14" spans="1:18" x14ac:dyDescent="0.25">
      <c r="A14" s="22">
        <v>37988</v>
      </c>
      <c r="B14" s="9">
        <v>0.35900929586965324</v>
      </c>
      <c r="C14" s="9">
        <v>0.18005140825941549</v>
      </c>
      <c r="D14" s="9">
        <v>-1.2736567388731407E-2</v>
      </c>
      <c r="E14" s="9">
        <v>0.1548647105609153</v>
      </c>
      <c r="F14" s="9">
        <v>0.39822571885658403</v>
      </c>
      <c r="G14" s="9">
        <v>0.31795050205482422</v>
      </c>
      <c r="H14" s="9"/>
      <c r="I14" s="9"/>
      <c r="J14" s="11">
        <v>0.9</v>
      </c>
      <c r="K14" s="12">
        <v>0.14440577702906937</v>
      </c>
      <c r="L14" s="12">
        <v>0.38063726175879459</v>
      </c>
      <c r="M14" s="13">
        <v>9.5191135967633539E-2</v>
      </c>
      <c r="N14" s="13">
        <v>8.6717087269734087E-3</v>
      </c>
      <c r="O14" s="13">
        <v>0.24216327349888433</v>
      </c>
      <c r="P14" s="13">
        <v>0.1217364572765765</v>
      </c>
      <c r="Q14" s="13">
        <v>-0.18074095967803111</v>
      </c>
      <c r="R14" s="13">
        <v>0.71297838420796333</v>
      </c>
    </row>
    <row r="15" spans="1:18" x14ac:dyDescent="0.25">
      <c r="A15" s="11"/>
      <c r="J15" s="11">
        <v>1</v>
      </c>
      <c r="K15" s="14">
        <v>0.10548509632862349</v>
      </c>
      <c r="L15" s="14">
        <v>0.32428256216417711</v>
      </c>
      <c r="M15" s="13">
        <v>0.6105121601910164</v>
      </c>
      <c r="N15" s="13">
        <v>-0.10340684692465699</v>
      </c>
      <c r="O15" s="13">
        <v>0.20743129638203894</v>
      </c>
      <c r="P15" s="13">
        <v>5.3893988243147305E-2</v>
      </c>
      <c r="Q15" s="13">
        <v>-0.7703629883695382</v>
      </c>
      <c r="R15" s="13">
        <v>1.0019323904779924</v>
      </c>
    </row>
    <row r="16" spans="1:18" x14ac:dyDescent="0.25">
      <c r="A16" s="6" t="s">
        <v>13</v>
      </c>
      <c r="B16" s="14">
        <f t="shared" ref="B16:G16" si="0">AVERAGE(B4:B14)</f>
        <v>0.23660815322221673</v>
      </c>
      <c r="C16" s="14">
        <f t="shared" si="0"/>
        <v>0.21382597606973422</v>
      </c>
      <c r="D16" s="14">
        <f t="shared" si="0"/>
        <v>0.1843100465550678</v>
      </c>
      <c r="E16" s="14">
        <f t="shared" si="0"/>
        <v>5.5139762101993367E-2</v>
      </c>
      <c r="F16" s="14">
        <f t="shared" si="0"/>
        <v>0.27625528513272585</v>
      </c>
      <c r="G16" s="14">
        <f t="shared" si="0"/>
        <v>0.17625978096732356</v>
      </c>
      <c r="H16" s="14" t="str">
        <f ca="1">[2]!getformula(G16)</f>
        <v>&lt;--  =AVERAGE(G4:G14)</v>
      </c>
      <c r="I16" s="14"/>
    </row>
    <row r="17" spans="1:12" x14ac:dyDescent="0.25">
      <c r="A17" s="6" t="s">
        <v>14</v>
      </c>
      <c r="B17" s="9">
        <f t="shared" ref="B17:G17" si="1">STDEV(B4:B14)</f>
        <v>0.32171943662556884</v>
      </c>
      <c r="C17" s="9">
        <f t="shared" si="1"/>
        <v>0.40711692921454828</v>
      </c>
      <c r="D17" s="9">
        <f t="shared" si="1"/>
        <v>0.18965192381063015</v>
      </c>
      <c r="E17" s="9">
        <f t="shared" si="1"/>
        <v>0.23864750057184578</v>
      </c>
      <c r="F17" s="9">
        <f t="shared" si="1"/>
        <v>0.29928419828700653</v>
      </c>
      <c r="G17" s="9">
        <f t="shared" si="1"/>
        <v>0.13561454751568608</v>
      </c>
      <c r="H17" s="14" t="str">
        <f ca="1">[2]!getformula(G17)</f>
        <v>&lt;--  =STDEV(G4:G14)</v>
      </c>
      <c r="I17" s="9"/>
      <c r="J17" s="9"/>
      <c r="K17" s="9"/>
      <c r="L17" s="14"/>
    </row>
    <row r="18" spans="1:12" x14ac:dyDescent="0.25">
      <c r="A18" s="6" t="s">
        <v>15</v>
      </c>
      <c r="B18" s="13">
        <f t="shared" ref="B18:G18" si="2">VAR(B4:B14)</f>
        <v>0.10350339590267339</v>
      </c>
      <c r="C18" s="13">
        <f t="shared" si="2"/>
        <v>0.16574419405308352</v>
      </c>
      <c r="D18" s="13">
        <f t="shared" si="2"/>
        <v>3.5967852205073064E-2</v>
      </c>
      <c r="E18" s="13">
        <f t="shared" si="2"/>
        <v>5.6952629529189128E-2</v>
      </c>
      <c r="F18" s="13">
        <f t="shared" si="2"/>
        <v>8.9571031344296254E-2</v>
      </c>
      <c r="G18" s="13">
        <f t="shared" si="2"/>
        <v>1.8391305497884276E-2</v>
      </c>
      <c r="H18" s="14" t="str">
        <f ca="1">[2]!getformula(G18)</f>
        <v>&lt;--  =VAR(G4:G14)</v>
      </c>
      <c r="I18" s="13"/>
      <c r="J18" s="13"/>
      <c r="K18" s="13"/>
      <c r="L18" s="14"/>
    </row>
    <row r="19" spans="1:12" x14ac:dyDescent="0.25">
      <c r="A19" s="11"/>
      <c r="L19" s="14"/>
    </row>
    <row r="20" spans="1:12" x14ac:dyDescent="0.25">
      <c r="A20" s="23" t="s">
        <v>16</v>
      </c>
      <c r="B20" s="15">
        <v>0.3</v>
      </c>
      <c r="C20" s="3" t="s">
        <v>17</v>
      </c>
      <c r="L20" s="14"/>
    </row>
    <row r="21" spans="1:12" x14ac:dyDescent="0.25">
      <c r="A21" s="11"/>
      <c r="L21" s="14"/>
    </row>
    <row r="22" spans="1:12" ht="84" customHeight="1" x14ac:dyDescent="0.25">
      <c r="A22" s="24" t="str">
        <f ca="1">"Shrinkage matrix"&amp;CHAR(10)&amp;"Uses the array formula "&amp;[2]!ggetformula(B24)&amp;CHAR(10)&amp;"to compute the shrinkage covariance matrix"</f>
        <v>Shrinkage matrix
Uses the array formula  {=B20*MMULT(TRANSPOSE(B4:G14-B16:G16),B4:G14-B16:G16)/10+(1-B20)*MMULT(TRANSPOSE(B4:G14-B16:G16),B4:G14-B16:G16)/10*IF(A24:A29=B23:G23,1,0)}
to compute the shrinkage covariance matrix</v>
      </c>
      <c r="B22" s="24"/>
      <c r="C22" s="24"/>
      <c r="D22" s="24"/>
      <c r="E22" s="24"/>
      <c r="F22" s="24"/>
      <c r="G22" s="24"/>
      <c r="H22" s="24"/>
      <c r="I22" s="16"/>
    </row>
    <row r="23" spans="1:12" x14ac:dyDescent="0.25">
      <c r="A23" s="11"/>
      <c r="B23" s="6" t="s">
        <v>4</v>
      </c>
      <c r="C23" s="6" t="s">
        <v>5</v>
      </c>
      <c r="D23" s="6" t="s">
        <v>6</v>
      </c>
      <c r="E23" s="6" t="s">
        <v>7</v>
      </c>
      <c r="F23" s="6" t="s">
        <v>8</v>
      </c>
      <c r="G23" s="6" t="s">
        <v>9</v>
      </c>
      <c r="H23" s="6"/>
      <c r="I23" s="6"/>
    </row>
    <row r="24" spans="1:12" x14ac:dyDescent="0.25">
      <c r="A24" s="6" t="s">
        <v>4</v>
      </c>
      <c r="B24" s="13">
        <f t="array" ref="B24:G29">B20*MMULT(TRANSPOSE(B4:G14-B16:G16),B4:G14-B16:G16)/10+(1-B20)*MMULT(TRANSPOSE(B4:G14-B16:G16),B4:G14-B16:G16)/10*IF(A24:A29=B23:G23,1,0)</f>
        <v>0.10350339590267338</v>
      </c>
      <c r="C24" s="13">
        <v>2.2754555235448459E-2</v>
      </c>
      <c r="D24" s="13">
        <v>6.6478191089750314E-3</v>
      </c>
      <c r="E24" s="13">
        <v>-1.2894695388770878E-3</v>
      </c>
      <c r="F24" s="13">
        <v>2.5723621130988104E-2</v>
      </c>
      <c r="G24" s="13">
        <v>3.6899314213178804E-3</v>
      </c>
      <c r="H24" s="13"/>
      <c r="I24" s="13"/>
    </row>
    <row r="25" spans="1:12" x14ac:dyDescent="0.25">
      <c r="A25" s="6" t="s">
        <v>5</v>
      </c>
      <c r="B25" s="13">
        <v>2.2754555235448459E-2</v>
      </c>
      <c r="C25" s="13">
        <v>0.16574419405308355</v>
      </c>
      <c r="D25" s="13">
        <v>1.2368453613489896E-2</v>
      </c>
      <c r="E25" s="13">
        <v>-1.5517943141013988E-3</v>
      </c>
      <c r="F25" s="13">
        <v>1.1377632267826763E-2</v>
      </c>
      <c r="G25" s="13">
        <v>-6.7191911924632873E-4</v>
      </c>
      <c r="H25" s="13"/>
      <c r="I25" s="13"/>
    </row>
    <row r="26" spans="1:12" x14ac:dyDescent="0.25">
      <c r="A26" s="6" t="s">
        <v>6</v>
      </c>
      <c r="B26" s="13">
        <v>6.6478191089750314E-3</v>
      </c>
      <c r="C26" s="13">
        <v>1.2368453613489896E-2</v>
      </c>
      <c r="D26" s="13">
        <v>3.5967852205073078E-2</v>
      </c>
      <c r="E26" s="13">
        <v>5.4332849898242937E-3</v>
      </c>
      <c r="F26" s="13">
        <v>3.0303486734404167E-3</v>
      </c>
      <c r="G26" s="13">
        <v>-1.1798670731096265E-3</v>
      </c>
      <c r="H26" s="13"/>
      <c r="I26" s="13"/>
    </row>
    <row r="27" spans="1:12" x14ac:dyDescent="0.25">
      <c r="A27" s="6" t="s">
        <v>7</v>
      </c>
      <c r="B27" s="13">
        <v>-1.2894695388770878E-3</v>
      </c>
      <c r="C27" s="13">
        <v>-1.5517943141013988E-3</v>
      </c>
      <c r="D27" s="13">
        <v>5.4332849898242937E-3</v>
      </c>
      <c r="E27" s="13">
        <v>5.6952629529189121E-2</v>
      </c>
      <c r="F27" s="13">
        <v>-2.2862388820474411E-3</v>
      </c>
      <c r="G27" s="13">
        <v>-1.3855853227137803E-3</v>
      </c>
      <c r="H27" s="13"/>
      <c r="I27" s="13"/>
    </row>
    <row r="28" spans="1:12" x14ac:dyDescent="0.25">
      <c r="A28" s="6" t="s">
        <v>8</v>
      </c>
      <c r="B28" s="13">
        <v>2.5723621130988104E-2</v>
      </c>
      <c r="C28" s="13">
        <v>1.1377632267826763E-2</v>
      </c>
      <c r="D28" s="13">
        <v>3.0303486734404167E-3</v>
      </c>
      <c r="E28" s="13">
        <v>-2.2862388820474411E-3</v>
      </c>
      <c r="F28" s="13">
        <v>8.9571031344296226E-2</v>
      </c>
      <c r="G28" s="13">
        <v>7.4468938369075463E-3</v>
      </c>
      <c r="H28" s="13"/>
      <c r="I28" s="13"/>
    </row>
    <row r="29" spans="1:12" x14ac:dyDescent="0.25">
      <c r="A29" s="6" t="s">
        <v>9</v>
      </c>
      <c r="B29" s="13">
        <v>3.6899314213178804E-3</v>
      </c>
      <c r="C29" s="13">
        <v>-6.7191911924632873E-4</v>
      </c>
      <c r="D29" s="13">
        <v>-1.1798670731096265E-3</v>
      </c>
      <c r="E29" s="13">
        <v>-1.3855853227137803E-3</v>
      </c>
      <c r="F29" s="13">
        <v>7.4468938369075463E-3</v>
      </c>
      <c r="G29" s="13">
        <v>1.8391305497884269E-2</v>
      </c>
      <c r="H29" s="13"/>
      <c r="I29" s="13"/>
    </row>
    <row r="30" spans="1:12" x14ac:dyDescent="0.25">
      <c r="A30" s="11"/>
      <c r="B30" s="14"/>
      <c r="C30" s="14"/>
      <c r="D30" s="14"/>
      <c r="E30" s="14"/>
      <c r="F30" s="14"/>
      <c r="G30" s="14"/>
      <c r="H30" s="14"/>
      <c r="I30" s="14"/>
    </row>
    <row r="31" spans="1:12" ht="42.6" customHeight="1" x14ac:dyDescent="0.25">
      <c r="A31" s="17" t="str">
        <f ca="1">"Uses formula "&amp;[2]!ggetformula(B33)&amp;" to compute the global minimum variance portfolio"</f>
        <v>Uses formula  {=MMULT(MINVERSE(B24:G29),IF(A32:A37=A32:A37,1,0))/SUM(MMULT(MINVERSE(B24:G29),IF(A32:A37=A32:A37,1,0)))} to compute the global minimum variance portfolio</v>
      </c>
      <c r="B31" s="17"/>
      <c r="C31" s="17"/>
      <c r="D31" s="17"/>
      <c r="E31" s="17"/>
      <c r="F31" s="17"/>
      <c r="G31" s="17"/>
      <c r="H31" s="17"/>
      <c r="I31" s="16"/>
    </row>
    <row r="32" spans="1:12" x14ac:dyDescent="0.25">
      <c r="A32" s="18" t="s">
        <v>4</v>
      </c>
      <c r="B32" s="19">
        <f t="array" ref="B32:B37">MMULT(MINVERSE(B24:G29),IF(A32:A37=A32:A37,1,0))/SUM(MMULT(MINVERSE(B24:G29),IF(A32:A37=A32:A37,1,0)))</f>
        <v>4.0695039899119934E-2</v>
      </c>
    </row>
    <row r="33" spans="1:7" x14ac:dyDescent="0.25">
      <c r="A33" s="18" t="s">
        <v>5</v>
      </c>
      <c r="B33" s="19">
        <v>3.3692438358673804E-2</v>
      </c>
    </row>
    <row r="34" spans="1:7" x14ac:dyDescent="0.25">
      <c r="A34" s="18" t="s">
        <v>6</v>
      </c>
      <c r="B34" s="19">
        <v>0.22608718588154775</v>
      </c>
      <c r="E34" s="20" t="s">
        <v>18</v>
      </c>
    </row>
    <row r="35" spans="1:7" x14ac:dyDescent="0.25">
      <c r="A35" s="18" t="s">
        <v>7</v>
      </c>
      <c r="B35" s="19">
        <v>0.15563386746166641</v>
      </c>
      <c r="E35" s="15" t="s">
        <v>19</v>
      </c>
      <c r="F35" s="21">
        <f t="array" ref="F35">MMULT(B11:G11,B32:B37)</f>
        <v>0.14935278057547019</v>
      </c>
      <c r="G35" s="3" t="str">
        <f ca="1">[2]!getformula(F35)</f>
        <v>&lt;--  {=MMULT(B11:G11,B32:B37)}</v>
      </c>
    </row>
    <row r="36" spans="1:7" x14ac:dyDescent="0.25">
      <c r="A36" s="18" t="s">
        <v>8</v>
      </c>
      <c r="B36" s="19">
        <v>4.1240869023113191E-2</v>
      </c>
      <c r="E36" s="15" t="s">
        <v>15</v>
      </c>
      <c r="F36" s="19">
        <f t="array" ref="F36">MMULT(MMULT(TRANSPOSE(B32:B37),B4:G9),B32:B37)</f>
        <v>0.19666897603214001</v>
      </c>
      <c r="G36" s="3" t="str">
        <f ca="1">[2]!getformula(F36)</f>
        <v>&lt;--  {=MMULT(MMULT(TRANSPOSE(B32:B37),B4:G9),B32:B37)}</v>
      </c>
    </row>
    <row r="37" spans="1:7" x14ac:dyDescent="0.25">
      <c r="A37" s="18" t="s">
        <v>9</v>
      </c>
      <c r="B37" s="19">
        <v>0.50265059937587897</v>
      </c>
      <c r="E37" s="15" t="s">
        <v>20</v>
      </c>
      <c r="F37" s="21">
        <f>SQRT(F36)</f>
        <v>0.44347376025210333</v>
      </c>
      <c r="G37" s="3" t="str">
        <f ca="1">[2]!getformula(F37)</f>
        <v>&lt;--  =SQRT(F36)</v>
      </c>
    </row>
  </sheetData>
  <mergeCells count="4">
    <mergeCell ref="A1:H1"/>
    <mergeCell ref="J2:R2"/>
    <mergeCell ref="A22:H22"/>
    <mergeCell ref="A31:H31"/>
  </mergeCells>
  <phoneticPr fontId="1" type="noConversion"/>
  <conditionalFormatting sqref="M5:R15">
    <cfRule type="cellIs" dxfId="0" priority="1" stopIfTrue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2024-11-01T01:58:07Z</dcterms:modified>
</cp:coreProperties>
</file>