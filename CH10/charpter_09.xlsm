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91C82DC0-D466-4031-80C9-A9F34ADF254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D6" i="1"/>
  <c r="C6" i="1"/>
  <c r="B6" i="1"/>
  <c r="G5" i="1"/>
  <c r="F5" i="1"/>
  <c r="E5" i="1"/>
  <c r="E16" i="1" s="1"/>
  <c r="D5" i="1"/>
  <c r="D16" i="1" s="1"/>
  <c r="C5" i="1"/>
  <c r="C17" i="1" s="1"/>
  <c r="B5" i="1"/>
  <c r="B16" i="1" s="1"/>
  <c r="G4" i="1"/>
  <c r="G16" i="1" s="1"/>
  <c r="F4" i="1"/>
  <c r="F18" i="1" s="1"/>
  <c r="E4" i="1"/>
  <c r="E18" i="1" s="1"/>
  <c r="D4" i="1"/>
  <c r="D18" i="1" s="1"/>
  <c r="C4" i="1"/>
  <c r="C16" i="1" s="1"/>
  <c r="B4" i="1"/>
  <c r="B18" i="1" s="1"/>
  <c r="A31" i="1"/>
  <c r="A21" i="1"/>
  <c r="C19" i="1"/>
  <c r="H18" i="1"/>
  <c r="H17" i="1"/>
  <c r="H16" i="1"/>
  <c r="G18" i="1" l="1"/>
  <c r="D17" i="1"/>
  <c r="B17" i="1"/>
  <c r="E17" i="1"/>
  <c r="F17" i="1"/>
  <c r="G17" i="1"/>
  <c r="C18" i="1"/>
  <c r="F16" i="1"/>
  <c r="B23" i="1" s="1" a="1"/>
  <c r="C27" i="1" l="1"/>
  <c r="E24" i="1"/>
  <c r="B27" i="1"/>
  <c r="D24" i="1"/>
  <c r="G26" i="1"/>
  <c r="C24" i="1"/>
  <c r="D26" i="1"/>
  <c r="F26" i="1"/>
  <c r="B24" i="1"/>
  <c r="E26" i="1"/>
  <c r="G23" i="1"/>
  <c r="F23" i="1"/>
  <c r="F27" i="1"/>
  <c r="G28" i="1"/>
  <c r="C26" i="1"/>
  <c r="E23" i="1"/>
  <c r="B26" i="1"/>
  <c r="B25" i="1"/>
  <c r="F28" i="1"/>
  <c r="D23" i="1"/>
  <c r="E28" i="1"/>
  <c r="G25" i="1"/>
  <c r="C23" i="1"/>
  <c r="E27" i="1"/>
  <c r="D28" i="1"/>
  <c r="F25" i="1"/>
  <c r="B23" i="1"/>
  <c r="C28" i="1"/>
  <c r="E25" i="1"/>
  <c r="G24" i="1"/>
  <c r="B28" i="1"/>
  <c r="D25" i="1"/>
  <c r="G27" i="1"/>
  <c r="C25" i="1"/>
  <c r="D27" i="1"/>
  <c r="F24" i="1"/>
  <c r="B33" i="1" l="1" a="1"/>
  <c r="G38" i="1" l="1"/>
  <c r="C36" i="1"/>
  <c r="E33" i="1"/>
  <c r="F38" i="1"/>
  <c r="B36" i="1"/>
  <c r="D33" i="1"/>
  <c r="G35" i="1"/>
  <c r="C33" i="1"/>
  <c r="E38" i="1"/>
  <c r="F36" i="1"/>
  <c r="D38" i="1"/>
  <c r="F35" i="1"/>
  <c r="B33" i="1"/>
  <c r="B34" i="1"/>
  <c r="C38" i="1"/>
  <c r="E35" i="1"/>
  <c r="B38" i="1"/>
  <c r="D35" i="1"/>
  <c r="G37" i="1"/>
  <c r="C35" i="1"/>
  <c r="F37" i="1"/>
  <c r="B35" i="1"/>
  <c r="G33" i="1"/>
  <c r="E37" i="1"/>
  <c r="G34" i="1"/>
  <c r="D37" i="1"/>
  <c r="F34" i="1"/>
  <c r="C37" i="1"/>
  <c r="E34" i="1"/>
  <c r="B37" i="1"/>
  <c r="D34" i="1"/>
  <c r="E36" i="1"/>
  <c r="G36" i="1"/>
  <c r="C34" i="1"/>
  <c r="D36" i="1"/>
  <c r="F33" i="1"/>
</calcChain>
</file>

<file path=xl/sharedStrings.xml><?xml version="1.0" encoding="utf-8"?>
<sst xmlns="http://schemas.openxmlformats.org/spreadsheetml/2006/main" count="37" uniqueCount="14">
  <si>
    <t>ESTIMATING THE VARIANCE-COVARIANCE MATRIX USING 
THE CONSTANT-CORRELATION APPROACH</t>
  </si>
  <si>
    <t>Return data</t>
  </si>
  <si>
    <t>Date</t>
  </si>
  <si>
    <t>GE</t>
  </si>
  <si>
    <t>MSFT</t>
  </si>
  <si>
    <t>JNJ</t>
  </si>
  <si>
    <t>K</t>
  </si>
  <si>
    <t>BA</t>
  </si>
  <si>
    <t>IBM</t>
  </si>
  <si>
    <t>Average</t>
  </si>
  <si>
    <t>Standard deviation</t>
  </si>
  <si>
    <t>Variance</t>
  </si>
  <si>
    <t>Average correlation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</si>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</sst>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176" fontId="0" fillId="0" borderId="0" xfId="0" applyNumberFormat="1" applyAlignment="1"/>
    <xf numFmtId="176" fontId="0" fillId="2" borderId="0" xfId="0" applyNumberFormat="1" applyFill="1" applyAlignment="1"/>
    <xf numFmtId="0" fontId="4" fillId="0" borderId="0" xfId="0" applyFont="1" applyAlignment="1">
      <alignment vertical="center" wrapText="1"/>
    </xf>
    <xf numFmtId="14" fontId="0" fillId="0" borderId="0" xfId="0" applyNumberFormat="1" applyAlignment="1">
      <alignment horizont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/>
    <xf numFmtId="0" fontId="4" fillId="3" borderId="0" xfId="0" applyFont="1" applyFill="1" applyAlignment="1">
      <alignment horizontal="center"/>
    </xf>
    <xf numFmtId="176" fontId="0" fillId="3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400050</xdr:colOff>
      <xdr:row>2</xdr:row>
      <xdr:rowOff>9525</xdr:rowOff>
    </xdr:from>
    <xdr:to>
      <xdr:col>21</xdr:col>
      <xdr:colOff>396240</xdr:colOff>
      <xdr:row>40</xdr:row>
      <xdr:rowOff>130394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8B4E1FA-9DBA-6A8B-CFB7-E0A5FC6E7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315325" y="400050"/>
          <a:ext cx="6705600" cy="7477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23">
          <cell r="B23">
            <v>0.56444671520508838</v>
          </cell>
          <cell r="C23">
            <v>-1.5037877364540559E-2</v>
          </cell>
          <cell r="D23">
            <v>6.0103924069705515E-2</v>
          </cell>
          <cell r="E23">
            <v>-9.7915436027565986E-2</v>
          </cell>
          <cell r="F23">
            <v>0.58731171832467999</v>
          </cell>
          <cell r="G23">
            <v>0.21513873977235295</v>
          </cell>
        </row>
        <row r="24">
          <cell r="B24">
            <v>0.18232155679395459</v>
          </cell>
          <cell r="C24">
            <v>0.33213383502261484</v>
          </cell>
          <cell r="D24">
            <v>0.41559877382296978</v>
          </cell>
          <cell r="E24">
            <v>7.4571937519298012E-2</v>
          </cell>
          <cell r="F24">
            <v>-2.3781224049673243E-3</v>
          </cell>
          <cell r="G24">
            <v>6.038318283896326E-2</v>
          </cell>
        </row>
        <row r="25">
          <cell r="B25">
            <v>0.56932183044759921</v>
          </cell>
          <cell r="C25">
            <v>0.44280277854580868</v>
          </cell>
          <cell r="D25">
            <v>0.57713846354436926</v>
          </cell>
          <cell r="E25">
            <v>0.37761004630609196</v>
          </cell>
          <cell r="F25">
            <v>0.65554420578107764</v>
          </cell>
          <cell r="G25">
            <v>0.27325133966115783</v>
          </cell>
        </row>
        <row r="26">
          <cell r="B26">
            <v>0.42867843048794668</v>
          </cell>
          <cell r="C26">
            <v>0.79115085799206308</v>
          </cell>
          <cell r="D26">
            <v>0.22940287091404585</v>
          </cell>
          <cell r="E26">
            <v>-5.0876389807343811E-2</v>
          </cell>
          <cell r="F26">
            <v>0.5434160567213141</v>
          </cell>
          <cell r="G26">
            <v>0.41084015158897974</v>
          </cell>
        </row>
        <row r="27">
          <cell r="B27">
            <v>0.47111330200617335</v>
          </cell>
          <cell r="C27">
            <v>0.38036365668032207</v>
          </cell>
          <cell r="D27">
            <v>0.17623377849310673</v>
          </cell>
          <cell r="E27">
            <v>0.32039589477196262</v>
          </cell>
          <cell r="F27">
            <v>0.37114264453303181</v>
          </cell>
          <cell r="G27">
            <v>2.6291992182133208E-2</v>
          </cell>
        </row>
        <row r="28">
          <cell r="B28">
            <v>0.34547568192446243</v>
          </cell>
          <cell r="C28">
            <v>0.8525379124482414</v>
          </cell>
          <cell r="D28">
            <v>0.26618332488068819</v>
          </cell>
          <cell r="E28">
            <v>-0.10737956563486276</v>
          </cell>
          <cell r="F28">
            <v>0.15053557753818592</v>
          </cell>
          <cell r="G28">
            <v>-2.1107275447946366E-2</v>
          </cell>
        </row>
        <row r="29">
          <cell r="B29">
            <v>0.28152972131185594</v>
          </cell>
          <cell r="C29">
            <v>0.11200200440985024</v>
          </cell>
          <cell r="D29">
            <v>3.4111834506863122E-2</v>
          </cell>
          <cell r="E29">
            <v>-0.48928618090838627</v>
          </cell>
          <cell r="F29">
            <v>0.43526794343187897</v>
          </cell>
          <cell r="G29">
            <v>0.23764678955224222</v>
          </cell>
        </row>
        <row r="30">
          <cell r="B30">
            <v>4.6071091921937368E-2</v>
          </cell>
          <cell r="C30">
            <v>-0.47194325389691516</v>
          </cell>
          <cell r="D30">
            <v>0.10688374519834776</v>
          </cell>
          <cell r="E30">
            <v>0.11666758657251773</v>
          </cell>
          <cell r="F30">
            <v>0.28291473002020701</v>
          </cell>
          <cell r="G30">
            <v>0.21762375809061188</v>
          </cell>
        </row>
        <row r="31">
          <cell r="B31">
            <v>-0.19742801479649347</v>
          </cell>
          <cell r="C31">
            <v>4.2697300467286127E-2</v>
          </cell>
          <cell r="D31">
            <v>0.23114796006900939</v>
          </cell>
          <cell r="E31">
            <v>0.19904599973514916</v>
          </cell>
          <cell r="F31">
            <v>-0.15086637755437701</v>
          </cell>
          <cell r="G31">
            <v>4.5485151822900263E-2</v>
          </cell>
        </row>
        <row r="32">
          <cell r="B32">
            <v>-0.44784992572779375</v>
          </cell>
          <cell r="C32">
            <v>-0.29467288579706979</v>
          </cell>
          <cell r="D32">
            <v>-5.6657596004628455E-2</v>
          </cell>
          <cell r="E32">
            <v>0.10883878003415107</v>
          </cell>
          <cell r="F32">
            <v>-0.23230595878763066</v>
          </cell>
          <cell r="G32">
            <v>0.15535325852434001</v>
          </cell>
        </row>
        <row r="33">
          <cell r="B33">
            <v>0.35900929586965324</v>
          </cell>
          <cell r="C33">
            <v>0.18005140825941549</v>
          </cell>
          <cell r="D33">
            <v>-1.2736567388731407E-2</v>
          </cell>
          <cell r="E33">
            <v>0.1548647105609153</v>
          </cell>
          <cell r="F33">
            <v>0.39822571885658403</v>
          </cell>
          <cell r="G33">
            <v>0.31795050205482422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42"/>
  <sheetViews>
    <sheetView tabSelected="1" topLeftCell="A3" zoomScale="145" zoomScaleNormal="145" workbookViewId="0">
      <selection activeCell="A21" sqref="A21:H21"/>
    </sheetView>
  </sheetViews>
  <sheetFormatPr defaultRowHeight="13.8" x14ac:dyDescent="0.25"/>
  <cols>
    <col min="1" max="1" width="21.6640625" style="5" customWidth="1"/>
    <col min="2" max="7" width="8.88671875" style="3"/>
    <col min="8" max="8" width="22.6640625" style="3" bestFit="1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</row>
    <row r="3" spans="1:8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/>
    </row>
    <row r="4" spans="1:8" x14ac:dyDescent="0.25">
      <c r="A4" s="10">
        <v>34337</v>
      </c>
      <c r="B4" s="4">
        <f>'[1]Page 292-95'!B23</f>
        <v>0.56444671520508838</v>
      </c>
      <c r="C4" s="4">
        <f>'[1]Page 292-95'!C23</f>
        <v>-1.5037877364540559E-2</v>
      </c>
      <c r="D4" s="4">
        <f>'[1]Page 292-95'!D23</f>
        <v>6.0103924069705515E-2</v>
      </c>
      <c r="E4" s="4">
        <f>'[1]Page 292-95'!E23</f>
        <v>-9.7915436027565986E-2</v>
      </c>
      <c r="F4" s="4">
        <f>'[1]Page 292-95'!F23</f>
        <v>0.58731171832467999</v>
      </c>
      <c r="G4" s="4">
        <f>'[1]Page 292-95'!G23</f>
        <v>0.21513873977235295</v>
      </c>
      <c r="H4" s="4"/>
    </row>
    <row r="5" spans="1:8" x14ac:dyDescent="0.25">
      <c r="A5" s="10">
        <v>34702</v>
      </c>
      <c r="B5" s="4">
        <f>'[1]Page 292-95'!B24</f>
        <v>0.18232155679395459</v>
      </c>
      <c r="C5" s="4">
        <f>'[1]Page 292-95'!C24</f>
        <v>0.33213383502261484</v>
      </c>
      <c r="D5" s="4">
        <f>'[1]Page 292-95'!D24</f>
        <v>0.41559877382296978</v>
      </c>
      <c r="E5" s="4">
        <f>'[1]Page 292-95'!E24</f>
        <v>7.4571937519298012E-2</v>
      </c>
      <c r="F5" s="4">
        <f>'[1]Page 292-95'!F24</f>
        <v>-2.3781224049673243E-3</v>
      </c>
      <c r="G5" s="4">
        <f>'[1]Page 292-95'!G24</f>
        <v>6.038318283896326E-2</v>
      </c>
      <c r="H5" s="4"/>
    </row>
    <row r="6" spans="1:8" x14ac:dyDescent="0.25">
      <c r="A6" s="10">
        <v>35066</v>
      </c>
      <c r="B6" s="4">
        <f>'[1]Page 292-95'!B25</f>
        <v>0.56932183044759921</v>
      </c>
      <c r="C6" s="4">
        <f>'[1]Page 292-95'!C25</f>
        <v>0.44280277854580868</v>
      </c>
      <c r="D6" s="4">
        <f>'[1]Page 292-95'!D25</f>
        <v>0.57713846354436926</v>
      </c>
      <c r="E6" s="4">
        <f>'[1]Page 292-95'!E25</f>
        <v>0.37761004630609196</v>
      </c>
      <c r="F6" s="4">
        <f>'[1]Page 292-95'!F25</f>
        <v>0.65554420578107764</v>
      </c>
      <c r="G6" s="4">
        <f>'[1]Page 292-95'!G25</f>
        <v>0.27325133966115783</v>
      </c>
      <c r="H6" s="4"/>
    </row>
    <row r="7" spans="1:8" x14ac:dyDescent="0.25">
      <c r="A7" s="10">
        <v>35432</v>
      </c>
      <c r="B7" s="4">
        <f>'[1]Page 292-95'!B26</f>
        <v>0.42867843048794668</v>
      </c>
      <c r="C7" s="4">
        <f>'[1]Page 292-95'!C26</f>
        <v>0.79115085799206308</v>
      </c>
      <c r="D7" s="4">
        <f>'[1]Page 292-95'!D26</f>
        <v>0.22940287091404585</v>
      </c>
      <c r="E7" s="4">
        <f>'[1]Page 292-95'!E26</f>
        <v>-5.0876389807343811E-2</v>
      </c>
      <c r="F7" s="4">
        <f>'[1]Page 292-95'!F26</f>
        <v>0.5434160567213141</v>
      </c>
      <c r="G7" s="4">
        <f>'[1]Page 292-95'!G26</f>
        <v>0.41084015158897974</v>
      </c>
      <c r="H7" s="4"/>
    </row>
    <row r="8" spans="1:8" x14ac:dyDescent="0.25">
      <c r="A8" s="10">
        <v>35797</v>
      </c>
      <c r="B8" s="4">
        <f>'[1]Page 292-95'!B27</f>
        <v>0.47111330200617335</v>
      </c>
      <c r="C8" s="4">
        <f>'[1]Page 292-95'!C27</f>
        <v>0.38036365668032207</v>
      </c>
      <c r="D8" s="4">
        <f>'[1]Page 292-95'!D27</f>
        <v>0.17623377849310673</v>
      </c>
      <c r="E8" s="4">
        <f>'[1]Page 292-95'!E27</f>
        <v>0.32039589477196262</v>
      </c>
      <c r="F8" s="4">
        <f>'[1]Page 292-95'!F27</f>
        <v>0.37114264453303181</v>
      </c>
      <c r="G8" s="4">
        <f>'[1]Page 292-95'!G27</f>
        <v>2.6291992182133208E-2</v>
      </c>
      <c r="H8" s="4"/>
    </row>
    <row r="9" spans="1:8" x14ac:dyDescent="0.25">
      <c r="A9" s="10">
        <v>36164</v>
      </c>
      <c r="B9" s="4">
        <f>'[1]Page 292-95'!B28</f>
        <v>0.34547568192446243</v>
      </c>
      <c r="C9" s="4">
        <f>'[1]Page 292-95'!C28</f>
        <v>0.8525379124482414</v>
      </c>
      <c r="D9" s="4">
        <f>'[1]Page 292-95'!D28</f>
        <v>0.26618332488068819</v>
      </c>
      <c r="E9" s="4">
        <f>'[1]Page 292-95'!E28</f>
        <v>-0.10737956563486276</v>
      </c>
      <c r="F9" s="4">
        <f>'[1]Page 292-95'!F28</f>
        <v>0.15053557753818592</v>
      </c>
      <c r="G9" s="4">
        <f>'[1]Page 292-95'!G28</f>
        <v>-2.1107275447946366E-2</v>
      </c>
      <c r="H9" s="4"/>
    </row>
    <row r="10" spans="1:8" x14ac:dyDescent="0.25">
      <c r="A10" s="10">
        <v>36528</v>
      </c>
      <c r="B10" s="4">
        <f>'[1]Page 292-95'!B29</f>
        <v>0.28152972131185594</v>
      </c>
      <c r="C10" s="4">
        <f>'[1]Page 292-95'!C29</f>
        <v>0.11200200440985024</v>
      </c>
      <c r="D10" s="4">
        <f>'[1]Page 292-95'!D29</f>
        <v>3.4111834506863122E-2</v>
      </c>
      <c r="E10" s="4">
        <f>'[1]Page 292-95'!E29</f>
        <v>-0.48928618090838627</v>
      </c>
      <c r="F10" s="4">
        <f>'[1]Page 292-95'!F29</f>
        <v>0.43526794343187897</v>
      </c>
      <c r="G10" s="4">
        <f>'[1]Page 292-95'!G29</f>
        <v>0.23764678955224222</v>
      </c>
      <c r="H10" s="4"/>
    </row>
    <row r="11" spans="1:8" x14ac:dyDescent="0.25">
      <c r="A11" s="10">
        <v>36893</v>
      </c>
      <c r="B11" s="4">
        <f>'[1]Page 292-95'!B30</f>
        <v>4.6071091921937368E-2</v>
      </c>
      <c r="C11" s="4">
        <f>'[1]Page 292-95'!C30</f>
        <v>-0.47194325389691516</v>
      </c>
      <c r="D11" s="4">
        <f>'[1]Page 292-95'!D30</f>
        <v>0.10688374519834776</v>
      </c>
      <c r="E11" s="4">
        <f>'[1]Page 292-95'!E30</f>
        <v>0.11666758657251773</v>
      </c>
      <c r="F11" s="4">
        <f>'[1]Page 292-95'!F30</f>
        <v>0.28291473002020701</v>
      </c>
      <c r="G11" s="4">
        <f>'[1]Page 292-95'!G30</f>
        <v>0.21762375809061188</v>
      </c>
      <c r="H11" s="4"/>
    </row>
    <row r="12" spans="1:8" x14ac:dyDescent="0.25">
      <c r="A12" s="10">
        <v>37258</v>
      </c>
      <c r="B12" s="4">
        <f>'[1]Page 292-95'!B31</f>
        <v>-0.19742801479649347</v>
      </c>
      <c r="C12" s="4">
        <f>'[1]Page 292-95'!C31</f>
        <v>4.2697300467286127E-2</v>
      </c>
      <c r="D12" s="4">
        <f>'[1]Page 292-95'!D31</f>
        <v>0.23114796006900939</v>
      </c>
      <c r="E12" s="4">
        <f>'[1]Page 292-95'!E31</f>
        <v>0.19904599973514916</v>
      </c>
      <c r="F12" s="4">
        <f>'[1]Page 292-95'!F31</f>
        <v>-0.15086637755437701</v>
      </c>
      <c r="G12" s="4">
        <f>'[1]Page 292-95'!G31</f>
        <v>4.5485151822900263E-2</v>
      </c>
      <c r="H12" s="4"/>
    </row>
    <row r="13" spans="1:8" x14ac:dyDescent="0.25">
      <c r="A13" s="10">
        <v>37623</v>
      </c>
      <c r="B13" s="4">
        <f>'[1]Page 292-95'!B32</f>
        <v>-0.44784992572779375</v>
      </c>
      <c r="C13" s="4">
        <f>'[1]Page 292-95'!C32</f>
        <v>-0.29467288579706979</v>
      </c>
      <c r="D13" s="4">
        <f>'[1]Page 292-95'!D32</f>
        <v>-5.6657596004628455E-2</v>
      </c>
      <c r="E13" s="4">
        <f>'[1]Page 292-95'!E32</f>
        <v>0.10883878003415107</v>
      </c>
      <c r="F13" s="4">
        <f>'[1]Page 292-95'!F32</f>
        <v>-0.23230595878763066</v>
      </c>
      <c r="G13" s="4">
        <f>'[1]Page 292-95'!G32</f>
        <v>0.15535325852434001</v>
      </c>
      <c r="H13" s="4"/>
    </row>
    <row r="14" spans="1:8" x14ac:dyDescent="0.25">
      <c r="A14" s="10">
        <v>37988</v>
      </c>
      <c r="B14" s="4">
        <f>'[1]Page 292-95'!B33</f>
        <v>0.35900929586965324</v>
      </c>
      <c r="C14" s="4">
        <f>'[1]Page 292-95'!C33</f>
        <v>0.18005140825941549</v>
      </c>
      <c r="D14" s="4">
        <f>'[1]Page 292-95'!D33</f>
        <v>-1.2736567388731407E-2</v>
      </c>
      <c r="E14" s="4">
        <f>'[1]Page 292-95'!E33</f>
        <v>0.1548647105609153</v>
      </c>
      <c r="F14" s="4">
        <f>'[1]Page 292-95'!F33</f>
        <v>0.39822571885658403</v>
      </c>
      <c r="G14" s="4">
        <f>'[1]Page 292-95'!G33</f>
        <v>0.31795050205482422</v>
      </c>
      <c r="H14" s="4"/>
    </row>
    <row r="16" spans="1:8" x14ac:dyDescent="0.25">
      <c r="A16" s="2" t="s">
        <v>9</v>
      </c>
      <c r="B16" s="6">
        <f t="shared" ref="B16:G16" si="0">AVERAGE(B4:B14)</f>
        <v>0.23660815322221673</v>
      </c>
      <c r="C16" s="6">
        <f t="shared" si="0"/>
        <v>0.21382597606973422</v>
      </c>
      <c r="D16" s="6">
        <f t="shared" si="0"/>
        <v>0.1843100465550678</v>
      </c>
      <c r="E16" s="6">
        <f t="shared" si="0"/>
        <v>5.5139762101993367E-2</v>
      </c>
      <c r="F16" s="6">
        <f t="shared" si="0"/>
        <v>0.27625528513272585</v>
      </c>
      <c r="G16" s="6">
        <f t="shared" si="0"/>
        <v>0.17625978096732356</v>
      </c>
      <c r="H16" s="6" t="str">
        <f ca="1">[2]!getformula(G16)</f>
        <v>&lt;--  =AVERAGE(G4:G14)</v>
      </c>
    </row>
    <row r="17" spans="1:8" x14ac:dyDescent="0.25">
      <c r="A17" s="2" t="s">
        <v>10</v>
      </c>
      <c r="B17" s="4">
        <f t="shared" ref="B17:G17" si="1">STDEV(B4:B14)</f>
        <v>0.32171943662556884</v>
      </c>
      <c r="C17" s="4">
        <f t="shared" si="1"/>
        <v>0.40711692921454828</v>
      </c>
      <c r="D17" s="4">
        <f t="shared" si="1"/>
        <v>0.18965192381063015</v>
      </c>
      <c r="E17" s="4">
        <f t="shared" si="1"/>
        <v>0.23864750057184578</v>
      </c>
      <c r="F17" s="4">
        <f t="shared" si="1"/>
        <v>0.29928419828700653</v>
      </c>
      <c r="G17" s="4">
        <f t="shared" si="1"/>
        <v>0.13561454751568608</v>
      </c>
      <c r="H17" s="6" t="str">
        <f ca="1">[2]!getformula(G17)</f>
        <v>&lt;--  =STDEV(G4:G14)</v>
      </c>
    </row>
    <row r="18" spans="1:8" x14ac:dyDescent="0.25">
      <c r="A18" s="2" t="s">
        <v>11</v>
      </c>
      <c r="B18" s="7">
        <f t="shared" ref="B18:G18" si="2">VAR(B4:B14)</f>
        <v>0.10350339590267339</v>
      </c>
      <c r="C18" s="7">
        <f t="shared" si="2"/>
        <v>0.16574419405308352</v>
      </c>
      <c r="D18" s="7">
        <f t="shared" si="2"/>
        <v>3.5967852205073064E-2</v>
      </c>
      <c r="E18" s="7">
        <f t="shared" si="2"/>
        <v>5.6952629529189128E-2</v>
      </c>
      <c r="F18" s="7">
        <f t="shared" si="2"/>
        <v>8.9571031344296254E-2</v>
      </c>
      <c r="G18" s="7">
        <f t="shared" si="2"/>
        <v>1.8391305497884276E-2</v>
      </c>
      <c r="H18" s="6" t="str">
        <f ca="1">[2]!getformula(G18)</f>
        <v>&lt;--  =VAR(G4:G14)</v>
      </c>
    </row>
    <row r="19" spans="1:8" x14ac:dyDescent="0.25">
      <c r="A19" s="13" t="s">
        <v>12</v>
      </c>
      <c r="B19" s="14">
        <f>AVERAGE(B23:G28)-1/6</f>
        <v>0.19986428195607667</v>
      </c>
      <c r="C19" s="12" t="str">
        <f ca="1">[2]!getformula(B19)</f>
        <v>&lt;--  =AVERAGE(B23:G28)-1/6</v>
      </c>
    </row>
    <row r="21" spans="1:8" ht="50.4" customHeight="1" x14ac:dyDescent="0.25">
      <c r="A21" s="11" t="str">
        <f ca="1">"Uses the array formula "&amp;[2]!ggetformula(B23)&amp;" to compute the correlations"</f>
        <v>Uses the array formula  {=MMULT(TRANSPOSE(B4:G14-B16:G16),B4:G14-B16:G16)/10/MMULT(TRANSPOSE(B17:G17),B17:G17)} to compute the correlations</v>
      </c>
      <c r="B21" s="11"/>
      <c r="C21" s="11"/>
      <c r="D21" s="11"/>
      <c r="E21" s="11"/>
      <c r="F21" s="11"/>
      <c r="G21" s="11"/>
      <c r="H21" s="11"/>
    </row>
    <row r="22" spans="1:8" x14ac:dyDescent="0.25">
      <c r="B22" s="2" t="s">
        <v>3</v>
      </c>
      <c r="C22" s="2" t="s">
        <v>4</v>
      </c>
      <c r="D22" s="2" t="s">
        <v>5</v>
      </c>
      <c r="E22" s="2" t="s">
        <v>6</v>
      </c>
      <c r="F22" s="2" t="s">
        <v>7</v>
      </c>
      <c r="G22" s="2" t="s">
        <v>8</v>
      </c>
      <c r="H22" s="2"/>
    </row>
    <row r="23" spans="1:8" x14ac:dyDescent="0.25">
      <c r="A23" s="2" t="s">
        <v>3</v>
      </c>
      <c r="B23" s="7">
        <f t="array" ref="B23:G28">MMULT(TRANSPOSE(B4:G14-B16:G16),B4:G14-B16:G16)/10/MMULT(TRANSPOSE(B17:G17),B17:G17)</f>
        <v>0.99999999999999989</v>
      </c>
      <c r="C23" s="7">
        <v>0.57909609287843977</v>
      </c>
      <c r="D23" s="7">
        <v>0.36318122301424843</v>
      </c>
      <c r="E23" s="7">
        <v>-5.5982932350100961E-2</v>
      </c>
      <c r="F23" s="7">
        <v>0.89053247774484146</v>
      </c>
      <c r="G23" s="7">
        <v>0.281911934157482</v>
      </c>
      <c r="H23" s="7"/>
    </row>
    <row r="24" spans="1:8" x14ac:dyDescent="0.25">
      <c r="A24" s="2" t="s">
        <v>4</v>
      </c>
      <c r="B24" s="7">
        <v>0.57909609287843977</v>
      </c>
      <c r="C24" s="7">
        <v>1.0000000000000002</v>
      </c>
      <c r="D24" s="7">
        <v>0.53397107894098561</v>
      </c>
      <c r="E24" s="7">
        <v>-5.3239853186519803E-2</v>
      </c>
      <c r="F24" s="7">
        <v>0.31126313605148931</v>
      </c>
      <c r="G24" s="7">
        <v>-4.0566758150006994E-2</v>
      </c>
      <c r="H24" s="7"/>
    </row>
    <row r="25" spans="1:8" x14ac:dyDescent="0.25">
      <c r="A25" s="2" t="s">
        <v>5</v>
      </c>
      <c r="B25" s="7">
        <v>0.36318122301424843</v>
      </c>
      <c r="C25" s="7">
        <v>0.53397107894098561</v>
      </c>
      <c r="D25" s="7">
        <v>1.0000000000000004</v>
      </c>
      <c r="E25" s="7">
        <v>0.40015393137845062</v>
      </c>
      <c r="F25" s="7">
        <v>0.17796324121648649</v>
      </c>
      <c r="G25" s="7">
        <v>-0.15291436825616725</v>
      </c>
      <c r="H25" s="7"/>
    </row>
    <row r="26" spans="1:8" x14ac:dyDescent="0.25">
      <c r="A26" s="2" t="s">
        <v>6</v>
      </c>
      <c r="B26" s="7">
        <v>-5.5982932350100961E-2</v>
      </c>
      <c r="C26" s="7">
        <v>-5.3239853186519803E-2</v>
      </c>
      <c r="D26" s="7">
        <v>0.40015393137845062</v>
      </c>
      <c r="E26" s="7">
        <v>1</v>
      </c>
      <c r="F26" s="7">
        <v>-0.10669883416259962</v>
      </c>
      <c r="G26" s="7">
        <v>-0.14270817427995394</v>
      </c>
      <c r="H26" s="7"/>
    </row>
    <row r="27" spans="1:8" x14ac:dyDescent="0.25">
      <c r="A27" s="2" t="s">
        <v>7</v>
      </c>
      <c r="B27" s="7">
        <v>0.89053247774484146</v>
      </c>
      <c r="C27" s="7">
        <v>0.31126313605148931</v>
      </c>
      <c r="D27" s="7">
        <v>0.17796324121648649</v>
      </c>
      <c r="E27" s="7">
        <v>-0.10669883416259962</v>
      </c>
      <c r="F27" s="7">
        <v>0.99999999999999989</v>
      </c>
      <c r="G27" s="7">
        <v>0.61159488021230746</v>
      </c>
      <c r="H27" s="7"/>
    </row>
    <row r="28" spans="1:8" x14ac:dyDescent="0.25">
      <c r="A28" s="2" t="s">
        <v>8</v>
      </c>
      <c r="B28" s="7">
        <v>0.281911934157482</v>
      </c>
      <c r="C28" s="7">
        <v>-4.0566758150006994E-2</v>
      </c>
      <c r="D28" s="7">
        <v>-0.15291436825616725</v>
      </c>
      <c r="E28" s="7">
        <v>-0.14270817427995394</v>
      </c>
      <c r="F28" s="7">
        <v>0.61159488021230746</v>
      </c>
      <c r="G28" s="7">
        <v>0.99999999999999967</v>
      </c>
      <c r="H28" s="7"/>
    </row>
    <row r="29" spans="1:8" x14ac:dyDescent="0.25">
      <c r="A29" s="2"/>
      <c r="B29" s="7"/>
      <c r="C29" s="7"/>
      <c r="D29" s="7"/>
      <c r="E29" s="7"/>
      <c r="F29" s="7"/>
      <c r="G29" s="7"/>
      <c r="H29" s="7"/>
    </row>
    <row r="31" spans="1:8" ht="43.8" customHeight="1" x14ac:dyDescent="0.25">
      <c r="A31" s="11" t="str">
        <f ca="1">"Uses the array formula "&amp;[2]!ggetformula(B33)&amp;" to compute the constant correlation matrix"</f>
        <v>Uses the array formula  {=IF(A33:A42=B32:H32,B18:G18,MMULT(TRANSPOSE(B17:G17),B17:G17)*B19)} to compute the constant correlation matrix</v>
      </c>
      <c r="B31" s="11"/>
      <c r="C31" s="11"/>
      <c r="D31" s="11"/>
      <c r="E31" s="11"/>
      <c r="F31" s="11"/>
      <c r="G31" s="11"/>
      <c r="H31" s="9"/>
    </row>
    <row r="32" spans="1:8" x14ac:dyDescent="0.25">
      <c r="B32" s="2" t="s">
        <v>3</v>
      </c>
      <c r="C32" s="2" t="s">
        <v>4</v>
      </c>
      <c r="D32" s="2" t="s">
        <v>5</v>
      </c>
      <c r="E32" s="2" t="s">
        <v>6</v>
      </c>
      <c r="F32" s="2" t="s">
        <v>7</v>
      </c>
      <c r="G32" s="2" t="s">
        <v>8</v>
      </c>
      <c r="H32" s="2"/>
    </row>
    <row r="33" spans="1:8" x14ac:dyDescent="0.25">
      <c r="A33" s="2" t="s">
        <v>3</v>
      </c>
      <c r="B33" s="8">
        <f t="array" ref="B33:G38">IF(A33:A42=B32:H32,B18:G18,MMULT(TRANSPOSE(B17:G17),B17:G17)*B19)</f>
        <v>0.10350339590267339</v>
      </c>
      <c r="C33" s="8">
        <v>2.617770982105062E-2</v>
      </c>
      <c r="D33" s="8">
        <v>1.2194661219559191E-2</v>
      </c>
      <c r="E33" s="8">
        <v>1.534508778974536E-2</v>
      </c>
      <c r="F33" s="8">
        <v>1.9244041047122008E-2</v>
      </c>
      <c r="G33" s="8">
        <v>8.7200458090207298E-3</v>
      </c>
      <c r="H33" s="7"/>
    </row>
    <row r="34" spans="1:8" x14ac:dyDescent="0.25">
      <c r="A34" s="2" t="s">
        <v>4</v>
      </c>
      <c r="B34" s="8">
        <v>2.617770982105062E-2</v>
      </c>
      <c r="C34" s="8">
        <v>0.16574419405308352</v>
      </c>
      <c r="D34" s="8">
        <v>1.5431622909052761E-2</v>
      </c>
      <c r="E34" s="8">
        <v>1.941830150212406E-2</v>
      </c>
      <c r="F34" s="8">
        <v>2.4352196370097626E-2</v>
      </c>
      <c r="G34" s="8">
        <v>1.1034702502324866E-2</v>
      </c>
      <c r="H34" s="7"/>
    </row>
    <row r="35" spans="1:8" x14ac:dyDescent="0.25">
      <c r="A35" s="2" t="s">
        <v>5</v>
      </c>
      <c r="B35" s="8">
        <v>1.2194661219559191E-2</v>
      </c>
      <c r="C35" s="8">
        <v>1.5431622909052761E-2</v>
      </c>
      <c r="D35" s="8">
        <v>3.5967852205073064E-2</v>
      </c>
      <c r="E35" s="8">
        <v>9.045848926296814E-3</v>
      </c>
      <c r="F35" s="8">
        <v>1.1344261461967766E-2</v>
      </c>
      <c r="G35" s="8">
        <v>5.1404213582604838E-3</v>
      </c>
      <c r="H35" s="7"/>
    </row>
    <row r="36" spans="1:8" x14ac:dyDescent="0.25">
      <c r="A36" s="2" t="s">
        <v>6</v>
      </c>
      <c r="B36" s="8">
        <v>1.534508778974536E-2</v>
      </c>
      <c r="C36" s="8">
        <v>1.941830150212406E-2</v>
      </c>
      <c r="D36" s="8">
        <v>9.045848926296814E-3</v>
      </c>
      <c r="E36" s="8">
        <v>5.6952629529189128E-2</v>
      </c>
      <c r="F36" s="8">
        <v>1.4274991728717571E-2</v>
      </c>
      <c r="G36" s="8">
        <v>6.4684221725054645E-3</v>
      </c>
      <c r="H36" s="7"/>
    </row>
    <row r="37" spans="1:8" x14ac:dyDescent="0.25">
      <c r="A37" s="2" t="s">
        <v>7</v>
      </c>
      <c r="B37" s="8">
        <v>1.9244041047122008E-2</v>
      </c>
      <c r="C37" s="8">
        <v>2.4352196370097626E-2</v>
      </c>
      <c r="D37" s="8">
        <v>1.1344261461967766E-2</v>
      </c>
      <c r="E37" s="8">
        <v>1.4274991728717571E-2</v>
      </c>
      <c r="F37" s="8">
        <v>8.9571031344296254E-2</v>
      </c>
      <c r="G37" s="8">
        <v>8.1119497980972378E-3</v>
      </c>
      <c r="H37" s="7"/>
    </row>
    <row r="38" spans="1:8" x14ac:dyDescent="0.25">
      <c r="A38" s="2" t="s">
        <v>13</v>
      </c>
      <c r="B38" s="8">
        <v>8.7200458090207298E-3</v>
      </c>
      <c r="C38" s="8">
        <v>1.1034702502324866E-2</v>
      </c>
      <c r="D38" s="8">
        <v>5.1404213582604838E-3</v>
      </c>
      <c r="E38" s="8">
        <v>6.4684221725054645E-3</v>
      </c>
      <c r="F38" s="8">
        <v>8.1119497980972378E-3</v>
      </c>
      <c r="G38" s="8">
        <v>3.6757650675694857E-3</v>
      </c>
      <c r="H38" s="7"/>
    </row>
    <row r="39" spans="1:8" x14ac:dyDescent="0.25">
      <c r="A39" s="2"/>
      <c r="B39" s="7"/>
      <c r="C39" s="7"/>
      <c r="D39" s="7"/>
      <c r="E39" s="7"/>
      <c r="F39" s="7"/>
      <c r="G39" s="7"/>
      <c r="H39" s="7"/>
    </row>
    <row r="40" spans="1:8" x14ac:dyDescent="0.25">
      <c r="A40" s="2"/>
      <c r="B40" s="7"/>
      <c r="C40" s="7"/>
      <c r="D40" s="7"/>
      <c r="E40" s="7"/>
      <c r="F40" s="7"/>
      <c r="G40" s="7"/>
      <c r="H40" s="7"/>
    </row>
    <row r="41" spans="1:8" x14ac:dyDescent="0.25">
      <c r="A41" s="2"/>
      <c r="B41" s="7"/>
      <c r="C41" s="7"/>
      <c r="D41" s="7"/>
      <c r="E41" s="7"/>
      <c r="F41" s="7"/>
      <c r="G41" s="7"/>
      <c r="H41" s="7"/>
    </row>
    <row r="42" spans="1:8" x14ac:dyDescent="0.25">
      <c r="A42" s="2"/>
      <c r="B42" s="7"/>
      <c r="C42" s="7"/>
      <c r="D42" s="7"/>
      <c r="E42" s="7"/>
      <c r="F42" s="7"/>
      <c r="G42" s="7"/>
      <c r="H42" s="7"/>
    </row>
  </sheetData>
  <mergeCells count="3">
    <mergeCell ref="A1:H1"/>
    <mergeCell ref="A21:H21"/>
    <mergeCell ref="A31:G3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2024-10-31T08:27:48Z</dcterms:modified>
</cp:coreProperties>
</file>