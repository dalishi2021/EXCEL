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0\"/>
    </mc:Choice>
  </mc:AlternateContent>
  <xr:revisionPtr revIDLastSave="0" documentId="13_ncr:1_{80B10A69-D315-4E50-8332-5FF2C5A203BB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1" l="1" a="1"/>
  <c r="G11" i="1" s="1"/>
  <c r="B4" i="1" a="1"/>
  <c r="D8" i="1" s="1"/>
  <c r="G19" i="1"/>
  <c r="G18" i="1"/>
  <c r="G17" i="1"/>
  <c r="A13" i="1"/>
  <c r="C8" i="1" l="1"/>
  <c r="G5" i="1"/>
  <c r="E8" i="1"/>
  <c r="C7" i="1"/>
  <c r="B6" i="1"/>
  <c r="C6" i="1"/>
  <c r="G8" i="1"/>
  <c r="G9" i="1"/>
  <c r="F8" i="1"/>
  <c r="D6" i="1"/>
  <c r="B9" i="1"/>
  <c r="E6" i="1"/>
  <c r="C9" i="1"/>
  <c r="B4" i="1"/>
  <c r="B14" i="1" s="1" a="1"/>
  <c r="F6" i="1"/>
  <c r="D9" i="1"/>
  <c r="C4" i="1"/>
  <c r="G6" i="1"/>
  <c r="E9" i="1"/>
  <c r="E4" i="1"/>
  <c r="D4" i="1"/>
  <c r="B7" i="1"/>
  <c r="F9" i="1"/>
  <c r="F4" i="1"/>
  <c r="D7" i="1"/>
  <c r="G4" i="1"/>
  <c r="E7" i="1"/>
  <c r="B11" i="1"/>
  <c r="F7" i="1"/>
  <c r="C5" i="1"/>
  <c r="G7" i="1"/>
  <c r="D11" i="1"/>
  <c r="B5" i="1"/>
  <c r="C11" i="1"/>
  <c r="D5" i="1"/>
  <c r="B8" i="1"/>
  <c r="E11" i="1"/>
  <c r="E5" i="1"/>
  <c r="F11" i="1"/>
  <c r="F5" i="1"/>
  <c r="B19" i="1" l="1"/>
  <c r="B18" i="1"/>
  <c r="B17" i="1"/>
  <c r="B16" i="1"/>
  <c r="B15" i="1"/>
  <c r="B14" i="1"/>
  <c r="F18" i="1" s="1" a="1"/>
  <c r="F18" i="1" s="1"/>
  <c r="F19" i="1" s="1"/>
  <c r="F17" i="1" a="1"/>
  <c r="F17" i="1" s="1"/>
</calcChain>
</file>

<file path=xl/sharedStrings.xml><?xml version="1.0" encoding="utf-8"?>
<sst xmlns="http://schemas.openxmlformats.org/spreadsheetml/2006/main" count="25" uniqueCount="13">
  <si>
    <t>COMPUTING THE GLOBAL MINIMUM VARIANCE PORTFOLIO USING THE SAMPLE VAR-COV MATRIX
More compact method:  uses trick to compute vector of 1's</t>
  </si>
  <si>
    <t>Sample variance-covariance matrix</t>
  </si>
  <si>
    <t>GE</t>
  </si>
  <si>
    <t>MSFT</t>
  </si>
  <si>
    <t>JNJ</t>
  </si>
  <si>
    <t>K</t>
  </si>
  <si>
    <t>BA</t>
  </si>
  <si>
    <t>IBM</t>
  </si>
  <si>
    <t>Average</t>
  </si>
  <si>
    <t>GMVP statistics</t>
  </si>
  <si>
    <t>Mean return</t>
  </si>
  <si>
    <t>Variance</t>
  </si>
  <si>
    <t>Sigma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</si>
</sst>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;;"/>
    <numFmt numFmtId="177" formatCode="0.0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b/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/>
    <xf numFmtId="0" fontId="0" fillId="0" borderId="0" xfId="0" applyAlignment="1"/>
    <xf numFmtId="176" fontId="0" fillId="0" borderId="0" xfId="0" applyNumberFormat="1" applyAlignment="1"/>
    <xf numFmtId="177" fontId="0" fillId="0" borderId="0" xfId="0" applyNumberFormat="1" applyAlignment="1"/>
    <xf numFmtId="0" fontId="0" fillId="0" borderId="0" xfId="0" applyAlignment="1">
      <alignment horizontal="center"/>
    </xf>
    <xf numFmtId="10" fontId="0" fillId="0" borderId="0" xfId="0" applyNumberFormat="1" applyAlignment="1"/>
    <xf numFmtId="0" fontId="4" fillId="2" borderId="0" xfId="0" applyFont="1" applyFill="1" applyAlignment="1"/>
    <xf numFmtId="177" fontId="0" fillId="2" borderId="0" xfId="0" applyNumberFormat="1" applyFill="1" applyAlignment="1"/>
    <xf numFmtId="0" fontId="0" fillId="2" borderId="0" xfId="0" applyFill="1" applyAlignment="1"/>
    <xf numFmtId="10" fontId="2" fillId="2" borderId="0" xfId="1" applyNumberFormat="1" applyFill="1" applyAlignment="1"/>
    <xf numFmtId="0" fontId="5" fillId="0" borderId="0" xfId="0" applyFont="1" applyAlignment="1">
      <alignment horizontal="left" vertical="center" wrapText="1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504825</xdr:colOff>
      <xdr:row>0</xdr:row>
      <xdr:rowOff>85725</xdr:rowOff>
    </xdr:from>
    <xdr:to>
      <xdr:col>21</xdr:col>
      <xdr:colOff>342900</xdr:colOff>
      <xdr:row>24</xdr:row>
      <xdr:rowOff>135731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62AC6193-627D-E603-4A93-756B2A22D7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267700" y="85725"/>
          <a:ext cx="7762875" cy="4552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0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0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292-95"/>
      <sheetName val="Page 292-95中文"/>
      <sheetName val="Page 296"/>
      <sheetName val="Page 296中文"/>
      <sheetName val="Page 298"/>
      <sheetName val="Page 298中文"/>
      <sheetName val="Page 299"/>
      <sheetName val="Page 299中文"/>
      <sheetName val="Page 300"/>
      <sheetName val="Page 300中文"/>
      <sheetName val="Pages 301-302"/>
      <sheetName val="Pages 301-302中文"/>
      <sheetName val="Page 303"/>
      <sheetName val="Page 303中文"/>
      <sheetName val="Page 305"/>
      <sheetName val="Page 305中文"/>
      <sheetName val="Page 306"/>
      <sheetName val="Page 306中文"/>
      <sheetName val="Page 307"/>
      <sheetName val="Page 307中文"/>
      <sheetName val="Page 308"/>
      <sheetName val="Page 308中文"/>
      <sheetName val="Page 309"/>
      <sheetName val="Page 309中文"/>
      <sheetName val="Page 311, top"/>
      <sheetName val="Page 311, top中文"/>
      <sheetName val="Page 311, bottom"/>
      <sheetName val="Page 311, bottom中文"/>
      <sheetName val="Page 312"/>
      <sheetName val="Page 312中文"/>
      <sheetName val="Page 313"/>
      <sheetName val="Page 313中文"/>
      <sheetName val="Page 314"/>
      <sheetName val="Page 314中文"/>
      <sheetName val="Compare"/>
      <sheetName val="Compare中文"/>
    </sheetNames>
    <sheetDataSet>
      <sheetData sheetId="0">
        <row r="35">
          <cell r="B35">
            <v>0.23660815322221673</v>
          </cell>
          <cell r="C35">
            <v>0.21382597606973422</v>
          </cell>
          <cell r="D35">
            <v>0.1843100465550678</v>
          </cell>
          <cell r="E35">
            <v>5.5139762101993367E-2</v>
          </cell>
          <cell r="F35">
            <v>0.27625528513272585</v>
          </cell>
          <cell r="G35">
            <v>0.17625978096732356</v>
          </cell>
        </row>
        <row r="71">
          <cell r="B71">
            <v>0.10350339590267339</v>
          </cell>
          <cell r="C71">
            <v>7.5848517451494873E-2</v>
          </cell>
          <cell r="D71">
            <v>2.2159397029916771E-2</v>
          </cell>
          <cell r="E71">
            <v>-4.2982317962569593E-3</v>
          </cell>
          <cell r="F71">
            <v>8.5745403769960343E-2</v>
          </cell>
          <cell r="G71">
            <v>1.2299771404392935E-2</v>
          </cell>
        </row>
        <row r="72">
          <cell r="B72">
            <v>7.5848517451494873E-2</v>
          </cell>
          <cell r="C72">
            <v>0.16574419405308355</v>
          </cell>
          <cell r="D72">
            <v>4.1228178711632993E-2</v>
          </cell>
          <cell r="E72">
            <v>-5.1726477136713293E-3</v>
          </cell>
          <cell r="F72">
            <v>3.7925440892755881E-2</v>
          </cell>
          <cell r="G72">
            <v>-2.2397303974877624E-3</v>
          </cell>
        </row>
        <row r="73">
          <cell r="B73">
            <v>2.2159397029916771E-2</v>
          </cell>
          <cell r="C73">
            <v>4.1228178711632993E-2</v>
          </cell>
          <cell r="D73">
            <v>3.5967852205073078E-2</v>
          </cell>
          <cell r="E73">
            <v>1.811094996608098E-2</v>
          </cell>
          <cell r="F73">
            <v>1.010116224480139E-2</v>
          </cell>
          <cell r="G73">
            <v>-3.9328902436987553E-3</v>
          </cell>
        </row>
        <row r="74">
          <cell r="B74">
            <v>-4.2982317962569593E-3</v>
          </cell>
          <cell r="C74">
            <v>-5.1726477136713293E-3</v>
          </cell>
          <cell r="D74">
            <v>1.811094996608098E-2</v>
          </cell>
          <cell r="E74">
            <v>5.6952629529189128E-2</v>
          </cell>
          <cell r="F74">
            <v>-7.6207962734914699E-3</v>
          </cell>
          <cell r="G74">
            <v>-4.6186177423792676E-3</v>
          </cell>
        </row>
        <row r="75">
          <cell r="B75">
            <v>8.5745403769960343E-2</v>
          </cell>
          <cell r="C75">
            <v>3.7925440892755881E-2</v>
          </cell>
          <cell r="D75">
            <v>1.010116224480139E-2</v>
          </cell>
          <cell r="E75">
            <v>-7.6207962734914699E-3</v>
          </cell>
          <cell r="F75">
            <v>8.9571031344296226E-2</v>
          </cell>
          <cell r="G75">
            <v>2.4822979456358491E-2</v>
          </cell>
        </row>
        <row r="76">
          <cell r="B76">
            <v>1.2299771404392935E-2</v>
          </cell>
          <cell r="C76">
            <v>-2.2397303974877624E-3</v>
          </cell>
          <cell r="D76">
            <v>-3.9328902436987553E-3</v>
          </cell>
          <cell r="E76">
            <v>-4.6186177423792676E-3</v>
          </cell>
          <cell r="F76">
            <v>2.4822979456358491E-2</v>
          </cell>
          <cell r="G76">
            <v>1.8391305497884269E-2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H19"/>
  <sheetViews>
    <sheetView tabSelected="1" zoomScale="160" zoomScaleNormal="160" workbookViewId="0">
      <selection activeCell="H27" sqref="H27"/>
    </sheetView>
  </sheetViews>
  <sheetFormatPr defaultRowHeight="13.8" x14ac:dyDescent="0.25"/>
  <cols>
    <col min="1" max="1" width="11.109375" style="3" customWidth="1"/>
    <col min="2" max="4" width="8.88671875" style="3"/>
    <col min="5" max="5" width="10.6640625" style="3" bestFit="1" customWidth="1"/>
    <col min="6" max="7" width="8.88671875" style="3"/>
    <col min="8" max="8" width="46.88671875" style="3" customWidth="1"/>
  </cols>
  <sheetData>
    <row r="1" spans="1:8" ht="17.399999999999999" x14ac:dyDescent="0.25">
      <c r="A1" s="1" t="s">
        <v>0</v>
      </c>
      <c r="B1" s="1"/>
      <c r="C1" s="1"/>
      <c r="D1" s="1"/>
      <c r="E1" s="1"/>
      <c r="F1" s="1"/>
      <c r="G1" s="1"/>
      <c r="H1" s="1"/>
    </row>
    <row r="2" spans="1:8" x14ac:dyDescent="0.25">
      <c r="A2" s="2" t="s">
        <v>1</v>
      </c>
    </row>
    <row r="3" spans="1:8" x14ac:dyDescent="0.25">
      <c r="A3" s="4"/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  <c r="H3" s="2"/>
    </row>
    <row r="4" spans="1:8" x14ac:dyDescent="0.25">
      <c r="A4" s="2" t="s">
        <v>2</v>
      </c>
      <c r="B4" s="5">
        <f t="array" ref="B4:G9">'[1]Page 292-95'!B71:G76</f>
        <v>0.10350339590267339</v>
      </c>
      <c r="C4" s="5">
        <v>7.5848517451494873E-2</v>
      </c>
      <c r="D4" s="5">
        <v>2.2159397029916771E-2</v>
      </c>
      <c r="E4" s="5">
        <v>-4.2982317962569593E-3</v>
      </c>
      <c r="F4" s="5">
        <v>8.5745403769960343E-2</v>
      </c>
      <c r="G4" s="5">
        <v>1.2299771404392935E-2</v>
      </c>
      <c r="H4" s="5"/>
    </row>
    <row r="5" spans="1:8" x14ac:dyDescent="0.25">
      <c r="A5" s="2" t="s">
        <v>3</v>
      </c>
      <c r="B5" s="5">
        <v>7.5848517451494873E-2</v>
      </c>
      <c r="C5" s="5">
        <v>0.16574419405308355</v>
      </c>
      <c r="D5" s="5">
        <v>4.1228178711632993E-2</v>
      </c>
      <c r="E5" s="5">
        <v>-5.1726477136713293E-3</v>
      </c>
      <c r="F5" s="5">
        <v>3.7925440892755881E-2</v>
      </c>
      <c r="G5" s="5">
        <v>-2.2397303974877624E-3</v>
      </c>
      <c r="H5" s="5"/>
    </row>
    <row r="6" spans="1:8" x14ac:dyDescent="0.25">
      <c r="A6" s="2" t="s">
        <v>4</v>
      </c>
      <c r="B6" s="5">
        <v>2.2159397029916771E-2</v>
      </c>
      <c r="C6" s="5">
        <v>4.1228178711632993E-2</v>
      </c>
      <c r="D6" s="5">
        <v>3.5967852205073078E-2</v>
      </c>
      <c r="E6" s="5">
        <v>1.811094996608098E-2</v>
      </c>
      <c r="F6" s="5">
        <v>1.010116224480139E-2</v>
      </c>
      <c r="G6" s="5">
        <v>-3.9328902436987553E-3</v>
      </c>
      <c r="H6" s="5"/>
    </row>
    <row r="7" spans="1:8" x14ac:dyDescent="0.25">
      <c r="A7" s="2" t="s">
        <v>5</v>
      </c>
      <c r="B7" s="5">
        <v>-4.2982317962569593E-3</v>
      </c>
      <c r="C7" s="5">
        <v>-5.1726477136713293E-3</v>
      </c>
      <c r="D7" s="5">
        <v>1.811094996608098E-2</v>
      </c>
      <c r="E7" s="5">
        <v>5.6952629529189128E-2</v>
      </c>
      <c r="F7" s="5">
        <v>-7.6207962734914699E-3</v>
      </c>
      <c r="G7" s="5">
        <v>-4.6186177423792676E-3</v>
      </c>
      <c r="H7" s="5"/>
    </row>
    <row r="8" spans="1:8" x14ac:dyDescent="0.25">
      <c r="A8" s="2" t="s">
        <v>6</v>
      </c>
      <c r="B8" s="5">
        <v>8.5745403769960343E-2</v>
      </c>
      <c r="C8" s="5">
        <v>3.7925440892755881E-2</v>
      </c>
      <c r="D8" s="5">
        <v>1.010116224480139E-2</v>
      </c>
      <c r="E8" s="5">
        <v>-7.6207962734914699E-3</v>
      </c>
      <c r="F8" s="5">
        <v>8.9571031344296226E-2</v>
      </c>
      <c r="G8" s="5">
        <v>2.4822979456358491E-2</v>
      </c>
      <c r="H8" s="5"/>
    </row>
    <row r="9" spans="1:8" x14ac:dyDescent="0.25">
      <c r="A9" s="2" t="s">
        <v>7</v>
      </c>
      <c r="B9" s="5">
        <v>1.2299771404392935E-2</v>
      </c>
      <c r="C9" s="5">
        <v>-2.2397303974877624E-3</v>
      </c>
      <c r="D9" s="5">
        <v>-3.9328902436987553E-3</v>
      </c>
      <c r="E9" s="5">
        <v>-4.6186177423792676E-3</v>
      </c>
      <c r="F9" s="5">
        <v>2.4822979456358491E-2</v>
      </c>
      <c r="G9" s="5">
        <v>1.8391305497884269E-2</v>
      </c>
      <c r="H9" s="5"/>
    </row>
    <row r="10" spans="1:8" x14ac:dyDescent="0.25">
      <c r="A10" s="2"/>
      <c r="B10" s="5"/>
      <c r="C10" s="5"/>
      <c r="D10" s="5"/>
      <c r="E10" s="5"/>
      <c r="F10" s="5"/>
      <c r="G10" s="5"/>
      <c r="H10" s="5"/>
    </row>
    <row r="11" spans="1:8" x14ac:dyDescent="0.25">
      <c r="A11" s="6" t="s">
        <v>8</v>
      </c>
      <c r="B11" s="7">
        <f t="array" ref="B11:G11">'[1]Page 292-95'!B35:G35</f>
        <v>0.23660815322221673</v>
      </c>
      <c r="C11" s="7">
        <v>0.21382597606973422</v>
      </c>
      <c r="D11" s="7">
        <v>0.1843100465550678</v>
      </c>
      <c r="E11" s="7">
        <v>5.5139762101993367E-2</v>
      </c>
      <c r="F11" s="7">
        <v>0.27625528513272585</v>
      </c>
      <c r="G11" s="7">
        <v>0.17625978096732356</v>
      </c>
      <c r="H11" s="7"/>
    </row>
    <row r="12" spans="1:8" x14ac:dyDescent="0.25">
      <c r="A12" s="2"/>
      <c r="B12" s="5"/>
      <c r="C12" s="5"/>
      <c r="D12" s="5"/>
      <c r="E12" s="5"/>
      <c r="F12" s="5"/>
      <c r="G12" s="5"/>
      <c r="H12" s="5"/>
    </row>
    <row r="13" spans="1:8" ht="39.6" customHeight="1" x14ac:dyDescent="0.25">
      <c r="A13" s="12" t="str">
        <f ca="1">"Uses formula "&amp;[2]!ggetformula(B15)&amp;" to compute the global minimum variance portfolio"</f>
        <v>Uses formula  {=MMULT(MINVERSE(B4:G9),IF(A14:A19=A14:A19,1,0))/SUM(MMULT(MINVERSE(B4:G9),IF(A14:A19=A14:A19,1,0)))} to compute the global minimum variance portfolio</v>
      </c>
      <c r="B13" s="12"/>
      <c r="C13" s="12"/>
      <c r="D13" s="12"/>
      <c r="E13" s="12"/>
      <c r="F13" s="12"/>
      <c r="G13" s="12"/>
      <c r="H13" s="12"/>
    </row>
    <row r="14" spans="1:8" x14ac:dyDescent="0.25">
      <c r="A14" s="8" t="s">
        <v>2</v>
      </c>
      <c r="B14" s="9">
        <f t="array" ref="B14:B19">MMULT(MINVERSE(B4:G9),IF(A14:A19=A14:A19,1,0))/SUM(MMULT(MINVERSE(B4:G9),IF(A14:A19=A14:A19,1,0)))</f>
        <v>0.6105121601910164</v>
      </c>
    </row>
    <row r="15" spans="1:8" x14ac:dyDescent="0.25">
      <c r="A15" s="8" t="s">
        <v>3</v>
      </c>
      <c r="B15" s="9">
        <v>-0.10340684692465699</v>
      </c>
    </row>
    <row r="16" spans="1:8" x14ac:dyDescent="0.25">
      <c r="A16" s="8" t="s">
        <v>4</v>
      </c>
      <c r="B16" s="9">
        <v>0.20743129638203894</v>
      </c>
      <c r="E16" s="2" t="s">
        <v>9</v>
      </c>
    </row>
    <row r="17" spans="1:7" x14ac:dyDescent="0.25">
      <c r="A17" s="8" t="s">
        <v>5</v>
      </c>
      <c r="B17" s="9">
        <v>5.3893988243147305E-2</v>
      </c>
      <c r="E17" s="10" t="s">
        <v>10</v>
      </c>
      <c r="F17" s="11">
        <f t="array" ref="F17">MMULT(B11:G11,B14:B19)</f>
        <v>0.12732799503214287</v>
      </c>
      <c r="G17" s="3" t="str">
        <f ca="1">[2]!getformula(F17)</f>
        <v>&lt;--  {=MMULT(B11:G11,B14:B19)}</v>
      </c>
    </row>
    <row r="18" spans="1:7" x14ac:dyDescent="0.25">
      <c r="A18" s="8" t="s">
        <v>6</v>
      </c>
      <c r="B18" s="9">
        <v>-0.7703629883695382</v>
      </c>
      <c r="E18" s="10" t="s">
        <v>11</v>
      </c>
      <c r="F18" s="9">
        <f t="array" ref="F18">MMULT(MMULT(TRANSPOSE(B14:B19),B4:G9),B14:B19)</f>
        <v>5.9801832635013024E-3</v>
      </c>
      <c r="G18" s="3" t="str">
        <f ca="1">[2]!getformula(F18)</f>
        <v>&lt;--  {=MMULT(MMULT(TRANSPOSE(B14:B19),B4:G9),B14:B19)}</v>
      </c>
    </row>
    <row r="19" spans="1:7" x14ac:dyDescent="0.25">
      <c r="A19" s="8" t="s">
        <v>7</v>
      </c>
      <c r="B19" s="9">
        <v>1.0019323904779924</v>
      </c>
      <c r="E19" s="10" t="s">
        <v>12</v>
      </c>
      <c r="F19" s="11">
        <f>SQRT(F18)</f>
        <v>7.7331644645004818E-2</v>
      </c>
      <c r="G19" s="3" t="str">
        <f ca="1">[2]!getformula(F19)</f>
        <v>&lt;--  =SQRT(F18)</v>
      </c>
    </row>
  </sheetData>
  <mergeCells count="2">
    <mergeCell ref="A1:H1"/>
    <mergeCell ref="A13:H13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2024-11-01T01:30:30Z</dcterms:modified>
</cp:coreProperties>
</file>