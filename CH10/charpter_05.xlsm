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3C295C4F-733E-4FB0-BBE0-CF20DD81151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 a="1"/>
  <c r="B20" i="1" s="1"/>
  <c r="B19" i="1" a="1"/>
  <c r="B19" i="1" s="1"/>
  <c r="B15" i="1" a="1"/>
  <c r="B15" i="1" s="1"/>
  <c r="B11" i="1" a="1"/>
  <c r="B11" i="1" s="1"/>
  <c r="C21" i="1"/>
  <c r="C20" i="1"/>
  <c r="C19" i="1"/>
  <c r="C17" i="1"/>
  <c r="A13" i="1"/>
  <c r="G15" i="1" l="1"/>
  <c r="F15" i="1"/>
  <c r="E15" i="1"/>
  <c r="D15" i="1"/>
  <c r="C15" i="1"/>
  <c r="G11" i="1"/>
  <c r="F11" i="1"/>
  <c r="E11" i="1"/>
  <c r="D11" i="1"/>
  <c r="C11" i="1"/>
  <c r="G9" i="1" l="1"/>
  <c r="F9" i="1"/>
  <c r="E9" i="1"/>
  <c r="D9" i="1"/>
  <c r="C9" i="1"/>
  <c r="B9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E6" i="1"/>
  <c r="D6" i="1"/>
  <c r="C6" i="1"/>
  <c r="B6" i="1"/>
  <c r="G5" i="1"/>
  <c r="F5" i="1"/>
  <c r="E5" i="1"/>
  <c r="D5" i="1"/>
  <c r="C5" i="1"/>
  <c r="B5" i="1"/>
  <c r="G4" i="1"/>
  <c r="F4" i="1"/>
  <c r="E4" i="1"/>
  <c r="D4" i="1"/>
  <c r="C4" i="1"/>
  <c r="B4" i="1"/>
  <c r="B21" i="1" l="1"/>
  <c r="B17" i="1"/>
</calcChain>
</file>

<file path=xl/sharedStrings.xml><?xml version="1.0" encoding="utf-8"?>
<sst xmlns="http://schemas.openxmlformats.org/spreadsheetml/2006/main" count="26" uniqueCount="14">
  <si>
    <t>COMPUTING THE GLOBAL MINIMUM VARIANCE PORTFOLIO USING THE 
SAMPLE VARIANCE-COVARIANCE MATRIX</t>
  </si>
  <si>
    <t>Sample variance-covariance matrix</t>
  </si>
  <si>
    <t>GE</t>
  </si>
  <si>
    <t>MSFT</t>
  </si>
  <si>
    <t>JNJ</t>
  </si>
  <si>
    <t>K</t>
  </si>
  <si>
    <t>BA</t>
  </si>
  <si>
    <t>IBM</t>
  </si>
  <si>
    <t>One</t>
  </si>
  <si>
    <t>Mean</t>
  </si>
  <si>
    <t>Sum</t>
  </si>
  <si>
    <t>GMVP mean</t>
  </si>
  <si>
    <t>GMVP variance</t>
  </si>
  <si>
    <t>GMVP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</si>
</sst>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;;"/>
    <numFmt numFmtId="177" formatCode="0.0000"/>
    <numFmt numFmtId="178" formatCode="0.0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/>
    <xf numFmtId="0" fontId="0" fillId="0" borderId="0" xfId="0" applyAlignment="1"/>
    <xf numFmtId="176" fontId="0" fillId="0" borderId="0" xfId="0" applyNumberFormat="1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77" fontId="0" fillId="0" borderId="0" xfId="0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0" fontId="4" fillId="0" borderId="0" xfId="0" applyFont="1" applyAlignment="1">
      <alignment horizontal="left" vertical="center" wrapText="1"/>
    </xf>
    <xf numFmtId="10" fontId="0" fillId="0" borderId="0" xfId="1" applyNumberFormat="1" applyFont="1" applyFill="1" applyAlignment="1"/>
    <xf numFmtId="178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409575</xdr:colOff>
      <xdr:row>1</xdr:row>
      <xdr:rowOff>114300</xdr:rowOff>
    </xdr:from>
    <xdr:to>
      <xdr:col>21</xdr:col>
      <xdr:colOff>396240</xdr:colOff>
      <xdr:row>25</xdr:row>
      <xdr:rowOff>113212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64C7625-D71F-3CD8-D13D-616DEFC8BD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715250" y="333375"/>
          <a:ext cx="6696075" cy="4543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0\charpter_01.xlsm" TargetMode="External"/><Relationship Id="rId1" Type="http://schemas.openxmlformats.org/officeDocument/2006/relationships/externalLinkPath" Target="charpter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71">
          <cell r="B71">
            <v>0.10350339590267339</v>
          </cell>
          <cell r="C71">
            <v>7.5848517451494873E-2</v>
          </cell>
          <cell r="D71">
            <v>2.2159397029916771E-2</v>
          </cell>
          <cell r="E71">
            <v>-4.2982317962569593E-3</v>
          </cell>
          <cell r="F71">
            <v>8.5745403769960343E-2</v>
          </cell>
          <cell r="G71">
            <v>1.2299771404392935E-2</v>
          </cell>
        </row>
        <row r="72">
          <cell r="B72">
            <v>7.5848517451494873E-2</v>
          </cell>
          <cell r="C72">
            <v>0.16574419405308355</v>
          </cell>
          <cell r="D72">
            <v>4.1228178711632993E-2</v>
          </cell>
          <cell r="E72">
            <v>-5.1726477136713293E-3</v>
          </cell>
          <cell r="F72">
            <v>3.7925440892755881E-2</v>
          </cell>
          <cell r="G72">
            <v>-2.2397303974877624E-3</v>
          </cell>
        </row>
        <row r="73">
          <cell r="B73">
            <v>2.2159397029916771E-2</v>
          </cell>
          <cell r="C73">
            <v>4.1228178711632993E-2</v>
          </cell>
          <cell r="D73">
            <v>3.5967852205073078E-2</v>
          </cell>
          <cell r="E73">
            <v>1.811094996608098E-2</v>
          </cell>
          <cell r="F73">
            <v>1.010116224480139E-2</v>
          </cell>
          <cell r="G73">
            <v>-3.9328902436987553E-3</v>
          </cell>
        </row>
        <row r="74">
          <cell r="B74">
            <v>-4.2982317962569593E-3</v>
          </cell>
          <cell r="C74">
            <v>-5.1726477136713293E-3</v>
          </cell>
          <cell r="D74">
            <v>1.811094996608098E-2</v>
          </cell>
          <cell r="E74">
            <v>5.6952629529189128E-2</v>
          </cell>
          <cell r="F74">
            <v>-7.6207962734914699E-3</v>
          </cell>
          <cell r="G74">
            <v>-4.6186177423792676E-3</v>
          </cell>
        </row>
        <row r="75">
          <cell r="B75">
            <v>8.5745403769960343E-2</v>
          </cell>
          <cell r="C75">
            <v>3.7925440892755881E-2</v>
          </cell>
          <cell r="D75">
            <v>1.010116224480139E-2</v>
          </cell>
          <cell r="E75">
            <v>-7.6207962734914699E-3</v>
          </cell>
          <cell r="F75">
            <v>8.9571031344296226E-2</v>
          </cell>
          <cell r="G75">
            <v>2.4822979456358491E-2</v>
          </cell>
        </row>
        <row r="76">
          <cell r="B76">
            <v>1.2299771404392935E-2</v>
          </cell>
          <cell r="C76">
            <v>-2.2397303974877624E-3</v>
          </cell>
          <cell r="D76">
            <v>-3.9328902436987553E-3</v>
          </cell>
          <cell r="E76">
            <v>-4.6186177423792676E-3</v>
          </cell>
          <cell r="F76">
            <v>2.4822979456358491E-2</v>
          </cell>
          <cell r="G76">
            <v>1.8391305497884269E-2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5">
          <cell r="B35">
            <v>0.23660815322221673</v>
          </cell>
          <cell r="C35">
            <v>0.21382597606973422</v>
          </cell>
          <cell r="D35">
            <v>0.1843100465550678</v>
          </cell>
          <cell r="E35">
            <v>5.5139762101993367E-2</v>
          </cell>
          <cell r="F35">
            <v>0.27625528513272585</v>
          </cell>
          <cell r="G35">
            <v>0.17625978096732356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22"/>
  <sheetViews>
    <sheetView tabSelected="1" zoomScale="175" zoomScaleNormal="175" workbookViewId="0">
      <selection activeCell="G23" sqref="G23"/>
    </sheetView>
  </sheetViews>
  <sheetFormatPr defaultRowHeight="13.8" x14ac:dyDescent="0.25"/>
  <cols>
    <col min="1" max="1" width="24.6640625" style="3" customWidth="1"/>
    <col min="2" max="4" width="8.88671875" style="3"/>
    <col min="5" max="5" width="10.6640625" style="3" bestFit="1" customWidth="1"/>
    <col min="6" max="9" width="8.88671875" style="3"/>
  </cols>
  <sheetData>
    <row r="1" spans="1:9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</row>
    <row r="3" spans="1:9" x14ac:dyDescent="0.25">
      <c r="A3" s="4"/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6"/>
      <c r="I3" s="5" t="s">
        <v>8</v>
      </c>
    </row>
    <row r="4" spans="1:9" x14ac:dyDescent="0.25">
      <c r="A4" s="5" t="s">
        <v>2</v>
      </c>
      <c r="B4" s="7">
        <f>'[1]Page 292-95'!B71</f>
        <v>0.10350339590267339</v>
      </c>
      <c r="C4" s="7">
        <f>'[1]Page 292-95'!C71</f>
        <v>7.5848517451494873E-2</v>
      </c>
      <c r="D4" s="7">
        <f>'[1]Page 292-95'!D71</f>
        <v>2.2159397029916771E-2</v>
      </c>
      <c r="E4" s="7">
        <f>'[1]Page 292-95'!E71</f>
        <v>-4.2982317962569593E-3</v>
      </c>
      <c r="F4" s="7">
        <f>'[1]Page 292-95'!F71</f>
        <v>8.5745403769960343E-2</v>
      </c>
      <c r="G4" s="7">
        <f>'[1]Page 292-95'!G71</f>
        <v>1.2299771404392935E-2</v>
      </c>
      <c r="H4" s="7"/>
      <c r="I4" s="8">
        <v>1</v>
      </c>
    </row>
    <row r="5" spans="1:9" x14ac:dyDescent="0.25">
      <c r="A5" s="5" t="s">
        <v>3</v>
      </c>
      <c r="B5" s="7">
        <f>'[1]Page 292-95'!B72</f>
        <v>7.5848517451494873E-2</v>
      </c>
      <c r="C5" s="7">
        <f>'[1]Page 292-95'!C72</f>
        <v>0.16574419405308355</v>
      </c>
      <c r="D5" s="7">
        <f>'[1]Page 292-95'!D72</f>
        <v>4.1228178711632993E-2</v>
      </c>
      <c r="E5" s="7">
        <f>'[1]Page 292-95'!E72</f>
        <v>-5.1726477136713293E-3</v>
      </c>
      <c r="F5" s="7">
        <f>'[1]Page 292-95'!F72</f>
        <v>3.7925440892755881E-2</v>
      </c>
      <c r="G5" s="7">
        <f>'[1]Page 292-95'!G72</f>
        <v>-2.2397303974877624E-3</v>
      </c>
      <c r="H5" s="7"/>
      <c r="I5" s="8">
        <v>1</v>
      </c>
    </row>
    <row r="6" spans="1:9" x14ac:dyDescent="0.25">
      <c r="A6" s="5" t="s">
        <v>4</v>
      </c>
      <c r="B6" s="7">
        <f>'[1]Page 292-95'!B73</f>
        <v>2.2159397029916771E-2</v>
      </c>
      <c r="C6" s="7">
        <f>'[1]Page 292-95'!C73</f>
        <v>4.1228178711632993E-2</v>
      </c>
      <c r="D6" s="7">
        <f>'[1]Page 292-95'!D73</f>
        <v>3.5967852205073078E-2</v>
      </c>
      <c r="E6" s="7">
        <f>'[1]Page 292-95'!E73</f>
        <v>1.811094996608098E-2</v>
      </c>
      <c r="F6" s="7">
        <f>'[1]Page 292-95'!F73</f>
        <v>1.010116224480139E-2</v>
      </c>
      <c r="G6" s="7">
        <f>'[1]Page 292-95'!G73</f>
        <v>-3.9328902436987553E-3</v>
      </c>
      <c r="H6" s="7"/>
      <c r="I6" s="8">
        <v>1</v>
      </c>
    </row>
    <row r="7" spans="1:9" x14ac:dyDescent="0.25">
      <c r="A7" s="5" t="s">
        <v>5</v>
      </c>
      <c r="B7" s="7">
        <f>'[1]Page 292-95'!B74</f>
        <v>-4.2982317962569593E-3</v>
      </c>
      <c r="C7" s="7">
        <f>'[1]Page 292-95'!C74</f>
        <v>-5.1726477136713293E-3</v>
      </c>
      <c r="D7" s="7">
        <f>'[1]Page 292-95'!D74</f>
        <v>1.811094996608098E-2</v>
      </c>
      <c r="E7" s="7">
        <f>'[1]Page 292-95'!E74</f>
        <v>5.6952629529189128E-2</v>
      </c>
      <c r="F7" s="7">
        <f>'[1]Page 292-95'!F74</f>
        <v>-7.6207962734914699E-3</v>
      </c>
      <c r="G7" s="7">
        <f>'[1]Page 292-95'!G74</f>
        <v>-4.6186177423792676E-3</v>
      </c>
      <c r="H7" s="7"/>
      <c r="I7" s="8">
        <v>1</v>
      </c>
    </row>
    <row r="8" spans="1:9" x14ac:dyDescent="0.25">
      <c r="A8" s="5" t="s">
        <v>6</v>
      </c>
      <c r="B8" s="7">
        <f>'[1]Page 292-95'!B75</f>
        <v>8.5745403769960343E-2</v>
      </c>
      <c r="C8" s="7">
        <f>'[1]Page 292-95'!C75</f>
        <v>3.7925440892755881E-2</v>
      </c>
      <c r="D8" s="7">
        <f>'[1]Page 292-95'!D75</f>
        <v>1.010116224480139E-2</v>
      </c>
      <c r="E8" s="7">
        <f>'[1]Page 292-95'!E75</f>
        <v>-7.6207962734914699E-3</v>
      </c>
      <c r="F8" s="7">
        <f>'[1]Page 292-95'!F75</f>
        <v>8.9571031344296226E-2</v>
      </c>
      <c r="G8" s="7">
        <f>'[1]Page 292-95'!G75</f>
        <v>2.4822979456358491E-2</v>
      </c>
      <c r="H8" s="7"/>
      <c r="I8" s="8">
        <v>1</v>
      </c>
    </row>
    <row r="9" spans="1:9" x14ac:dyDescent="0.25">
      <c r="A9" s="5" t="s">
        <v>7</v>
      </c>
      <c r="B9" s="7">
        <f>'[1]Page 292-95'!B76</f>
        <v>1.2299771404392935E-2</v>
      </c>
      <c r="C9" s="7">
        <f>'[1]Page 292-95'!C76</f>
        <v>-2.2397303974877624E-3</v>
      </c>
      <c r="D9" s="7">
        <f>'[1]Page 292-95'!D76</f>
        <v>-3.9328902436987553E-3</v>
      </c>
      <c r="E9" s="7">
        <f>'[1]Page 292-95'!E76</f>
        <v>-4.6186177423792676E-3</v>
      </c>
      <c r="F9" s="7">
        <f>'[1]Page 292-95'!F76</f>
        <v>2.4822979456358491E-2</v>
      </c>
      <c r="G9" s="7">
        <f>'[1]Page 292-95'!G76</f>
        <v>1.8391305497884269E-2</v>
      </c>
      <c r="H9" s="7"/>
      <c r="I9" s="8">
        <v>1</v>
      </c>
    </row>
    <row r="10" spans="1:9" x14ac:dyDescent="0.25">
      <c r="A10" s="6"/>
      <c r="B10" s="7"/>
      <c r="C10" s="7"/>
      <c r="D10" s="7"/>
      <c r="E10" s="7"/>
      <c r="F10" s="7"/>
      <c r="G10" s="7"/>
      <c r="H10" s="7"/>
      <c r="I10" s="8"/>
    </row>
    <row r="11" spans="1:9" x14ac:dyDescent="0.25">
      <c r="A11" s="5" t="s">
        <v>9</v>
      </c>
      <c r="B11" s="9">
        <f t="array" ref="B11:G11">[2]Sheet1!$B$35:$G$35</f>
        <v>0.23660815322221673</v>
      </c>
      <c r="C11" s="9">
        <v>0.21382597606973422</v>
      </c>
      <c r="D11" s="9">
        <v>0.1843100465550678</v>
      </c>
      <c r="E11" s="9">
        <v>5.5139762101993367E-2</v>
      </c>
      <c r="F11" s="9">
        <v>0.27625528513272585</v>
      </c>
      <c r="G11" s="9">
        <v>0.17625978096732356</v>
      </c>
      <c r="H11" s="9"/>
      <c r="I11" s="9"/>
    </row>
    <row r="12" spans="1:9" x14ac:dyDescent="0.25">
      <c r="A12" s="2"/>
      <c r="B12" s="7"/>
      <c r="C12" s="7"/>
      <c r="D12" s="7"/>
      <c r="E12" s="7"/>
      <c r="F12" s="7"/>
      <c r="G12" s="7"/>
      <c r="H12" s="7"/>
      <c r="I12" s="7"/>
    </row>
    <row r="13" spans="1:9" ht="47.4" customHeight="1" x14ac:dyDescent="0.25">
      <c r="A13" s="10" t="str">
        <f ca="1">"The global minimum variance portfolio (GMVP) is computed below with the formula "&amp;[3]!ggetformula(B15)</f>
        <v>The global minimum variance portfolio (GMVP) is computed below with the formula  {=MMULT(TRANSPOSE(I4:I9),MINVERSE($B$4:$G$9))/MMULT(MMULT(TRANSPOSE($I$4:$I$9),MINVERSE($B$4:$G$9)),$I$4:$I$9)}</v>
      </c>
      <c r="B13" s="10"/>
      <c r="C13" s="10"/>
      <c r="D13" s="10"/>
      <c r="E13" s="10"/>
      <c r="F13" s="10"/>
      <c r="G13" s="10"/>
      <c r="H13" s="10"/>
      <c r="I13" s="10"/>
    </row>
    <row r="14" spans="1:9" x14ac:dyDescent="0.25">
      <c r="A14" s="2"/>
      <c r="B14" s="5" t="s">
        <v>2</v>
      </c>
      <c r="C14" s="5" t="s">
        <v>3</v>
      </c>
      <c r="D14" s="5" t="s">
        <v>4</v>
      </c>
      <c r="E14" s="5" t="s">
        <v>5</v>
      </c>
      <c r="F14" s="5" t="s">
        <v>6</v>
      </c>
      <c r="G14" s="5" t="s">
        <v>7</v>
      </c>
    </row>
    <row r="15" spans="1:9" x14ac:dyDescent="0.25">
      <c r="A15" s="2"/>
      <c r="B15" s="7">
        <f t="array" ref="B15:G15">MMULT(TRANSPOSE(I4:I9),MINVERSE($B$4:$G$9))/MMULT(MMULT(TRANSPOSE($I$4:$I$9),MINVERSE($B$4:$G$9)),$I$4:$I$9)</f>
        <v>0.61051216019101617</v>
      </c>
      <c r="C15" s="7">
        <v>-0.10340684692465688</v>
      </c>
      <c r="D15" s="7">
        <v>0.20743129638203889</v>
      </c>
      <c r="E15" s="7">
        <v>5.3893988243147416E-2</v>
      </c>
      <c r="F15" s="7">
        <v>-0.7703629883695382</v>
      </c>
      <c r="G15" s="7">
        <v>1.0019323904779927</v>
      </c>
    </row>
    <row r="16" spans="1:9" x14ac:dyDescent="0.25">
      <c r="A16" s="2"/>
      <c r="B16" s="7"/>
      <c r="E16" s="2"/>
    </row>
    <row r="17" spans="1:6" x14ac:dyDescent="0.25">
      <c r="A17" s="2" t="s">
        <v>10</v>
      </c>
      <c r="B17" s="7">
        <f>SUM(B15:G15)</f>
        <v>1</v>
      </c>
      <c r="C17" s="3" t="str">
        <f ca="1">[3]!getformula(B17)</f>
        <v>&lt;--  =SUM(B15:G15)</v>
      </c>
      <c r="F17" s="11"/>
    </row>
    <row r="18" spans="1:6" x14ac:dyDescent="0.25">
      <c r="A18" s="2"/>
      <c r="B18" s="7"/>
      <c r="F18" s="12"/>
    </row>
    <row r="19" spans="1:6" x14ac:dyDescent="0.25">
      <c r="A19" s="2" t="s">
        <v>11</v>
      </c>
      <c r="B19" s="7">
        <f t="array" ref="B19">MMULT(B15:G15,TRANSPOSE(B11:G11))</f>
        <v>0.1273279950321429</v>
      </c>
      <c r="C19" s="3" t="str">
        <f ca="1">[3]!getformula(B19)</f>
        <v>&lt;--  {=MMULT(B15:G15,TRANSPOSE(B11:G11))}</v>
      </c>
      <c r="F19" s="11"/>
    </row>
    <row r="20" spans="1:6" x14ac:dyDescent="0.25">
      <c r="A20" s="2" t="s">
        <v>12</v>
      </c>
      <c r="B20" s="7">
        <f t="array" ref="B20">MMULT(MMULT(B15:G15,B4:G9),TRANSPOSE(B15:G15))</f>
        <v>5.9801832635013041E-3</v>
      </c>
      <c r="C20" s="3" t="str">
        <f ca="1">[3]!getformula(B20)</f>
        <v>&lt;--  {=MMULT(MMULT(B15:G15,B4:G9),TRANSPOSE(B15:G15))}</v>
      </c>
    </row>
    <row r="21" spans="1:6" x14ac:dyDescent="0.25">
      <c r="A21" s="2" t="s">
        <v>13</v>
      </c>
      <c r="B21" s="7">
        <f>SQRT(B20)</f>
        <v>7.7331644645004832E-2</v>
      </c>
      <c r="C21" s="3" t="str">
        <f ca="1">[3]!getformula(B21)</f>
        <v>&lt;--  =SQRT(B20)</v>
      </c>
    </row>
    <row r="22" spans="1:6" x14ac:dyDescent="0.25">
      <c r="A22" s="2"/>
      <c r="B22" s="7"/>
    </row>
  </sheetData>
  <mergeCells count="2">
    <mergeCell ref="A1:I1"/>
    <mergeCell ref="A13:I1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2024-10-31T07:01:47Z</dcterms:modified>
</cp:coreProperties>
</file>