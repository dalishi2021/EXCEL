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practice\"/>
    </mc:Choice>
  </mc:AlternateContent>
  <xr:revisionPtr revIDLastSave="0" documentId="13_ncr:1_{0C36A8EF-7BAD-41AF-9942-7AAA54CE295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 a="1"/>
  <c r="B22" i="1" s="1"/>
  <c r="D24" i="1"/>
  <c r="E24" i="1"/>
  <c r="G26" i="1"/>
  <c r="B27" i="1"/>
  <c r="C27" i="1"/>
  <c r="G16" i="1"/>
  <c r="F16" i="1"/>
  <c r="E16" i="1"/>
  <c r="D16" i="1"/>
  <c r="C16" i="1"/>
  <c r="B16" i="1"/>
  <c r="H16" i="1"/>
  <c r="C24" i="1" l="1"/>
  <c r="F26" i="1"/>
  <c r="B24" i="1"/>
  <c r="E26" i="1"/>
  <c r="G23" i="1"/>
  <c r="D26" i="1"/>
  <c r="F23" i="1"/>
  <c r="C26" i="1"/>
  <c r="E23" i="1"/>
  <c r="B26" i="1"/>
  <c r="D23" i="1"/>
  <c r="G25" i="1"/>
  <c r="C23" i="1"/>
  <c r="F25" i="1"/>
  <c r="B23" i="1"/>
  <c r="E25" i="1"/>
  <c r="G22" i="1"/>
  <c r="D25" i="1"/>
  <c r="F22" i="1"/>
  <c r="G27" i="1"/>
  <c r="C25" i="1"/>
  <c r="E22" i="1"/>
  <c r="F27" i="1"/>
  <c r="B25" i="1"/>
  <c r="D22" i="1"/>
  <c r="E27" i="1"/>
  <c r="G24" i="1"/>
  <c r="C22" i="1"/>
  <c r="D27" i="1"/>
  <c r="F24" i="1"/>
</calcChain>
</file>

<file path=xl/sharedStrings.xml><?xml version="1.0" encoding="utf-8"?>
<sst xmlns="http://schemas.openxmlformats.org/spreadsheetml/2006/main" count="23" uniqueCount="14">
  <si>
    <t>DATA FOR 6 FURNITURE COMPANIES</t>
  </si>
  <si>
    <t>La-Z-Boy</t>
  </si>
  <si>
    <t>Kimball</t>
  </si>
  <si>
    <t>Flexsteel</t>
  </si>
  <si>
    <t>Leggett &amp; Platt</t>
  </si>
  <si>
    <t>Herman Miller</t>
  </si>
  <si>
    <t>Shaw Industries</t>
  </si>
  <si>
    <t>Beta</t>
  </si>
  <si>
    <t>Mean returns</t>
  </si>
  <si>
    <t>Variance-covariance matrix</t>
  </si>
  <si>
    <t>Leggett</t>
  </si>
  <si>
    <t>Miller</t>
  </si>
  <si>
    <t>Shaw</t>
  </si>
  <si>
    <t>Means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</si>
</sst>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10" fontId="0" fillId="0" borderId="0" xfId="0" quotePrefix="1" applyNumberFormat="1" applyAlignment="1"/>
    <xf numFmtId="0" fontId="0" fillId="0" borderId="0" xfId="0" applyAlignment="1"/>
    <xf numFmtId="0" fontId="4" fillId="0" borderId="0" xfId="0" applyFont="1" applyAlignment="1"/>
    <xf numFmtId="2" fontId="0" fillId="0" borderId="0" xfId="0" applyNumberFormat="1" applyAlignment="1"/>
    <xf numFmtId="176" fontId="0" fillId="0" borderId="0" xfId="0" applyNumberFormat="1" applyAlignment="1"/>
    <xf numFmtId="10" fontId="0" fillId="0" borderId="0" xfId="1" applyNumberFormat="1" applyFont="1" applyAlignment="1"/>
    <xf numFmtId="0" fontId="5" fillId="0" borderId="0" xfId="0" applyFont="1" applyAlignment="1"/>
    <xf numFmtId="0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525780</xdr:colOff>
      <xdr:row>0</xdr:row>
      <xdr:rowOff>213360</xdr:rowOff>
    </xdr:from>
    <xdr:to>
      <xdr:col>19</xdr:col>
      <xdr:colOff>586740</xdr:colOff>
      <xdr:row>17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0BC15BD-C12E-9BAF-05BE-F43A519ED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284720" y="213360"/>
          <a:ext cx="6149340" cy="2971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data"/>
      <sheetName val="Exercise 1 data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DJ30 prices, Jul97-Jul07"/>
      <sheetName val="DJ30 prices, Jul97-Jul07（中文）"/>
      <sheetName val="Six stocks--data"/>
      <sheetName val="Six stocks--data (中文)"/>
      <sheetName val="DJ30 returns Jul97-Jul07"/>
      <sheetName val="DJ30 returns Jul97-Jul07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I27"/>
  <sheetViews>
    <sheetView tabSelected="1" zoomScale="175" zoomScaleNormal="175" workbookViewId="0">
      <selection activeCell="F22" sqref="F22"/>
    </sheetView>
  </sheetViews>
  <sheetFormatPr defaultRowHeight="13.8" x14ac:dyDescent="0.25"/>
  <cols>
    <col min="1" max="1" width="12.88671875" style="6" bestFit="1" customWidth="1"/>
    <col min="2" max="6" width="8.88671875" style="6"/>
    <col min="7" max="7" width="9.6640625" style="6" customWidth="1"/>
    <col min="8" max="8" width="22.6640625" style="6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ht="26.4" x14ac:dyDescent="0.25">
      <c r="A2" s="2"/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/>
    </row>
    <row r="3" spans="1:8" x14ac:dyDescent="0.25">
      <c r="A3" s="3">
        <v>1982</v>
      </c>
      <c r="B3" s="4">
        <v>0.36666666666666653</v>
      </c>
      <c r="C3" s="4">
        <v>1.9607843137256229E-3</v>
      </c>
      <c r="D3" s="4">
        <v>0.41538461538461513</v>
      </c>
      <c r="E3" s="5">
        <v>0.21915254237288148</v>
      </c>
      <c r="F3" s="4">
        <v>0.26129032258064516</v>
      </c>
      <c r="G3" s="4">
        <v>0.22500000000000001</v>
      </c>
    </row>
    <row r="4" spans="1:8" x14ac:dyDescent="0.25">
      <c r="A4" s="3">
        <v>1983</v>
      </c>
      <c r="B4" s="4">
        <v>1.2282051282051281</v>
      </c>
      <c r="C4" s="4">
        <v>0.61428571428571399</v>
      </c>
      <c r="D4" s="4">
        <v>1.9509433962264151</v>
      </c>
      <c r="E4" s="4">
        <v>0.62271062271062272</v>
      </c>
      <c r="F4" s="4">
        <v>0.73376623376623396</v>
      </c>
      <c r="G4" s="4">
        <v>1.1789473684210525</v>
      </c>
    </row>
    <row r="5" spans="1:8" x14ac:dyDescent="0.25">
      <c r="A5" s="3">
        <v>1984</v>
      </c>
      <c r="B5" s="4">
        <v>0.14437869822485216</v>
      </c>
      <c r="C5" s="4">
        <v>0.63506493506493544</v>
      </c>
      <c r="D5" s="4">
        <v>-0.38376623376623381</v>
      </c>
      <c r="E5" s="4">
        <v>-1.2740046838407489E-2</v>
      </c>
      <c r="F5" s="4">
        <v>0.45151515151515142</v>
      </c>
      <c r="G5" s="4">
        <v>7.8048780487804947E-2</v>
      </c>
    </row>
    <row r="6" spans="1:8" x14ac:dyDescent="0.25">
      <c r="A6" s="3">
        <v>1985</v>
      </c>
      <c r="B6" s="4">
        <v>0.21390374331550802</v>
      </c>
      <c r="C6" s="4">
        <v>0.28421052631578941</v>
      </c>
      <c r="D6" s="4">
        <v>1.3043478260869674E-2</v>
      </c>
      <c r="E6" s="4">
        <v>0.81171215880893299</v>
      </c>
      <c r="F6" s="4">
        <v>0.24274406332453835</v>
      </c>
      <c r="G6" s="4">
        <v>0.38139534883720927</v>
      </c>
    </row>
    <row r="7" spans="1:8" x14ac:dyDescent="0.25">
      <c r="A7" s="3">
        <v>1986</v>
      </c>
      <c r="B7" s="4">
        <v>0.45363636363636384</v>
      </c>
      <c r="C7" s="4">
        <v>-7.4358974358974469E-2</v>
      </c>
      <c r="D7" s="4">
        <v>0.21888888888888897</v>
      </c>
      <c r="E7" s="4">
        <v>0.19830747531734841</v>
      </c>
      <c r="F7" s="4">
        <v>0.10732758620689664</v>
      </c>
      <c r="G7" s="4">
        <v>0.54482758620689675</v>
      </c>
    </row>
    <row r="8" spans="1:8" x14ac:dyDescent="0.25">
      <c r="A8" s="3">
        <v>1987</v>
      </c>
      <c r="B8" s="4">
        <v>0.20192307692307682</v>
      </c>
      <c r="C8" s="4">
        <v>0.48268551236749091</v>
      </c>
      <c r="D8" s="4">
        <v>9.1079812206572824E-2</v>
      </c>
      <c r="E8" s="4">
        <v>-0.10213592233009705</v>
      </c>
      <c r="F8" s="4">
        <v>-0.11920792079207913</v>
      </c>
      <c r="G8" s="4">
        <v>0.26818181818181808</v>
      </c>
    </row>
    <row r="9" spans="1:8" x14ac:dyDescent="0.25">
      <c r="A9" s="3">
        <v>1988</v>
      </c>
      <c r="B9" s="4">
        <v>-8.9373297002724825E-2</v>
      </c>
      <c r="C9" s="4">
        <v>-0.11283292978208224</v>
      </c>
      <c r="D9" s="4">
        <v>0.12654867256637164</v>
      </c>
      <c r="E9" s="4">
        <v>0.13772727272727278</v>
      </c>
      <c r="F9" s="4">
        <v>7.0642201834862348E-2</v>
      </c>
      <c r="G9" s="4">
        <v>-6.23853211009174E-2</v>
      </c>
    </row>
    <row r="10" spans="1:8" x14ac:dyDescent="0.25">
      <c r="A10" s="3">
        <v>1989</v>
      </c>
      <c r="B10" s="4">
        <v>0.27015384615384619</v>
      </c>
      <c r="C10" s="4">
        <v>0.1284916201117319</v>
      </c>
      <c r="D10" s="4">
        <v>0.12081632653061228</v>
      </c>
      <c r="E10" s="4">
        <v>0.32547368421052636</v>
      </c>
      <c r="F10" s="4">
        <v>-7.5545851528384306E-2</v>
      </c>
      <c r="G10" s="4">
        <v>1.2303030303030305</v>
      </c>
    </row>
    <row r="11" spans="1:8" x14ac:dyDescent="0.25">
      <c r="A11" s="3">
        <v>1990</v>
      </c>
      <c r="B11" s="4">
        <v>-0.11641791044776136</v>
      </c>
      <c r="C11" s="4">
        <v>2.4242424242424083E-2</v>
      </c>
      <c r="D11" s="4">
        <v>-0.17132075471698111</v>
      </c>
      <c r="E11" s="4">
        <v>-6.483333333333334E-2</v>
      </c>
      <c r="F11" s="4">
        <v>1.3075060532687631E-2</v>
      </c>
      <c r="G11" s="4">
        <v>0.15483870967741931</v>
      </c>
    </row>
    <row r="12" spans="1:8" x14ac:dyDescent="0.25">
      <c r="A12" s="3">
        <v>1991</v>
      </c>
      <c r="B12" s="4">
        <v>0.20290697674418617</v>
      </c>
      <c r="C12" s="4">
        <v>6.9035532994923834E-2</v>
      </c>
      <c r="D12" s="4">
        <v>3.6190476190476266E-2</v>
      </c>
      <c r="E12" s="4">
        <v>0.50123222748815166</v>
      </c>
      <c r="F12" s="4">
        <v>-5.5392156862745054E-2</v>
      </c>
      <c r="G12" s="4">
        <v>0.19918699186991862</v>
      </c>
    </row>
    <row r="13" spans="1:8" x14ac:dyDescent="0.25">
      <c r="A13" s="3">
        <v>1992</v>
      </c>
      <c r="B13" s="4">
        <v>0.34079601990049757</v>
      </c>
      <c r="C13" s="4">
        <v>0.22205882352941184</v>
      </c>
      <c r="D13" s="4">
        <v>0.33461538461538465</v>
      </c>
      <c r="E13" s="4">
        <v>0.84396039603960404</v>
      </c>
      <c r="F13" s="4">
        <v>5.7066666666666682E-2</v>
      </c>
      <c r="G13" s="4">
        <v>0.62758620689655154</v>
      </c>
    </row>
    <row r="14" spans="1:8" x14ac:dyDescent="0.25">
      <c r="A14" s="3"/>
      <c r="B14" s="4"/>
      <c r="C14" s="4"/>
      <c r="D14" s="4"/>
      <c r="E14" s="4"/>
      <c r="F14" s="4"/>
      <c r="G14" s="4"/>
    </row>
    <row r="15" spans="1:8" x14ac:dyDescent="0.25">
      <c r="A15" s="7" t="s">
        <v>7</v>
      </c>
      <c r="B15" s="8">
        <v>0.8</v>
      </c>
      <c r="C15" s="8">
        <v>0.95</v>
      </c>
      <c r="D15" s="8">
        <v>0.65</v>
      </c>
      <c r="E15" s="8">
        <v>0.85</v>
      </c>
      <c r="F15" s="8">
        <v>0.85</v>
      </c>
      <c r="G15" s="8">
        <v>1.4</v>
      </c>
    </row>
    <row r="16" spans="1:8" x14ac:dyDescent="0.25">
      <c r="A16" s="7" t="s">
        <v>8</v>
      </c>
      <c r="B16" s="4">
        <f t="shared" ref="B16:G16" si="0">AVERAGE(B3:B13)</f>
        <v>0.29243448293814894</v>
      </c>
      <c r="C16" s="4">
        <f t="shared" si="0"/>
        <v>0.20680399718955364</v>
      </c>
      <c r="D16" s="4">
        <f t="shared" si="0"/>
        <v>0.25022036930790836</v>
      </c>
      <c r="E16" s="4">
        <f t="shared" si="0"/>
        <v>0.31641518883395475</v>
      </c>
      <c r="F16" s="4">
        <f t="shared" si="0"/>
        <v>0.15338921429495214</v>
      </c>
      <c r="G16" s="4">
        <f t="shared" si="0"/>
        <v>0.43872095634370767</v>
      </c>
      <c r="H16" s="6" t="str">
        <f ca="1">[2]!getformula(G16)</f>
        <v>&lt;--  =AVERAGE(G3:G13)</v>
      </c>
    </row>
    <row r="17" spans="1:9" x14ac:dyDescent="0.25">
      <c r="A17" s="11"/>
      <c r="B17" s="4"/>
      <c r="C17" s="4"/>
      <c r="D17" s="4"/>
      <c r="E17" s="4"/>
      <c r="F17" s="4"/>
      <c r="G17" s="4"/>
    </row>
    <row r="18" spans="1:9" x14ac:dyDescent="0.25">
      <c r="A18" s="11"/>
      <c r="B18" s="4"/>
      <c r="C18" s="4"/>
      <c r="D18" s="4"/>
      <c r="E18" s="4"/>
      <c r="F18" s="4"/>
      <c r="G18" s="4"/>
    </row>
    <row r="19" spans="1:9" x14ac:dyDescent="0.25">
      <c r="B19" s="12"/>
    </row>
    <row r="20" spans="1:9" x14ac:dyDescent="0.25">
      <c r="A20" s="7" t="s">
        <v>9</v>
      </c>
    </row>
    <row r="21" spans="1:9" x14ac:dyDescent="0.25">
      <c r="B21" s="3" t="s">
        <v>1</v>
      </c>
      <c r="C21" s="3" t="s">
        <v>2</v>
      </c>
      <c r="D21" s="3" t="s">
        <v>3</v>
      </c>
      <c r="E21" s="3" t="s">
        <v>10</v>
      </c>
      <c r="F21" s="3" t="s">
        <v>11</v>
      </c>
      <c r="G21" s="3" t="s">
        <v>12</v>
      </c>
      <c r="I21" s="3" t="s">
        <v>13</v>
      </c>
    </row>
    <row r="22" spans="1:9" x14ac:dyDescent="0.25">
      <c r="A22" s="3" t="s">
        <v>1</v>
      </c>
      <c r="B22" s="9">
        <f t="array" ref="B22:G27">MMULT(TRANSPOSE($B$3:$G$13-B16:G16),$B$3:$G$13-B16:G16)/10</f>
        <v>0.12672309708556492</v>
      </c>
      <c r="C22" s="9">
        <v>4.3782101051877728E-2</v>
      </c>
      <c r="D22" s="9">
        <v>0.19712847428320354</v>
      </c>
      <c r="E22" s="9">
        <v>5.4094768723415357E-2</v>
      </c>
      <c r="F22" s="9">
        <v>6.2529648865506604E-2</v>
      </c>
      <c r="G22" s="9">
        <v>0.1087592874720467</v>
      </c>
      <c r="I22" s="10"/>
    </row>
    <row r="23" spans="1:9" x14ac:dyDescent="0.25">
      <c r="A23" s="3" t="s">
        <v>2</v>
      </c>
      <c r="B23" s="9">
        <v>4.3782101051877728E-2</v>
      </c>
      <c r="C23" s="9">
        <v>7.1340670113465857E-2</v>
      </c>
      <c r="D23" s="9">
        <v>4.9161053238163485E-2</v>
      </c>
      <c r="E23" s="9">
        <v>6.843811761952456E-3</v>
      </c>
      <c r="F23" s="9">
        <v>3.840163982503772E-2</v>
      </c>
      <c r="G23" s="9">
        <v>2.9551570423287026E-2</v>
      </c>
      <c r="I23" s="10"/>
    </row>
    <row r="24" spans="1:9" x14ac:dyDescent="0.25">
      <c r="A24" s="3" t="s">
        <v>3</v>
      </c>
      <c r="B24" s="9">
        <v>0.19712847428320354</v>
      </c>
      <c r="C24" s="9">
        <v>4.9161053238163485E-2</v>
      </c>
      <c r="D24" s="9">
        <v>0.36669056394397487</v>
      </c>
      <c r="E24" s="9">
        <v>8.5297952376780256E-2</v>
      </c>
      <c r="F24" s="9">
        <v>9.750687341791836E-2</v>
      </c>
      <c r="G24" s="9">
        <v>0.16361073950419364</v>
      </c>
      <c r="I24" s="10"/>
    </row>
    <row r="25" spans="1:9" x14ac:dyDescent="0.25">
      <c r="A25" s="3" t="s">
        <v>10</v>
      </c>
      <c r="B25" s="9">
        <v>5.4094768723415357E-2</v>
      </c>
      <c r="C25" s="9">
        <v>6.843811761952456E-3</v>
      </c>
      <c r="D25" s="9">
        <v>8.5297952376780256E-2</v>
      </c>
      <c r="E25" s="9">
        <v>0.11358967842743492</v>
      </c>
      <c r="F25" s="9">
        <v>2.0974141851496809E-2</v>
      </c>
      <c r="G25" s="9">
        <v>6.5699317134772228E-2</v>
      </c>
      <c r="I25" s="10"/>
    </row>
    <row r="26" spans="1:9" x14ac:dyDescent="0.25">
      <c r="A26" s="3" t="s">
        <v>11</v>
      </c>
      <c r="B26" s="9">
        <v>6.2529648865506604E-2</v>
      </c>
      <c r="C26" s="9">
        <v>3.840163982503772E-2</v>
      </c>
      <c r="D26" s="9">
        <v>9.750687341791836E-2</v>
      </c>
      <c r="E26" s="9">
        <v>2.0974141851496809E-2</v>
      </c>
      <c r="F26" s="9">
        <v>6.535884573326689E-2</v>
      </c>
      <c r="G26" s="9">
        <v>2.6739775345832328E-2</v>
      </c>
      <c r="I26" s="10"/>
    </row>
    <row r="27" spans="1:9" x14ac:dyDescent="0.25">
      <c r="A27" s="3" t="s">
        <v>12</v>
      </c>
      <c r="B27" s="9">
        <v>0.1087592874720467</v>
      </c>
      <c r="C27" s="9">
        <v>2.9551570423287026E-2</v>
      </c>
      <c r="D27" s="9">
        <v>0.16361073950419364</v>
      </c>
      <c r="E27" s="9">
        <v>6.5699317134772228E-2</v>
      </c>
      <c r="F27" s="9">
        <v>2.6739775345832328E-2</v>
      </c>
      <c r="G27" s="9">
        <v>0.18186700606592829</v>
      </c>
      <c r="I27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2024-11-01T02:07:04Z</dcterms:modified>
</cp:coreProperties>
</file>