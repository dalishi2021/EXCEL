
<file path=[Content_Types].xml><?xml version="1.0" encoding="utf-8"?>
<Types xmlns="http://schemas.openxmlformats.org/package/2006/content-types">
  <Default Extension="emf" ContentType="image/x-e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workbookPr codeName="ThisWorkbook" defaultThemeVersion="166925"/>
  <mc:AlternateContent xmlns:mc="http://schemas.openxmlformats.org/markup-compatibility/2006">
    <mc:Choice Requires="x15">
      <x15ac:absPath xmlns:x15ac="http://schemas.microsoft.com/office/spreadsheetml/2010/11/ac" url="D:\lizhengdong\交易框架\5_工具箱\_书库\编程\EXCEL\CH10\practice\"/>
    </mc:Choice>
  </mc:AlternateContent>
  <xr:revisionPtr revIDLastSave="0" documentId="13_ncr:1_{B6761143-FD32-41F3-8EE2-98055B57D5E7}" xr6:coauthVersionLast="47" xr6:coauthVersionMax="47" xr10:uidLastSave="{00000000-0000-0000-0000-000000000000}"/>
  <bookViews>
    <workbookView xWindow="-38520" yWindow="-120" windowWidth="38640" windowHeight="21120" xr2:uid="{EA6F33A8-FE0E-48B1-8C74-8B2321C6BA8B}"/>
  </bookViews>
  <sheets>
    <sheet name="Sheet1" sheetId="1" r:id="rId1"/>
  </sheets>
  <externalReferences>
    <externalReference r:id="rId2"/>
    <externalReference r:id="rId3"/>
  </externalReferences>
  <calcPr calcId="191029" iterate="1" iterateDelta="1.0000000000000001E-5"/>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69" i="1" l="1"/>
  <c r="B69" i="1"/>
  <c r="C70" i="1"/>
  <c r="B70" i="1"/>
  <c r="B11" i="1" a="1"/>
  <c r="B11" i="1" s="1"/>
  <c r="B45" i="1"/>
  <c r="B27" i="1" a="1"/>
  <c r="B32" i="1" s="1"/>
  <c r="D52" i="1"/>
  <c r="C48" i="1"/>
  <c r="C47" i="1"/>
  <c r="C45" i="1"/>
  <c r="C42" i="1"/>
  <c r="C37" i="1"/>
  <c r="C36" i="1"/>
  <c r="C35" i="1"/>
  <c r="C33" i="1"/>
  <c r="C27" i="1"/>
  <c r="C21" i="1"/>
  <c r="C20" i="1"/>
  <c r="C19" i="1"/>
  <c r="C17" i="1"/>
  <c r="C11" i="1"/>
  <c r="B16" i="1" l="1"/>
  <c r="B15" i="1"/>
  <c r="B14" i="1"/>
  <c r="B13" i="1"/>
  <c r="B12" i="1"/>
  <c r="B27" i="1"/>
  <c r="B28" i="1"/>
  <c r="B29" i="1"/>
  <c r="B30" i="1"/>
  <c r="B31" i="1"/>
  <c r="B19" i="1" l="1"/>
  <c r="B17" i="1"/>
  <c r="B20" i="1" a="1"/>
  <c r="B20" i="1" s="1"/>
  <c r="B42" i="1" a="1"/>
  <c r="B42" i="1" s="1"/>
  <c r="B36" i="1" a="1"/>
  <c r="B36" i="1" s="1"/>
  <c r="B37" i="1" s="1"/>
  <c r="B35" i="1"/>
  <c r="B33" i="1"/>
  <c r="B48" i="1" l="1"/>
  <c r="B52" i="1" s="1"/>
  <c r="B21" i="1"/>
  <c r="B47" i="1"/>
  <c r="C52" i="1" s="1"/>
</calcChain>
</file>

<file path=xl/sharedStrings.xml><?xml version="1.0" encoding="utf-8"?>
<sst xmlns="http://schemas.openxmlformats.org/spreadsheetml/2006/main" count="49" uniqueCount="30">
  <si>
    <t>Kroger
KR</t>
  </si>
  <si>
    <t>Ford
F</t>
  </si>
  <si>
    <t>Target
TGT</t>
  </si>
  <si>
    <t>Juniper Networks
JNPR</t>
  </si>
  <si>
    <t>Ahold
AHO</t>
  </si>
  <si>
    <t>KeyCorp
KEY</t>
  </si>
  <si>
    <t>Mean returns</t>
  </si>
  <si>
    <t>KR</t>
  </si>
  <si>
    <t>F</t>
  </si>
  <si>
    <t>TGT</t>
  </si>
  <si>
    <t>JNPR</t>
  </si>
  <si>
    <t>AHO</t>
  </si>
  <si>
    <t>KEY</t>
  </si>
  <si>
    <t>Global mean variance portfolio</t>
  </si>
  <si>
    <r>
      <t xml:space="preserve">Note that the book formula for the GMVP is for a row vector; here we want a column vector, hence </t>
    </r>
    <r>
      <rPr>
        <b/>
        <sz val="10"/>
        <rFont val="Arial"/>
        <family val="2"/>
      </rPr>
      <t>Transpose</t>
    </r>
    <r>
      <rPr>
        <sz val="10"/>
        <rFont val="Arial"/>
        <family val="2"/>
      </rPr>
      <t>.</t>
    </r>
  </si>
  <si>
    <t>Sum</t>
  </si>
  <si>
    <t>Mean</t>
  </si>
  <si>
    <t>Variance</t>
  </si>
  <si>
    <t>Sigma</t>
  </si>
  <si>
    <t>Efficient portfolio</t>
  </si>
  <si>
    <t>Risk-free</t>
  </si>
  <si>
    <t>Covar</t>
  </si>
  <si>
    <t>Proportion of GMVP</t>
  </si>
  <si>
    <t>Proportion of efficient</t>
  </si>
  <si>
    <t>Expected portfolio
return</t>
  </si>
  <si>
    <t>Portfolio sigma</t>
  </si>
  <si>
    <t>Data table:  varying proportion of GMVP</t>
  </si>
  <si>
    <t>Drawing the efficient frontier:  By Proposition 2 of Chapter 9, the efficient frontier is the convex combination of any two frontier portfolios.  Thus combining the GMVP and the efficient portfolio will give us the whole frontier.  We do this below.</t>
    <phoneticPr fontId="1" type="noConversion"/>
  </si>
  <si>
    <t>GMVP</t>
    <phoneticPr fontId="1" type="noConversion"/>
  </si>
  <si>
    <t>EFFP</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</si>
</sst>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000"/>
  </numFmts>
  <fonts count="6" x14ac:knownFonts="1">
    <font>
      <sz val="11"/>
      <color theme="1"/>
      <name val="等线"/>
      <family val="2"/>
      <charset val="134"/>
      <scheme val="minor"/>
    </font>
    <font>
      <sz val="9"/>
      <name val="等线"/>
      <family val="2"/>
      <charset val="134"/>
      <scheme val="minor"/>
    </font>
    <font>
      <sz val="11"/>
      <color theme="1"/>
      <name val="等线"/>
      <family val="2"/>
      <charset val="134"/>
      <scheme val="minor"/>
    </font>
    <font>
      <sz val="10"/>
      <name val="Arial"/>
      <family val="2"/>
    </font>
    <font>
      <b/>
      <sz val="10"/>
      <name val="Arial"/>
      <family val="2"/>
    </font>
    <font>
      <b/>
      <sz val="11"/>
      <color rgb="FFFF0000"/>
      <name val="等线"/>
      <family val="3"/>
      <charset val="134"/>
      <scheme val="minor"/>
    </font>
  </fonts>
  <fills count="3">
    <fill>
      <patternFill patternType="none"/>
    </fill>
    <fill>
      <patternFill patternType="gray125"/>
    </fill>
    <fill>
      <patternFill patternType="solid">
        <fgColor indexed="42"/>
        <bgColor indexed="64"/>
      </patternFill>
    </fill>
  </fills>
  <borders count="1">
    <border>
      <left/>
      <right/>
      <top/>
      <bottom/>
      <diagonal/>
    </border>
  </borders>
  <cellStyleXfs count="2">
    <xf numFmtId="0" fontId="0" fillId="0" borderId="0">
      <alignment vertical="center"/>
    </xf>
    <xf numFmtId="9" fontId="2" fillId="0" borderId="0" applyFont="0" applyFill="0" applyBorder="0" applyAlignment="0" applyProtection="0">
      <alignment vertical="center"/>
    </xf>
  </cellStyleXfs>
  <cellXfs count="16">
    <xf numFmtId="0" fontId="0" fillId="0" borderId="0" xfId="0">
      <alignment vertical="center"/>
    </xf>
    <xf numFmtId="0" fontId="0" fillId="0" borderId="0" xfId="0" applyAlignment="1">
      <alignment horizontal="center" vertical="center" wrapText="1"/>
    </xf>
    <xf numFmtId="176" fontId="0" fillId="0" borderId="0" xfId="0" applyNumberFormat="1" applyAlignment="1">
      <alignment horizontal="center" vertical="center"/>
    </xf>
    <xf numFmtId="0" fontId="0" fillId="0" borderId="0" xfId="0" applyAlignment="1"/>
    <xf numFmtId="10" fontId="0" fillId="0" borderId="0" xfId="1" applyNumberFormat="1" applyFont="1" applyAlignment="1"/>
    <xf numFmtId="176" fontId="0" fillId="0" borderId="0" xfId="0" applyNumberFormat="1" applyAlignment="1">
      <alignment horizontal="center"/>
    </xf>
    <xf numFmtId="0" fontId="0" fillId="0" borderId="0" xfId="0" applyAlignment="1">
      <alignment horizontal="center" wrapText="1"/>
    </xf>
    <xf numFmtId="0" fontId="4" fillId="0" borderId="0" xfId="0" applyFont="1" applyAlignment="1"/>
    <xf numFmtId="176" fontId="0" fillId="0" borderId="0" xfId="0" applyNumberFormat="1" applyAlignment="1"/>
    <xf numFmtId="0" fontId="0" fillId="2" borderId="0" xfId="0" applyFill="1" applyAlignment="1">
      <alignment vertical="center" wrapText="1"/>
    </xf>
    <xf numFmtId="10" fontId="0" fillId="0" borderId="0" xfId="0" applyNumberFormat="1" applyAlignment="1"/>
    <xf numFmtId="0" fontId="4" fillId="0" borderId="0" xfId="0" applyFont="1" applyAlignment="1">
      <alignment vertical="center" wrapText="1"/>
    </xf>
    <xf numFmtId="0" fontId="0" fillId="0" borderId="0" xfId="0" applyAlignment="1">
      <alignment vertical="center" wrapText="1"/>
    </xf>
    <xf numFmtId="0" fontId="0" fillId="0" borderId="0" xfId="0" applyAlignment="1">
      <alignment wrapText="1"/>
    </xf>
    <xf numFmtId="0" fontId="5" fillId="0" borderId="0" xfId="0" applyFont="1" applyAlignment="1"/>
    <xf numFmtId="0" fontId="0" fillId="0" borderId="0" xfId="0" applyAlignment="1">
      <alignment horizontal="center"/>
    </xf>
  </cellXfs>
  <cellStyles count="2">
    <cellStyle name="百分比" xfId="1" builtinId="5"/>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externalLink" Target="externalLinks/externalLink2.xml"/><Relationship Id="rId7" Type="http://schemas.openxmlformats.org/officeDocument/2006/relationships/calcChain" Target="calcChain.xml"/><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50" b="1" i="0" u="none" strike="noStrike" baseline="0">
                <a:solidFill>
                  <a:srgbClr val="000000"/>
                </a:solidFill>
                <a:latin typeface="Arial"/>
                <a:ea typeface="Arial"/>
                <a:cs typeface="Arial"/>
              </a:defRPr>
            </a:pPr>
            <a:r>
              <a:rPr lang="en-US" altLang="zh-CN"/>
              <a:t>Portfolio Returns &amp; Sigma</a:t>
            </a:r>
          </a:p>
        </c:rich>
      </c:tx>
      <c:layout>
        <c:manualLayout>
          <c:xMode val="edge"/>
          <c:yMode val="edge"/>
          <c:x val="0.37738714383073735"/>
          <c:y val="3.6319644795765542E-2"/>
        </c:manualLayout>
      </c:layout>
      <c:overlay val="0"/>
      <c:spPr>
        <a:noFill/>
        <a:ln w="25400">
          <a:noFill/>
        </a:ln>
      </c:spPr>
    </c:title>
    <c:autoTitleDeleted val="0"/>
    <c:plotArea>
      <c:layout>
        <c:manualLayout>
          <c:layoutTarget val="inner"/>
          <c:xMode val="edge"/>
          <c:yMode val="edge"/>
          <c:x val="0.11453773236886193"/>
          <c:y val="7.7481908897633164E-2"/>
          <c:w val="0.8370065057724525"/>
          <c:h val="0.7917682565476889"/>
        </c:manualLayout>
      </c:layout>
      <c:scatterChart>
        <c:scatterStyle val="lineMarker"/>
        <c:varyColors val="0"/>
        <c:ser>
          <c:idx val="0"/>
          <c:order val="0"/>
          <c:spPr>
            <a:ln w="12700">
              <a:solidFill>
                <a:srgbClr val="000080"/>
              </a:solidFill>
              <a:prstDash val="solid"/>
            </a:ln>
          </c:spPr>
          <c:marker>
            <c:symbol val="diamond"/>
            <c:size val="5"/>
            <c:spPr>
              <a:solidFill>
                <a:srgbClr val="000080"/>
              </a:solidFill>
              <a:ln>
                <a:solidFill>
                  <a:srgbClr val="000080"/>
                </a:solidFill>
                <a:prstDash val="solid"/>
              </a:ln>
            </c:spPr>
          </c:marker>
          <c:xVal>
            <c:numRef>
              <c:f>Sheet1!$B$53:$B$68</c:f>
              <c:numCache>
                <c:formatCode>0.00%</c:formatCode>
                <c:ptCount val="16"/>
                <c:pt idx="0">
                  <c:v>0.13373929370615489</c:v>
                </c:pt>
                <c:pt idx="1">
                  <c:v>0.12158076085293978</c:v>
                </c:pt>
                <c:pt idx="2">
                  <c:v>0.1095642933497835</c:v>
                </c:pt>
                <c:pt idx="3">
                  <c:v>9.7742301916796392E-2</c:v>
                </c:pt>
                <c:pt idx="4">
                  <c:v>8.6194843406378147E-2</c:v>
                </c:pt>
                <c:pt idx="5">
                  <c:v>7.5048748922317263E-2</c:v>
                </c:pt>
                <c:pt idx="6">
                  <c:v>6.4512391359017845E-2</c:v>
                </c:pt>
                <c:pt idx="7">
                  <c:v>5.4937717480909594E-2</c:v>
                </c:pt>
                <c:pt idx="8">
                  <c:v>4.6917237815801739E-2</c:v>
                </c:pt>
                <c:pt idx="9">
                  <c:v>4.1365104201680082E-2</c:v>
                </c:pt>
                <c:pt idx="10">
                  <c:v>3.9340649792120909E-2</c:v>
                </c:pt>
                <c:pt idx="11">
                  <c:v>4.1365104201680082E-2</c:v>
                </c:pt>
                <c:pt idx="12">
                  <c:v>4.6917237815801739E-2</c:v>
                </c:pt>
                <c:pt idx="13">
                  <c:v>5.4937717480909608E-2</c:v>
                </c:pt>
                <c:pt idx="14">
                  <c:v>6.4512391359017845E-2</c:v>
                </c:pt>
                <c:pt idx="15">
                  <c:v>7.5048748922317263E-2</c:v>
                </c:pt>
              </c:numCache>
            </c:numRef>
          </c:xVal>
          <c:yVal>
            <c:numRef>
              <c:f>Sheet1!$C$53:$C$68</c:f>
              <c:numCache>
                <c:formatCode>0.00%</c:formatCode>
                <c:ptCount val="16"/>
                <c:pt idx="0">
                  <c:v>3.6911979995610307E-2</c:v>
                </c:pt>
                <c:pt idx="1">
                  <c:v>3.4187030704466978E-2</c:v>
                </c:pt>
                <c:pt idx="2">
                  <c:v>3.1462081413323656E-2</c:v>
                </c:pt>
                <c:pt idx="3">
                  <c:v>2.8737132122180317E-2</c:v>
                </c:pt>
                <c:pt idx="4">
                  <c:v>2.6012182831036988E-2</c:v>
                </c:pt>
                <c:pt idx="5">
                  <c:v>2.3287233539893662E-2</c:v>
                </c:pt>
                <c:pt idx="6">
                  <c:v>2.0562284248750336E-2</c:v>
                </c:pt>
                <c:pt idx="7">
                  <c:v>1.7837334957607004E-2</c:v>
                </c:pt>
                <c:pt idx="8">
                  <c:v>1.5112385666463675E-2</c:v>
                </c:pt>
                <c:pt idx="9">
                  <c:v>1.2387436375320346E-2</c:v>
                </c:pt>
                <c:pt idx="10">
                  <c:v>9.6624870841770169E-3</c:v>
                </c:pt>
                <c:pt idx="11">
                  <c:v>6.9375377930336888E-3</c:v>
                </c:pt>
                <c:pt idx="12">
                  <c:v>4.2125885018903606E-3</c:v>
                </c:pt>
                <c:pt idx="13">
                  <c:v>1.4876392107470281E-3</c:v>
                </c:pt>
                <c:pt idx="14">
                  <c:v>-1.2373100803962991E-3</c:v>
                </c:pt>
                <c:pt idx="15">
                  <c:v>-3.9622593715396281E-3</c:v>
                </c:pt>
              </c:numCache>
            </c:numRef>
          </c:yVal>
          <c:smooth val="0"/>
          <c:extLst>
            <c:ext xmlns:c16="http://schemas.microsoft.com/office/drawing/2014/chart" uri="{C3380CC4-5D6E-409C-BE32-E72D297353CC}">
              <c16:uniqueId val="{00000000-725B-4779-92A9-774CA754E7E7}"/>
            </c:ext>
          </c:extLst>
        </c:ser>
        <c:ser>
          <c:idx val="1"/>
          <c:order val="1"/>
          <c:spPr>
            <a:ln>
              <a:noFill/>
            </a:ln>
          </c:spPr>
          <c:marker>
            <c:symbol val="triangle"/>
            <c:size val="9"/>
          </c:marker>
          <c:xVal>
            <c:numRef>
              <c:f>Sheet1!$B$69:$B$70</c:f>
              <c:numCache>
                <c:formatCode>0.00%</c:formatCode>
                <c:ptCount val="2"/>
                <c:pt idx="0">
                  <c:v>3.9340649792120909E-2</c:v>
                </c:pt>
                <c:pt idx="1">
                  <c:v>7.5048748922317263E-2</c:v>
                </c:pt>
              </c:numCache>
            </c:numRef>
          </c:xVal>
          <c:yVal>
            <c:numRef>
              <c:f>Sheet1!$C$69:$C$70</c:f>
              <c:numCache>
                <c:formatCode>0.00%</c:formatCode>
                <c:ptCount val="2"/>
                <c:pt idx="0">
                  <c:v>9.6624870841770169E-3</c:v>
                </c:pt>
                <c:pt idx="1">
                  <c:v>2.3287233539893662E-2</c:v>
                </c:pt>
              </c:numCache>
            </c:numRef>
          </c:yVal>
          <c:smooth val="0"/>
          <c:extLst>
            <c:ext xmlns:c16="http://schemas.microsoft.com/office/drawing/2014/chart" uri="{C3380CC4-5D6E-409C-BE32-E72D297353CC}">
              <c16:uniqueId val="{00000001-725B-4779-92A9-774CA754E7E7}"/>
            </c:ext>
          </c:extLst>
        </c:ser>
        <c:ser>
          <c:idx val="2"/>
          <c:order val="2"/>
          <c:spPr>
            <a:ln w="12700">
              <a:solidFill>
                <a:srgbClr val="FF0000"/>
              </a:solidFill>
            </a:ln>
          </c:spPr>
          <c:marker>
            <c:symbol val="circle"/>
            <c:size val="5"/>
            <c:spPr>
              <a:solidFill>
                <a:srgbClr val="FF0000"/>
              </a:solidFill>
            </c:spPr>
          </c:marker>
          <c:xVal>
            <c:numRef>
              <c:f>Sheet1!$B$70:$B$71</c:f>
              <c:numCache>
                <c:formatCode>General</c:formatCode>
                <c:ptCount val="2"/>
                <c:pt idx="0" formatCode="0.00%">
                  <c:v>7.5048748922317263E-2</c:v>
                </c:pt>
                <c:pt idx="1">
                  <c:v>0</c:v>
                </c:pt>
              </c:numCache>
            </c:numRef>
          </c:xVal>
          <c:yVal>
            <c:numRef>
              <c:f>Sheet1!$C$70:$C$71</c:f>
              <c:numCache>
                <c:formatCode>0.00%</c:formatCode>
                <c:ptCount val="2"/>
                <c:pt idx="0">
                  <c:v>2.3287233539893662E-2</c:v>
                </c:pt>
                <c:pt idx="1">
                  <c:v>4.4999999999999997E-3</c:v>
                </c:pt>
              </c:numCache>
            </c:numRef>
          </c:yVal>
          <c:smooth val="0"/>
          <c:extLst>
            <c:ext xmlns:c16="http://schemas.microsoft.com/office/drawing/2014/chart" uri="{C3380CC4-5D6E-409C-BE32-E72D297353CC}">
              <c16:uniqueId val="{00000002-725B-4779-92A9-774CA754E7E7}"/>
            </c:ext>
          </c:extLst>
        </c:ser>
        <c:dLbls>
          <c:showLegendKey val="0"/>
          <c:showVal val="0"/>
          <c:showCatName val="0"/>
          <c:showSerName val="0"/>
          <c:showPercent val="0"/>
          <c:showBubbleSize val="0"/>
        </c:dLbls>
        <c:axId val="887206320"/>
        <c:axId val="1"/>
      </c:scatterChart>
      <c:valAx>
        <c:axId val="887206320"/>
        <c:scaling>
          <c:orientation val="minMax"/>
          <c:max val="0.25"/>
        </c:scaling>
        <c:delete val="0"/>
        <c:axPos val="b"/>
        <c:title>
          <c:tx>
            <c:rich>
              <a:bodyPr/>
              <a:lstStyle/>
              <a:p>
                <a:pPr>
                  <a:defRPr sz="800" b="1" i="0" u="none" strike="noStrike" baseline="0">
                    <a:solidFill>
                      <a:srgbClr val="000000"/>
                    </a:solidFill>
                    <a:latin typeface="Arial"/>
                    <a:ea typeface="Arial"/>
                    <a:cs typeface="Arial"/>
                  </a:defRPr>
                </a:pPr>
                <a:r>
                  <a:rPr lang="en-US" altLang="zh-CN"/>
                  <a:t>Standard deviation</a:t>
                </a:r>
              </a:p>
            </c:rich>
          </c:tx>
          <c:layout>
            <c:manualLayout>
              <c:xMode val="edge"/>
              <c:yMode val="edge"/>
              <c:x val="0.45521406454291269"/>
              <c:y val="0.89588457162888335"/>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zh-CN"/>
          </a:p>
        </c:txPr>
        <c:crossAx val="1"/>
        <c:crosses val="autoZero"/>
        <c:crossBetween val="midCat"/>
      </c:valAx>
      <c:valAx>
        <c:axId val="1"/>
        <c:scaling>
          <c:orientation val="minMax"/>
          <c:max val="0.05"/>
          <c:min val="-0.03"/>
        </c:scaling>
        <c:delete val="0"/>
        <c:axPos val="l"/>
        <c:title>
          <c:tx>
            <c:rich>
              <a:bodyPr/>
              <a:lstStyle/>
              <a:p>
                <a:pPr>
                  <a:defRPr sz="800" b="1" i="0" u="none" strike="noStrike" baseline="0">
                    <a:solidFill>
                      <a:srgbClr val="000000"/>
                    </a:solidFill>
                    <a:latin typeface="Arial"/>
                    <a:ea typeface="Arial"/>
                    <a:cs typeface="Arial"/>
                  </a:defRPr>
                </a:pPr>
                <a:r>
                  <a:rPr lang="en-US" altLang="zh-CN"/>
                  <a:t>Expected return</a:t>
                </a:r>
              </a:p>
            </c:rich>
          </c:tx>
          <c:layout>
            <c:manualLayout>
              <c:xMode val="edge"/>
              <c:yMode val="edge"/>
              <c:x val="3.3773946724151592E-2"/>
              <c:y val="0.36077513830460445"/>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zh-CN"/>
          </a:p>
        </c:txPr>
        <c:crossAx val="887206320"/>
        <c:crosses val="autoZero"/>
        <c:crossBetween val="midCat"/>
      </c:val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zh-CN"/>
    </a:p>
  </c:txPr>
  <c:printSettings>
    <c:headerFooter alignWithMargins="0"/>
    <c:pageMargins b="1" l="0.75" r="0.75" t="1" header="0.5" footer="0.5"/>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3</xdr:col>
      <xdr:colOff>312420</xdr:colOff>
      <xdr:row>52</xdr:row>
      <xdr:rowOff>68580</xdr:rowOff>
    </xdr:from>
    <xdr:to>
      <xdr:col>14</xdr:col>
      <xdr:colOff>99060</xdr:colOff>
      <xdr:row>75</xdr:row>
      <xdr:rowOff>60960</xdr:rowOff>
    </xdr:to>
    <xdr:graphicFrame macro="">
      <xdr:nvGraphicFramePr>
        <xdr:cNvPr id="2" name="图表 1">
          <a:extLst>
            <a:ext uri="{FF2B5EF4-FFF2-40B4-BE49-F238E27FC236}">
              <a16:creationId xmlns:a16="http://schemas.microsoft.com/office/drawing/2014/main" id="{462A80E5-0799-4E48-88AC-44865AE89D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258292</xdr:colOff>
      <xdr:row>0</xdr:row>
      <xdr:rowOff>20101</xdr:rowOff>
    </xdr:from>
    <xdr:to>
      <xdr:col>33</xdr:col>
      <xdr:colOff>364972</xdr:colOff>
      <xdr:row>77</xdr:row>
      <xdr:rowOff>58201</xdr:rowOff>
    </xdr:to>
    <xdr:pic>
      <xdr:nvPicPr>
        <xdr:cNvPr id="3" name="图片 2">
          <a:extLst>
            <a:ext uri="{FF2B5EF4-FFF2-40B4-BE49-F238E27FC236}">
              <a16:creationId xmlns:a16="http://schemas.microsoft.com/office/drawing/2014/main" id="{B365DA52-2405-5E4F-6E46-3F8BAFDF40A7}"/>
            </a:ext>
          </a:extLst>
        </xdr:cNvPr>
        <xdr:cNvPicPr>
          <a:picLocks noChangeAspect="1" noChangeArrowheads="1"/>
        </xdr:cNvPicPr>
      </xdr:nvPicPr>
      <xdr:blipFill>
        <a:blip xmlns:r="http://schemas.openxmlformats.org/officeDocument/2006/relationships" r:embed="rId2"/>
        <a:srcRect/>
        <a:stretch>
          <a:fillRect/>
        </a:stretch>
      </xdr:blipFill>
      <xdr:spPr bwMode="auto">
        <a:xfrm>
          <a:off x="10144585" y="20101"/>
          <a:ext cx="11095508" cy="13716394"/>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pic>
    <xdr:clientData/>
  </xdr:twoCellAnchor>
  <xdr:twoCellAnchor>
    <xdr:from>
      <xdr:col>4</xdr:col>
      <xdr:colOff>587395</xdr:colOff>
      <xdr:row>60</xdr:row>
      <xdr:rowOff>19707</xdr:rowOff>
    </xdr:from>
    <xdr:to>
      <xdr:col>6</xdr:col>
      <xdr:colOff>225248</xdr:colOff>
      <xdr:row>61</xdr:row>
      <xdr:rowOff>101293</xdr:rowOff>
    </xdr:to>
    <xdr:sp macro="" textlink="">
      <xdr:nvSpPr>
        <xdr:cNvPr id="4" name="文本框 3">
          <a:extLst>
            <a:ext uri="{FF2B5EF4-FFF2-40B4-BE49-F238E27FC236}">
              <a16:creationId xmlns:a16="http://schemas.microsoft.com/office/drawing/2014/main" id="{219BFF5B-B16D-B1AA-6854-8B8CF5BD3346}"/>
            </a:ext>
          </a:extLst>
        </xdr:cNvPr>
        <xdr:cNvSpPr txBox="1"/>
      </xdr:nvSpPr>
      <xdr:spPr>
        <a:xfrm>
          <a:off x="3753636" y="10805948"/>
          <a:ext cx="859681" cy="25237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CN" sz="1100"/>
            <a:t>Rf=0.45%</a:t>
          </a:r>
          <a:endParaRPr lang="zh-CN" altLang="en-US" sz="1100"/>
        </a:p>
      </xdr:txBody>
    </xdr:sp>
    <xdr:clientData/>
  </xdr:twoCellAnchor>
  <xdr:twoCellAnchor>
    <xdr:from>
      <xdr:col>4</xdr:col>
      <xdr:colOff>499242</xdr:colOff>
      <xdr:row>61</xdr:row>
      <xdr:rowOff>91966</xdr:rowOff>
    </xdr:from>
    <xdr:to>
      <xdr:col>5</xdr:col>
      <xdr:colOff>256190</xdr:colOff>
      <xdr:row>63</xdr:row>
      <xdr:rowOff>137948</xdr:rowOff>
    </xdr:to>
    <xdr:cxnSp macro="">
      <xdr:nvCxnSpPr>
        <xdr:cNvPr id="6" name="直接箭头连接符 5">
          <a:extLst>
            <a:ext uri="{FF2B5EF4-FFF2-40B4-BE49-F238E27FC236}">
              <a16:creationId xmlns:a16="http://schemas.microsoft.com/office/drawing/2014/main" id="{8BF224CE-6C3E-52C7-9478-4B1D07CD7DB7}"/>
            </a:ext>
          </a:extLst>
        </xdr:cNvPr>
        <xdr:cNvCxnSpPr/>
      </xdr:nvCxnSpPr>
      <xdr:spPr>
        <a:xfrm flipH="1">
          <a:off x="3665483" y="11049000"/>
          <a:ext cx="367862" cy="387569"/>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D:\lizhengdong\&#20132;&#26131;&#26694;&#26550;\5_&#24037;&#20855;&#31665;\_&#20070;&#24211;\&#32534;&#31243;\EXCEL\&#36130;&#21153;&#37329;&#34701;&#24314;&#27169;&#31532;&#19977;&#29256;&#65288;&#29992;ECCEL&#24037;&#20855;&#65289;\Exercise%20files\fm3_problems10.xls" TargetMode="External"/><Relationship Id="rId1" Type="http://schemas.openxmlformats.org/officeDocument/2006/relationships/externalLinkPath" Target="/lizhengdong/&#20132;&#26131;&#26694;&#26550;/5_&#24037;&#20855;&#31665;/_&#20070;&#24211;/&#32534;&#31243;/EXCEL/&#36130;&#21153;&#37329;&#34701;&#24314;&#27169;&#31532;&#19977;&#29256;&#65288;&#29992;ECCEL&#24037;&#20855;&#65289;/Exercise%20files/fm3_problems10.xls"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C:\Users\li'zheng'dong\AppData\Roaming\Microsoft\AddIns\&#33258;&#23450;&#20041;&#20989;&#25968;.xla" TargetMode="External"/><Relationship Id="rId1" Type="http://schemas.openxmlformats.org/officeDocument/2006/relationships/externalLinkPath" Target="file:///C:\Users\li'zheng'dong\AppData\Roaming\Microsoft\AddIns\&#33258;&#23450;&#20041;&#20989;&#25968;.xla"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Exercise 1 data"/>
      <sheetName val="Exercise 1 data (中文)"/>
      <sheetName val="Exercise 1"/>
      <sheetName val="Exercise 1 (中文)"/>
      <sheetName val="Exercise 2"/>
      <sheetName val="Exercise 2 (中文)"/>
      <sheetName val="Exercise 3"/>
      <sheetName val="Exercise 3 (中文)"/>
      <sheetName val="Exercise 4"/>
      <sheetName val="Exercise 4 (中文)"/>
      <sheetName val="Exercise 5"/>
      <sheetName val="Exercise 5 (中文)"/>
      <sheetName val="DJ30 prices, Jul97-Jul07"/>
      <sheetName val="DJ30 prices, Jul97-Jul07（中文）"/>
      <sheetName val="Six stocks--data"/>
      <sheetName val="Six stocks--data (中文)"/>
      <sheetName val="DJ30 returns Jul97-Jul07"/>
      <sheetName val="DJ30 returns Jul97-Jul07 (中文)"/>
    </sheetNames>
    <sheetDataSet>
      <sheetData sheetId="0"/>
      <sheetData sheetId="1"/>
      <sheetData sheetId="2"/>
      <sheetData sheetId="3"/>
      <sheetData sheetId="4"/>
      <sheetData sheetId="5"/>
      <sheetData sheetId="6"/>
      <sheetData sheetId="7"/>
      <sheetData sheetId="8">
        <row r="53">
          <cell r="B53">
            <v>0.2083395883495662</v>
          </cell>
          <cell r="C53">
            <v>4.9878680741681829E-2</v>
          </cell>
        </row>
        <row r="54">
          <cell r="B54">
            <v>0.17988360637194031</v>
          </cell>
          <cell r="C54">
            <v>4.4560391301324193E-2</v>
          </cell>
        </row>
        <row r="55">
          <cell r="B55">
            <v>0.15184587182186823</v>
          </cell>
          <cell r="C55">
            <v>3.9242101860966563E-2</v>
          </cell>
        </row>
        <row r="56">
          <cell r="B56">
            <v>0.12450925635297519</v>
          </cell>
          <cell r="C56">
            <v>3.3923812420608927E-2</v>
          </cell>
        </row>
        <row r="57">
          <cell r="B57">
            <v>9.8459485201062041E-2</v>
          </cell>
          <cell r="C57">
            <v>2.8605522980251295E-2</v>
          </cell>
        </row>
        <row r="58">
          <cell r="B58">
            <v>7.5048748922317263E-2</v>
          </cell>
          <cell r="C58">
            <v>2.3287233539893662E-2</v>
          </cell>
        </row>
        <row r="59">
          <cell r="B59">
            <v>5.7590697024879581E-2</v>
          </cell>
          <cell r="C59">
            <v>1.7968944099536029E-2</v>
          </cell>
        </row>
        <row r="60">
          <cell r="B60">
            <v>5.2415562890018898E-2</v>
          </cell>
          <cell r="C60">
            <v>1.2650654659178395E-2</v>
          </cell>
        </row>
        <row r="61">
          <cell r="B61">
            <v>6.2645217396088401E-2</v>
          </cell>
          <cell r="C61">
            <v>7.3323652188207631E-3</v>
          </cell>
        </row>
        <row r="62">
          <cell r="B62">
            <v>8.2751341212021601E-2</v>
          </cell>
          <cell r="C62">
            <v>2.0140757784631274E-3</v>
          </cell>
        </row>
        <row r="63">
          <cell r="B63">
            <v>0.10731949898519499</v>
          </cell>
          <cell r="C63">
            <v>-3.3042136618945043E-3</v>
          </cell>
        </row>
        <row r="64">
          <cell r="B64">
            <v>0.13391599767293566</v>
          </cell>
          <cell r="C64">
            <v>-8.6225031022521374E-3</v>
          </cell>
        </row>
        <row r="65">
          <cell r="B65">
            <v>0.16154207867704856</v>
          </cell>
          <cell r="C65">
            <v>-1.3940792542609768E-2</v>
          </cell>
        </row>
        <row r="66">
          <cell r="B66">
            <v>0.18974857341789261</v>
          </cell>
          <cell r="C66">
            <v>-1.9259081982967406E-2</v>
          </cell>
        </row>
        <row r="67">
          <cell r="B67">
            <v>0.21831062325321832</v>
          </cell>
          <cell r="C67">
            <v>-2.4577371423325039E-2</v>
          </cell>
        </row>
        <row r="68">
          <cell r="B68">
            <v>0.24710496659628564</v>
          </cell>
          <cell r="C68">
            <v>-2.9895660863682672E-2</v>
          </cell>
        </row>
      </sheetData>
      <sheetData sheetId="9"/>
      <sheetData sheetId="10"/>
      <sheetData sheetId="11"/>
      <sheetData sheetId="12"/>
      <sheetData sheetId="13"/>
      <sheetData sheetId="14"/>
      <sheetData sheetId="15"/>
      <sheetData sheetId="16"/>
      <sheetData sheetId="1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1"/>
    </sheetNames>
    <definedNames>
      <definedName name="getformula"/>
    </definedNames>
    <sheetDataSet>
      <sheetData sheetId="0"/>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4BB0C1-0DD8-4FB5-B5BC-87C496726FA1}">
  <sheetPr codeName="Sheet1"/>
  <dimension ref="A1:Q71"/>
  <sheetViews>
    <sheetView tabSelected="1" topLeftCell="A37" zoomScale="145" zoomScaleNormal="145" workbookViewId="0">
      <selection activeCell="L50" sqref="L50"/>
    </sheetView>
  </sheetViews>
  <sheetFormatPr defaultRowHeight="13.8" x14ac:dyDescent="0.25"/>
  <cols>
    <col min="1" max="1" width="19.109375" style="3" customWidth="1"/>
    <col min="2" max="2" width="9.109375" style="3" bestFit="1" customWidth="1"/>
    <col min="3" max="17" width="8.88671875" style="3"/>
  </cols>
  <sheetData>
    <row r="1" spans="1:17" ht="41.4" x14ac:dyDescent="0.25">
      <c r="A1" s="1"/>
      <c r="B1" s="1" t="s">
        <v>0</v>
      </c>
      <c r="C1" s="1" t="s">
        <v>1</v>
      </c>
      <c r="D1" s="1" t="s">
        <v>2</v>
      </c>
      <c r="E1" s="1" t="s">
        <v>3</v>
      </c>
      <c r="F1" s="1" t="s">
        <v>4</v>
      </c>
      <c r="G1" s="1" t="s">
        <v>5</v>
      </c>
      <c r="H1" s="1"/>
      <c r="I1" s="1" t="s">
        <v>6</v>
      </c>
      <c r="J1" s="1"/>
      <c r="K1" s="1"/>
      <c r="L1" s="1"/>
      <c r="M1" s="1"/>
      <c r="N1" s="1"/>
      <c r="O1" s="1"/>
      <c r="P1" s="1"/>
      <c r="Q1" s="1"/>
    </row>
    <row r="2" spans="1:17" x14ac:dyDescent="0.25">
      <c r="A2" s="1" t="s">
        <v>7</v>
      </c>
      <c r="B2" s="2">
        <v>5.1679213458144186E-3</v>
      </c>
      <c r="C2" s="2">
        <v>3.2649490480425748E-3</v>
      </c>
      <c r="D2" s="2">
        <v>1.4576465691267628E-3</v>
      </c>
      <c r="E2" s="2">
        <v>3.9221252048170863E-3</v>
      </c>
      <c r="F2" s="2">
        <v>6.7694483091260476E-3</v>
      </c>
      <c r="G2" s="2">
        <v>9.961245625891629E-4</v>
      </c>
      <c r="I2" s="4">
        <v>2.4172603227933668E-3</v>
      </c>
      <c r="K2" s="3">
        <v>1</v>
      </c>
    </row>
    <row r="3" spans="1:17" x14ac:dyDescent="0.25">
      <c r="A3" s="1" t="s">
        <v>8</v>
      </c>
      <c r="B3" s="2">
        <v>3.2649490480425748E-3</v>
      </c>
      <c r="C3" s="2">
        <v>1.198100171767735E-2</v>
      </c>
      <c r="D3" s="2">
        <v>3.3667976619999448E-3</v>
      </c>
      <c r="E3" s="2">
        <v>7.1840162591810478E-3</v>
      </c>
      <c r="F3" s="2">
        <v>6.2630892863084634E-3</v>
      </c>
      <c r="G3" s="2">
        <v>1.5045740650723467E-3</v>
      </c>
      <c r="I3" s="4">
        <v>-8.9028831293830359E-3</v>
      </c>
      <c r="K3" s="3">
        <v>1</v>
      </c>
    </row>
    <row r="4" spans="1:17" x14ac:dyDescent="0.25">
      <c r="A4" s="1" t="s">
        <v>9</v>
      </c>
      <c r="B4" s="2">
        <v>1.4576465691267628E-3</v>
      </c>
      <c r="C4" s="2">
        <v>3.3667976619999448E-3</v>
      </c>
      <c r="D4" s="2">
        <v>4.5749661567676325E-3</v>
      </c>
      <c r="E4" s="2">
        <v>5.8072050113568054E-3</v>
      </c>
      <c r="F4" s="2">
        <v>3.8695598404889248E-3</v>
      </c>
      <c r="G4" s="2">
        <v>1.4958927277474285E-3</v>
      </c>
      <c r="I4" s="4">
        <v>4.8337058278747928E-3</v>
      </c>
      <c r="K4" s="3">
        <v>1</v>
      </c>
    </row>
    <row r="5" spans="1:17" x14ac:dyDescent="0.25">
      <c r="A5" s="1" t="s">
        <v>10</v>
      </c>
      <c r="B5" s="5">
        <v>3.9221252048170863E-3</v>
      </c>
      <c r="C5" s="5">
        <v>7.1840162591810478E-3</v>
      </c>
      <c r="D5" s="5">
        <v>5.8072050113568054E-3</v>
      </c>
      <c r="E5" s="5">
        <v>3.7875219058683143E-2</v>
      </c>
      <c r="F5" s="5">
        <v>7.3307997680240808E-3</v>
      </c>
      <c r="G5" s="5">
        <v>2.3056034428122749E-3</v>
      </c>
      <c r="I5" s="4">
        <v>4.3844494985376395E-3</v>
      </c>
      <c r="K5" s="3">
        <v>1</v>
      </c>
    </row>
    <row r="6" spans="1:17" x14ac:dyDescent="0.25">
      <c r="A6" s="6" t="s">
        <v>11</v>
      </c>
      <c r="B6" s="5">
        <v>6.7694483091260476E-3</v>
      </c>
      <c r="C6" s="5">
        <v>6.2630892863084634E-3</v>
      </c>
      <c r="D6" s="5">
        <v>3.8695598404889248E-3</v>
      </c>
      <c r="E6" s="5">
        <v>7.3307997680240808E-3</v>
      </c>
      <c r="F6" s="5">
        <v>3.8922451600587257E-2</v>
      </c>
      <c r="G6" s="5">
        <v>2.3048735881218496E-3</v>
      </c>
      <c r="I6" s="4">
        <v>-1.4619113186760875E-2</v>
      </c>
      <c r="K6" s="3">
        <v>1</v>
      </c>
    </row>
    <row r="7" spans="1:17" x14ac:dyDescent="0.25">
      <c r="A7" s="6" t="s">
        <v>12</v>
      </c>
      <c r="B7" s="5">
        <v>9.961245625891629E-4</v>
      </c>
      <c r="C7" s="5">
        <v>1.5045740650723467E-3</v>
      </c>
      <c r="D7" s="5">
        <v>1.4958927277474285E-3</v>
      </c>
      <c r="E7" s="5">
        <v>2.3056034428122749E-3</v>
      </c>
      <c r="F7" s="5">
        <v>2.3048735881218496E-3</v>
      </c>
      <c r="G7" s="5">
        <v>1.7851046712151518E-3</v>
      </c>
      <c r="I7" s="4">
        <v>1.039619954991546E-2</v>
      </c>
      <c r="K7" s="3">
        <v>1</v>
      </c>
    </row>
    <row r="10" spans="1:17" x14ac:dyDescent="0.25">
      <c r="A10" s="7" t="s">
        <v>13</v>
      </c>
    </row>
    <row r="11" spans="1:17" x14ac:dyDescent="0.25">
      <c r="A11" s="1" t="s">
        <v>7</v>
      </c>
      <c r="B11" s="8">
        <f t="array" ref="B11:B16">MMULT(MINVERSE($B$2:$G$7),IF(A11:A16=A11:A16,1,0))/SUM(MMULT(MINVERSE($B$2:$G$7),IF(A11:A16=A11:A16,1,0)))</f>
        <v>0.21321851472264311</v>
      </c>
      <c r="C11" s="14" t="str">
        <f ca="1">[2]!getformula(B11)</f>
        <v>&lt;--  {=MMULT(MINVERSE($B$2:$G$7),IF(A11:A16=A11:A16,1,0))/SUM(MMULT(MINVERSE($B$2:$G$7),IF(A11:A16=A11:A16,1,0)))}</v>
      </c>
    </row>
    <row r="12" spans="1:17" x14ac:dyDescent="0.25">
      <c r="A12" s="1" t="s">
        <v>8</v>
      </c>
      <c r="B12" s="8">
        <v>-1.2233387984336923E-2</v>
      </c>
    </row>
    <row r="13" spans="1:17" x14ac:dyDescent="0.25">
      <c r="A13" s="1" t="s">
        <v>9</v>
      </c>
      <c r="B13" s="8">
        <v>0.10899515888806152</v>
      </c>
    </row>
    <row r="14" spans="1:17" x14ac:dyDescent="0.25">
      <c r="A14" s="1" t="s">
        <v>10</v>
      </c>
      <c r="B14" s="8">
        <v>-3.3637098710884411E-2</v>
      </c>
      <c r="F14" s="9" t="s">
        <v>14</v>
      </c>
      <c r="G14" s="9"/>
      <c r="H14" s="9"/>
      <c r="I14" s="9"/>
      <c r="J14" s="9"/>
    </row>
    <row r="15" spans="1:17" x14ac:dyDescent="0.25">
      <c r="A15" s="6" t="s">
        <v>11</v>
      </c>
      <c r="B15" s="8">
        <v>-4.5392956237263783E-2</v>
      </c>
      <c r="F15" s="9"/>
      <c r="G15" s="9"/>
      <c r="H15" s="9"/>
      <c r="I15" s="9"/>
      <c r="J15" s="9"/>
    </row>
    <row r="16" spans="1:17" x14ac:dyDescent="0.25">
      <c r="A16" s="6" t="s">
        <v>12</v>
      </c>
      <c r="B16" s="8">
        <v>0.76904976932178037</v>
      </c>
      <c r="F16" s="9"/>
      <c r="G16" s="9"/>
      <c r="H16" s="9"/>
      <c r="I16" s="9"/>
      <c r="J16" s="9"/>
    </row>
    <row r="17" spans="1:10" x14ac:dyDescent="0.25">
      <c r="A17" s="1" t="s">
        <v>15</v>
      </c>
      <c r="B17" s="3">
        <f>SUM(B11:B16)</f>
        <v>0.99999999999999989</v>
      </c>
      <c r="C17" s="3" t="str">
        <f ca="1">[2]!getformula(B17)</f>
        <v>&lt;--  =SUM(B11:B16)</v>
      </c>
      <c r="F17" s="9"/>
      <c r="G17" s="9"/>
      <c r="H17" s="9"/>
      <c r="I17" s="9"/>
      <c r="J17" s="9"/>
    </row>
    <row r="19" spans="1:10" x14ac:dyDescent="0.25">
      <c r="A19" s="3" t="s">
        <v>16</v>
      </c>
      <c r="B19" s="4">
        <f>SUMPRODUCT(B11:B16,I2:I7)</f>
        <v>9.6624870841770169E-3</v>
      </c>
      <c r="C19" s="3" t="str">
        <f ca="1">[2]!getformula(B19)</f>
        <v>&lt;--  =SUMPRODUCT(B11:B16,I2:I7)</v>
      </c>
    </row>
    <row r="20" spans="1:10" x14ac:dyDescent="0.25">
      <c r="A20" s="3" t="s">
        <v>17</v>
      </c>
      <c r="B20" s="4">
        <f t="array" ref="B20">MMULT(MMULT(TRANSPOSE(B11:B16),B2:G7),B11:B16)</f>
        <v>1.5476867260663029E-3</v>
      </c>
      <c r="C20" s="3" t="str">
        <f ca="1">[2]!getformula(B20)</f>
        <v>&lt;--  {=MMULT(MMULT(TRANSPOSE(B11:B16),B2:G7),B11:B16)}</v>
      </c>
    </row>
    <row r="21" spans="1:10" x14ac:dyDescent="0.25">
      <c r="A21" s="3" t="s">
        <v>18</v>
      </c>
      <c r="B21" s="4">
        <f>SQRT(B20)</f>
        <v>3.9340649792120909E-2</v>
      </c>
      <c r="C21" s="3" t="str">
        <f ca="1">[2]!getformula(B21)</f>
        <v>&lt;--  =SQRT(B20)</v>
      </c>
    </row>
    <row r="24" spans="1:10" x14ac:dyDescent="0.25">
      <c r="A24" s="7" t="s">
        <v>19</v>
      </c>
    </row>
    <row r="25" spans="1:10" x14ac:dyDescent="0.25">
      <c r="A25" s="3" t="s">
        <v>20</v>
      </c>
      <c r="B25" s="10">
        <v>4.4999999999999997E-3</v>
      </c>
    </row>
    <row r="27" spans="1:10" x14ac:dyDescent="0.25">
      <c r="A27" s="1" t="s">
        <v>7</v>
      </c>
      <c r="B27" s="8">
        <f t="array" ref="B27:B32">MMULT(MINVERSE(B2:G7),I2:I7-B25)/SUM(MMULT(MINVERSE(B2:G7),I2:I7-B25))</f>
        <v>0.10672982551120344</v>
      </c>
      <c r="C27" s="3" t="str">
        <f ca="1">[2]!getformula(B27)</f>
        <v>&lt;--  {=MMULT(MINVERSE(B2:G7),I2:I7-B25)/SUM(MMULT(MINVERSE(B2:G7),I2:I7-B25))}</v>
      </c>
    </row>
    <row r="28" spans="1:10" x14ac:dyDescent="0.25">
      <c r="A28" s="1" t="s">
        <v>8</v>
      </c>
      <c r="B28" s="8">
        <v>-0.46421463011564312</v>
      </c>
    </row>
    <row r="29" spans="1:10" x14ac:dyDescent="0.25">
      <c r="A29" s="1" t="s">
        <v>9</v>
      </c>
      <c r="B29" s="8">
        <v>-6.4122744174060095E-2</v>
      </c>
    </row>
    <row r="30" spans="1:10" x14ac:dyDescent="0.25">
      <c r="A30" s="1" t="s">
        <v>10</v>
      </c>
      <c r="B30" s="8">
        <v>2.5193834441660533E-2</v>
      </c>
    </row>
    <row r="31" spans="1:10" x14ac:dyDescent="0.25">
      <c r="A31" s="6" t="s">
        <v>11</v>
      </c>
      <c r="B31" s="8">
        <v>-0.18302729115154054</v>
      </c>
    </row>
    <row r="32" spans="1:10" x14ac:dyDescent="0.25">
      <c r="A32" s="6" t="s">
        <v>12</v>
      </c>
      <c r="B32" s="8">
        <v>1.5794410054883798</v>
      </c>
    </row>
    <row r="33" spans="1:9" x14ac:dyDescent="0.25">
      <c r="A33" s="1" t="s">
        <v>15</v>
      </c>
      <c r="B33" s="3">
        <f>SUM(B27:B32)</f>
        <v>1</v>
      </c>
      <c r="C33" s="3" t="str">
        <f ca="1">[2]!getformula(B33)</f>
        <v>&lt;--  =SUM(B27:B32)</v>
      </c>
    </row>
    <row r="35" spans="1:9" x14ac:dyDescent="0.25">
      <c r="A35" s="3" t="s">
        <v>16</v>
      </c>
      <c r="B35" s="4">
        <f>SUMPRODUCT(B27:B32,I2:I7)</f>
        <v>2.3287233539893662E-2</v>
      </c>
      <c r="C35" s="3" t="str">
        <f ca="1">[2]!getformula(B35)</f>
        <v>&lt;--  =SUMPRODUCT(B27:B32,I2:I7)</v>
      </c>
    </row>
    <row r="36" spans="1:9" x14ac:dyDescent="0.25">
      <c r="A36" s="3" t="s">
        <v>17</v>
      </c>
      <c r="B36" s="4">
        <f t="array" ref="B36">MMULT(MMULT(TRANSPOSE(B27:B32),B2:G7),B27:B32)</f>
        <v>5.6323147148050166E-3</v>
      </c>
      <c r="C36" s="3" t="str">
        <f ca="1">[2]!getformula(B36)</f>
        <v>&lt;--  {=MMULT(MMULT(TRANSPOSE(B27:B32),B2:G7),B27:B32)}</v>
      </c>
    </row>
    <row r="37" spans="1:9" x14ac:dyDescent="0.25">
      <c r="A37" s="3" t="s">
        <v>18</v>
      </c>
      <c r="B37" s="4">
        <f>SQRT(B36)</f>
        <v>7.5048748922317263E-2</v>
      </c>
      <c r="C37" s="3" t="str">
        <f ca="1">[2]!getformula(B37)</f>
        <v>&lt;--  =SQRT(B36)</v>
      </c>
    </row>
    <row r="39" spans="1:9" x14ac:dyDescent="0.25">
      <c r="A39" s="11" t="s">
        <v>27</v>
      </c>
      <c r="B39" s="12"/>
      <c r="C39" s="12"/>
      <c r="D39" s="12"/>
      <c r="E39" s="12"/>
      <c r="F39" s="12"/>
      <c r="G39" s="12"/>
      <c r="H39" s="12"/>
      <c r="I39" s="12"/>
    </row>
    <row r="40" spans="1:9" x14ac:dyDescent="0.25">
      <c r="A40" s="12"/>
      <c r="B40" s="12"/>
      <c r="C40" s="12"/>
      <c r="D40" s="12"/>
      <c r="E40" s="12"/>
      <c r="F40" s="12"/>
      <c r="G40" s="12"/>
      <c r="H40" s="12"/>
      <c r="I40" s="12"/>
    </row>
    <row r="41" spans="1:9" x14ac:dyDescent="0.25">
      <c r="A41" s="12"/>
      <c r="B41" s="12"/>
      <c r="C41" s="12"/>
      <c r="D41" s="12"/>
      <c r="E41" s="12"/>
      <c r="F41" s="12"/>
      <c r="G41" s="12"/>
      <c r="H41" s="12"/>
      <c r="I41" s="12"/>
    </row>
    <row r="42" spans="1:9" x14ac:dyDescent="0.25">
      <c r="A42" s="3" t="s">
        <v>21</v>
      </c>
      <c r="B42" s="3">
        <f t="array" ref="B42">MMULT(MMULT(TRANSPOSE(B11:B16),B2:G7),B27:B32)</f>
        <v>1.5476867260663027E-3</v>
      </c>
      <c r="C42" s="3" t="str">
        <f ca="1">[2]!getformula(B42)&amp;", covariance between GMVP &amp; efficient portfolio"</f>
        <v>&lt;--  {=MMULT(MMULT(TRANSPOSE(B11:B16),B2:G7),B27:B32)}, covariance between GMVP &amp; efficient portfolio</v>
      </c>
    </row>
    <row r="44" spans="1:9" x14ac:dyDescent="0.25">
      <c r="A44" s="3" t="s">
        <v>22</v>
      </c>
      <c r="B44" s="3">
        <v>0.3</v>
      </c>
    </row>
    <row r="45" spans="1:9" x14ac:dyDescent="0.25">
      <c r="A45" s="3" t="s">
        <v>23</v>
      </c>
      <c r="B45" s="3">
        <f>1-B44</f>
        <v>0.7</v>
      </c>
      <c r="C45" s="3" t="str">
        <f ca="1">[2]!getformula(B45)</f>
        <v>&lt;--  =1-B44</v>
      </c>
    </row>
    <row r="47" spans="1:9" ht="27.6" x14ac:dyDescent="0.25">
      <c r="A47" s="13" t="s">
        <v>24</v>
      </c>
      <c r="B47" s="4">
        <f>B44*B19+B45*B35</f>
        <v>1.9199809603178665E-2</v>
      </c>
      <c r="C47" s="3" t="str">
        <f ca="1">[2]!getformula(B47)</f>
        <v>&lt;--  =B44*B19+B45*B35</v>
      </c>
    </row>
    <row r="48" spans="1:9" x14ac:dyDescent="0.25">
      <c r="A48" s="3" t="s">
        <v>25</v>
      </c>
      <c r="B48" s="4">
        <f>SQRT(B44^2*B20+B45^2*B36+2*B44*B45*B42)</f>
        <v>5.9574780239194103E-2</v>
      </c>
      <c r="C48" s="3" t="str">
        <f ca="1">[2]!getformula(B48)</f>
        <v>&lt;--  =SQRT(B44^2*B20+B45^2*B36+2*B44*B45*B42)</v>
      </c>
    </row>
    <row r="50" spans="1:4" x14ac:dyDescent="0.25">
      <c r="A50" s="7" t="s">
        <v>26</v>
      </c>
    </row>
    <row r="51" spans="1:4" x14ac:dyDescent="0.25">
      <c r="A51" s="7"/>
      <c r="B51" s="3" t="s">
        <v>18</v>
      </c>
      <c r="C51" s="3" t="s">
        <v>16</v>
      </c>
    </row>
    <row r="52" spans="1:4" x14ac:dyDescent="0.25">
      <c r="B52" s="10">
        <f>B48</f>
        <v>5.9574780239194103E-2</v>
      </c>
      <c r="C52" s="10">
        <f>B47</f>
        <v>1.9199809603178665E-2</v>
      </c>
      <c r="D52" s="3" t="str">
        <f ca="1">[2]!getformula(C52)&amp;", data table header"</f>
        <v>&lt;--  =B47, data table header</v>
      </c>
    </row>
    <row r="53" spans="1:4" x14ac:dyDescent="0.25">
      <c r="A53" s="3">
        <v>-1</v>
      </c>
      <c r="B53" s="4">
        <f t="dataTable" ref="B53:C68" dt2D="0" dtr="0" r1="B44"/>
        <v>0.13373929370615489</v>
      </c>
      <c r="C53" s="4">
        <v>3.6911979995610307E-2</v>
      </c>
    </row>
    <row r="54" spans="1:4" x14ac:dyDescent="0.25">
      <c r="A54" s="3">
        <v>-0.8</v>
      </c>
      <c r="B54" s="4">
        <v>0.12158076085293978</v>
      </c>
      <c r="C54" s="4">
        <v>3.4187030704466978E-2</v>
      </c>
    </row>
    <row r="55" spans="1:4" x14ac:dyDescent="0.25">
      <c r="A55" s="3">
        <v>-0.6</v>
      </c>
      <c r="B55" s="4">
        <v>0.1095642933497835</v>
      </c>
      <c r="C55" s="4">
        <v>3.1462081413323656E-2</v>
      </c>
    </row>
    <row r="56" spans="1:4" x14ac:dyDescent="0.25">
      <c r="A56" s="3">
        <v>-0.4</v>
      </c>
      <c r="B56" s="4">
        <v>9.7742301916796392E-2</v>
      </c>
      <c r="C56" s="4">
        <v>2.8737132122180317E-2</v>
      </c>
    </row>
    <row r="57" spans="1:4" x14ac:dyDescent="0.25">
      <c r="A57" s="3">
        <v>-0.2</v>
      </c>
      <c r="B57" s="4">
        <v>8.6194843406378147E-2</v>
      </c>
      <c r="C57" s="4">
        <v>2.6012182831036988E-2</v>
      </c>
    </row>
    <row r="58" spans="1:4" x14ac:dyDescent="0.25">
      <c r="A58" s="3">
        <v>0</v>
      </c>
      <c r="B58" s="4">
        <v>7.5048748922317263E-2</v>
      </c>
      <c r="C58" s="4">
        <v>2.3287233539893662E-2</v>
      </c>
    </row>
    <row r="59" spans="1:4" x14ac:dyDescent="0.25">
      <c r="A59" s="3">
        <v>0.2</v>
      </c>
      <c r="B59" s="4">
        <v>6.4512391359017845E-2</v>
      </c>
      <c r="C59" s="4">
        <v>2.0562284248750336E-2</v>
      </c>
    </row>
    <row r="60" spans="1:4" x14ac:dyDescent="0.25">
      <c r="A60" s="3">
        <v>0.4</v>
      </c>
      <c r="B60" s="4">
        <v>5.4937717480909594E-2</v>
      </c>
      <c r="C60" s="4">
        <v>1.7837334957607004E-2</v>
      </c>
    </row>
    <row r="61" spans="1:4" x14ac:dyDescent="0.25">
      <c r="A61" s="3">
        <v>0.6</v>
      </c>
      <c r="B61" s="4">
        <v>4.6917237815801739E-2</v>
      </c>
      <c r="C61" s="4">
        <v>1.5112385666463675E-2</v>
      </c>
    </row>
    <row r="62" spans="1:4" x14ac:dyDescent="0.25">
      <c r="A62" s="3">
        <v>0.8</v>
      </c>
      <c r="B62" s="4">
        <v>4.1365104201680082E-2</v>
      </c>
      <c r="C62" s="4">
        <v>1.2387436375320346E-2</v>
      </c>
    </row>
    <row r="63" spans="1:4" x14ac:dyDescent="0.25">
      <c r="A63" s="3">
        <v>1</v>
      </c>
      <c r="B63" s="4">
        <v>3.9340649792120909E-2</v>
      </c>
      <c r="C63" s="4">
        <v>9.6624870841770169E-3</v>
      </c>
    </row>
    <row r="64" spans="1:4" x14ac:dyDescent="0.25">
      <c r="A64" s="3">
        <v>1.2</v>
      </c>
      <c r="B64" s="4">
        <v>4.1365104201680082E-2</v>
      </c>
      <c r="C64" s="4">
        <v>6.9375377930336888E-3</v>
      </c>
    </row>
    <row r="65" spans="1:3" x14ac:dyDescent="0.25">
      <c r="A65" s="3">
        <v>1.4</v>
      </c>
      <c r="B65" s="4">
        <v>4.6917237815801739E-2</v>
      </c>
      <c r="C65" s="4">
        <v>4.2125885018903606E-3</v>
      </c>
    </row>
    <row r="66" spans="1:3" x14ac:dyDescent="0.25">
      <c r="A66" s="3">
        <v>1.6</v>
      </c>
      <c r="B66" s="4">
        <v>5.4937717480909608E-2</v>
      </c>
      <c r="C66" s="4">
        <v>1.4876392107470281E-3</v>
      </c>
    </row>
    <row r="67" spans="1:3" x14ac:dyDescent="0.25">
      <c r="A67" s="3">
        <v>1.8</v>
      </c>
      <c r="B67" s="4">
        <v>6.4512391359017845E-2</v>
      </c>
      <c r="C67" s="4">
        <v>-1.2373100803962991E-3</v>
      </c>
    </row>
    <row r="68" spans="1:3" x14ac:dyDescent="0.25">
      <c r="A68" s="3">
        <v>2</v>
      </c>
      <c r="B68" s="4">
        <v>7.5048748922317263E-2</v>
      </c>
      <c r="C68" s="4">
        <v>-3.9622593715396281E-3</v>
      </c>
    </row>
    <row r="69" spans="1:3" x14ac:dyDescent="0.25">
      <c r="A69" s="15" t="s">
        <v>28</v>
      </c>
      <c r="B69" s="10">
        <f>B21</f>
        <v>3.9340649792120909E-2</v>
      </c>
      <c r="C69" s="10">
        <f>B19</f>
        <v>9.6624870841770169E-3</v>
      </c>
    </row>
    <row r="70" spans="1:3" x14ac:dyDescent="0.25">
      <c r="A70" s="15" t="s">
        <v>29</v>
      </c>
      <c r="B70" s="10">
        <f>B37</f>
        <v>7.5048748922317263E-2</v>
      </c>
      <c r="C70" s="10">
        <f>B35</f>
        <v>2.3287233539893662E-2</v>
      </c>
    </row>
    <row r="71" spans="1:3" x14ac:dyDescent="0.25">
      <c r="A71" s="15" t="s">
        <v>20</v>
      </c>
      <c r="B71" s="3">
        <v>0</v>
      </c>
      <c r="C71" s="10">
        <v>4.4999999999999997E-3</v>
      </c>
    </row>
  </sheetData>
  <mergeCells count="2">
    <mergeCell ref="F14:J17"/>
    <mergeCell ref="A39:I41"/>
  </mergeCells>
  <phoneticPr fontId="1" type="noConversion"/>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正东 李</dc:creator>
  <cp:lastModifiedBy>正东 李</cp:lastModifiedBy>
  <dcterms:created xsi:type="dcterms:W3CDTF">2024-10-05T13:27:14Z</dcterms:created>
  <dcterms:modified xsi:type="dcterms:W3CDTF">2024-11-01T02:54:51Z</dcterms:modified>
</cp:coreProperties>
</file>