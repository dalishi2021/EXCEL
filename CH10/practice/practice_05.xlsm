
<file path=[Content_Types].xml><?xml version="1.0" encoding="utf-8"?>
<Types xmlns="http://schemas.openxmlformats.org/package/2006/content-type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workbookPr codeName="ThisWorkbook" defaultThemeVersion="166925"/>
  <mc:AlternateContent xmlns:mc="http://schemas.openxmlformats.org/markup-compatibility/2006">
    <mc:Choice Requires="x15">
      <x15ac:absPath xmlns:x15ac="http://schemas.microsoft.com/office/spreadsheetml/2010/11/ac" url="D:\lizhengdong\交易框架\5_工具箱\_书库\编程\EXCEL\CH10\practice\"/>
    </mc:Choice>
  </mc:AlternateContent>
  <xr:revisionPtr revIDLastSave="0" documentId="13_ncr:1_{77E3086D-A302-40CF-A67D-48533B57B72B}" xr6:coauthVersionLast="47" xr6:coauthVersionMax="47" xr10:uidLastSave="{00000000-0000-0000-0000-000000000000}"/>
  <bookViews>
    <workbookView xWindow="-38520" yWindow="-120" windowWidth="38640" windowHeight="21120" xr2:uid="{EA6F33A8-FE0E-48B1-8C74-8B2321C6BA8B}"/>
  </bookViews>
  <sheets>
    <sheet name="Sheet1" sheetId="1" r:id="rId1"/>
  </sheets>
  <externalReferences>
    <externalReference r:id="rId2"/>
    <externalReference r:id="rId3"/>
  </externalReferences>
  <calcPr calcId="191029" iterate="1" iterateDelta="1.0000000000000001E-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3" i="1" l="1"/>
  <c r="B73" i="1"/>
  <c r="C72" i="1"/>
  <c r="B72" i="1"/>
  <c r="D55" i="1"/>
  <c r="C51" i="1"/>
  <c r="C50" i="1"/>
  <c r="C48" i="1"/>
  <c r="C45" i="1"/>
  <c r="C40" i="1"/>
  <c r="C39" i="1"/>
  <c r="C38" i="1"/>
  <c r="C36" i="1"/>
  <c r="C30" i="1"/>
  <c r="L22" i="1" a="1"/>
  <c r="L22" i="1" s="1"/>
  <c r="B14" i="1" a="1"/>
  <c r="B14" i="1" s="1"/>
  <c r="B48" i="1"/>
  <c r="V4" i="1"/>
  <c r="B4" i="1" a="1"/>
  <c r="E9" i="1" s="1"/>
  <c r="L21" i="1"/>
  <c r="C24" i="1"/>
  <c r="C23" i="1"/>
  <c r="C22" i="1"/>
  <c r="C20" i="1"/>
  <c r="C14" i="1"/>
  <c r="F11" i="1"/>
  <c r="Q22" i="1" l="1"/>
  <c r="P22" i="1"/>
  <c r="O22" i="1"/>
  <c r="N22" i="1"/>
  <c r="M22" i="1"/>
  <c r="B19" i="1"/>
  <c r="B18" i="1"/>
  <c r="B17" i="1"/>
  <c r="B16" i="1"/>
  <c r="B15" i="1"/>
  <c r="F4" i="1"/>
  <c r="E5" i="1"/>
  <c r="C8" i="1"/>
  <c r="C7" i="1"/>
  <c r="F5" i="1"/>
  <c r="G5" i="1"/>
  <c r="E8" i="1"/>
  <c r="D5" i="1"/>
  <c r="B8" i="1"/>
  <c r="D8" i="1"/>
  <c r="B6" i="1"/>
  <c r="F8" i="1"/>
  <c r="B7" i="1"/>
  <c r="E4" i="1"/>
  <c r="D7" i="1"/>
  <c r="G4" i="1"/>
  <c r="G7" i="1"/>
  <c r="G8" i="1"/>
  <c r="G9" i="1"/>
  <c r="E6" i="1"/>
  <c r="C9" i="1"/>
  <c r="C5" i="1"/>
  <c r="C6" i="1"/>
  <c r="D6" i="1"/>
  <c r="B9" i="1"/>
  <c r="B4" i="1"/>
  <c r="F6" i="1"/>
  <c r="D9" i="1"/>
  <c r="D4" i="1"/>
  <c r="F9" i="1"/>
  <c r="E7" i="1"/>
  <c r="B5" i="1"/>
  <c r="F7" i="1"/>
  <c r="C4" i="1"/>
  <c r="G6" i="1"/>
  <c r="B30" i="1" l="1" a="1"/>
  <c r="B35" i="1" l="1"/>
  <c r="B34" i="1"/>
  <c r="B32" i="1"/>
  <c r="B30" i="1"/>
  <c r="B33" i="1"/>
  <c r="B31" i="1"/>
  <c r="B20" i="1" l="1"/>
  <c r="B22" i="1"/>
  <c r="B50" i="1" s="1"/>
  <c r="C55" i="1" s="1"/>
  <c r="B23" i="1" a="1"/>
  <c r="B23" i="1" s="1"/>
  <c r="B45" i="1" a="1"/>
  <c r="B45" i="1" s="1"/>
  <c r="B39" i="1" a="1"/>
  <c r="B39" i="1" s="1"/>
  <c r="B40" i="1" s="1"/>
  <c r="B38" i="1"/>
  <c r="B36" i="1"/>
  <c r="B51" i="1" l="1"/>
  <c r="B55" i="1" s="1"/>
  <c r="B24" i="1"/>
</calcChain>
</file>

<file path=xl/sharedStrings.xml><?xml version="1.0" encoding="utf-8"?>
<sst xmlns="http://schemas.openxmlformats.org/spreadsheetml/2006/main" count="77" uniqueCount="34">
  <si>
    <t>SHRINKAGE:  VAR-COV AS COMBINATION OF SAMPLE VAR-COV AND DIAGONAL</t>
  </si>
  <si>
    <t>Weight on sample
var-cov</t>
  </si>
  <si>
    <t>Kroger
KR</t>
  </si>
  <si>
    <t>Ford
F</t>
  </si>
  <si>
    <t>Target
TGT</t>
  </si>
  <si>
    <t>Juniper Networks
JNPR</t>
  </si>
  <si>
    <t>Ahold
AHO</t>
  </si>
  <si>
    <t>KeyCorp
KEY</t>
  </si>
  <si>
    <t>Mean returns</t>
  </si>
  <si>
    <t>Sample
var-cov</t>
  </si>
  <si>
    <t>Diagonal</t>
  </si>
  <si>
    <t>KR</t>
  </si>
  <si>
    <t>F</t>
  </si>
  <si>
    <t>TGT</t>
  </si>
  <si>
    <t>JNPR</t>
  </si>
  <si>
    <t>AHO</t>
  </si>
  <si>
    <t>KEY</t>
  </si>
  <si>
    <t>Global mean variance portfolio</t>
  </si>
  <si>
    <r>
      <t xml:space="preserve">Note that the book formula for the GMVP is for a row vector; here we want a column vector, hence </t>
    </r>
    <r>
      <rPr>
        <b/>
        <sz val="10"/>
        <rFont val="Arial"/>
        <family val="2"/>
      </rPr>
      <t>Transpose</t>
    </r>
    <r>
      <rPr>
        <sz val="10"/>
        <rFont val="Arial"/>
        <family val="2"/>
      </rPr>
      <t>.</t>
    </r>
  </si>
  <si>
    <t>Sum</t>
  </si>
  <si>
    <t>Mean</t>
  </si>
  <si>
    <t>Variance</t>
  </si>
  <si>
    <t>Sigma</t>
  </si>
  <si>
    <t>Efficient portfolio</t>
  </si>
  <si>
    <t>Risk-free</t>
  </si>
  <si>
    <t>Drawing the efficient frontier:  By Proposition 2 of Chapter 9, the efficient frontier is the convex combination of any two frontier portfolios.  Thus combining the GMVP and the efficient portfolio will give us the whole frontier.  We do this below.</t>
  </si>
  <si>
    <t>Covar</t>
  </si>
  <si>
    <t>Proportion of GMVP</t>
  </si>
  <si>
    <t>Proportion of efficient</t>
  </si>
  <si>
    <t>Expected portfolio
return</t>
  </si>
  <si>
    <t>Portfolio sigma</t>
  </si>
  <si>
    <t>Data table:  varying proportion of GMVP</t>
  </si>
  <si>
    <t>GMVP</t>
    <phoneticPr fontId="1" type="noConversion"/>
  </si>
  <si>
    <t>EFFP</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</si>
</sst>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
  </numFmts>
  <fonts count="8" x14ac:knownFonts="1">
    <font>
      <sz val="11"/>
      <color theme="1"/>
      <name val="等线"/>
      <family val="2"/>
      <charset val="134"/>
      <scheme val="minor"/>
    </font>
    <font>
      <sz val="9"/>
      <name val="等线"/>
      <family val="2"/>
      <charset val="134"/>
      <scheme val="minor"/>
    </font>
    <font>
      <sz val="11"/>
      <color theme="1"/>
      <name val="等线"/>
      <family val="2"/>
      <charset val="134"/>
      <scheme val="minor"/>
    </font>
    <font>
      <sz val="11"/>
      <color rgb="FFFF0000"/>
      <name val="等线"/>
      <family val="2"/>
      <charset val="134"/>
      <scheme val="minor"/>
    </font>
    <font>
      <b/>
      <sz val="14"/>
      <name val="Arial"/>
      <family val="2"/>
    </font>
    <font>
      <sz val="10"/>
      <name val="Arial"/>
      <family val="2"/>
    </font>
    <font>
      <b/>
      <sz val="10"/>
      <name val="Arial"/>
      <family val="2"/>
    </font>
    <font>
      <b/>
      <sz val="11"/>
      <color rgb="FFFF0000"/>
      <name val="等线"/>
      <family val="3"/>
      <charset val="134"/>
      <scheme val="minor"/>
    </font>
  </fonts>
  <fills count="4">
    <fill>
      <patternFill patternType="none"/>
    </fill>
    <fill>
      <patternFill patternType="gray125"/>
    </fill>
    <fill>
      <patternFill patternType="solid">
        <fgColor indexed="42"/>
        <bgColor indexed="64"/>
      </patternFill>
    </fill>
    <fill>
      <patternFill patternType="solid">
        <fgColor rgb="FFFFC000"/>
        <bgColor indexed="64"/>
      </patternFill>
    </fill>
  </fills>
  <borders count="1">
    <border>
      <left/>
      <right/>
      <top/>
      <bottom/>
      <diagonal/>
    </border>
  </borders>
  <cellStyleXfs count="2">
    <xf numFmtId="0" fontId="0" fillId="0" borderId="0">
      <alignment vertical="center"/>
    </xf>
    <xf numFmtId="9" fontId="2" fillId="0" borderId="0" applyFont="0" applyFill="0" applyBorder="0" applyAlignment="0" applyProtection="0">
      <alignment vertical="center"/>
    </xf>
  </cellStyleXfs>
  <cellXfs count="21">
    <xf numFmtId="0" fontId="0" fillId="0" borderId="0" xfId="0">
      <alignment vertical="center"/>
    </xf>
    <xf numFmtId="0" fontId="4" fillId="0" borderId="0" xfId="0" applyFont="1" applyAlignment="1">
      <alignment horizontal="center"/>
    </xf>
    <xf numFmtId="0" fontId="0" fillId="0" borderId="0" xfId="0" applyAlignment="1"/>
    <xf numFmtId="0" fontId="0" fillId="0" borderId="0" xfId="0" applyAlignment="1">
      <alignment wrapText="1"/>
    </xf>
    <xf numFmtId="0" fontId="0" fillId="0" borderId="0" xfId="0" applyAlignment="1">
      <alignment horizontal="center" vertical="center" wrapText="1"/>
    </xf>
    <xf numFmtId="0" fontId="0" fillId="2" borderId="0" xfId="0" applyFill="1" applyAlignment="1">
      <alignment horizontal="center" vertical="center" wrapText="1"/>
    </xf>
    <xf numFmtId="176" fontId="0" fillId="0" borderId="0" xfId="0" applyNumberFormat="1" applyAlignment="1">
      <alignment horizontal="center" vertical="center"/>
    </xf>
    <xf numFmtId="176" fontId="0" fillId="0" borderId="0" xfId="0" applyNumberFormat="1" applyAlignment="1">
      <alignment horizontal="center"/>
    </xf>
    <xf numFmtId="10" fontId="2" fillId="0" borderId="0" xfId="1" applyNumberFormat="1" applyAlignment="1"/>
    <xf numFmtId="0" fontId="0" fillId="0" borderId="0" xfId="0" applyAlignment="1">
      <alignment horizontal="center" wrapText="1"/>
    </xf>
    <xf numFmtId="0" fontId="0" fillId="2" borderId="0" xfId="0" applyFill="1" applyAlignment="1">
      <alignment horizontal="center" vertical="center" wrapText="1"/>
    </xf>
    <xf numFmtId="0" fontId="6" fillId="0" borderId="0" xfId="0" applyFont="1" applyAlignment="1"/>
    <xf numFmtId="176" fontId="0" fillId="0" borderId="0" xfId="0" applyNumberFormat="1" applyAlignment="1"/>
    <xf numFmtId="0" fontId="0" fillId="2" borderId="0" xfId="0" applyFill="1" applyAlignment="1">
      <alignment vertical="center" wrapText="1"/>
    </xf>
    <xf numFmtId="10" fontId="0" fillId="0" borderId="0" xfId="0" applyNumberFormat="1" applyAlignment="1"/>
    <xf numFmtId="0" fontId="6" fillId="0" borderId="0" xfId="0" applyFont="1" applyAlignment="1">
      <alignment vertical="center" wrapText="1"/>
    </xf>
    <xf numFmtId="0" fontId="0" fillId="0" borderId="0" xfId="0" applyAlignment="1">
      <alignment vertical="center" wrapText="1"/>
    </xf>
    <xf numFmtId="0" fontId="3" fillId="0" borderId="0" xfId="0" applyFont="1" applyAlignment="1"/>
    <xf numFmtId="0" fontId="7" fillId="0" borderId="0" xfId="0" applyFont="1" applyAlignment="1"/>
    <xf numFmtId="0" fontId="6" fillId="3" borderId="0" xfId="0" applyFont="1" applyFill="1" applyAlignment="1"/>
    <xf numFmtId="0" fontId="0" fillId="0" borderId="0" xfId="0" applyAlignment="1">
      <alignment horizontal="center"/>
    </xf>
  </cellXfs>
  <cellStyles count="2">
    <cellStyle name="百分比" xfId="1" builtinId="5"/>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2.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ltLang="zh-CN"/>
              <a:t>Portfolio Returns &amp; Sigma</a:t>
            </a:r>
          </a:p>
        </c:rich>
      </c:tx>
      <c:layout>
        <c:manualLayout>
          <c:xMode val="edge"/>
          <c:yMode val="edge"/>
          <c:x val="0.37738714383073735"/>
          <c:y val="3.6319644795765542E-2"/>
        </c:manualLayout>
      </c:layout>
      <c:overlay val="0"/>
      <c:spPr>
        <a:noFill/>
        <a:ln w="25400">
          <a:noFill/>
        </a:ln>
      </c:spPr>
    </c:title>
    <c:autoTitleDeleted val="0"/>
    <c:plotArea>
      <c:layout>
        <c:manualLayout>
          <c:layoutTarget val="inner"/>
          <c:xMode val="edge"/>
          <c:yMode val="edge"/>
          <c:x val="0.11453773236886193"/>
          <c:y val="7.7481908897633164E-2"/>
          <c:w val="0.8370065057724525"/>
          <c:h val="0.7917682565476889"/>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Sheet1!$B$56:$B$71</c:f>
              <c:numCache>
                <c:formatCode>0.00%</c:formatCode>
                <c:ptCount val="16"/>
                <c:pt idx="0">
                  <c:v>0.17898413202518387</c:v>
                </c:pt>
                <c:pt idx="1">
                  <c:v>0.16188936111662613</c:v>
                </c:pt>
                <c:pt idx="2">
                  <c:v>0.14489442925494961</c:v>
                </c:pt>
                <c:pt idx="3">
                  <c:v>0.12803909823141157</c:v>
                </c:pt>
                <c:pt idx="4">
                  <c:v>0.11138676035838287</c:v>
                </c:pt>
                <c:pt idx="5">
                  <c:v>9.5044172629287632E-2</c:v>
                </c:pt>
                <c:pt idx="6">
                  <c:v>7.9203306615715965E-2</c:v>
                </c:pt>
                <c:pt idx="7">
                  <c:v>6.423641854406012E-2</c:v>
                </c:pt>
                <c:pt idx="8">
                  <c:v>5.0920092461615746E-2</c:v>
                </c:pt>
                <c:pt idx="9">
                  <c:v>4.0899618893806236E-2</c:v>
                </c:pt>
                <c:pt idx="10">
                  <c:v>3.696060734680854E-2</c:v>
                </c:pt>
                <c:pt idx="11">
                  <c:v>4.0899618893806243E-2</c:v>
                </c:pt>
                <c:pt idx="12">
                  <c:v>5.0920092461615753E-2</c:v>
                </c:pt>
                <c:pt idx="13">
                  <c:v>6.4236418544060134E-2</c:v>
                </c:pt>
                <c:pt idx="14">
                  <c:v>7.9203306615715965E-2</c:v>
                </c:pt>
                <c:pt idx="15">
                  <c:v>9.5044172629287646E-2</c:v>
                </c:pt>
              </c:numCache>
            </c:numRef>
          </c:xVal>
          <c:yVal>
            <c:numRef>
              <c:f>Sheet1!$C$56:$C$71</c:f>
              <c:numCache>
                <c:formatCode>0.00%</c:formatCode>
                <c:ptCount val="16"/>
                <c:pt idx="0">
                  <c:v>4.4245785575506902E-2</c:v>
                </c:pt>
                <c:pt idx="1">
                  <c:v>4.0596320163825778E-2</c:v>
                </c:pt>
                <c:pt idx="2">
                  <c:v>3.6946854752144646E-2</c:v>
                </c:pt>
                <c:pt idx="3">
                  <c:v>3.3297389340463515E-2</c:v>
                </c:pt>
                <c:pt idx="4">
                  <c:v>2.9647923928782387E-2</c:v>
                </c:pt>
                <c:pt idx="5">
                  <c:v>2.599845851710126E-2</c:v>
                </c:pt>
                <c:pt idx="6">
                  <c:v>2.2348993105420132E-2</c:v>
                </c:pt>
                <c:pt idx="7">
                  <c:v>1.8699527693739004E-2</c:v>
                </c:pt>
                <c:pt idx="8">
                  <c:v>1.5050062282057873E-2</c:v>
                </c:pt>
                <c:pt idx="9">
                  <c:v>1.1400596870376745E-2</c:v>
                </c:pt>
                <c:pt idx="10">
                  <c:v>7.7511314586956167E-3</c:v>
                </c:pt>
                <c:pt idx="11">
                  <c:v>4.101666047014489E-3</c:v>
                </c:pt>
                <c:pt idx="12">
                  <c:v>4.522006353333604E-4</c:v>
                </c:pt>
                <c:pt idx="13">
                  <c:v>-3.1972647763477708E-3</c:v>
                </c:pt>
                <c:pt idx="14">
                  <c:v>-6.8467301880288968E-3</c:v>
                </c:pt>
                <c:pt idx="15">
                  <c:v>-1.0496195599710026E-2</c:v>
                </c:pt>
              </c:numCache>
            </c:numRef>
          </c:yVal>
          <c:smooth val="0"/>
          <c:extLst>
            <c:ext xmlns:c16="http://schemas.microsoft.com/office/drawing/2014/chart" uri="{C3380CC4-5D6E-409C-BE32-E72D297353CC}">
              <c16:uniqueId val="{00000000-5244-4F11-BD04-82AE759A0AFC}"/>
            </c:ext>
          </c:extLst>
        </c:ser>
        <c:ser>
          <c:idx val="1"/>
          <c:order val="1"/>
          <c:spPr>
            <a:ln>
              <a:noFill/>
            </a:ln>
          </c:spPr>
          <c:marker>
            <c:symbol val="triangle"/>
            <c:size val="12"/>
          </c:marker>
          <c:xVal>
            <c:numRef>
              <c:f>Sheet1!$B$72:$B$73</c:f>
              <c:numCache>
                <c:formatCode>0.00%</c:formatCode>
                <c:ptCount val="2"/>
                <c:pt idx="0">
                  <c:v>3.696060734680854E-2</c:v>
                </c:pt>
                <c:pt idx="1">
                  <c:v>9.5044172629287632E-2</c:v>
                </c:pt>
              </c:numCache>
            </c:numRef>
          </c:xVal>
          <c:yVal>
            <c:numRef>
              <c:f>Sheet1!$C$72:$C$73</c:f>
              <c:numCache>
                <c:formatCode>0.00%</c:formatCode>
                <c:ptCount val="2"/>
                <c:pt idx="0">
                  <c:v>7.7511314586956167E-3</c:v>
                </c:pt>
                <c:pt idx="1">
                  <c:v>2.599845851710126E-2</c:v>
                </c:pt>
              </c:numCache>
            </c:numRef>
          </c:yVal>
          <c:smooth val="0"/>
          <c:extLst>
            <c:ext xmlns:c16="http://schemas.microsoft.com/office/drawing/2014/chart" uri="{C3380CC4-5D6E-409C-BE32-E72D297353CC}">
              <c16:uniqueId val="{00000001-5244-4F11-BD04-82AE759A0AFC}"/>
            </c:ext>
          </c:extLst>
        </c:ser>
        <c:ser>
          <c:idx val="2"/>
          <c:order val="2"/>
          <c:spPr>
            <a:ln w="12700">
              <a:solidFill>
                <a:srgbClr val="FF0000"/>
              </a:solidFill>
            </a:ln>
          </c:spPr>
          <c:marker>
            <c:symbol val="circle"/>
            <c:size val="4"/>
            <c:spPr>
              <a:solidFill>
                <a:srgbClr val="FF0000"/>
              </a:solidFill>
              <a:ln w="12700">
                <a:solidFill>
                  <a:srgbClr val="FF0000">
                    <a:alpha val="99000"/>
                  </a:srgbClr>
                </a:solidFill>
              </a:ln>
            </c:spPr>
          </c:marker>
          <c:xVal>
            <c:numRef>
              <c:f>Sheet1!$B$73:$B$74</c:f>
              <c:numCache>
                <c:formatCode>General</c:formatCode>
                <c:ptCount val="2"/>
                <c:pt idx="0" formatCode="0.00%">
                  <c:v>9.5044172629287632E-2</c:v>
                </c:pt>
                <c:pt idx="1">
                  <c:v>0</c:v>
                </c:pt>
              </c:numCache>
            </c:numRef>
          </c:xVal>
          <c:yVal>
            <c:numRef>
              <c:f>Sheet1!$C$73:$C$74</c:f>
              <c:numCache>
                <c:formatCode>0.00%</c:formatCode>
                <c:ptCount val="2"/>
                <c:pt idx="0">
                  <c:v>2.599845851710126E-2</c:v>
                </c:pt>
                <c:pt idx="1">
                  <c:v>4.4999999999999997E-3</c:v>
                </c:pt>
              </c:numCache>
            </c:numRef>
          </c:yVal>
          <c:smooth val="0"/>
          <c:extLst>
            <c:ext xmlns:c16="http://schemas.microsoft.com/office/drawing/2014/chart" uri="{C3380CC4-5D6E-409C-BE32-E72D297353CC}">
              <c16:uniqueId val="{00000002-5244-4F11-BD04-82AE759A0AFC}"/>
            </c:ext>
          </c:extLst>
        </c:ser>
        <c:dLbls>
          <c:showLegendKey val="0"/>
          <c:showVal val="0"/>
          <c:showCatName val="0"/>
          <c:showSerName val="0"/>
          <c:showPercent val="0"/>
          <c:showBubbleSize val="0"/>
        </c:dLbls>
        <c:axId val="906059536"/>
        <c:axId val="1"/>
      </c:scatterChart>
      <c:valAx>
        <c:axId val="906059536"/>
        <c:scaling>
          <c:orientation val="minMax"/>
          <c:max val="0.25"/>
        </c:scaling>
        <c:delete val="0"/>
        <c:axPos val="b"/>
        <c:title>
          <c:tx>
            <c:rich>
              <a:bodyPr/>
              <a:lstStyle/>
              <a:p>
                <a:pPr>
                  <a:defRPr sz="800" b="1" i="0" u="none" strike="noStrike" baseline="0">
                    <a:solidFill>
                      <a:srgbClr val="000000"/>
                    </a:solidFill>
                    <a:latin typeface="Arial"/>
                    <a:ea typeface="Arial"/>
                    <a:cs typeface="Arial"/>
                  </a:defRPr>
                </a:pPr>
                <a:r>
                  <a:rPr lang="en-US" altLang="zh-CN"/>
                  <a:t>Standard deviation</a:t>
                </a:r>
              </a:p>
            </c:rich>
          </c:tx>
          <c:layout>
            <c:manualLayout>
              <c:xMode val="edge"/>
              <c:yMode val="edge"/>
              <c:x val="0.45521406454291269"/>
              <c:y val="0.895884571628883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1"/>
        <c:crosses val="autoZero"/>
        <c:crossBetween val="midCat"/>
      </c:valAx>
      <c:valAx>
        <c:axId val="1"/>
        <c:scaling>
          <c:orientation val="minMax"/>
          <c:max val="0.05"/>
          <c:min val="-0.03"/>
        </c:scaling>
        <c:delete val="0"/>
        <c:axPos val="l"/>
        <c:title>
          <c:tx>
            <c:rich>
              <a:bodyPr/>
              <a:lstStyle/>
              <a:p>
                <a:pPr>
                  <a:defRPr sz="800" b="1" i="0" u="none" strike="noStrike" baseline="0">
                    <a:solidFill>
                      <a:srgbClr val="000000"/>
                    </a:solidFill>
                    <a:latin typeface="Arial"/>
                    <a:ea typeface="Arial"/>
                    <a:cs typeface="Arial"/>
                  </a:defRPr>
                </a:pPr>
                <a:r>
                  <a:rPr lang="en-US" altLang="zh-CN"/>
                  <a:t>Expected return</a:t>
                </a:r>
              </a:p>
            </c:rich>
          </c:tx>
          <c:layout>
            <c:manualLayout>
              <c:xMode val="edge"/>
              <c:yMode val="edge"/>
              <c:x val="3.3773946724151592E-2"/>
              <c:y val="0.3607751383046044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906059536"/>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zh-CN"/>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312420</xdr:colOff>
      <xdr:row>55</xdr:row>
      <xdr:rowOff>68580</xdr:rowOff>
    </xdr:from>
    <xdr:to>
      <xdr:col>14</xdr:col>
      <xdr:colOff>99060</xdr:colOff>
      <xdr:row>78</xdr:row>
      <xdr:rowOff>60960</xdr:rowOff>
    </xdr:to>
    <xdr:graphicFrame macro="">
      <xdr:nvGraphicFramePr>
        <xdr:cNvPr id="2" name="图表 1">
          <a:extLst>
            <a:ext uri="{FF2B5EF4-FFF2-40B4-BE49-F238E27FC236}">
              <a16:creationId xmlns:a16="http://schemas.microsoft.com/office/drawing/2014/main" id="{72607682-AA0B-435C-B313-ACC5C6C541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327660</xdr:colOff>
      <xdr:row>8</xdr:row>
      <xdr:rowOff>121920</xdr:rowOff>
    </xdr:from>
    <xdr:to>
      <xdr:col>4</xdr:col>
      <xdr:colOff>464820</xdr:colOff>
      <xdr:row>10</xdr:row>
      <xdr:rowOff>91440</xdr:rowOff>
    </xdr:to>
    <xdr:sp macro="" textlink="">
      <xdr:nvSpPr>
        <xdr:cNvPr id="3" name="Line 2">
          <a:extLst>
            <a:ext uri="{FF2B5EF4-FFF2-40B4-BE49-F238E27FC236}">
              <a16:creationId xmlns:a16="http://schemas.microsoft.com/office/drawing/2014/main" id="{5AE3920D-3C96-42F5-B277-B1201F473912}"/>
            </a:ext>
          </a:extLst>
        </xdr:cNvPr>
        <xdr:cNvSpPr>
          <a:spLocks noChangeShapeType="1"/>
        </xdr:cNvSpPr>
      </xdr:nvSpPr>
      <xdr:spPr bwMode="auto">
        <a:xfrm flipH="1" flipV="1">
          <a:off x="3467100" y="2038350"/>
          <a:ext cx="142875"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28</xdr:col>
      <xdr:colOff>323850</xdr:colOff>
      <xdr:row>1</xdr:row>
      <xdr:rowOff>247650</xdr:rowOff>
    </xdr:from>
    <xdr:to>
      <xdr:col>57</xdr:col>
      <xdr:colOff>419100</xdr:colOff>
      <xdr:row>83</xdr:row>
      <xdr:rowOff>129540</xdr:rowOff>
    </xdr:to>
    <xdr:pic>
      <xdr:nvPicPr>
        <xdr:cNvPr id="4" name="图片 3">
          <a:extLst>
            <a:ext uri="{FF2B5EF4-FFF2-40B4-BE49-F238E27FC236}">
              <a16:creationId xmlns:a16="http://schemas.microsoft.com/office/drawing/2014/main" id="{7F7573E3-4CB1-E4BD-A738-B0D0362ACA1A}"/>
            </a:ext>
          </a:extLst>
        </xdr:cNvPr>
        <xdr:cNvPicPr>
          <a:picLocks noChangeAspect="1" noChangeArrowheads="1"/>
        </xdr:cNvPicPr>
      </xdr:nvPicPr>
      <xdr:blipFill>
        <a:blip xmlns:r="http://schemas.openxmlformats.org/officeDocument/2006/relationships" r:embed="rId2"/>
        <a:srcRect/>
        <a:stretch>
          <a:fillRect/>
        </a:stretch>
      </xdr:blipFill>
      <xdr:spPr bwMode="auto">
        <a:xfrm>
          <a:off x="18097500" y="466725"/>
          <a:ext cx="17773650" cy="14649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4</xdr:col>
      <xdr:colOff>578921</xdr:colOff>
      <xdr:row>63</xdr:row>
      <xdr:rowOff>52552</xdr:rowOff>
    </xdr:from>
    <xdr:to>
      <xdr:col>6</xdr:col>
      <xdr:colOff>212964</xdr:colOff>
      <xdr:row>64</xdr:row>
      <xdr:rowOff>126517</xdr:rowOff>
    </xdr:to>
    <xdr:sp macro="" textlink="">
      <xdr:nvSpPr>
        <xdr:cNvPr id="5" name="文本框 4">
          <a:extLst>
            <a:ext uri="{FF2B5EF4-FFF2-40B4-BE49-F238E27FC236}">
              <a16:creationId xmlns:a16="http://schemas.microsoft.com/office/drawing/2014/main" id="{481E9180-A218-4249-AC50-F34A750883F2}"/>
            </a:ext>
          </a:extLst>
        </xdr:cNvPr>
        <xdr:cNvSpPr txBox="1"/>
      </xdr:nvSpPr>
      <xdr:spPr>
        <a:xfrm>
          <a:off x="3725455" y="11581086"/>
          <a:ext cx="855871" cy="2447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Rf=0.45%</a:t>
          </a:r>
          <a:endParaRPr lang="zh-CN" altLang="en-US" sz="1100"/>
        </a:p>
      </xdr:txBody>
    </xdr:sp>
    <xdr:clientData/>
  </xdr:twoCellAnchor>
  <xdr:twoCellAnchor>
    <xdr:from>
      <xdr:col>4</xdr:col>
      <xdr:colOff>492673</xdr:colOff>
      <xdr:row>64</xdr:row>
      <xdr:rowOff>122905</xdr:rowOff>
    </xdr:from>
    <xdr:to>
      <xdr:col>5</xdr:col>
      <xdr:colOff>243906</xdr:colOff>
      <xdr:row>66</xdr:row>
      <xdr:rowOff>163173</xdr:rowOff>
    </xdr:to>
    <xdr:cxnSp macro="">
      <xdr:nvCxnSpPr>
        <xdr:cNvPr id="6" name="直接箭头连接符 5">
          <a:extLst>
            <a:ext uri="{FF2B5EF4-FFF2-40B4-BE49-F238E27FC236}">
              <a16:creationId xmlns:a16="http://schemas.microsoft.com/office/drawing/2014/main" id="{66300B46-93C3-40DD-86D9-02965D4E69A1}"/>
            </a:ext>
          </a:extLst>
        </xdr:cNvPr>
        <xdr:cNvCxnSpPr/>
      </xdr:nvCxnSpPr>
      <xdr:spPr>
        <a:xfrm flipH="1">
          <a:off x="3639207" y="11822233"/>
          <a:ext cx="362147" cy="38185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lizhengdong\&#20132;&#26131;&#26694;&#26550;\5_&#24037;&#20855;&#31665;\_&#20070;&#24211;\&#32534;&#31243;\EXCEL\&#36130;&#21153;&#37329;&#34701;&#24314;&#27169;&#31532;&#19977;&#29256;&#65288;&#29992;ECCEL&#24037;&#20855;&#65289;\Exercise%20files\fm3_problems10.xls" TargetMode="External"/><Relationship Id="rId1" Type="http://schemas.openxmlformats.org/officeDocument/2006/relationships/externalLinkPath" Target="/lizhengdong/&#20132;&#26131;&#26694;&#26550;/5_&#24037;&#20855;&#31665;/_&#20070;&#24211;/&#32534;&#31243;/EXCEL/&#36130;&#21153;&#37329;&#34701;&#24314;&#27169;&#31532;&#19977;&#29256;&#65288;&#29992;ECCEL&#24037;&#20855;&#65289;/Exercise%20files/fm3_problems10.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li'zheng'dong\AppData\Roaming\Microsoft\AddIns\&#33258;&#23450;&#20041;&#20989;&#25968;.xla" TargetMode="External"/><Relationship Id="rId1" Type="http://schemas.openxmlformats.org/officeDocument/2006/relationships/externalLinkPath" Target="file:///C:\Users\li'zheng'dong\AppData\Roaming\Microsoft\AddIns\&#33258;&#23450;&#20041;&#20989;&#25968;.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ercise 1 data"/>
      <sheetName val="Exercise 1 data (中文)"/>
      <sheetName val="Exercise 1"/>
      <sheetName val="Exercise 1 (中文)"/>
      <sheetName val="Exercise 2"/>
      <sheetName val="Exercise 2 (中文)"/>
      <sheetName val="Exercise 3"/>
      <sheetName val="Exercise 3 (中文)"/>
      <sheetName val="Exercise 4"/>
      <sheetName val="Exercise 4 (中文)"/>
      <sheetName val="Exercise 5"/>
      <sheetName val="Exercise 5 (中文)"/>
      <sheetName val="DJ30 prices, Jul97-Jul07"/>
      <sheetName val="DJ30 prices, Jul97-Jul07（中文）"/>
      <sheetName val="Six stocks--data"/>
      <sheetName val="Six stocks--data (中文)"/>
      <sheetName val="DJ30 returns Jul97-Jul07"/>
      <sheetName val="DJ30 returns Jul97-Jul07 (中文)"/>
    </sheetNames>
    <sheetDataSet>
      <sheetData sheetId="0"/>
      <sheetData sheetId="1"/>
      <sheetData sheetId="2"/>
      <sheetData sheetId="3"/>
      <sheetData sheetId="4"/>
      <sheetData sheetId="5"/>
      <sheetData sheetId="6"/>
      <sheetData sheetId="7"/>
      <sheetData sheetId="8"/>
      <sheetData sheetId="9"/>
      <sheetData sheetId="10">
        <row r="56">
          <cell r="B56">
            <v>0.24608268305987632</v>
          </cell>
          <cell r="C56">
            <v>5.569637726215166E-2</v>
          </cell>
        </row>
        <row r="57">
          <cell r="B57">
            <v>0.21447957673984117</v>
          </cell>
          <cell r="C57">
            <v>4.9756793513141578E-2</v>
          </cell>
        </row>
        <row r="58">
          <cell r="B58">
            <v>0.18322543653014495</v>
          </cell>
          <cell r="C58">
            <v>4.3817209764131497E-2</v>
          </cell>
        </row>
        <row r="59">
          <cell r="B59">
            <v>0.15253492112113154</v>
          </cell>
          <cell r="C59">
            <v>3.7877626015121416E-2</v>
          </cell>
        </row>
        <row r="60">
          <cell r="B60">
            <v>0.12283124011343524</v>
          </cell>
          <cell r="C60">
            <v>3.1938042266111341E-2</v>
          </cell>
        </row>
        <row r="61">
          <cell r="B61">
            <v>9.5044172629287632E-2</v>
          </cell>
          <cell r="C61">
            <v>2.599845851710126E-2</v>
          </cell>
        </row>
        <row r="62">
          <cell r="B62">
            <v>7.1446103955178517E-2</v>
          </cell>
          <cell r="C62">
            <v>2.0058874768091178E-2</v>
          </cell>
        </row>
        <row r="63">
          <cell r="B63">
            <v>5.7454039079680143E-2</v>
          </cell>
          <cell r="C63">
            <v>1.41192910190811E-2</v>
          </cell>
        </row>
        <row r="64">
          <cell r="B64">
            <v>6.0188514347602466E-2</v>
          </cell>
          <cell r="C64">
            <v>8.1797072700710207E-3</v>
          </cell>
        </row>
        <row r="65">
          <cell r="B65">
            <v>7.7907751403699113E-2</v>
          </cell>
          <cell r="C65">
            <v>2.2401235210609402E-3</v>
          </cell>
        </row>
        <row r="66">
          <cell r="B66">
            <v>0.10315933314439611</v>
          </cell>
          <cell r="C66">
            <v>-3.6994602279491382E-3</v>
          </cell>
        </row>
        <row r="67">
          <cell r="B67">
            <v>0.13167895852192682</v>
          </cell>
          <cell r="C67">
            <v>-9.6390439769592166E-3</v>
          </cell>
        </row>
        <row r="68">
          <cell r="B68">
            <v>0.16174708045788347</v>
          </cell>
          <cell r="C68">
            <v>-1.5578627725969296E-2</v>
          </cell>
        </row>
        <row r="69">
          <cell r="B69">
            <v>0.19263996930150726</v>
          </cell>
          <cell r="C69">
            <v>-2.1518211474979378E-2</v>
          </cell>
        </row>
        <row r="70">
          <cell r="B70">
            <v>0.22401666751589971</v>
          </cell>
          <cell r="C70">
            <v>-2.7457795223989456E-2</v>
          </cell>
        </row>
        <row r="71">
          <cell r="B71">
            <v>0.25569913315062209</v>
          </cell>
          <cell r="C71">
            <v>-3.3397378972999534E-2</v>
          </cell>
        </row>
      </sheetData>
      <sheetData sheetId="11"/>
      <sheetData sheetId="12"/>
      <sheetData sheetId="13"/>
      <sheetData sheetId="14"/>
      <sheetData sheetId="15"/>
      <sheetData sheetId="16"/>
      <sheetData sheetId="1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definedNames>
      <definedName name="getformula"/>
      <definedName name="ggetformula"/>
    </definedNames>
    <sheetDataSet>
      <sheetData sheetId="0"/>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B0C1-0DD8-4FB5-B5BC-87C496726FA1}">
  <sheetPr codeName="Sheet1"/>
  <dimension ref="A1:AB74"/>
  <sheetViews>
    <sheetView tabSelected="1" topLeftCell="A36" zoomScale="145" zoomScaleNormal="145" workbookViewId="0">
      <selection activeCell="Q42" sqref="Q42"/>
    </sheetView>
  </sheetViews>
  <sheetFormatPr defaultRowHeight="13.8" x14ac:dyDescent="0.25"/>
  <cols>
    <col min="1" max="1" width="19.109375" style="2" customWidth="1"/>
    <col min="2" max="28" width="8.88671875" style="2"/>
  </cols>
  <sheetData>
    <row r="1" spans="1:28" ht="17.399999999999999" x14ac:dyDescent="0.3">
      <c r="A1" s="1" t="s">
        <v>0</v>
      </c>
      <c r="B1" s="1"/>
      <c r="C1" s="1"/>
      <c r="D1" s="1"/>
      <c r="E1" s="1"/>
      <c r="F1" s="1"/>
      <c r="G1" s="1"/>
      <c r="H1" s="1"/>
      <c r="I1" s="1"/>
      <c r="J1" s="1"/>
      <c r="K1" s="1"/>
    </row>
    <row r="2" spans="1:28" ht="27.6" x14ac:dyDescent="0.25">
      <c r="A2" s="3" t="s">
        <v>1</v>
      </c>
      <c r="B2" s="2">
        <v>0.5</v>
      </c>
    </row>
    <row r="3" spans="1:28" ht="41.4" x14ac:dyDescent="0.25">
      <c r="A3" s="4"/>
      <c r="B3" s="4" t="s">
        <v>2</v>
      </c>
      <c r="C3" s="4" t="s">
        <v>3</v>
      </c>
      <c r="D3" s="4" t="s">
        <v>4</v>
      </c>
      <c r="E3" s="4" t="s">
        <v>5</v>
      </c>
      <c r="F3" s="4" t="s">
        <v>6</v>
      </c>
      <c r="G3" s="4" t="s">
        <v>7</v>
      </c>
      <c r="H3" s="4"/>
      <c r="I3" s="4" t="s">
        <v>8</v>
      </c>
      <c r="J3" s="4"/>
      <c r="K3" s="4"/>
      <c r="L3" s="4"/>
      <c r="M3" s="5" t="s">
        <v>9</v>
      </c>
      <c r="N3" s="4" t="s">
        <v>2</v>
      </c>
      <c r="O3" s="4" t="s">
        <v>3</v>
      </c>
      <c r="P3" s="4" t="s">
        <v>4</v>
      </c>
      <c r="Q3" s="4" t="s">
        <v>5</v>
      </c>
      <c r="R3" s="4" t="s">
        <v>6</v>
      </c>
      <c r="S3" s="4" t="s">
        <v>7</v>
      </c>
      <c r="T3" s="4"/>
      <c r="U3" s="5" t="s">
        <v>10</v>
      </c>
      <c r="V3" s="4" t="s">
        <v>2</v>
      </c>
      <c r="W3" s="4" t="s">
        <v>3</v>
      </c>
      <c r="X3" s="4" t="s">
        <v>4</v>
      </c>
      <c r="Y3" s="4" t="s">
        <v>5</v>
      </c>
      <c r="Z3" s="4" t="s">
        <v>6</v>
      </c>
      <c r="AA3" s="4" t="s">
        <v>7</v>
      </c>
      <c r="AB3" s="4"/>
    </row>
    <row r="4" spans="1:28" x14ac:dyDescent="0.25">
      <c r="A4" s="4" t="s">
        <v>11</v>
      </c>
      <c r="B4" s="6">
        <f t="array" ref="B4:G9">B2*N4:S9+(1-B2)*V4:AA9</f>
        <v>5.1679213458144186E-3</v>
      </c>
      <c r="C4" s="6">
        <v>1.6324745240212874E-3</v>
      </c>
      <c r="D4" s="6">
        <v>7.288232845633814E-4</v>
      </c>
      <c r="E4" s="6">
        <v>1.9610626024085431E-3</v>
      </c>
      <c r="F4" s="6">
        <v>3.3847241545630238E-3</v>
      </c>
      <c r="G4" s="6">
        <v>4.9806228129458145E-4</v>
      </c>
      <c r="I4" s="8">
        <v>2.4172603227933668E-3</v>
      </c>
      <c r="K4" s="2">
        <v>1</v>
      </c>
      <c r="M4" s="4" t="s">
        <v>11</v>
      </c>
      <c r="N4" s="6">
        <v>5.1679213458144186E-3</v>
      </c>
      <c r="O4" s="6">
        <v>3.2649490480425748E-3</v>
      </c>
      <c r="P4" s="6">
        <v>1.4576465691267628E-3</v>
      </c>
      <c r="Q4" s="6">
        <v>3.9221252048170863E-3</v>
      </c>
      <c r="R4" s="6">
        <v>6.7694483091260476E-3</v>
      </c>
      <c r="S4" s="6">
        <v>9.961245625891629E-4</v>
      </c>
      <c r="U4" s="4" t="s">
        <v>11</v>
      </c>
      <c r="V4" s="6">
        <f>N4</f>
        <v>5.1679213458144186E-3</v>
      </c>
      <c r="W4" s="6">
        <v>0</v>
      </c>
      <c r="X4" s="6">
        <v>0</v>
      </c>
      <c r="Y4" s="6">
        <v>0</v>
      </c>
      <c r="Z4" s="6">
        <v>0</v>
      </c>
      <c r="AA4" s="6">
        <v>0</v>
      </c>
    </row>
    <row r="5" spans="1:28" x14ac:dyDescent="0.25">
      <c r="A5" s="4" t="s">
        <v>12</v>
      </c>
      <c r="B5" s="6">
        <v>1.6324745240212874E-3</v>
      </c>
      <c r="C5" s="6">
        <v>1.198100171767735E-2</v>
      </c>
      <c r="D5" s="6">
        <v>1.6833988309999724E-3</v>
      </c>
      <c r="E5" s="6">
        <v>3.5920081295905239E-3</v>
      </c>
      <c r="F5" s="6">
        <v>3.1315446431542317E-3</v>
      </c>
      <c r="G5" s="6">
        <v>7.5228703253617333E-4</v>
      </c>
      <c r="I5" s="8">
        <v>-8.9028831293830359E-3</v>
      </c>
      <c r="K5" s="2">
        <v>1</v>
      </c>
      <c r="M5" s="4" t="s">
        <v>12</v>
      </c>
      <c r="N5" s="6">
        <v>3.2649490480425748E-3</v>
      </c>
      <c r="O5" s="6">
        <v>1.198100171767735E-2</v>
      </c>
      <c r="P5" s="6">
        <v>3.3667976619999448E-3</v>
      </c>
      <c r="Q5" s="6">
        <v>7.1840162591810478E-3</v>
      </c>
      <c r="R5" s="6">
        <v>6.2630892863084634E-3</v>
      </c>
      <c r="S5" s="6">
        <v>1.5045740650723467E-3</v>
      </c>
      <c r="U5" s="4" t="s">
        <v>12</v>
      </c>
      <c r="V5" s="6">
        <v>0</v>
      </c>
      <c r="W5" s="6">
        <v>1.198100171767735E-2</v>
      </c>
      <c r="X5" s="6">
        <v>0</v>
      </c>
      <c r="Y5" s="6">
        <v>0</v>
      </c>
      <c r="Z5" s="6">
        <v>0</v>
      </c>
      <c r="AA5" s="6">
        <v>0</v>
      </c>
    </row>
    <row r="6" spans="1:28" x14ac:dyDescent="0.25">
      <c r="A6" s="4" t="s">
        <v>13</v>
      </c>
      <c r="B6" s="6">
        <v>7.288232845633814E-4</v>
      </c>
      <c r="C6" s="6">
        <v>1.6833988309999724E-3</v>
      </c>
      <c r="D6" s="6">
        <v>4.5749661567676325E-3</v>
      </c>
      <c r="E6" s="6">
        <v>2.9036025056784027E-3</v>
      </c>
      <c r="F6" s="6">
        <v>1.9347799202444624E-3</v>
      </c>
      <c r="G6" s="6">
        <v>7.4794636387371424E-4</v>
      </c>
      <c r="I6" s="8">
        <v>4.8337058278747928E-3</v>
      </c>
      <c r="K6" s="2">
        <v>1</v>
      </c>
      <c r="M6" s="4" t="s">
        <v>13</v>
      </c>
      <c r="N6" s="6">
        <v>1.4576465691267628E-3</v>
      </c>
      <c r="O6" s="6">
        <v>3.3667976619999448E-3</v>
      </c>
      <c r="P6" s="6">
        <v>4.5749661567676325E-3</v>
      </c>
      <c r="Q6" s="6">
        <v>5.8072050113568054E-3</v>
      </c>
      <c r="R6" s="6">
        <v>3.8695598404889248E-3</v>
      </c>
      <c r="S6" s="6">
        <v>1.4958927277474285E-3</v>
      </c>
      <c r="U6" s="4" t="s">
        <v>13</v>
      </c>
      <c r="V6" s="6">
        <v>0</v>
      </c>
      <c r="W6" s="6">
        <v>0</v>
      </c>
      <c r="X6" s="6">
        <v>4.5749661567676325E-3</v>
      </c>
      <c r="Y6" s="6">
        <v>0</v>
      </c>
      <c r="Z6" s="6">
        <v>0</v>
      </c>
      <c r="AA6" s="6">
        <v>0</v>
      </c>
    </row>
    <row r="7" spans="1:28" x14ac:dyDescent="0.25">
      <c r="A7" s="4" t="s">
        <v>14</v>
      </c>
      <c r="B7" s="7">
        <v>1.9610626024085431E-3</v>
      </c>
      <c r="C7" s="7">
        <v>3.5920081295905239E-3</v>
      </c>
      <c r="D7" s="7">
        <v>2.9036025056784027E-3</v>
      </c>
      <c r="E7" s="7">
        <v>3.7875219058683143E-2</v>
      </c>
      <c r="F7" s="7">
        <v>3.6653998840120404E-3</v>
      </c>
      <c r="G7" s="7">
        <v>1.1528017214061375E-3</v>
      </c>
      <c r="I7" s="8">
        <v>4.3844494985376395E-3</v>
      </c>
      <c r="K7" s="2">
        <v>1</v>
      </c>
      <c r="M7" s="4" t="s">
        <v>14</v>
      </c>
      <c r="N7" s="7">
        <v>3.9221252048170863E-3</v>
      </c>
      <c r="O7" s="7">
        <v>7.1840162591810478E-3</v>
      </c>
      <c r="P7" s="7">
        <v>5.8072050113568054E-3</v>
      </c>
      <c r="Q7" s="7">
        <v>3.7875219058683143E-2</v>
      </c>
      <c r="R7" s="7">
        <v>7.3307997680240808E-3</v>
      </c>
      <c r="S7" s="7">
        <v>2.3056034428122749E-3</v>
      </c>
      <c r="U7" s="4" t="s">
        <v>14</v>
      </c>
      <c r="V7" s="7">
        <v>0</v>
      </c>
      <c r="W7" s="7">
        <v>0</v>
      </c>
      <c r="X7" s="7">
        <v>0</v>
      </c>
      <c r="Y7" s="7">
        <v>3.7875219058683143E-2</v>
      </c>
      <c r="Z7" s="7">
        <v>0</v>
      </c>
      <c r="AA7" s="7">
        <v>0</v>
      </c>
    </row>
    <row r="8" spans="1:28" x14ac:dyDescent="0.25">
      <c r="A8" s="9" t="s">
        <v>15</v>
      </c>
      <c r="B8" s="7">
        <v>3.3847241545630238E-3</v>
      </c>
      <c r="C8" s="7">
        <v>3.1315446431542317E-3</v>
      </c>
      <c r="D8" s="7">
        <v>1.9347799202444624E-3</v>
      </c>
      <c r="E8" s="7">
        <v>3.6653998840120404E-3</v>
      </c>
      <c r="F8" s="7">
        <v>3.8922451600587257E-2</v>
      </c>
      <c r="G8" s="7">
        <v>1.1524367940609248E-3</v>
      </c>
      <c r="I8" s="8">
        <v>-1.4619113186760875E-2</v>
      </c>
      <c r="K8" s="2">
        <v>1</v>
      </c>
      <c r="M8" s="9" t="s">
        <v>15</v>
      </c>
      <c r="N8" s="7">
        <v>6.7694483091260476E-3</v>
      </c>
      <c r="O8" s="7">
        <v>6.2630892863084634E-3</v>
      </c>
      <c r="P8" s="7">
        <v>3.8695598404889248E-3</v>
      </c>
      <c r="Q8" s="7">
        <v>7.3307997680240808E-3</v>
      </c>
      <c r="R8" s="7">
        <v>3.8922451600587257E-2</v>
      </c>
      <c r="S8" s="7">
        <v>2.3048735881218496E-3</v>
      </c>
      <c r="U8" s="9" t="s">
        <v>15</v>
      </c>
      <c r="V8" s="7">
        <v>0</v>
      </c>
      <c r="W8" s="7">
        <v>0</v>
      </c>
      <c r="X8" s="7">
        <v>0</v>
      </c>
      <c r="Y8" s="7">
        <v>0</v>
      </c>
      <c r="Z8" s="7">
        <v>3.8922451600587257E-2</v>
      </c>
      <c r="AA8" s="7">
        <v>0</v>
      </c>
    </row>
    <row r="9" spans="1:28" x14ac:dyDescent="0.25">
      <c r="A9" s="9" t="s">
        <v>16</v>
      </c>
      <c r="B9" s="7">
        <v>4.9806228129458145E-4</v>
      </c>
      <c r="C9" s="7">
        <v>7.5228703253617333E-4</v>
      </c>
      <c r="D9" s="7">
        <v>7.4794636387371424E-4</v>
      </c>
      <c r="E9" s="7">
        <v>1.1528017214061375E-3</v>
      </c>
      <c r="F9" s="7">
        <v>1.1524367940609248E-3</v>
      </c>
      <c r="G9" s="7">
        <v>1.7851046712151518E-3</v>
      </c>
      <c r="I9" s="8">
        <v>1.039619954991546E-2</v>
      </c>
      <c r="K9" s="2">
        <v>1</v>
      </c>
      <c r="M9" s="9" t="s">
        <v>16</v>
      </c>
      <c r="N9" s="7">
        <v>9.961245625891629E-4</v>
      </c>
      <c r="O9" s="7">
        <v>1.5045740650723467E-3</v>
      </c>
      <c r="P9" s="7">
        <v>1.4958927277474285E-3</v>
      </c>
      <c r="Q9" s="7">
        <v>2.3056034428122749E-3</v>
      </c>
      <c r="R9" s="7">
        <v>2.3048735881218496E-3</v>
      </c>
      <c r="S9" s="7">
        <v>1.7851046712151518E-3</v>
      </c>
      <c r="U9" s="9" t="s">
        <v>16</v>
      </c>
      <c r="V9" s="7">
        <v>0</v>
      </c>
      <c r="W9" s="7">
        <v>0</v>
      </c>
      <c r="X9" s="7">
        <v>0</v>
      </c>
      <c r="Y9" s="7">
        <v>0</v>
      </c>
      <c r="Z9" s="7">
        <v>0</v>
      </c>
      <c r="AA9" s="7">
        <v>1.7851046712151518E-3</v>
      </c>
    </row>
    <row r="11" spans="1:28" x14ac:dyDescent="0.25">
      <c r="F11" s="10" t="str">
        <f ca="1">"Contains formula: "&amp;[2]!ggetformula(G9)</f>
        <v>Contains formula:  {=B2*N4:S9+(1-B2)*V4:AA9}</v>
      </c>
      <c r="G11" s="10"/>
      <c r="H11" s="10"/>
    </row>
    <row r="12" spans="1:28" x14ac:dyDescent="0.25">
      <c r="F12" s="10"/>
      <c r="G12" s="10"/>
      <c r="H12" s="10"/>
    </row>
    <row r="13" spans="1:28" x14ac:dyDescent="0.25">
      <c r="A13" s="19" t="s">
        <v>17</v>
      </c>
    </row>
    <row r="14" spans="1:28" x14ac:dyDescent="0.25">
      <c r="A14" s="4" t="s">
        <v>11</v>
      </c>
      <c r="B14" s="12">
        <f t="array" ref="B14:B19">MMULT(MINVERSE($B$4:$G$9),IF(A14:A19=A14:A19,1,0))/SUM(MMULT(MINVERSE($B$4:$G$9),IF(A14:A19=A14:A19,1,0)))</f>
        <v>0.17840564157337227</v>
      </c>
      <c r="C14" s="18" t="str">
        <f ca="1">[2]!getformula(B14)</f>
        <v>&lt;--  {=MMULT(MINVERSE($B$4:$G$9),IF(A14:A19=A14:A19,1,0))/SUM(MMULT(MINVERSE($B$4:$G$9),IF(A14:A19=A14:A19,1,0)))}</v>
      </c>
    </row>
    <row r="15" spans="1:28" x14ac:dyDescent="0.25">
      <c r="A15" s="4" t="s">
        <v>12</v>
      </c>
      <c r="B15" s="12">
        <v>3.1084546936130601E-2</v>
      </c>
    </row>
    <row r="16" spans="1:28" x14ac:dyDescent="0.25">
      <c r="A16" s="4" t="s">
        <v>13</v>
      </c>
      <c r="B16" s="12">
        <v>0.16181090103725435</v>
      </c>
    </row>
    <row r="17" spans="1:17" x14ac:dyDescent="0.25">
      <c r="A17" s="4" t="s">
        <v>14</v>
      </c>
      <c r="B17" s="12">
        <v>-7.2558533119515519E-3</v>
      </c>
      <c r="F17" s="13" t="s">
        <v>18</v>
      </c>
      <c r="G17" s="13"/>
      <c r="H17" s="13"/>
      <c r="I17" s="13"/>
      <c r="J17" s="13"/>
    </row>
    <row r="18" spans="1:17" x14ac:dyDescent="0.25">
      <c r="A18" s="9" t="s">
        <v>15</v>
      </c>
      <c r="B18" s="12">
        <v>-9.3852381206124182E-3</v>
      </c>
      <c r="F18" s="13"/>
      <c r="G18" s="13"/>
      <c r="H18" s="13"/>
      <c r="I18" s="13"/>
      <c r="J18" s="13"/>
    </row>
    <row r="19" spans="1:17" x14ac:dyDescent="0.25">
      <c r="A19" s="9" t="s">
        <v>16</v>
      </c>
      <c r="B19" s="12">
        <v>0.64534000188580676</v>
      </c>
      <c r="F19" s="13"/>
      <c r="G19" s="13"/>
      <c r="H19" s="13"/>
      <c r="I19" s="13"/>
      <c r="J19" s="13"/>
    </row>
    <row r="20" spans="1:17" x14ac:dyDescent="0.25">
      <c r="A20" s="4" t="s">
        <v>19</v>
      </c>
      <c r="B20" s="2">
        <f>SUM(B14:B19)</f>
        <v>1</v>
      </c>
      <c r="C20" s="2" t="str">
        <f ca="1">[2]!getformula(B20)</f>
        <v>&lt;--  =SUM(B14:B19)</v>
      </c>
      <c r="F20" s="13"/>
      <c r="G20" s="13"/>
      <c r="H20" s="13"/>
      <c r="I20" s="13"/>
      <c r="J20" s="13"/>
    </row>
    <row r="21" spans="1:17" x14ac:dyDescent="0.25">
      <c r="L21" s="17" t="str">
        <f ca="1">_xlfn.FORMULATEXT(L22)</f>
        <v>{=MMULT(TRANSPOSE(K4:K9),MINVERSE(B4:G9))/MMULT(MMULT(TRANSPOSE(K4:K9),MINVERSE(B4:G9)),K4:K9)}</v>
      </c>
    </row>
    <row r="22" spans="1:17" x14ac:dyDescent="0.25">
      <c r="A22" s="2" t="s">
        <v>20</v>
      </c>
      <c r="B22" s="8">
        <f>SUMPRODUCT(B14:B19,I4:I9)</f>
        <v>7.7511314586956167E-3</v>
      </c>
      <c r="C22" s="2" t="str">
        <f ca="1">[2]!getformula(B22)</f>
        <v>&lt;--  =SUMPRODUCT(B14:B19,I4:I9)</v>
      </c>
      <c r="L22" s="2">
        <f t="array" ref="L22:Q22">MMULT(TRANSPOSE(K4:K9),MINVERSE(B4:G9))/MMULT(MMULT(TRANSPOSE(K4:K9),MINVERSE(B4:G9)),K4:K9)</f>
        <v>0.17840564157337227</v>
      </c>
      <c r="M22" s="2">
        <v>3.1084546936130605E-2</v>
      </c>
      <c r="N22" s="2">
        <v>0.16181090103725435</v>
      </c>
      <c r="O22" s="2">
        <v>-7.2558533119515519E-3</v>
      </c>
      <c r="P22" s="2">
        <v>-9.3852381206124113E-3</v>
      </c>
      <c r="Q22" s="2">
        <v>0.64534000188580676</v>
      </c>
    </row>
    <row r="23" spans="1:17" x14ac:dyDescent="0.25">
      <c r="A23" s="2" t="s">
        <v>21</v>
      </c>
      <c r="B23" s="8">
        <f t="array" ref="B23">MMULT(MMULT(TRANSPOSE(B14:B19),B4:G9),B14:B19)</f>
        <v>1.3660864954449575E-3</v>
      </c>
      <c r="C23" s="2" t="str">
        <f ca="1">[2]!getformula(B23)</f>
        <v>&lt;--  {=MMULT(MMULT(TRANSPOSE(B14:B19),B4:G9),B14:B19)}</v>
      </c>
    </row>
    <row r="24" spans="1:17" x14ac:dyDescent="0.25">
      <c r="A24" s="2" t="s">
        <v>22</v>
      </c>
      <c r="B24" s="8">
        <f>SQRT(B23)</f>
        <v>3.696060734680854E-2</v>
      </c>
      <c r="C24" s="2" t="str">
        <f ca="1">[2]!getformula(B24)</f>
        <v>&lt;--  =SQRT(B23)</v>
      </c>
    </row>
    <row r="27" spans="1:17" x14ac:dyDescent="0.25">
      <c r="A27" s="11" t="s">
        <v>23</v>
      </c>
    </row>
    <row r="28" spans="1:17" x14ac:dyDescent="0.25">
      <c r="A28" s="2" t="s">
        <v>24</v>
      </c>
      <c r="B28" s="14">
        <v>4.4999999999999997E-3</v>
      </c>
    </row>
    <row r="30" spans="1:17" x14ac:dyDescent="0.25">
      <c r="A30" s="4" t="s">
        <v>11</v>
      </c>
      <c r="B30" s="12">
        <f t="array" ref="B30:B35">MMULT(MINVERSE(B4:G9),I4:I9-B28)/SUM(MMULT(MINVERSE(B4:G9),I4:I9-B28))</f>
        <v>-3.9860635505041604E-2</v>
      </c>
      <c r="C30" s="18" t="str">
        <f ca="1">[2]!getformula(B30)</f>
        <v>&lt;--  {=MMULT(MINVERSE(B4:G9),I4:I9-B28)/SUM(MMULT(MINVERSE(B4:G9),I4:I9-B28))}</v>
      </c>
    </row>
    <row r="31" spans="1:17" x14ac:dyDescent="0.25">
      <c r="A31" s="4" t="s">
        <v>12</v>
      </c>
      <c r="B31" s="12">
        <v>-0.52629720697267646</v>
      </c>
    </row>
    <row r="32" spans="1:17" x14ac:dyDescent="0.25">
      <c r="A32" s="4" t="s">
        <v>13</v>
      </c>
      <c r="B32" s="12">
        <v>2.6985629660764919E-2</v>
      </c>
    </row>
    <row r="33" spans="1:9" x14ac:dyDescent="0.25">
      <c r="A33" s="4" t="s">
        <v>14</v>
      </c>
      <c r="B33" s="12">
        <v>1.6540671906471065E-2</v>
      </c>
    </row>
    <row r="34" spans="1:9" x14ac:dyDescent="0.25">
      <c r="A34" s="9" t="s">
        <v>15</v>
      </c>
      <c r="B34" s="12">
        <v>-0.214936583245703</v>
      </c>
    </row>
    <row r="35" spans="1:9" x14ac:dyDescent="0.25">
      <c r="A35" s="9" t="s">
        <v>16</v>
      </c>
      <c r="B35" s="12">
        <v>1.7375681241561849</v>
      </c>
    </row>
    <row r="36" spans="1:9" x14ac:dyDescent="0.25">
      <c r="A36" s="4" t="s">
        <v>19</v>
      </c>
      <c r="B36" s="2">
        <f>SUM(B30:B35)</f>
        <v>0.99999999999999978</v>
      </c>
      <c r="C36" s="2" t="str">
        <f ca="1">[2]!getformula(B36)</f>
        <v>&lt;--  =SUM(B30:B35)</v>
      </c>
    </row>
    <row r="38" spans="1:9" x14ac:dyDescent="0.25">
      <c r="A38" s="2" t="s">
        <v>20</v>
      </c>
      <c r="B38" s="8">
        <f>SUMPRODUCT(B30:B35,I4:I9)</f>
        <v>2.599845851710126E-2</v>
      </c>
      <c r="C38" s="2" t="str">
        <f ca="1">[2]!getformula(B38)</f>
        <v>&lt;--  =SUMPRODUCT(B30:B35,I4:I9)</v>
      </c>
    </row>
    <row r="39" spans="1:9" x14ac:dyDescent="0.25">
      <c r="A39" s="2" t="s">
        <v>21</v>
      </c>
      <c r="B39" s="8">
        <f t="array" ref="B39">MMULT(MMULT(TRANSPOSE(B30:B35),B4:G9),B30:B35)</f>
        <v>9.0333947507858295E-3</v>
      </c>
      <c r="C39" s="2" t="str">
        <f ca="1">[2]!getformula(B39)</f>
        <v>&lt;--  {=MMULT(MMULT(TRANSPOSE(B30:B35),B4:G9),B30:B35)}</v>
      </c>
    </row>
    <row r="40" spans="1:9" x14ac:dyDescent="0.25">
      <c r="A40" s="2" t="s">
        <v>22</v>
      </c>
      <c r="B40" s="8">
        <f>SQRT(B39)</f>
        <v>9.5044172629287632E-2</v>
      </c>
      <c r="C40" s="2" t="str">
        <f ca="1">[2]!getformula(B40)</f>
        <v>&lt;--  =SQRT(B39)</v>
      </c>
    </row>
    <row r="42" spans="1:9" x14ac:dyDescent="0.25">
      <c r="A42" s="15" t="s">
        <v>25</v>
      </c>
      <c r="B42" s="16"/>
      <c r="C42" s="16"/>
      <c r="D42" s="16"/>
      <c r="E42" s="16"/>
      <c r="F42" s="16"/>
      <c r="G42" s="16"/>
      <c r="H42" s="16"/>
      <c r="I42" s="16"/>
    </row>
    <row r="43" spans="1:9" x14ac:dyDescent="0.25">
      <c r="A43" s="16"/>
      <c r="B43" s="16"/>
      <c r="C43" s="16"/>
      <c r="D43" s="16"/>
      <c r="E43" s="16"/>
      <c r="F43" s="16"/>
      <c r="G43" s="16"/>
      <c r="H43" s="16"/>
      <c r="I43" s="16"/>
    </row>
    <row r="44" spans="1:9" x14ac:dyDescent="0.25">
      <c r="A44" s="16"/>
      <c r="B44" s="16"/>
      <c r="C44" s="16"/>
      <c r="D44" s="16"/>
      <c r="E44" s="16"/>
      <c r="F44" s="16"/>
      <c r="G44" s="16"/>
      <c r="H44" s="16"/>
      <c r="I44" s="16"/>
    </row>
    <row r="45" spans="1:9" x14ac:dyDescent="0.25">
      <c r="A45" s="2" t="s">
        <v>26</v>
      </c>
      <c r="B45" s="2">
        <f t="array" ref="B45">MMULT(MMULT(TRANSPOSE(B14:B19),B4:G9),B30:B35)</f>
        <v>1.3660864954449571E-3</v>
      </c>
      <c r="C45" s="2" t="str">
        <f ca="1">[2]!getformula(B45)&amp;", covariance between GMVP &amp; efficient portfolio"</f>
        <v>&lt;--  {=MMULT(MMULT(TRANSPOSE(B14:B19),B4:G9),B30:B35)}, covariance between GMVP &amp; efficient portfolio</v>
      </c>
    </row>
    <row r="47" spans="1:9" x14ac:dyDescent="0.25">
      <c r="A47" s="2" t="s">
        <v>27</v>
      </c>
      <c r="B47" s="2">
        <v>0.3</v>
      </c>
    </row>
    <row r="48" spans="1:9" x14ac:dyDescent="0.25">
      <c r="A48" s="2" t="s">
        <v>28</v>
      </c>
      <c r="B48" s="2">
        <f>1-B47</f>
        <v>0.7</v>
      </c>
      <c r="C48" s="2" t="str">
        <f ca="1">[2]!getformula(B48)</f>
        <v>&lt;--  =1-B47</v>
      </c>
    </row>
    <row r="50" spans="1:4" ht="27.6" x14ac:dyDescent="0.25">
      <c r="A50" s="3" t="s">
        <v>29</v>
      </c>
      <c r="B50" s="8">
        <f>B47*B22+B48*B38</f>
        <v>2.0524260399579566E-2</v>
      </c>
      <c r="C50" s="2" t="str">
        <f ca="1">[2]!getformula(B50)</f>
        <v>&lt;--  =B47*B22+B48*B38</v>
      </c>
    </row>
    <row r="51" spans="1:4" x14ac:dyDescent="0.25">
      <c r="A51" s="2" t="s">
        <v>30</v>
      </c>
      <c r="B51" s="8">
        <f>SQRT(B47^2*B23+B48^2*B39+2*B47*B48*B45)</f>
        <v>7.1575607161671939E-2</v>
      </c>
      <c r="C51" s="2" t="str">
        <f ca="1">[2]!getformula(B51)</f>
        <v>&lt;--  =SQRT(B47^2*B23+B48^2*B39+2*B47*B48*B45)</v>
      </c>
    </row>
    <row r="53" spans="1:4" x14ac:dyDescent="0.25">
      <c r="A53" s="11" t="s">
        <v>31</v>
      </c>
    </row>
    <row r="54" spans="1:4" x14ac:dyDescent="0.25">
      <c r="A54" s="11"/>
      <c r="B54" s="2" t="s">
        <v>22</v>
      </c>
      <c r="C54" s="2" t="s">
        <v>20</v>
      </c>
    </row>
    <row r="55" spans="1:4" x14ac:dyDescent="0.25">
      <c r="B55" s="14">
        <f>B51</f>
        <v>7.1575607161671939E-2</v>
      </c>
      <c r="C55" s="14">
        <f>B50</f>
        <v>2.0524260399579566E-2</v>
      </c>
      <c r="D55" s="2" t="str">
        <f ca="1">[2]!getformula(C55)&amp;", data table header"</f>
        <v>&lt;--  =B50, data table header</v>
      </c>
    </row>
    <row r="56" spans="1:4" x14ac:dyDescent="0.25">
      <c r="A56" s="2">
        <v>-1</v>
      </c>
      <c r="B56" s="8">
        <f t="dataTable" ref="B56:C71" dt2D="0" dtr="0" r1="B47"/>
        <v>0.17898413202518387</v>
      </c>
      <c r="C56" s="8">
        <v>4.4245785575506902E-2</v>
      </c>
    </row>
    <row r="57" spans="1:4" x14ac:dyDescent="0.25">
      <c r="A57" s="2">
        <v>-0.8</v>
      </c>
      <c r="B57" s="8">
        <v>0.16188936111662613</v>
      </c>
      <c r="C57" s="8">
        <v>4.0596320163825778E-2</v>
      </c>
    </row>
    <row r="58" spans="1:4" x14ac:dyDescent="0.25">
      <c r="A58" s="2">
        <v>-0.6</v>
      </c>
      <c r="B58" s="8">
        <v>0.14489442925494961</v>
      </c>
      <c r="C58" s="8">
        <v>3.6946854752144646E-2</v>
      </c>
    </row>
    <row r="59" spans="1:4" x14ac:dyDescent="0.25">
      <c r="A59" s="2">
        <v>-0.4</v>
      </c>
      <c r="B59" s="8">
        <v>0.12803909823141157</v>
      </c>
      <c r="C59" s="8">
        <v>3.3297389340463515E-2</v>
      </c>
    </row>
    <row r="60" spans="1:4" x14ac:dyDescent="0.25">
      <c r="A60" s="2">
        <v>-0.2</v>
      </c>
      <c r="B60" s="8">
        <v>0.11138676035838287</v>
      </c>
      <c r="C60" s="8">
        <v>2.9647923928782387E-2</v>
      </c>
    </row>
    <row r="61" spans="1:4" x14ac:dyDescent="0.25">
      <c r="A61" s="2">
        <v>0</v>
      </c>
      <c r="B61" s="8">
        <v>9.5044172629287632E-2</v>
      </c>
      <c r="C61" s="8">
        <v>2.599845851710126E-2</v>
      </c>
    </row>
    <row r="62" spans="1:4" x14ac:dyDescent="0.25">
      <c r="A62" s="2">
        <v>0.2</v>
      </c>
      <c r="B62" s="8">
        <v>7.9203306615715965E-2</v>
      </c>
      <c r="C62" s="8">
        <v>2.2348993105420132E-2</v>
      </c>
    </row>
    <row r="63" spans="1:4" x14ac:dyDescent="0.25">
      <c r="A63" s="2">
        <v>0.4</v>
      </c>
      <c r="B63" s="8">
        <v>6.423641854406012E-2</v>
      </c>
      <c r="C63" s="8">
        <v>1.8699527693739004E-2</v>
      </c>
    </row>
    <row r="64" spans="1:4" x14ac:dyDescent="0.25">
      <c r="A64" s="2">
        <v>0.6</v>
      </c>
      <c r="B64" s="8">
        <v>5.0920092461615746E-2</v>
      </c>
      <c r="C64" s="8">
        <v>1.5050062282057873E-2</v>
      </c>
    </row>
    <row r="65" spans="1:3" x14ac:dyDescent="0.25">
      <c r="A65" s="2">
        <v>0.8</v>
      </c>
      <c r="B65" s="8">
        <v>4.0899618893806236E-2</v>
      </c>
      <c r="C65" s="8">
        <v>1.1400596870376745E-2</v>
      </c>
    </row>
    <row r="66" spans="1:3" x14ac:dyDescent="0.25">
      <c r="A66" s="2">
        <v>1</v>
      </c>
      <c r="B66" s="8">
        <v>3.696060734680854E-2</v>
      </c>
      <c r="C66" s="8">
        <v>7.7511314586956167E-3</v>
      </c>
    </row>
    <row r="67" spans="1:3" x14ac:dyDescent="0.25">
      <c r="A67" s="2">
        <v>1.2</v>
      </c>
      <c r="B67" s="8">
        <v>4.0899618893806243E-2</v>
      </c>
      <c r="C67" s="8">
        <v>4.101666047014489E-3</v>
      </c>
    </row>
    <row r="68" spans="1:3" x14ac:dyDescent="0.25">
      <c r="A68" s="2">
        <v>1.4</v>
      </c>
      <c r="B68" s="8">
        <v>5.0920092461615753E-2</v>
      </c>
      <c r="C68" s="8">
        <v>4.522006353333604E-4</v>
      </c>
    </row>
    <row r="69" spans="1:3" x14ac:dyDescent="0.25">
      <c r="A69" s="2">
        <v>1.6</v>
      </c>
      <c r="B69" s="8">
        <v>6.4236418544060134E-2</v>
      </c>
      <c r="C69" s="8">
        <v>-3.1972647763477708E-3</v>
      </c>
    </row>
    <row r="70" spans="1:3" x14ac:dyDescent="0.25">
      <c r="A70" s="2">
        <v>1.8</v>
      </c>
      <c r="B70" s="8">
        <v>7.9203306615715965E-2</v>
      </c>
      <c r="C70" s="8">
        <v>-6.8467301880288968E-3</v>
      </c>
    </row>
    <row r="71" spans="1:3" x14ac:dyDescent="0.25">
      <c r="A71" s="2">
        <v>2</v>
      </c>
      <c r="B71" s="8">
        <v>9.5044172629287646E-2</v>
      </c>
      <c r="C71" s="8">
        <v>-1.0496195599710026E-2</v>
      </c>
    </row>
    <row r="72" spans="1:3" x14ac:dyDescent="0.25">
      <c r="A72" s="20" t="s">
        <v>32</v>
      </c>
      <c r="B72" s="14">
        <f>B24</f>
        <v>3.696060734680854E-2</v>
      </c>
      <c r="C72" s="14">
        <f>B22</f>
        <v>7.7511314586956167E-3</v>
      </c>
    </row>
    <row r="73" spans="1:3" x14ac:dyDescent="0.25">
      <c r="A73" s="20" t="s">
        <v>33</v>
      </c>
      <c r="B73" s="14">
        <f>B40</f>
        <v>9.5044172629287632E-2</v>
      </c>
      <c r="C73" s="14">
        <f>B38</f>
        <v>2.599845851710126E-2</v>
      </c>
    </row>
    <row r="74" spans="1:3" x14ac:dyDescent="0.25">
      <c r="A74" s="20" t="s">
        <v>24</v>
      </c>
      <c r="B74" s="2">
        <v>0</v>
      </c>
      <c r="C74" s="14">
        <v>4.4999999999999997E-3</v>
      </c>
    </row>
  </sheetData>
  <mergeCells count="4">
    <mergeCell ref="A1:K1"/>
    <mergeCell ref="F11:H12"/>
    <mergeCell ref="F17:J20"/>
    <mergeCell ref="A42:I44"/>
  </mergeCells>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正东 李</dc:creator>
  <cp:lastModifiedBy>正东 李</cp:lastModifiedBy>
  <dcterms:created xsi:type="dcterms:W3CDTF">2024-10-05T13:27:14Z</dcterms:created>
  <dcterms:modified xsi:type="dcterms:W3CDTF">2024-11-01T02:54:48Z</dcterms:modified>
</cp:coreProperties>
</file>