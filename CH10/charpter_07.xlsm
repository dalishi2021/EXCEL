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0\"/>
    </mc:Choice>
  </mc:AlternateContent>
  <xr:revisionPtr revIDLastSave="0" documentId="13_ncr:1_{18EB1371-AC15-4A86-A230-6E5C9E072A25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2" i="1" l="1"/>
  <c r="B28" i="1"/>
  <c r="B27" i="1"/>
  <c r="B26" i="1"/>
  <c r="B25" i="1"/>
  <c r="B24" i="1"/>
  <c r="B23" i="1"/>
  <c r="B22" i="1"/>
  <c r="B21" i="1"/>
  <c r="G18" i="1"/>
  <c r="F18" i="1"/>
  <c r="G17" i="1"/>
  <c r="F17" i="1"/>
  <c r="E17" i="1"/>
  <c r="G16" i="1"/>
  <c r="F16" i="1"/>
  <c r="E16" i="1"/>
  <c r="D16" i="1"/>
  <c r="G15" i="1"/>
  <c r="F15" i="1"/>
  <c r="E15" i="1"/>
  <c r="D15" i="1"/>
  <c r="C15" i="1"/>
  <c r="G14" i="1"/>
  <c r="F14" i="1"/>
  <c r="E14" i="1"/>
  <c r="D14" i="1"/>
  <c r="C14" i="1"/>
  <c r="B30" i="1" s="1"/>
  <c r="B14" i="1"/>
  <c r="B20" i="1" s="1"/>
  <c r="C32" i="1"/>
  <c r="A11" i="1"/>
  <c r="C30" i="1"/>
  <c r="C29" i="1"/>
  <c r="C23" i="1"/>
  <c r="C22" i="1"/>
  <c r="C21" i="1"/>
  <c r="C20" i="1"/>
  <c r="B29" i="1" l="1"/>
</calcChain>
</file>

<file path=xl/sharedStrings.xml><?xml version="1.0" encoding="utf-8"?>
<sst xmlns="http://schemas.openxmlformats.org/spreadsheetml/2006/main" count="38" uniqueCount="20">
  <si>
    <t>THE CORRELATION MATRIX</t>
  </si>
  <si>
    <t>Variance-covariance matrix</t>
  </si>
  <si>
    <t>GE</t>
  </si>
  <si>
    <t>MSFT</t>
  </si>
  <si>
    <t>JNJ</t>
  </si>
  <si>
    <t>K</t>
  </si>
  <si>
    <t>BA</t>
  </si>
  <si>
    <t>IBM</t>
  </si>
  <si>
    <t>Largest correlation</t>
  </si>
  <si>
    <t>2nd largest correlation</t>
  </si>
  <si>
    <t>3rd largest correlation</t>
  </si>
  <si>
    <t>4th largest correlation</t>
  </si>
  <si>
    <t>5th largest correlation</t>
  </si>
  <si>
    <t>6th largest correlation</t>
  </si>
  <si>
    <t>7th largest correlation</t>
  </si>
  <si>
    <t>8th largest correlation</t>
  </si>
  <si>
    <t>9th largest correlation</t>
  </si>
  <si>
    <t>Smallest correlation</t>
  </si>
  <si>
    <t>Average correlation</t>
  </si>
  <si>
    <t>Number of correlations greater than 0.5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</si>
</sst>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3" fillId="0" borderId="0" xfId="0" applyFont="1" applyAlignment="1"/>
    <xf numFmtId="0" fontId="0" fillId="0" borderId="0" xfId="0" applyAlignment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176" fontId="4" fillId="2" borderId="0" xfId="0" applyNumberFormat="1" applyFont="1" applyFill="1" applyAlignment="1"/>
    <xf numFmtId="176" fontId="0" fillId="0" borderId="0" xfId="0" applyNumberFormat="1" applyAlignment="1"/>
    <xf numFmtId="176" fontId="4" fillId="0" borderId="0" xfId="0" applyNumberFormat="1" applyFont="1" applyAlignment="1"/>
    <xf numFmtId="0" fontId="3" fillId="0" borderId="0" xfId="0" applyFont="1" applyAlignment="1">
      <alignment vertical="center" wrapText="1"/>
    </xf>
    <xf numFmtId="0" fontId="0" fillId="2" borderId="0" xfId="0" applyFill="1" applyAlignment="1"/>
    <xf numFmtId="176" fontId="0" fillId="2" borderId="0" xfId="0" applyNumberFormat="1" applyFill="1" applyAlignment="1"/>
    <xf numFmtId="0" fontId="0" fillId="2" borderId="0" xfId="0" applyFill="1" applyAlignment="1">
      <alignment horizontal="left" wrapText="1"/>
    </xf>
    <xf numFmtId="0" fontId="5" fillId="0" borderId="0" xfId="0" applyFont="1" applyAlignment="1">
      <alignment horizontal="left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19050</xdr:colOff>
      <xdr:row>0</xdr:row>
      <xdr:rowOff>114300</xdr:rowOff>
    </xdr:from>
    <xdr:to>
      <xdr:col>19</xdr:col>
      <xdr:colOff>114300</xdr:colOff>
      <xdr:row>31</xdr:row>
      <xdr:rowOff>39529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887698A7-2CC7-DD59-0F4D-DEC38A1E41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810375" y="114300"/>
          <a:ext cx="5581650" cy="64865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0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0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292-95"/>
      <sheetName val="Page 292-95中文"/>
      <sheetName val="Page 296"/>
      <sheetName val="Page 296中文"/>
      <sheetName val="Page 298"/>
      <sheetName val="Page 298中文"/>
      <sheetName val="Page 299"/>
      <sheetName val="Page 299中文"/>
      <sheetName val="Page 300"/>
      <sheetName val="Page 300中文"/>
      <sheetName val="Pages 301-302"/>
      <sheetName val="Pages 301-302中文"/>
      <sheetName val="Page 303"/>
      <sheetName val="Page 303中文"/>
      <sheetName val="Page 305"/>
      <sheetName val="Page 305中文"/>
      <sheetName val="Page 306"/>
      <sheetName val="Page 306中文"/>
      <sheetName val="Page 307"/>
      <sheetName val="Page 307中文"/>
      <sheetName val="Page 308"/>
      <sheetName val="Page 308中文"/>
      <sheetName val="Page 309"/>
      <sheetName val="Page 309中文"/>
      <sheetName val="Page 311, top"/>
      <sheetName val="Page 311, top中文"/>
      <sheetName val="Page 311, bottom"/>
      <sheetName val="Page 311, bottom中文"/>
      <sheetName val="Page 312"/>
      <sheetName val="Page 312中文"/>
      <sheetName val="Page 313"/>
      <sheetName val="Page 313中文"/>
      <sheetName val="Page 314"/>
      <sheetName val="Page 314中文"/>
      <sheetName val="Compare"/>
      <sheetName val="Compare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H32"/>
  <sheetViews>
    <sheetView tabSelected="1" topLeftCell="A11" zoomScale="160" zoomScaleNormal="160" workbookViewId="0">
      <selection activeCell="G34" sqref="G34"/>
    </sheetView>
  </sheetViews>
  <sheetFormatPr defaultRowHeight="13.8" x14ac:dyDescent="0.25"/>
  <cols>
    <col min="1" max="1" width="18.6640625" style="3" bestFit="1" customWidth="1"/>
    <col min="2" max="2" width="9.33203125" style="3" bestFit="1" customWidth="1"/>
    <col min="3" max="8" width="8.88671875" style="3"/>
  </cols>
  <sheetData>
    <row r="1" spans="1:8" ht="17.399999999999999" x14ac:dyDescent="0.3">
      <c r="A1" s="1" t="s">
        <v>0</v>
      </c>
      <c r="B1" s="1"/>
      <c r="C1" s="1"/>
      <c r="D1" s="1"/>
      <c r="E1" s="1"/>
      <c r="F1" s="1"/>
      <c r="G1" s="1"/>
      <c r="H1" s="1"/>
    </row>
    <row r="2" spans="1:8" x14ac:dyDescent="0.25">
      <c r="A2" s="2" t="s">
        <v>1</v>
      </c>
    </row>
    <row r="3" spans="1:8" x14ac:dyDescent="0.25">
      <c r="A3" s="4"/>
      <c r="B3" s="5" t="s">
        <v>2</v>
      </c>
      <c r="C3" s="5" t="s">
        <v>3</v>
      </c>
      <c r="D3" s="5" t="s">
        <v>4</v>
      </c>
      <c r="E3" s="5" t="s">
        <v>5</v>
      </c>
      <c r="F3" s="5" t="s">
        <v>6</v>
      </c>
      <c r="G3" s="5" t="s">
        <v>7</v>
      </c>
      <c r="H3" s="5"/>
    </row>
    <row r="4" spans="1:8" ht="15.6" x14ac:dyDescent="0.3">
      <c r="A4" s="5" t="s">
        <v>2</v>
      </c>
      <c r="B4" s="6">
        <v>0.10350339590267339</v>
      </c>
      <c r="C4" s="7">
        <v>7.5848517451494873E-2</v>
      </c>
      <c r="D4" s="7">
        <v>2.2159397029916771E-2</v>
      </c>
      <c r="E4" s="7">
        <v>-4.2982317962569593E-3</v>
      </c>
      <c r="F4" s="7">
        <v>8.5745403769960343E-2</v>
      </c>
      <c r="G4" s="7">
        <v>0.14142326366164748</v>
      </c>
      <c r="H4" s="7"/>
    </row>
    <row r="5" spans="1:8" ht="15.6" x14ac:dyDescent="0.3">
      <c r="A5" s="5" t="s">
        <v>3</v>
      </c>
      <c r="B5" s="7">
        <v>7.5848517451494873E-2</v>
      </c>
      <c r="C5" s="6">
        <v>0.16574419405308355</v>
      </c>
      <c r="D5" s="7">
        <v>4.1228178711632993E-2</v>
      </c>
      <c r="E5" s="7">
        <v>-5.1726477136713293E-3</v>
      </c>
      <c r="F5" s="7">
        <v>3.7925440892755881E-2</v>
      </c>
      <c r="G5" s="7">
        <v>0.14004813967002819</v>
      </c>
      <c r="H5" s="7"/>
    </row>
    <row r="6" spans="1:8" ht="15.6" x14ac:dyDescent="0.3">
      <c r="A6" s="5" t="s">
        <v>4</v>
      </c>
      <c r="B6" s="7">
        <v>2.2159397029916771E-2</v>
      </c>
      <c r="C6" s="7">
        <v>4.1228178711632993E-2</v>
      </c>
      <c r="D6" s="6">
        <v>3.5967852205073078E-2</v>
      </c>
      <c r="E6" s="7">
        <v>1.811094996608098E-2</v>
      </c>
      <c r="F6" s="7">
        <v>1.010116224480139E-2</v>
      </c>
      <c r="G6" s="7">
        <v>4.5504364159529673E-2</v>
      </c>
      <c r="H6" s="7"/>
    </row>
    <row r="7" spans="1:8" ht="15.6" x14ac:dyDescent="0.3">
      <c r="A7" s="5" t="s">
        <v>5</v>
      </c>
      <c r="B7" s="7">
        <v>-4.2982317962569593E-3</v>
      </c>
      <c r="C7" s="7">
        <v>-5.1726477136713293E-3</v>
      </c>
      <c r="D7" s="7">
        <v>1.811094996608098E-2</v>
      </c>
      <c r="E7" s="6">
        <v>5.6952629529189128E-2</v>
      </c>
      <c r="F7" s="7">
        <v>-7.6207962734914699E-3</v>
      </c>
      <c r="G7" s="7">
        <v>1.219860279742151E-2</v>
      </c>
      <c r="H7" s="7"/>
    </row>
    <row r="8" spans="1:8" ht="15.6" x14ac:dyDescent="0.3">
      <c r="A8" s="5" t="s">
        <v>6</v>
      </c>
      <c r="B8" s="7">
        <v>8.5745403769960343E-2</v>
      </c>
      <c r="C8" s="7">
        <v>3.7925440892755881E-2</v>
      </c>
      <c r="D8" s="7">
        <v>1.010116224480139E-2</v>
      </c>
      <c r="E8" s="7">
        <v>-7.6207962734914699E-3</v>
      </c>
      <c r="F8" s="6">
        <v>8.9571031344296226E-2</v>
      </c>
      <c r="G8" s="7">
        <v>8.556841816647083E-2</v>
      </c>
      <c r="H8" s="7"/>
    </row>
    <row r="9" spans="1:8" ht="15.6" x14ac:dyDescent="0.3">
      <c r="A9" s="5" t="s">
        <v>7</v>
      </c>
      <c r="B9" s="7">
        <v>0.14142326366164748</v>
      </c>
      <c r="C9" s="7">
        <v>0.14004813967002819</v>
      </c>
      <c r="D9" s="7">
        <v>4.5504364159529673E-2</v>
      </c>
      <c r="E9" s="7">
        <v>1.219860279742151E-2</v>
      </c>
      <c r="F9" s="7">
        <v>8.556841816647083E-2</v>
      </c>
      <c r="G9" s="6">
        <v>0.29932522000157924</v>
      </c>
      <c r="H9" s="7"/>
    </row>
    <row r="10" spans="1:8" ht="15.6" x14ac:dyDescent="0.3">
      <c r="A10" s="5"/>
      <c r="B10" s="7"/>
      <c r="C10" s="7"/>
      <c r="D10" s="7"/>
      <c r="E10" s="7"/>
      <c r="F10" s="7"/>
      <c r="G10" s="7"/>
      <c r="H10" s="8"/>
    </row>
    <row r="11" spans="1:8" ht="93" customHeight="1" x14ac:dyDescent="0.25">
      <c r="A11" s="13" t="str">
        <f ca="1">"The range below computes the correlation coefficients based on the formula "&amp;[2]!getformula(C14)&amp;"."&amp;CHAR(10)&amp;"The correlations on the diagonal (all = 1) are not shown.  To make the formula work, we have labeled the rows and columns from 1 to 6."</f>
        <v>The range below computes the correlation coefficients based on the formula &lt;--  =C4/SQRT(INDEX($B$4:$G$9,C$13,C$13)*INDEX($B$4:$G$9,$A14,$A14)).
The correlations on the diagonal (all = 1) are not shown.  To make the formula work, we have labeled the rows and columns from 1 to 6.</v>
      </c>
      <c r="B11" s="13"/>
      <c r="C11" s="13"/>
      <c r="D11" s="13"/>
      <c r="E11" s="13"/>
      <c r="F11" s="13"/>
      <c r="G11" s="13"/>
      <c r="H11" s="13"/>
    </row>
    <row r="12" spans="1:8" x14ac:dyDescent="0.25">
      <c r="A12" s="9"/>
      <c r="B12" s="5" t="s">
        <v>2</v>
      </c>
      <c r="C12" s="5" t="s">
        <v>3</v>
      </c>
      <c r="D12" s="5" t="s">
        <v>4</v>
      </c>
      <c r="E12" s="5" t="s">
        <v>5</v>
      </c>
      <c r="F12" s="5" t="s">
        <v>6</v>
      </c>
      <c r="G12" s="5" t="s">
        <v>7</v>
      </c>
      <c r="H12" s="5"/>
    </row>
    <row r="13" spans="1:8" x14ac:dyDescent="0.25">
      <c r="B13" s="5">
        <v>1</v>
      </c>
      <c r="C13" s="5">
        <v>2</v>
      </c>
      <c r="D13" s="5">
        <v>3</v>
      </c>
      <c r="E13" s="5">
        <v>4</v>
      </c>
      <c r="F13" s="5">
        <v>5</v>
      </c>
      <c r="G13" s="5">
        <v>6</v>
      </c>
    </row>
    <row r="14" spans="1:8" x14ac:dyDescent="0.25">
      <c r="A14" s="5">
        <v>1</v>
      </c>
      <c r="B14" s="7" t="str">
        <f>IF(INDEX($B$4:$G$9,B$13,B$13)*INDEX($B$4:$G$9,$A14,$A14),"",SQRT(INDEX($B$4:$G$9,B$13,B$13)*INDEX($B$4:$G$9,$A14,$A14)))</f>
        <v/>
      </c>
      <c r="C14" s="7">
        <f>C4/SQRT(INDEX($B$4:$G$9,C$13,C$13)*INDEX($B$4:$G$9,$A14,$A14))</f>
        <v>0.57909609287843977</v>
      </c>
      <c r="D14" s="7">
        <f>D4/SQRT(INDEX($B$4:$G$9,D$13,D$13)*INDEX($B$4:$G$9,$A14,$A14))</f>
        <v>0.36318122301424838</v>
      </c>
      <c r="E14" s="7">
        <f>E4/SQRT(INDEX($B$4:$G$9,E$13,E$13)*INDEX($B$4:$G$9,$A14,$A14))</f>
        <v>-5.5982932350100975E-2</v>
      </c>
      <c r="F14" s="7">
        <f>F4/SQRT(INDEX($B$4:$G$9,F$13,F$13)*INDEX($B$4:$G$9,$A14,$A14))</f>
        <v>0.89053247774484157</v>
      </c>
      <c r="G14" s="7">
        <f>G4/SQRT(INDEX($B$4:$G$9,G$13,G$13)*INDEX($B$4:$G$9,$A14,$A14))</f>
        <v>0.80347413478754137</v>
      </c>
      <c r="H14" s="5" t="s">
        <v>2</v>
      </c>
    </row>
    <row r="15" spans="1:8" x14ac:dyDescent="0.25">
      <c r="A15" s="5">
        <v>2</v>
      </c>
      <c r="B15" s="7"/>
      <c r="C15" s="7" t="str">
        <f>IF(INDEX($B$4:$K$10,C$13,C$13)*INDEX($B$4:$K$10,$A15,$A15),"",SQRT(INDEX($B$4:$K$10,C$13,C$13)*INDEX($B$4:$K$10,$A15,$A15)))</f>
        <v/>
      </c>
      <c r="D15" s="7">
        <f>D5/SQRT(INDEX($B$4:$K$10,D$13,D$13)*INDEX($B$4:$K$10,$A15,$A15))</f>
        <v>0.5339710789409855</v>
      </c>
      <c r="E15" s="7">
        <f>E5/SQRT(INDEX($B$4:$K$10,E$13,E$13)*INDEX($B$4:$K$10,$A15,$A15))</f>
        <v>-5.3239853186519803E-2</v>
      </c>
      <c r="F15" s="7">
        <f>F5/SQRT(INDEX($B$4:$K$10,F$13,F$13)*INDEX($B$4:$K$10,$A15,$A15))</f>
        <v>0.31126313605148931</v>
      </c>
      <c r="G15" s="7">
        <f>G5/SQRT(INDEX($B$4:$K$10,G$13,G$13)*INDEX($B$4:$K$10,$A15,$A15))</f>
        <v>0.6287623478305483</v>
      </c>
      <c r="H15" s="5" t="s">
        <v>3</v>
      </c>
    </row>
    <row r="16" spans="1:8" x14ac:dyDescent="0.25">
      <c r="A16" s="5">
        <v>3</v>
      </c>
      <c r="B16" s="7"/>
      <c r="C16" s="7"/>
      <c r="D16" s="7" t="str">
        <f>IF(INDEX($B$4:$K$10,D$13,D$13)*INDEX($B$4:$K$10,$A16,$A16),"",SQRT(INDEX($B$4:$K$10,D$13,D$13)*INDEX($B$4:$K$10,$A16,$A16)))</f>
        <v/>
      </c>
      <c r="E16" s="7">
        <f>E6/SQRT(INDEX($B$4:$K$10,E$13,E$13)*INDEX($B$4:$K$10,$A16,$A16))</f>
        <v>0.40015393137845051</v>
      </c>
      <c r="F16" s="7">
        <f>F6/SQRT(INDEX($B$4:$K$10,F$13,F$13)*INDEX($B$4:$K$10,$A16,$A16))</f>
        <v>0.17796324121648646</v>
      </c>
      <c r="G16" s="7">
        <f>G6/SQRT(INDEX($B$4:$K$10,G$13,G$13)*INDEX($B$4:$K$10,$A16,$A16))</f>
        <v>0.4385550765266541</v>
      </c>
      <c r="H16" s="5" t="s">
        <v>4</v>
      </c>
    </row>
    <row r="17" spans="1:8" x14ac:dyDescent="0.25">
      <c r="A17" s="5">
        <v>4</v>
      </c>
      <c r="B17" s="7"/>
      <c r="C17" s="7"/>
      <c r="D17" s="7"/>
      <c r="E17" s="7" t="str">
        <f>IF(INDEX($B$4:$K$10,E$13,E$13)*INDEX($B$4:$K$10,$A17,$A17),"",SQRT(INDEX($B$4:$K$10,E$13,E$13)*INDEX($B$4:$K$10,$A17,$A17)))</f>
        <v/>
      </c>
      <c r="F17" s="7">
        <f>F7/SQRT(INDEX($B$4:$K$10,F$13,F$13)*INDEX($B$4:$K$10,$A17,$A17))</f>
        <v>-0.10669883416259962</v>
      </c>
      <c r="G17" s="7">
        <f>G7/SQRT(INDEX($B$4:$K$10,G$13,G$13)*INDEX($B$4:$K$10,$A17,$A17))</f>
        <v>9.3428966534323449E-2</v>
      </c>
      <c r="H17" s="5" t="s">
        <v>5</v>
      </c>
    </row>
    <row r="18" spans="1:8" x14ac:dyDescent="0.25">
      <c r="A18" s="5">
        <v>5</v>
      </c>
      <c r="B18" s="7"/>
      <c r="C18" s="7"/>
      <c r="D18" s="7"/>
      <c r="E18" s="7"/>
      <c r="F18" s="7" t="str">
        <f>IF(INDEX($B$4:$K$10,F$13,F$13)*INDEX($B$4:$K$10,$A18,$A18),"",SQRT(INDEX($B$4:$K$10,F$13,F$13)*INDEX($B$4:$K$10,$A18,$A18)))</f>
        <v/>
      </c>
      <c r="G18" s="7">
        <f>G8/SQRT(INDEX($B$4:$K$10,G$13,G$13)*INDEX($B$4:$K$10,$A18,$A18))</f>
        <v>0.52258634913849056</v>
      </c>
      <c r="H18" s="5" t="s">
        <v>6</v>
      </c>
    </row>
    <row r="19" spans="1:8" x14ac:dyDescent="0.25">
      <c r="H19" s="5" t="s">
        <v>7</v>
      </c>
    </row>
    <row r="20" spans="1:8" x14ac:dyDescent="0.25">
      <c r="A20" s="10" t="s">
        <v>8</v>
      </c>
      <c r="B20" s="11">
        <f>MAX(B14:G18)</f>
        <v>0.89053247774484157</v>
      </c>
      <c r="C20" s="3" t="str">
        <f ca="1">[2]!getformula(B20)</f>
        <v>&lt;--  =MAX(B14:G18)</v>
      </c>
    </row>
    <row r="21" spans="1:8" x14ac:dyDescent="0.25">
      <c r="A21" s="10" t="s">
        <v>9</v>
      </c>
      <c r="B21" s="11">
        <f>LARGE(B14:G18,2)</f>
        <v>0.80347413478754137</v>
      </c>
      <c r="C21" s="3" t="str">
        <f ca="1">[2]!getformula(B21)</f>
        <v>&lt;--  =LARGE(B14:G18,2)</v>
      </c>
    </row>
    <row r="22" spans="1:8" x14ac:dyDescent="0.25">
      <c r="A22" s="10" t="s">
        <v>10</v>
      </c>
      <c r="B22" s="11">
        <f>LARGE(B14:G18,3)</f>
        <v>0.6287623478305483</v>
      </c>
      <c r="C22" s="3" t="str">
        <f ca="1">[2]!getformula(B22)</f>
        <v>&lt;--  =LARGE(B14:G18,3)</v>
      </c>
    </row>
    <row r="23" spans="1:8" x14ac:dyDescent="0.25">
      <c r="A23" s="10" t="s">
        <v>11</v>
      </c>
      <c r="B23" s="11">
        <f>LARGE(B14:G18,4)</f>
        <v>0.57909609287843977</v>
      </c>
      <c r="C23" s="3" t="str">
        <f ca="1">[2]!getformula(B23)</f>
        <v>&lt;--  =LARGE(B14:G18,4)</v>
      </c>
    </row>
    <row r="24" spans="1:8" x14ac:dyDescent="0.25">
      <c r="A24" s="10" t="s">
        <v>12</v>
      </c>
      <c r="B24" s="11">
        <f>LARGE(B14:G18,5)</f>
        <v>0.5339710789409855</v>
      </c>
    </row>
    <row r="25" spans="1:8" x14ac:dyDescent="0.25">
      <c r="A25" s="10" t="s">
        <v>13</v>
      </c>
      <c r="B25" s="11">
        <f>LARGE(B14:G18,6)</f>
        <v>0.52258634913849056</v>
      </c>
    </row>
    <row r="26" spans="1:8" x14ac:dyDescent="0.25">
      <c r="A26" s="10" t="s">
        <v>14</v>
      </c>
      <c r="B26" s="11">
        <f>LARGE(B14:G18,7)</f>
        <v>0.4385550765266541</v>
      </c>
    </row>
    <row r="27" spans="1:8" x14ac:dyDescent="0.25">
      <c r="A27" s="10" t="s">
        <v>15</v>
      </c>
      <c r="B27" s="11">
        <f>LARGE(B14:G18,8)</f>
        <v>0.40015393137845051</v>
      </c>
    </row>
    <row r="28" spans="1:8" x14ac:dyDescent="0.25">
      <c r="A28" s="10" t="s">
        <v>16</v>
      </c>
      <c r="B28" s="11">
        <f>LARGE(B14:G18,9)</f>
        <v>0.36318122301424838</v>
      </c>
    </row>
    <row r="29" spans="1:8" x14ac:dyDescent="0.25">
      <c r="A29" s="10" t="s">
        <v>17</v>
      </c>
      <c r="B29" s="11">
        <f>MIN(B14:G18)</f>
        <v>-0.10669883416259962</v>
      </c>
      <c r="C29" s="3" t="str">
        <f ca="1">[2]!getformula(B29)</f>
        <v>&lt;--  =MIN(B14:G18)</v>
      </c>
    </row>
    <row r="30" spans="1:8" x14ac:dyDescent="0.25">
      <c r="A30" s="10" t="s">
        <v>18</v>
      </c>
      <c r="B30" s="11">
        <f>AVERAGE(C14:G18)</f>
        <v>0.36846976242288521</v>
      </c>
      <c r="C30" s="3" t="str">
        <f ca="1">[2]!getformula(B30)</f>
        <v>&lt;--  =AVERAGE(C14:G18)</v>
      </c>
    </row>
    <row r="32" spans="1:8" ht="41.4" x14ac:dyDescent="0.25">
      <c r="A32" s="12" t="s">
        <v>19</v>
      </c>
      <c r="B32" s="10">
        <f>COUNTIF(B14:G18,"&gt;0.5")</f>
        <v>6</v>
      </c>
      <c r="C32" s="3" t="str">
        <f ca="1">[2]!getformula(B32)</f>
        <v>&lt;--  =COUNTIF(B14:G18,"&gt;0.5")</v>
      </c>
    </row>
  </sheetData>
  <mergeCells count="2">
    <mergeCell ref="A1:H1"/>
    <mergeCell ref="A11:H1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2024-10-31T06:00:45Z</dcterms:modified>
</cp:coreProperties>
</file>