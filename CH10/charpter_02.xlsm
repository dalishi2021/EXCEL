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E3937FA6-C615-46FB-AF87-B1B878EB751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functionGroups builtInGroupCount="19"/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B15" i="1"/>
  <c r="G13" i="1"/>
  <c r="F13" i="1"/>
  <c r="E13" i="1"/>
  <c r="D13" i="1"/>
  <c r="C13" i="1"/>
  <c r="B13" i="1"/>
  <c r="A13" i="1"/>
  <c r="G12" i="1"/>
  <c r="F12" i="1"/>
  <c r="E12" i="1"/>
  <c r="D12" i="1"/>
  <c r="C12" i="1"/>
  <c r="B12" i="1"/>
  <c r="A12" i="1"/>
  <c r="G11" i="1"/>
  <c r="F11" i="1"/>
  <c r="E11" i="1"/>
  <c r="D11" i="1"/>
  <c r="C11" i="1"/>
  <c r="B11" i="1"/>
  <c r="A11" i="1"/>
  <c r="G10" i="1"/>
  <c r="F10" i="1"/>
  <c r="E10" i="1"/>
  <c r="D10" i="1"/>
  <c r="C10" i="1"/>
  <c r="B10" i="1"/>
  <c r="A10" i="1"/>
  <c r="G9" i="1"/>
  <c r="F9" i="1"/>
  <c r="E9" i="1"/>
  <c r="D9" i="1"/>
  <c r="C9" i="1"/>
  <c r="B9" i="1"/>
  <c r="A9" i="1"/>
  <c r="G8" i="1"/>
  <c r="F8" i="1"/>
  <c r="E8" i="1"/>
  <c r="D8" i="1"/>
  <c r="C8" i="1"/>
  <c r="B8" i="1"/>
  <c r="A8" i="1"/>
  <c r="G7" i="1"/>
  <c r="F7" i="1"/>
  <c r="E7" i="1"/>
  <c r="D7" i="1"/>
  <c r="C7" i="1"/>
  <c r="B7" i="1"/>
  <c r="A7" i="1"/>
  <c r="G6" i="1"/>
  <c r="F6" i="1"/>
  <c r="E6" i="1"/>
  <c r="D6" i="1"/>
  <c r="C6" i="1"/>
  <c r="B6" i="1"/>
  <c r="A6" i="1"/>
  <c r="G5" i="1"/>
  <c r="F5" i="1"/>
  <c r="E5" i="1"/>
  <c r="D5" i="1"/>
  <c r="C5" i="1"/>
  <c r="B5" i="1"/>
  <c r="A5" i="1"/>
  <c r="G4" i="1"/>
  <c r="G17" i="1" s="1"/>
  <c r="F4" i="1"/>
  <c r="E4" i="1"/>
  <c r="D4" i="1"/>
  <c r="C4" i="1"/>
  <c r="B4" i="1"/>
  <c r="A4" i="1"/>
  <c r="G3" i="1"/>
  <c r="F3" i="1"/>
  <c r="E3" i="1"/>
  <c r="D3" i="1"/>
  <c r="C3" i="1"/>
  <c r="B3" i="1"/>
  <c r="A3" i="1"/>
  <c r="G2" i="1"/>
  <c r="G19" i="1" s="1"/>
  <c r="F2" i="1"/>
  <c r="F24" i="1" s="1"/>
  <c r="E2" i="1"/>
  <c r="E15" i="1" s="1"/>
  <c r="D2" i="1"/>
  <c r="D15" i="1" s="1"/>
  <c r="C2" i="1"/>
  <c r="C24" i="1" s="1"/>
  <c r="B2" i="1"/>
  <c r="B24" i="1" s="1"/>
  <c r="A2" i="1"/>
  <c r="H16" i="1"/>
  <c r="H22" i="1"/>
  <c r="C30" i="1"/>
  <c r="C31" i="1"/>
  <c r="H25" i="1"/>
  <c r="H27" i="1"/>
  <c r="H20" i="1"/>
  <c r="H17" i="1"/>
  <c r="C32" i="1"/>
  <c r="C33" i="1"/>
  <c r="H26" i="1"/>
  <c r="H21" i="1"/>
  <c r="F15" i="1" l="1"/>
  <c r="G15" i="1"/>
  <c r="C21" i="1"/>
  <c r="E21" i="1"/>
  <c r="G21" i="1"/>
  <c r="D27" i="1"/>
  <c r="C19" i="1"/>
  <c r="D19" i="1"/>
  <c r="E17" i="1"/>
  <c r="E19" i="1"/>
  <c r="F20" i="1"/>
  <c r="F25" i="1" s="1"/>
  <c r="F21" i="1"/>
  <c r="G22" i="1"/>
  <c r="G24" i="1"/>
  <c r="B27" i="1"/>
  <c r="D21" i="1"/>
  <c r="F17" i="1"/>
  <c r="C15" i="1"/>
  <c r="C27" i="1"/>
  <c r="B16" i="1"/>
  <c r="B32" i="1" s="1" a="1"/>
  <c r="B32" i="1" s="1"/>
  <c r="E27" i="1"/>
  <c r="D16" i="1"/>
  <c r="F19" i="1"/>
  <c r="B22" i="1"/>
  <c r="G27" i="1"/>
  <c r="F27" i="1"/>
  <c r="E16" i="1"/>
  <c r="C22" i="1"/>
  <c r="C16" i="1"/>
  <c r="F16" i="1"/>
  <c r="B20" i="1"/>
  <c r="B25" i="1" s="1"/>
  <c r="D22" i="1"/>
  <c r="B30" i="1"/>
  <c r="G16" i="1"/>
  <c r="C20" i="1"/>
  <c r="C25" i="1" s="1"/>
  <c r="E22" i="1"/>
  <c r="D20" i="1"/>
  <c r="D25" i="1" s="1"/>
  <c r="F22" i="1"/>
  <c r="B26" i="1"/>
  <c r="B17" i="1"/>
  <c r="E20" i="1"/>
  <c r="E25" i="1" s="1"/>
  <c r="C26" i="1"/>
  <c r="C17" i="1"/>
  <c r="D26" i="1"/>
  <c r="D17" i="1"/>
  <c r="G20" i="1"/>
  <c r="G25" i="1" s="1"/>
  <c r="E26" i="1"/>
  <c r="F26" i="1"/>
  <c r="B21" i="1"/>
  <c r="D24" i="1"/>
  <c r="G26" i="1"/>
  <c r="E24" i="1"/>
  <c r="B33" i="1"/>
  <c r="B31" i="1" l="1" a="1"/>
  <c r="B31" i="1" s="1"/>
</calcChain>
</file>

<file path=xl/sharedStrings.xml><?xml version="1.0" encoding="utf-8"?>
<sst xmlns="http://schemas.openxmlformats.org/spreadsheetml/2006/main" count="5" uniqueCount="5">
  <si>
    <t>SOME CONFUSION ABOUT M VERSUS M-1 IN EXCEL?</t>
  </si>
  <si>
    <t>Mean</t>
  </si>
  <si>
    <t>Variance</t>
  </si>
  <si>
    <t>Standard deviation</t>
  </si>
  <si>
    <t>Covariance(GE,MSFT)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</si>
</sst>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d\-mmm\-yy;@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 applyAlignment="1">
      <alignment horizontal="center"/>
    </xf>
    <xf numFmtId="0" fontId="0" fillId="0" borderId="0" xfId="0" applyAlignment="1"/>
    <xf numFmtId="176" fontId="5" fillId="0" borderId="0" xfId="0" applyNumberFormat="1" applyFont="1" applyAlignment="1">
      <alignment horizontal="center"/>
    </xf>
    <xf numFmtId="10" fontId="5" fillId="0" borderId="0" xfId="1" applyNumberFormat="1" applyFont="1" applyAlignment="1">
      <alignment horizontal="right"/>
    </xf>
    <xf numFmtId="10" fontId="0" fillId="0" borderId="0" xfId="0" applyNumberFormat="1" applyAlignment="1"/>
    <xf numFmtId="0" fontId="4" fillId="0" borderId="0" xfId="0" applyFont="1" applyAlignment="1"/>
    <xf numFmtId="177" fontId="0" fillId="0" borderId="0" xfId="0" applyNumberFormat="1" applyAlignme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6" fillId="0" borderId="0" xfId="0" applyFont="1" applyAlignment="1"/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419100</xdr:colOff>
      <xdr:row>5</xdr:row>
      <xdr:rowOff>7620</xdr:rowOff>
    </xdr:from>
    <xdr:to>
      <xdr:col>20</xdr:col>
      <xdr:colOff>320040</xdr:colOff>
      <xdr:row>41</xdr:row>
      <xdr:rowOff>20955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02A6661-D0C4-5D37-2AA9-2249306B2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27620" y="929640"/>
          <a:ext cx="6614160" cy="6492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3">
          <cell r="A3" t="str">
            <v>Date</v>
          </cell>
          <cell r="B3" t="str">
            <v>GE</v>
          </cell>
          <cell r="C3" t="str">
            <v>MSFT</v>
          </cell>
          <cell r="D3" t="str">
            <v>JNJ</v>
          </cell>
          <cell r="E3" t="str">
            <v>K</v>
          </cell>
          <cell r="F3" t="str">
            <v>BA</v>
          </cell>
          <cell r="G3" t="str">
            <v>IBM</v>
          </cell>
        </row>
        <row r="23">
          <cell r="A23">
            <v>34337</v>
          </cell>
          <cell r="B23">
            <v>0.56444671520508838</v>
          </cell>
          <cell r="C23">
            <v>-1.5037877364540559E-2</v>
          </cell>
          <cell r="D23">
            <v>6.0103924069705515E-2</v>
          </cell>
          <cell r="E23">
            <v>-9.7915436027565986E-2</v>
          </cell>
          <cell r="F23">
            <v>0.58731171832467999</v>
          </cell>
          <cell r="G23">
            <v>0.21513873977235295</v>
          </cell>
        </row>
        <row r="24">
          <cell r="A24">
            <v>34702</v>
          </cell>
          <cell r="B24">
            <v>0.18232155679395459</v>
          </cell>
          <cell r="C24">
            <v>0.33213383502261484</v>
          </cell>
          <cell r="D24">
            <v>0.41559877382296978</v>
          </cell>
          <cell r="E24">
            <v>7.4571937519298012E-2</v>
          </cell>
          <cell r="F24">
            <v>-2.3781224049673243E-3</v>
          </cell>
          <cell r="G24">
            <v>6.038318283896326E-2</v>
          </cell>
        </row>
        <row r="25">
          <cell r="A25">
            <v>35066</v>
          </cell>
          <cell r="B25">
            <v>0.56932183044759921</v>
          </cell>
          <cell r="C25">
            <v>0.44280277854580868</v>
          </cell>
          <cell r="D25">
            <v>0.57713846354436926</v>
          </cell>
          <cell r="E25">
            <v>0.37761004630609196</v>
          </cell>
          <cell r="F25">
            <v>0.65554420578107764</v>
          </cell>
          <cell r="G25">
            <v>0.27325133966115783</v>
          </cell>
        </row>
        <row r="26">
          <cell r="A26">
            <v>35432</v>
          </cell>
          <cell r="B26">
            <v>0.42867843048794668</v>
          </cell>
          <cell r="C26">
            <v>0.79115085799206308</v>
          </cell>
          <cell r="D26">
            <v>0.22940287091404585</v>
          </cell>
          <cell r="E26">
            <v>-5.0876389807343811E-2</v>
          </cell>
          <cell r="F26">
            <v>0.5434160567213141</v>
          </cell>
          <cell r="G26">
            <v>0.41084015158897974</v>
          </cell>
        </row>
        <row r="27">
          <cell r="A27">
            <v>35797</v>
          </cell>
          <cell r="B27">
            <v>0.47111330200617335</v>
          </cell>
          <cell r="C27">
            <v>0.38036365668032207</v>
          </cell>
          <cell r="D27">
            <v>0.17623377849310673</v>
          </cell>
          <cell r="E27">
            <v>0.32039589477196262</v>
          </cell>
          <cell r="F27">
            <v>0.37114264453303181</v>
          </cell>
          <cell r="G27">
            <v>2.6291992182133208E-2</v>
          </cell>
        </row>
        <row r="28">
          <cell r="A28">
            <v>36164</v>
          </cell>
          <cell r="B28">
            <v>0.34547568192446243</v>
          </cell>
          <cell r="C28">
            <v>0.8525379124482414</v>
          </cell>
          <cell r="D28">
            <v>0.26618332488068819</v>
          </cell>
          <cell r="E28">
            <v>-0.10737956563486276</v>
          </cell>
          <cell r="F28">
            <v>0.15053557753818592</v>
          </cell>
          <cell r="G28">
            <v>-2.1107275447946366E-2</v>
          </cell>
        </row>
        <row r="29">
          <cell r="A29">
            <v>36528</v>
          </cell>
          <cell r="B29">
            <v>0.28152972131185594</v>
          </cell>
          <cell r="C29">
            <v>0.11200200440985024</v>
          </cell>
          <cell r="D29">
            <v>3.4111834506863122E-2</v>
          </cell>
          <cell r="E29">
            <v>-0.48928618090838627</v>
          </cell>
          <cell r="F29">
            <v>0.43526794343187897</v>
          </cell>
          <cell r="G29">
            <v>0.23764678955224222</v>
          </cell>
        </row>
        <row r="30">
          <cell r="A30">
            <v>36893</v>
          </cell>
          <cell r="B30">
            <v>4.6071091921937368E-2</v>
          </cell>
          <cell r="C30">
            <v>-0.47194325389691516</v>
          </cell>
          <cell r="D30">
            <v>0.10688374519834776</v>
          </cell>
          <cell r="E30">
            <v>0.11666758657251773</v>
          </cell>
          <cell r="F30">
            <v>0.28291473002020701</v>
          </cell>
          <cell r="G30">
            <v>0.21762375809061188</v>
          </cell>
        </row>
        <row r="31">
          <cell r="A31">
            <v>37258</v>
          </cell>
          <cell r="B31">
            <v>-0.19742801479649347</v>
          </cell>
          <cell r="C31">
            <v>4.2697300467286127E-2</v>
          </cell>
          <cell r="D31">
            <v>0.23114796006900939</v>
          </cell>
          <cell r="E31">
            <v>0.19904599973514916</v>
          </cell>
          <cell r="F31">
            <v>-0.15086637755437701</v>
          </cell>
          <cell r="G31">
            <v>4.5485151822900263E-2</v>
          </cell>
        </row>
        <row r="32">
          <cell r="A32">
            <v>37623</v>
          </cell>
          <cell r="B32">
            <v>-0.44784992572779375</v>
          </cell>
          <cell r="C32">
            <v>-0.29467288579706979</v>
          </cell>
          <cell r="D32">
            <v>-5.6657596004628455E-2</v>
          </cell>
          <cell r="E32">
            <v>0.10883878003415107</v>
          </cell>
          <cell r="F32">
            <v>-0.23230595878763066</v>
          </cell>
          <cell r="G32">
            <v>0.15535325852434001</v>
          </cell>
        </row>
        <row r="33">
          <cell r="A33">
            <v>37988</v>
          </cell>
          <cell r="B33">
            <v>0.35900929586965324</v>
          </cell>
          <cell r="C33">
            <v>0.18005140825941549</v>
          </cell>
          <cell r="D33">
            <v>-1.2736567388731407E-2</v>
          </cell>
          <cell r="E33">
            <v>0.1548647105609153</v>
          </cell>
          <cell r="F33">
            <v>0.39822571885658403</v>
          </cell>
          <cell r="G33">
            <v>0.31795050205482422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H33"/>
  <sheetViews>
    <sheetView tabSelected="1" zoomScale="160" zoomScaleNormal="160" workbookViewId="0">
      <selection activeCell="S3" sqref="S3"/>
    </sheetView>
  </sheetViews>
  <sheetFormatPr defaultRowHeight="13.8" x14ac:dyDescent="0.25"/>
  <cols>
    <col min="1" max="1" width="10.44140625" style="2" customWidth="1"/>
    <col min="2" max="7" width="8.88671875" style="2"/>
    <col min="8" max="8" width="32.44140625" style="2" bestFit="1" customWidth="1"/>
  </cols>
  <sheetData>
    <row r="1" spans="1:8" ht="17.399999999999999" x14ac:dyDescent="0.3">
      <c r="A1" s="11" t="s">
        <v>0</v>
      </c>
      <c r="B1" s="11"/>
      <c r="C1" s="11"/>
      <c r="D1" s="11"/>
      <c r="E1" s="11"/>
      <c r="F1" s="11"/>
      <c r="G1" s="11"/>
      <c r="H1" s="11"/>
    </row>
    <row r="2" spans="1:8" x14ac:dyDescent="0.25">
      <c r="A2" s="1" t="str">
        <f>'[1]Page 292-95'!A3</f>
        <v>Date</v>
      </c>
      <c r="B2" s="1" t="str">
        <f>'[1]Page 292-95'!B3</f>
        <v>GE</v>
      </c>
      <c r="C2" s="1" t="str">
        <f>'[1]Page 292-95'!C3</f>
        <v>MSFT</v>
      </c>
      <c r="D2" s="1" t="str">
        <f>'[1]Page 292-95'!D3</f>
        <v>JNJ</v>
      </c>
      <c r="E2" s="1" t="str">
        <f>'[1]Page 292-95'!E3</f>
        <v>K</v>
      </c>
      <c r="F2" s="1" t="str">
        <f>'[1]Page 292-95'!F3</f>
        <v>BA</v>
      </c>
      <c r="G2" s="1" t="str">
        <f>'[1]Page 292-95'!G3</f>
        <v>IBM</v>
      </c>
    </row>
    <row r="3" spans="1:8" x14ac:dyDescent="0.25">
      <c r="A3" s="3">
        <f>'[1]Page 292-95'!A23</f>
        <v>34337</v>
      </c>
      <c r="B3" s="4">
        <f>'[1]Page 292-95'!B23</f>
        <v>0.56444671520508838</v>
      </c>
      <c r="C3" s="4">
        <f>'[1]Page 292-95'!C23</f>
        <v>-1.5037877364540559E-2</v>
      </c>
      <c r="D3" s="4">
        <f>'[1]Page 292-95'!D23</f>
        <v>6.0103924069705515E-2</v>
      </c>
      <c r="E3" s="4">
        <f>'[1]Page 292-95'!E23</f>
        <v>-9.7915436027565986E-2</v>
      </c>
      <c r="F3" s="4">
        <f>'[1]Page 292-95'!F23</f>
        <v>0.58731171832467999</v>
      </c>
      <c r="G3" s="4">
        <f>'[1]Page 292-95'!G23</f>
        <v>0.21513873977235295</v>
      </c>
    </row>
    <row r="4" spans="1:8" x14ac:dyDescent="0.25">
      <c r="A4" s="3">
        <f>'[1]Page 292-95'!A24</f>
        <v>34702</v>
      </c>
      <c r="B4" s="4">
        <f>'[1]Page 292-95'!B24</f>
        <v>0.18232155679395459</v>
      </c>
      <c r="C4" s="4">
        <f>'[1]Page 292-95'!C24</f>
        <v>0.33213383502261484</v>
      </c>
      <c r="D4" s="4">
        <f>'[1]Page 292-95'!D24</f>
        <v>0.41559877382296978</v>
      </c>
      <c r="E4" s="4">
        <f>'[1]Page 292-95'!E24</f>
        <v>7.4571937519298012E-2</v>
      </c>
      <c r="F4" s="4">
        <f>'[1]Page 292-95'!F24</f>
        <v>-2.3781224049673243E-3</v>
      </c>
      <c r="G4" s="4">
        <f>'[1]Page 292-95'!G24</f>
        <v>6.038318283896326E-2</v>
      </c>
    </row>
    <row r="5" spans="1:8" x14ac:dyDescent="0.25">
      <c r="A5" s="3">
        <f>'[1]Page 292-95'!A25</f>
        <v>35066</v>
      </c>
      <c r="B5" s="4">
        <f>'[1]Page 292-95'!B25</f>
        <v>0.56932183044759921</v>
      </c>
      <c r="C5" s="4">
        <f>'[1]Page 292-95'!C25</f>
        <v>0.44280277854580868</v>
      </c>
      <c r="D5" s="4">
        <f>'[1]Page 292-95'!D25</f>
        <v>0.57713846354436926</v>
      </c>
      <c r="E5" s="4">
        <f>'[1]Page 292-95'!E25</f>
        <v>0.37761004630609196</v>
      </c>
      <c r="F5" s="4">
        <f>'[1]Page 292-95'!F25</f>
        <v>0.65554420578107764</v>
      </c>
      <c r="G5" s="4">
        <f>'[1]Page 292-95'!G25</f>
        <v>0.27325133966115783</v>
      </c>
    </row>
    <row r="6" spans="1:8" x14ac:dyDescent="0.25">
      <c r="A6" s="3">
        <f>'[1]Page 292-95'!A26</f>
        <v>35432</v>
      </c>
      <c r="B6" s="4">
        <f>'[1]Page 292-95'!B26</f>
        <v>0.42867843048794668</v>
      </c>
      <c r="C6" s="4">
        <f>'[1]Page 292-95'!C26</f>
        <v>0.79115085799206308</v>
      </c>
      <c r="D6" s="4">
        <f>'[1]Page 292-95'!D26</f>
        <v>0.22940287091404585</v>
      </c>
      <c r="E6" s="4">
        <f>'[1]Page 292-95'!E26</f>
        <v>-5.0876389807343811E-2</v>
      </c>
      <c r="F6" s="4">
        <f>'[1]Page 292-95'!F26</f>
        <v>0.5434160567213141</v>
      </c>
      <c r="G6" s="4">
        <f>'[1]Page 292-95'!G26</f>
        <v>0.41084015158897974</v>
      </c>
    </row>
    <row r="7" spans="1:8" x14ac:dyDescent="0.25">
      <c r="A7" s="3">
        <f>'[1]Page 292-95'!A27</f>
        <v>35797</v>
      </c>
      <c r="B7" s="4">
        <f>'[1]Page 292-95'!B27</f>
        <v>0.47111330200617335</v>
      </c>
      <c r="C7" s="4">
        <f>'[1]Page 292-95'!C27</f>
        <v>0.38036365668032207</v>
      </c>
      <c r="D7" s="4">
        <f>'[1]Page 292-95'!D27</f>
        <v>0.17623377849310673</v>
      </c>
      <c r="E7" s="4">
        <f>'[1]Page 292-95'!E27</f>
        <v>0.32039589477196262</v>
      </c>
      <c r="F7" s="4">
        <f>'[1]Page 292-95'!F27</f>
        <v>0.37114264453303181</v>
      </c>
      <c r="G7" s="4">
        <f>'[1]Page 292-95'!G27</f>
        <v>2.6291992182133208E-2</v>
      </c>
    </row>
    <row r="8" spans="1:8" x14ac:dyDescent="0.25">
      <c r="A8" s="3">
        <f>'[1]Page 292-95'!A28</f>
        <v>36164</v>
      </c>
      <c r="B8" s="4">
        <f>'[1]Page 292-95'!B28</f>
        <v>0.34547568192446243</v>
      </c>
      <c r="C8" s="4">
        <f>'[1]Page 292-95'!C28</f>
        <v>0.8525379124482414</v>
      </c>
      <c r="D8" s="4">
        <f>'[1]Page 292-95'!D28</f>
        <v>0.26618332488068819</v>
      </c>
      <c r="E8" s="4">
        <f>'[1]Page 292-95'!E28</f>
        <v>-0.10737956563486276</v>
      </c>
      <c r="F8" s="4">
        <f>'[1]Page 292-95'!F28</f>
        <v>0.15053557753818592</v>
      </c>
      <c r="G8" s="4">
        <f>'[1]Page 292-95'!G28</f>
        <v>-2.1107275447946366E-2</v>
      </c>
    </row>
    <row r="9" spans="1:8" x14ac:dyDescent="0.25">
      <c r="A9" s="3">
        <f>'[1]Page 292-95'!A29</f>
        <v>36528</v>
      </c>
      <c r="B9" s="4">
        <f>'[1]Page 292-95'!B29</f>
        <v>0.28152972131185594</v>
      </c>
      <c r="C9" s="4">
        <f>'[1]Page 292-95'!C29</f>
        <v>0.11200200440985024</v>
      </c>
      <c r="D9" s="4">
        <f>'[1]Page 292-95'!D29</f>
        <v>3.4111834506863122E-2</v>
      </c>
      <c r="E9" s="4">
        <f>'[1]Page 292-95'!E29</f>
        <v>-0.48928618090838627</v>
      </c>
      <c r="F9" s="4">
        <f>'[1]Page 292-95'!F29</f>
        <v>0.43526794343187897</v>
      </c>
      <c r="G9" s="4">
        <f>'[1]Page 292-95'!G29</f>
        <v>0.23764678955224222</v>
      </c>
    </row>
    <row r="10" spans="1:8" x14ac:dyDescent="0.25">
      <c r="A10" s="3">
        <f>'[1]Page 292-95'!A30</f>
        <v>36893</v>
      </c>
      <c r="B10" s="4">
        <f>'[1]Page 292-95'!B30</f>
        <v>4.6071091921937368E-2</v>
      </c>
      <c r="C10" s="4">
        <f>'[1]Page 292-95'!C30</f>
        <v>-0.47194325389691516</v>
      </c>
      <c r="D10" s="4">
        <f>'[1]Page 292-95'!D30</f>
        <v>0.10688374519834776</v>
      </c>
      <c r="E10" s="4">
        <f>'[1]Page 292-95'!E30</f>
        <v>0.11666758657251773</v>
      </c>
      <c r="F10" s="4">
        <f>'[1]Page 292-95'!F30</f>
        <v>0.28291473002020701</v>
      </c>
      <c r="G10" s="4">
        <f>'[1]Page 292-95'!G30</f>
        <v>0.21762375809061188</v>
      </c>
    </row>
    <row r="11" spans="1:8" x14ac:dyDescent="0.25">
      <c r="A11" s="3">
        <f>'[1]Page 292-95'!A31</f>
        <v>37258</v>
      </c>
      <c r="B11" s="4">
        <f>'[1]Page 292-95'!B31</f>
        <v>-0.19742801479649347</v>
      </c>
      <c r="C11" s="4">
        <f>'[1]Page 292-95'!C31</f>
        <v>4.2697300467286127E-2</v>
      </c>
      <c r="D11" s="4">
        <f>'[1]Page 292-95'!D31</f>
        <v>0.23114796006900939</v>
      </c>
      <c r="E11" s="4">
        <f>'[1]Page 292-95'!E31</f>
        <v>0.19904599973514916</v>
      </c>
      <c r="F11" s="4">
        <f>'[1]Page 292-95'!F31</f>
        <v>-0.15086637755437701</v>
      </c>
      <c r="G11" s="4">
        <f>'[1]Page 292-95'!G31</f>
        <v>4.5485151822900263E-2</v>
      </c>
    </row>
    <row r="12" spans="1:8" x14ac:dyDescent="0.25">
      <c r="A12" s="3">
        <f>'[1]Page 292-95'!A32</f>
        <v>37623</v>
      </c>
      <c r="B12" s="4">
        <f>'[1]Page 292-95'!B32</f>
        <v>-0.44784992572779375</v>
      </c>
      <c r="C12" s="4">
        <f>'[1]Page 292-95'!C32</f>
        <v>-0.29467288579706979</v>
      </c>
      <c r="D12" s="4">
        <f>'[1]Page 292-95'!D32</f>
        <v>-5.6657596004628455E-2</v>
      </c>
      <c r="E12" s="4">
        <f>'[1]Page 292-95'!E32</f>
        <v>0.10883878003415107</v>
      </c>
      <c r="F12" s="4">
        <f>'[1]Page 292-95'!F32</f>
        <v>-0.23230595878763066</v>
      </c>
      <c r="G12" s="4">
        <f>'[1]Page 292-95'!G32</f>
        <v>0.15535325852434001</v>
      </c>
    </row>
    <row r="13" spans="1:8" x14ac:dyDescent="0.25">
      <c r="A13" s="3">
        <f>'[1]Page 292-95'!A33</f>
        <v>37988</v>
      </c>
      <c r="B13" s="4">
        <f>'[1]Page 292-95'!B33</f>
        <v>0.35900929586965324</v>
      </c>
      <c r="C13" s="4">
        <f>'[1]Page 292-95'!C33</f>
        <v>0.18005140825941549</v>
      </c>
      <c r="D13" s="4">
        <f>'[1]Page 292-95'!D33</f>
        <v>-1.2736567388731407E-2</v>
      </c>
      <c r="E13" s="4">
        <f>'[1]Page 292-95'!E33</f>
        <v>0.1548647105609153</v>
      </c>
      <c r="F13" s="4">
        <f>'[1]Page 292-95'!F33</f>
        <v>0.39822571885658403</v>
      </c>
      <c r="G13" s="4">
        <f>'[1]Page 292-95'!G33</f>
        <v>0.31795050205482422</v>
      </c>
    </row>
    <row r="14" spans="1:8" x14ac:dyDescent="0.25">
      <c r="A14" s="3"/>
    </row>
    <row r="15" spans="1:8" x14ac:dyDescent="0.25">
      <c r="A15" s="1" t="s">
        <v>1</v>
      </c>
      <c r="B15" s="1" t="str">
        <f t="shared" ref="B15:G15" si="0">B2</f>
        <v>GE</v>
      </c>
      <c r="C15" s="1" t="str">
        <f t="shared" si="0"/>
        <v>MSFT</v>
      </c>
      <c r="D15" s="1" t="str">
        <f t="shared" si="0"/>
        <v>JNJ</v>
      </c>
      <c r="E15" s="1" t="str">
        <f t="shared" si="0"/>
        <v>K</v>
      </c>
      <c r="F15" s="1" t="str">
        <f t="shared" si="0"/>
        <v>BA</v>
      </c>
      <c r="G15" s="1" t="str">
        <f t="shared" si="0"/>
        <v>IBM</v>
      </c>
    </row>
    <row r="16" spans="1:8" x14ac:dyDescent="0.25">
      <c r="A16" s="1"/>
      <c r="B16" s="5">
        <f t="shared" ref="B16:G16" si="1">AVERAGE(B3:B13)</f>
        <v>0.23660815322221673</v>
      </c>
      <c r="C16" s="5">
        <f t="shared" si="1"/>
        <v>0.21382597606973422</v>
      </c>
      <c r="D16" s="5">
        <f t="shared" si="1"/>
        <v>0.1843100465550678</v>
      </c>
      <c r="E16" s="5">
        <f t="shared" si="1"/>
        <v>5.5139762101993367E-2</v>
      </c>
      <c r="F16" s="5">
        <f t="shared" si="1"/>
        <v>0.27625528513272585</v>
      </c>
      <c r="G16" s="5">
        <f t="shared" si="1"/>
        <v>0.17625978096732356</v>
      </c>
      <c r="H16" s="5" t="str">
        <f ca="1">[2]!getformula(G16)</f>
        <v>&lt;--  =AVERAGE(G3:G13)</v>
      </c>
    </row>
    <row r="17" spans="1:8" x14ac:dyDescent="0.25">
      <c r="B17" s="5">
        <f t="shared" ref="B17:G17" si="2">SUM(B3:B13)/COUNT(B3:B13)</f>
        <v>0.23660815322221673</v>
      </c>
      <c r="C17" s="5">
        <f t="shared" si="2"/>
        <v>0.21382597606973422</v>
      </c>
      <c r="D17" s="5">
        <f t="shared" si="2"/>
        <v>0.1843100465550678</v>
      </c>
      <c r="E17" s="5">
        <f t="shared" si="2"/>
        <v>5.5139762101993367E-2</v>
      </c>
      <c r="F17" s="5">
        <f t="shared" si="2"/>
        <v>0.27625528513272585</v>
      </c>
      <c r="G17" s="5">
        <f t="shared" si="2"/>
        <v>0.17625978096732356</v>
      </c>
      <c r="H17" s="5" t="str">
        <f ca="1">[2]!getformula(G17)</f>
        <v>&lt;--  =SUM(G3:G13)/COUNT(G3:G13)</v>
      </c>
    </row>
    <row r="18" spans="1:8" x14ac:dyDescent="0.25">
      <c r="H18" s="5"/>
    </row>
    <row r="19" spans="1:8" x14ac:dyDescent="0.25">
      <c r="A19" s="6" t="s">
        <v>2</v>
      </c>
      <c r="B19" s="1" t="str">
        <f t="shared" ref="B19:G19" si="3">B2</f>
        <v>GE</v>
      </c>
      <c r="C19" s="1" t="str">
        <f t="shared" si="3"/>
        <v>MSFT</v>
      </c>
      <c r="D19" s="1" t="str">
        <f t="shared" si="3"/>
        <v>JNJ</v>
      </c>
      <c r="E19" s="1" t="str">
        <f t="shared" si="3"/>
        <v>K</v>
      </c>
      <c r="F19" s="1" t="str">
        <f t="shared" si="3"/>
        <v>BA</v>
      </c>
      <c r="G19" s="1" t="str">
        <f t="shared" si="3"/>
        <v>IBM</v>
      </c>
    </row>
    <row r="20" spans="1:8" x14ac:dyDescent="0.25">
      <c r="B20" s="7">
        <f t="shared" ref="B20:G20" si="4">COVAR(B3:B13,B3:B13)</f>
        <v>9.4093996275157632E-2</v>
      </c>
      <c r="C20" s="7">
        <f t="shared" si="4"/>
        <v>0.15067654004825776</v>
      </c>
      <c r="D20" s="7">
        <f t="shared" si="4"/>
        <v>3.2698047459157345E-2</v>
      </c>
      <c r="E20" s="7">
        <f t="shared" si="4"/>
        <v>5.1775117753808296E-2</v>
      </c>
      <c r="F20" s="7">
        <f t="shared" si="4"/>
        <v>8.1428210312996574E-2</v>
      </c>
      <c r="G20" s="7">
        <f t="shared" si="4"/>
        <v>1.6719368634440245E-2</v>
      </c>
      <c r="H20" s="5" t="str">
        <f ca="1">[2]!getformula(G20)</f>
        <v>&lt;--  =COVAR(G3:G13,G3:G13)</v>
      </c>
    </row>
    <row r="21" spans="1:8" x14ac:dyDescent="0.25">
      <c r="B21" s="7">
        <f t="shared" ref="B21:G21" si="5">VARP(B3:B13)</f>
        <v>9.4093996275157632E-2</v>
      </c>
      <c r="C21" s="7">
        <f t="shared" si="5"/>
        <v>0.15067654004825773</v>
      </c>
      <c r="D21" s="7">
        <f t="shared" si="5"/>
        <v>3.2698047459157331E-2</v>
      </c>
      <c r="E21" s="7">
        <f t="shared" si="5"/>
        <v>5.1775117753808296E-2</v>
      </c>
      <c r="F21" s="7">
        <f t="shared" si="5"/>
        <v>8.1428210312996588E-2</v>
      </c>
      <c r="G21" s="7">
        <f t="shared" si="5"/>
        <v>1.6719368634440252E-2</v>
      </c>
      <c r="H21" s="5" t="str">
        <f ca="1">[2]!getformula(G21)</f>
        <v>&lt;--  =VARP(G3:G13)</v>
      </c>
    </row>
    <row r="22" spans="1:8" x14ac:dyDescent="0.25">
      <c r="B22" s="7">
        <f t="shared" ref="B22:G22" si="6">VAR(B3:B13)</f>
        <v>0.10350339590267339</v>
      </c>
      <c r="C22" s="7">
        <f t="shared" si="6"/>
        <v>0.16574419405308352</v>
      </c>
      <c r="D22" s="7">
        <f t="shared" si="6"/>
        <v>3.5967852205073064E-2</v>
      </c>
      <c r="E22" s="7">
        <f t="shared" si="6"/>
        <v>5.6952629529189128E-2</v>
      </c>
      <c r="F22" s="7">
        <f t="shared" si="6"/>
        <v>8.9571031344296254E-2</v>
      </c>
      <c r="G22" s="7">
        <f t="shared" si="6"/>
        <v>1.8391305497884276E-2</v>
      </c>
      <c r="H22" s="5" t="str">
        <f ca="1">[2]!getformula(G22)</f>
        <v>&lt;--  =VAR(G3:G13)</v>
      </c>
    </row>
    <row r="24" spans="1:8" ht="26.4" x14ac:dyDescent="0.25">
      <c r="A24" s="8" t="s">
        <v>3</v>
      </c>
      <c r="B24" s="9" t="str">
        <f t="shared" ref="B24:G24" si="7">B2</f>
        <v>GE</v>
      </c>
      <c r="C24" s="9" t="str">
        <f t="shared" si="7"/>
        <v>MSFT</v>
      </c>
      <c r="D24" s="9" t="str">
        <f t="shared" si="7"/>
        <v>JNJ</v>
      </c>
      <c r="E24" s="9" t="str">
        <f t="shared" si="7"/>
        <v>K</v>
      </c>
      <c r="F24" s="9" t="str">
        <f t="shared" si="7"/>
        <v>BA</v>
      </c>
      <c r="G24" s="9" t="str">
        <f t="shared" si="7"/>
        <v>IBM</v>
      </c>
    </row>
    <row r="25" spans="1:8" x14ac:dyDescent="0.25">
      <c r="B25" s="7">
        <f t="shared" ref="B25:G25" si="8">SQRT(B20)</f>
        <v>0.3067474470556481</v>
      </c>
      <c r="C25" s="7">
        <f t="shared" si="8"/>
        <v>0.38817076145461776</v>
      </c>
      <c r="D25" s="7">
        <f t="shared" si="8"/>
        <v>0.18082601433189127</v>
      </c>
      <c r="E25" s="7">
        <f t="shared" si="8"/>
        <v>0.22754146381222104</v>
      </c>
      <c r="F25" s="7">
        <f t="shared" si="8"/>
        <v>0.28535628661902052</v>
      </c>
      <c r="G25" s="7">
        <f t="shared" si="8"/>
        <v>0.12930339761367543</v>
      </c>
      <c r="H25" s="5" t="str">
        <f ca="1">[2]!getformula(G25)</f>
        <v>&lt;--  =SQRT(G20)</v>
      </c>
    </row>
    <row r="26" spans="1:8" x14ac:dyDescent="0.25">
      <c r="B26" s="7">
        <f t="shared" ref="B26:G26" si="9">STDEVP(B3:B13)</f>
        <v>0.3067474470556481</v>
      </c>
      <c r="C26" s="7">
        <f t="shared" si="9"/>
        <v>0.38817076145461771</v>
      </c>
      <c r="D26" s="7">
        <f t="shared" si="9"/>
        <v>0.18082601433189122</v>
      </c>
      <c r="E26" s="7">
        <f t="shared" si="9"/>
        <v>0.22754146381222104</v>
      </c>
      <c r="F26" s="7">
        <f t="shared" si="9"/>
        <v>0.28535628661902052</v>
      </c>
      <c r="G26" s="7">
        <f t="shared" si="9"/>
        <v>0.12930339761367546</v>
      </c>
      <c r="H26" s="5" t="str">
        <f ca="1">[2]!getformula(G26)</f>
        <v>&lt;--  =STDEVP(G3:G13)</v>
      </c>
    </row>
    <row r="27" spans="1:8" x14ac:dyDescent="0.25">
      <c r="B27" s="7">
        <f t="shared" ref="B27:G27" si="10">STDEV(B3:B13)</f>
        <v>0.32171943662556884</v>
      </c>
      <c r="C27" s="7">
        <f t="shared" si="10"/>
        <v>0.40711692921454828</v>
      </c>
      <c r="D27" s="7">
        <f t="shared" si="10"/>
        <v>0.18965192381063015</v>
      </c>
      <c r="E27" s="7">
        <f t="shared" si="10"/>
        <v>0.23864750057184578</v>
      </c>
      <c r="F27" s="7">
        <f t="shared" si="10"/>
        <v>0.29928419828700653</v>
      </c>
      <c r="G27" s="7">
        <f t="shared" si="10"/>
        <v>0.13561454751568608</v>
      </c>
      <c r="H27" s="5" t="str">
        <f ca="1">[2]!getformula(G27)</f>
        <v>&lt;--  =STDEV(G3:G13)</v>
      </c>
    </row>
    <row r="29" spans="1:8" x14ac:dyDescent="0.25">
      <c r="A29" s="6" t="s">
        <v>4</v>
      </c>
    </row>
    <row r="30" spans="1:8" x14ac:dyDescent="0.25">
      <c r="B30" s="7">
        <f>COVAR(B3:B13,C3:C13)</f>
        <v>6.8953197683177148E-2</v>
      </c>
      <c r="C30" s="10" t="str">
        <f ca="1">[2]!getformula(B30)</f>
        <v>&lt;--  =COVAR(B3:B13,C3:C13)</v>
      </c>
    </row>
    <row r="31" spans="1:8" x14ac:dyDescent="0.25">
      <c r="B31" s="7">
        <f t="array" ref="B31">MMULT(TRANSPOSE(B3:B13-B16),C3:C13-C16)/11</f>
        <v>6.8953197683177148E-2</v>
      </c>
      <c r="C31" s="2" t="str">
        <f ca="1">[2]!getformula(B31)</f>
        <v>&lt;--  {=MMULT(TRANSPOSE(B3:B13-B16),C3:C13-C16)/11}</v>
      </c>
    </row>
    <row r="32" spans="1:8" x14ac:dyDescent="0.25">
      <c r="B32" s="7">
        <f t="array" ref="B32">MMULT(TRANSPOSE(B3:B13-B16),C3:C13-C16)/10</f>
        <v>7.5848517451494873E-2</v>
      </c>
      <c r="C32" s="2" t="str">
        <f ca="1">[2]!getformula(B32)</f>
        <v>&lt;--  {=MMULT(TRANSPOSE(B3:B13-B16),C3:C13-C16)/10}</v>
      </c>
    </row>
    <row r="33" spans="2:3" x14ac:dyDescent="0.25">
      <c r="B33" s="7">
        <f>COVAR(B3:B13,C3:C13)*11/10</f>
        <v>7.584851745149486E-2</v>
      </c>
      <c r="C33" s="10" t="str">
        <f ca="1">[2]!getformula(B33)</f>
        <v>&lt;--  =COVAR(B3:B13,C3:C13)*11/10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2024-10-30T09:10:28Z</dcterms:modified>
</cp:coreProperties>
</file>