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B66CBB01-7924-47D0-A1BE-79EF2D48AFD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D19" i="1"/>
  <c r="E19" i="1"/>
  <c r="F19" i="1"/>
  <c r="G19" i="1"/>
  <c r="B19" i="1"/>
  <c r="A64" i="1"/>
  <c r="A63" i="1"/>
  <c r="G33" i="1"/>
  <c r="F33" i="1"/>
  <c r="E33" i="1"/>
  <c r="D33" i="1"/>
  <c r="C33" i="1"/>
  <c r="B33" i="1"/>
  <c r="G32" i="1"/>
  <c r="F32" i="1"/>
  <c r="E32" i="1"/>
  <c r="D32" i="1"/>
  <c r="C32" i="1"/>
  <c r="B32" i="1"/>
  <c r="G31" i="1"/>
  <c r="F31" i="1"/>
  <c r="E31" i="1"/>
  <c r="D31" i="1"/>
  <c r="C31" i="1"/>
  <c r="B31" i="1"/>
  <c r="G30" i="1"/>
  <c r="F30" i="1"/>
  <c r="E30" i="1"/>
  <c r="D30" i="1"/>
  <c r="C30" i="1"/>
  <c r="B30" i="1"/>
  <c r="G29" i="1"/>
  <c r="F29" i="1"/>
  <c r="E29" i="1"/>
  <c r="D29" i="1"/>
  <c r="C29" i="1"/>
  <c r="B29" i="1"/>
  <c r="G28" i="1"/>
  <c r="F28" i="1"/>
  <c r="E28" i="1"/>
  <c r="D28" i="1"/>
  <c r="C28" i="1"/>
  <c r="B28" i="1"/>
  <c r="G27" i="1"/>
  <c r="F27" i="1"/>
  <c r="E27" i="1"/>
  <c r="D27" i="1"/>
  <c r="C27" i="1"/>
  <c r="B27" i="1"/>
  <c r="G26" i="1"/>
  <c r="F26" i="1"/>
  <c r="E26" i="1"/>
  <c r="D26" i="1"/>
  <c r="C26" i="1"/>
  <c r="B26" i="1"/>
  <c r="G25" i="1"/>
  <c r="F25" i="1"/>
  <c r="E25" i="1"/>
  <c r="D25" i="1"/>
  <c r="C25" i="1"/>
  <c r="B25" i="1"/>
  <c r="G24" i="1"/>
  <c r="F24" i="1"/>
  <c r="E24" i="1"/>
  <c r="D24" i="1"/>
  <c r="C24" i="1"/>
  <c r="B24" i="1"/>
  <c r="G23" i="1"/>
  <c r="F23" i="1"/>
  <c r="E23" i="1"/>
  <c r="D23" i="1"/>
  <c r="C23" i="1"/>
  <c r="C36" i="1" s="1"/>
  <c r="B23" i="1"/>
  <c r="G18" i="1"/>
  <c r="F18" i="1"/>
  <c r="E18" i="1"/>
  <c r="D18" i="1"/>
  <c r="C18" i="1"/>
  <c r="B18" i="1"/>
  <c r="A54" i="1"/>
  <c r="H37" i="1"/>
  <c r="H24" i="1"/>
  <c r="H43" i="1"/>
  <c r="H23" i="1"/>
  <c r="A65" i="1"/>
  <c r="H19" i="1"/>
  <c r="A69" i="1"/>
  <c r="H42" i="1"/>
  <c r="H36" i="1"/>
  <c r="H35" i="1"/>
  <c r="H18" i="1"/>
  <c r="E35" i="1" l="1"/>
  <c r="E44" i="1" s="1"/>
  <c r="E36" i="1"/>
  <c r="B36" i="1"/>
  <c r="G35" i="1"/>
  <c r="G49" i="1" s="1"/>
  <c r="F35" i="1"/>
  <c r="F49" i="1" s="1"/>
  <c r="B45" i="1"/>
  <c r="G47" i="1"/>
  <c r="G42" i="1"/>
  <c r="G48" i="1"/>
  <c r="G43" i="1"/>
  <c r="E46" i="1"/>
  <c r="G51" i="1"/>
  <c r="B44" i="1"/>
  <c r="B52" i="1"/>
  <c r="D36" i="1"/>
  <c r="F36" i="1"/>
  <c r="B37" i="1"/>
  <c r="C37" i="1"/>
  <c r="G36" i="1"/>
  <c r="B35" i="1"/>
  <c r="B48" i="1" s="1"/>
  <c r="D37" i="1"/>
  <c r="C35" i="1"/>
  <c r="C44" i="1" s="1"/>
  <c r="E37" i="1"/>
  <c r="D35" i="1"/>
  <c r="D43" i="1" s="1"/>
  <c r="F37" i="1"/>
  <c r="G37" i="1"/>
  <c r="B42" i="1"/>
  <c r="E42" i="1" l="1"/>
  <c r="E49" i="1"/>
  <c r="E47" i="1"/>
  <c r="G46" i="1"/>
  <c r="E45" i="1"/>
  <c r="E43" i="1"/>
  <c r="E51" i="1"/>
  <c r="E50" i="1"/>
  <c r="E48" i="1"/>
  <c r="E52" i="1"/>
  <c r="G45" i="1"/>
  <c r="G52" i="1"/>
  <c r="G50" i="1"/>
  <c r="F43" i="1"/>
  <c r="F42" i="1"/>
  <c r="D44" i="1"/>
  <c r="C51" i="1"/>
  <c r="C52" i="1"/>
  <c r="G44" i="1"/>
  <c r="B71" i="1" a="1"/>
  <c r="C74" i="1" s="1"/>
  <c r="F50" i="1"/>
  <c r="F46" i="1"/>
  <c r="F44" i="1"/>
  <c r="F47" i="1"/>
  <c r="F52" i="1"/>
  <c r="F45" i="1"/>
  <c r="F51" i="1"/>
  <c r="F48" i="1"/>
  <c r="D51" i="1"/>
  <c r="D48" i="1"/>
  <c r="D49" i="1"/>
  <c r="D45" i="1"/>
  <c r="C46" i="1"/>
  <c r="C43" i="1"/>
  <c r="C48" i="1"/>
  <c r="C45" i="1"/>
  <c r="C50" i="1"/>
  <c r="C49" i="1"/>
  <c r="B46" i="1"/>
  <c r="B51" i="1"/>
  <c r="B43" i="1"/>
  <c r="B47" i="1"/>
  <c r="B50" i="1"/>
  <c r="D47" i="1"/>
  <c r="C47" i="1"/>
  <c r="B49" i="1"/>
  <c r="D42" i="1"/>
  <c r="C42" i="1"/>
  <c r="D46" i="1"/>
  <c r="D50" i="1"/>
  <c r="D52" i="1"/>
  <c r="B56" i="1" l="1" a="1"/>
  <c r="B57" i="1" s="1"/>
  <c r="F74" i="1"/>
  <c r="B76" i="1"/>
  <c r="D72" i="1"/>
  <c r="B71" i="1"/>
  <c r="G75" i="1"/>
  <c r="G76" i="1"/>
  <c r="C72" i="1"/>
  <c r="B75" i="1"/>
  <c r="F73" i="1"/>
  <c r="E74" i="1"/>
  <c r="B72" i="1"/>
  <c r="D73" i="1"/>
  <c r="E73" i="1"/>
  <c r="G74" i="1"/>
  <c r="C76" i="1"/>
  <c r="E72" i="1"/>
  <c r="D76" i="1"/>
  <c r="C75" i="1"/>
  <c r="C71" i="1"/>
  <c r="D75" i="1"/>
  <c r="E76" i="1"/>
  <c r="F72" i="1"/>
  <c r="G72" i="1"/>
  <c r="D71" i="1"/>
  <c r="E75" i="1"/>
  <c r="B74" i="1"/>
  <c r="B73" i="1"/>
  <c r="F76" i="1"/>
  <c r="F71" i="1"/>
  <c r="D74" i="1"/>
  <c r="E71" i="1"/>
  <c r="G73" i="1"/>
  <c r="F75" i="1"/>
  <c r="G71" i="1"/>
  <c r="C73" i="1"/>
  <c r="F58" i="1" l="1"/>
  <c r="C56" i="1"/>
  <c r="G58" i="1"/>
  <c r="F59" i="1"/>
  <c r="G59" i="1"/>
  <c r="D57" i="1"/>
  <c r="D61" i="1"/>
  <c r="C57" i="1"/>
  <c r="E61" i="1"/>
  <c r="B60" i="1"/>
  <c r="D56" i="1"/>
  <c r="E57" i="1"/>
  <c r="B59" i="1"/>
  <c r="C60" i="1"/>
  <c r="F61" i="1"/>
  <c r="F57" i="1"/>
  <c r="E56" i="1"/>
  <c r="D60" i="1"/>
  <c r="C58" i="1"/>
  <c r="C59" i="1"/>
  <c r="G57" i="1"/>
  <c r="G60" i="1"/>
  <c r="G61" i="1"/>
  <c r="E60" i="1"/>
  <c r="D58" i="1"/>
  <c r="F56" i="1"/>
  <c r="B58" i="1"/>
  <c r="B61" i="1"/>
  <c r="D59" i="1"/>
  <c r="F60" i="1"/>
  <c r="E58" i="1"/>
  <c r="G56" i="1"/>
  <c r="C61" i="1"/>
  <c r="E59" i="1"/>
  <c r="B56" i="1"/>
</calcChain>
</file>

<file path=xl/sharedStrings.xml><?xml version="1.0" encoding="utf-8"?>
<sst xmlns="http://schemas.openxmlformats.org/spreadsheetml/2006/main" count="57" uniqueCount="19">
  <si>
    <r>
      <t xml:space="preserve">ANNUAL STOCK PRICE AND RETURN DATA FOR SIX STOCKS
</t>
    </r>
    <r>
      <rPr>
        <sz val="12"/>
        <rFont val="Arial"/>
        <family val="2"/>
      </rPr>
      <t>General Electric (GE), Microsoft (MSFT), Johnson &amp; Johnson (JNJ), Kellogg (K), Boeing (BA), IBM</t>
    </r>
  </si>
  <si>
    <t>Price data</t>
  </si>
  <si>
    <t>Date</t>
  </si>
  <si>
    <t>GE</t>
  </si>
  <si>
    <t>MSFT</t>
  </si>
  <si>
    <t>JNJ</t>
  </si>
  <si>
    <t>K</t>
  </si>
  <si>
    <t>BA</t>
  </si>
  <si>
    <t>IBM</t>
  </si>
  <si>
    <t xml:space="preserve">Shares outstanding </t>
  </si>
  <si>
    <t>Market value</t>
  </si>
  <si>
    <t>Percentage of portfolio</t>
  </si>
  <si>
    <t>Return data</t>
  </si>
  <si>
    <t>Average</t>
  </si>
  <si>
    <t>Standard deviation</t>
  </si>
  <si>
    <t>Variance</t>
  </si>
  <si>
    <t>Excess returns</t>
  </si>
  <si>
    <t>3.  When finished typing, hit [Ctrl]+[Shift]+[Enter] to put in the formula as an array formula.</t>
  </si>
  <si>
    <t>In one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</si>
</sst>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5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>
      <alignment horizontal="center"/>
    </xf>
    <xf numFmtId="2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/>
    <xf numFmtId="10" fontId="0" fillId="0" borderId="0" xfId="0" applyNumberFormat="1" applyAlignment="1"/>
    <xf numFmtId="176" fontId="0" fillId="0" borderId="0" xfId="0" applyNumberFormat="1" applyAlignment="1"/>
    <xf numFmtId="0" fontId="5" fillId="0" borderId="0" xfId="0" applyFont="1" applyAlignment="1">
      <alignment horizont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 wrapText="1"/>
    </xf>
    <xf numFmtId="14" fontId="0" fillId="0" borderId="0" xfId="0" applyNumberFormat="1" applyAlignment="1">
      <alignment horizontal="center"/>
    </xf>
    <xf numFmtId="176" fontId="0" fillId="2" borderId="0" xfId="0" applyNumberFormat="1" applyFill="1" applyAlignment="1"/>
    <xf numFmtId="0" fontId="6" fillId="2" borderId="0" xfId="0" applyFont="1" applyFill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430824</xdr:colOff>
      <xdr:row>0</xdr:row>
      <xdr:rowOff>98181</xdr:rowOff>
    </xdr:from>
    <xdr:to>
      <xdr:col>20</xdr:col>
      <xdr:colOff>251314</xdr:colOff>
      <xdr:row>78</xdr:row>
      <xdr:rowOff>125711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678B4FA-02E8-90C0-C658-A8997E880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67247" y="98181"/>
          <a:ext cx="7127630" cy="1369841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80"/>
  <sheetViews>
    <sheetView tabSelected="1" topLeftCell="A37" zoomScale="160" zoomScaleNormal="160" workbookViewId="0">
      <selection activeCell="A69" sqref="A69:G69"/>
    </sheetView>
  </sheetViews>
  <sheetFormatPr defaultRowHeight="13.8" x14ac:dyDescent="0.25"/>
  <cols>
    <col min="1" max="1" width="21.6640625" style="5" customWidth="1"/>
    <col min="2" max="2" width="9.109375" style="2" bestFit="1" customWidth="1"/>
    <col min="3" max="7" width="8.88671875" style="2"/>
    <col min="8" max="8" width="29.109375" style="2" customWidth="1"/>
  </cols>
  <sheetData>
    <row r="1" spans="1:8" ht="17.399999999999999" x14ac:dyDescent="0.25">
      <c r="A1" s="17" t="s">
        <v>0</v>
      </c>
      <c r="B1" s="18"/>
      <c r="C1" s="18"/>
      <c r="D1" s="18"/>
      <c r="E1" s="18"/>
      <c r="F1" s="18"/>
      <c r="G1" s="18"/>
      <c r="H1" s="18"/>
    </row>
    <row r="2" spans="1:8" x14ac:dyDescent="0.25">
      <c r="A2" s="1" t="s">
        <v>1</v>
      </c>
    </row>
    <row r="3" spans="1:8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/>
    </row>
    <row r="4" spans="1:8" x14ac:dyDescent="0.25">
      <c r="A4" s="14">
        <v>33973</v>
      </c>
      <c r="B4" s="4">
        <v>2.36</v>
      </c>
      <c r="C4" s="4">
        <v>2.68</v>
      </c>
      <c r="D4" s="4">
        <v>6.78</v>
      </c>
      <c r="E4" s="4">
        <v>20.37</v>
      </c>
      <c r="F4" s="4">
        <v>2.34</v>
      </c>
      <c r="G4" s="4">
        <v>11.79</v>
      </c>
      <c r="H4" s="4"/>
    </row>
    <row r="5" spans="1:8" x14ac:dyDescent="0.25">
      <c r="A5" s="14">
        <v>34337</v>
      </c>
      <c r="B5" s="4">
        <v>4.1500000000000004</v>
      </c>
      <c r="C5" s="4">
        <v>2.64</v>
      </c>
      <c r="D5" s="4">
        <v>7.2</v>
      </c>
      <c r="E5" s="4">
        <v>18.47</v>
      </c>
      <c r="F5" s="4">
        <v>4.21</v>
      </c>
      <c r="G5" s="4">
        <v>14.62</v>
      </c>
      <c r="H5" s="4"/>
    </row>
    <row r="6" spans="1:8" x14ac:dyDescent="0.25">
      <c r="A6" s="14">
        <v>34702</v>
      </c>
      <c r="B6" s="4">
        <v>4.9800000000000004</v>
      </c>
      <c r="C6" s="4">
        <v>3.68</v>
      </c>
      <c r="D6" s="4">
        <v>10.91</v>
      </c>
      <c r="E6" s="4">
        <v>19.899999999999999</v>
      </c>
      <c r="F6" s="4">
        <v>4.2</v>
      </c>
      <c r="G6" s="4">
        <v>15.53</v>
      </c>
      <c r="H6" s="4"/>
    </row>
    <row r="7" spans="1:8" x14ac:dyDescent="0.25">
      <c r="A7" s="14">
        <v>35066</v>
      </c>
      <c r="B7" s="4">
        <v>8.8000000000000007</v>
      </c>
      <c r="C7" s="4">
        <v>5.73</v>
      </c>
      <c r="D7" s="4">
        <v>19.43</v>
      </c>
      <c r="E7" s="4">
        <v>29.03</v>
      </c>
      <c r="F7" s="4">
        <v>8.09</v>
      </c>
      <c r="G7" s="4">
        <v>20.41</v>
      </c>
      <c r="H7" s="4"/>
    </row>
    <row r="8" spans="1:8" x14ac:dyDescent="0.25">
      <c r="A8" s="14">
        <v>35432</v>
      </c>
      <c r="B8" s="4">
        <v>13.51</v>
      </c>
      <c r="C8" s="4">
        <v>12.64</v>
      </c>
      <c r="D8" s="4">
        <v>24.44</v>
      </c>
      <c r="E8" s="4">
        <v>27.59</v>
      </c>
      <c r="F8" s="4">
        <v>13.93</v>
      </c>
      <c r="G8" s="4">
        <v>30.78</v>
      </c>
      <c r="H8" s="4"/>
    </row>
    <row r="9" spans="1:8" x14ac:dyDescent="0.25">
      <c r="A9" s="14">
        <v>35797</v>
      </c>
      <c r="B9" s="4">
        <v>21.64</v>
      </c>
      <c r="C9" s="4">
        <v>18.489999999999998</v>
      </c>
      <c r="D9" s="4">
        <v>29.15</v>
      </c>
      <c r="E9" s="4">
        <v>38.01</v>
      </c>
      <c r="F9" s="4">
        <v>20.190000000000001</v>
      </c>
      <c r="G9" s="4">
        <v>31.6</v>
      </c>
      <c r="H9" s="4"/>
    </row>
    <row r="10" spans="1:8" x14ac:dyDescent="0.25">
      <c r="A10" s="14">
        <v>36164</v>
      </c>
      <c r="B10" s="4">
        <v>30.57</v>
      </c>
      <c r="C10" s="4">
        <v>43.37</v>
      </c>
      <c r="D10" s="4">
        <v>38.04</v>
      </c>
      <c r="E10" s="4">
        <v>34.14</v>
      </c>
      <c r="F10" s="4">
        <v>23.47</v>
      </c>
      <c r="G10" s="4">
        <v>30.94</v>
      </c>
      <c r="H10" s="4"/>
    </row>
    <row r="11" spans="1:8" x14ac:dyDescent="0.25">
      <c r="A11" s="14">
        <v>36528</v>
      </c>
      <c r="B11" s="4">
        <v>40.51</v>
      </c>
      <c r="C11" s="4">
        <v>48.51</v>
      </c>
      <c r="D11" s="4">
        <v>39.36</v>
      </c>
      <c r="E11" s="4">
        <v>20.93</v>
      </c>
      <c r="F11" s="4">
        <v>36.270000000000003</v>
      </c>
      <c r="G11" s="4">
        <v>39.24</v>
      </c>
      <c r="H11" s="4"/>
    </row>
    <row r="12" spans="1:8" x14ac:dyDescent="0.25">
      <c r="A12" s="14">
        <v>36893</v>
      </c>
      <c r="B12" s="4">
        <v>42.42</v>
      </c>
      <c r="C12" s="4">
        <v>30.26</v>
      </c>
      <c r="D12" s="4">
        <v>43.8</v>
      </c>
      <c r="E12" s="4">
        <v>23.52</v>
      </c>
      <c r="F12" s="4">
        <v>48.13</v>
      </c>
      <c r="G12" s="4">
        <v>48.78</v>
      </c>
      <c r="H12" s="4"/>
    </row>
    <row r="13" spans="1:8" x14ac:dyDescent="0.25">
      <c r="A13" s="14">
        <v>37258</v>
      </c>
      <c r="B13" s="4">
        <v>34.82</v>
      </c>
      <c r="C13" s="4">
        <v>31.58</v>
      </c>
      <c r="D13" s="4">
        <v>55.19</v>
      </c>
      <c r="E13" s="4">
        <v>28.7</v>
      </c>
      <c r="F13" s="4">
        <v>41.39</v>
      </c>
      <c r="G13" s="4">
        <v>51.05</v>
      </c>
      <c r="H13" s="4"/>
    </row>
    <row r="14" spans="1:8" x14ac:dyDescent="0.25">
      <c r="A14" s="14">
        <v>37623</v>
      </c>
      <c r="B14" s="4">
        <v>22.25</v>
      </c>
      <c r="C14" s="4">
        <v>23.52</v>
      </c>
      <c r="D14" s="4">
        <v>52.15</v>
      </c>
      <c r="E14" s="4">
        <v>32</v>
      </c>
      <c r="F14" s="4">
        <v>32.81</v>
      </c>
      <c r="G14" s="4">
        <v>59.63</v>
      </c>
      <c r="H14" s="4"/>
    </row>
    <row r="15" spans="1:8" x14ac:dyDescent="0.25">
      <c r="A15" s="14">
        <v>37988</v>
      </c>
      <c r="B15" s="4">
        <v>31.86</v>
      </c>
      <c r="C15" s="4">
        <v>28.16</v>
      </c>
      <c r="D15" s="4">
        <v>51.49</v>
      </c>
      <c r="E15" s="4">
        <v>37.36</v>
      </c>
      <c r="F15" s="4">
        <v>48.86</v>
      </c>
      <c r="G15" s="4">
        <v>81.95</v>
      </c>
      <c r="H15" s="4"/>
    </row>
    <row r="16" spans="1:8" x14ac:dyDescent="0.25">
      <c r="A16" s="3"/>
    </row>
    <row r="17" spans="1:8" x14ac:dyDescent="0.25">
      <c r="A17" s="3" t="s">
        <v>9</v>
      </c>
      <c r="B17" s="4">
        <v>10.56</v>
      </c>
      <c r="C17" s="4">
        <v>10.86</v>
      </c>
      <c r="D17" s="4">
        <v>2.97</v>
      </c>
      <c r="E17" s="4">
        <v>0.41341</v>
      </c>
      <c r="F17" s="4">
        <v>0.83943000000000001</v>
      </c>
      <c r="G17" s="4">
        <v>0.79471000000000003</v>
      </c>
      <c r="H17" s="4"/>
    </row>
    <row r="18" spans="1:8" x14ac:dyDescent="0.25">
      <c r="A18" s="3" t="s">
        <v>10</v>
      </c>
      <c r="B18" s="4">
        <f t="shared" ref="B18:G18" si="0">B15*B17</f>
        <v>336.44159999999999</v>
      </c>
      <c r="C18" s="4">
        <f t="shared" si="0"/>
        <v>305.81759999999997</v>
      </c>
      <c r="D18" s="4">
        <f t="shared" si="0"/>
        <v>152.92530000000002</v>
      </c>
      <c r="E18" s="4">
        <f t="shared" si="0"/>
        <v>15.444997599999999</v>
      </c>
      <c r="F18" s="4">
        <f t="shared" si="0"/>
        <v>41.014549799999998</v>
      </c>
      <c r="G18" s="4">
        <f t="shared" si="0"/>
        <v>65.126484500000004</v>
      </c>
      <c r="H18" s="4" t="str">
        <f ca="1">[1]!getformula(G18)</f>
        <v>&lt;--  =G15*G17</v>
      </c>
    </row>
    <row r="19" spans="1:8" x14ac:dyDescent="0.25">
      <c r="A19" s="5" t="s">
        <v>11</v>
      </c>
      <c r="B19" s="6">
        <f>B18/SUM($B$18:$G$18)</f>
        <v>0.3669856177671062</v>
      </c>
      <c r="C19" s="6">
        <f t="shared" ref="C19:G19" si="1">C18/SUM($B$18:$G$18)</f>
        <v>0.33358140271611408</v>
      </c>
      <c r="D19" s="6">
        <f t="shared" si="1"/>
        <v>0.16680869931875264</v>
      </c>
      <c r="E19" s="6">
        <f t="shared" si="1"/>
        <v>1.6847179378672174E-2</v>
      </c>
      <c r="F19" s="6">
        <f t="shared" si="1"/>
        <v>4.4738076075588572E-2</v>
      </c>
      <c r="G19" s="6">
        <f t="shared" si="1"/>
        <v>7.103902474376643E-2</v>
      </c>
      <c r="H19" s="4" t="str">
        <f ca="1">[1]!getformula(G19)</f>
        <v>&lt;--  =G18/SUM($B$18:$G$18)</v>
      </c>
    </row>
    <row r="21" spans="1:8" x14ac:dyDescent="0.25">
      <c r="A21" s="1" t="s">
        <v>12</v>
      </c>
    </row>
    <row r="22" spans="1:8" x14ac:dyDescent="0.25">
      <c r="A22" s="1" t="s">
        <v>2</v>
      </c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/>
    </row>
    <row r="23" spans="1:8" x14ac:dyDescent="0.25">
      <c r="A23" s="14">
        <v>34337</v>
      </c>
      <c r="B23" s="6">
        <f t="shared" ref="B23:G33" si="2">LN(B5/B4)</f>
        <v>0.56444671520508838</v>
      </c>
      <c r="C23" s="6">
        <f t="shared" si="2"/>
        <v>-1.5037877364540559E-2</v>
      </c>
      <c r="D23" s="6">
        <f t="shared" si="2"/>
        <v>6.0103924069705515E-2</v>
      </c>
      <c r="E23" s="6">
        <f t="shared" si="2"/>
        <v>-9.7915436027565986E-2</v>
      </c>
      <c r="F23" s="6">
        <f t="shared" si="2"/>
        <v>0.58731171832467999</v>
      </c>
      <c r="G23" s="6">
        <f t="shared" si="2"/>
        <v>0.21513873977235295</v>
      </c>
      <c r="H23" s="6" t="str">
        <f ca="1">[1]!getformula(G23)</f>
        <v>&lt;--  =LN(G5/G4)</v>
      </c>
    </row>
    <row r="24" spans="1:8" x14ac:dyDescent="0.25">
      <c r="A24" s="14">
        <v>34702</v>
      </c>
      <c r="B24" s="6">
        <f t="shared" si="2"/>
        <v>0.18232155679395459</v>
      </c>
      <c r="C24" s="6">
        <f t="shared" si="2"/>
        <v>0.33213383502261484</v>
      </c>
      <c r="D24" s="6">
        <f t="shared" si="2"/>
        <v>0.41559877382296978</v>
      </c>
      <c r="E24" s="6">
        <f t="shared" si="2"/>
        <v>7.4571937519298012E-2</v>
      </c>
      <c r="F24" s="6">
        <f t="shared" si="2"/>
        <v>-2.3781224049673243E-3</v>
      </c>
      <c r="G24" s="6">
        <f t="shared" si="2"/>
        <v>6.038318283896326E-2</v>
      </c>
      <c r="H24" s="6" t="str">
        <f ca="1">[1]!getformula(G24)</f>
        <v>&lt;--  =LN(G6/G5)</v>
      </c>
    </row>
    <row r="25" spans="1:8" x14ac:dyDescent="0.25">
      <c r="A25" s="14">
        <v>35066</v>
      </c>
      <c r="B25" s="6">
        <f t="shared" si="2"/>
        <v>0.56932183044759921</v>
      </c>
      <c r="C25" s="6">
        <f t="shared" si="2"/>
        <v>0.44280277854580868</v>
      </c>
      <c r="D25" s="6">
        <f t="shared" si="2"/>
        <v>0.57713846354436926</v>
      </c>
      <c r="E25" s="6">
        <f t="shared" si="2"/>
        <v>0.37761004630609196</v>
      </c>
      <c r="F25" s="6">
        <f t="shared" si="2"/>
        <v>0.65554420578107764</v>
      </c>
      <c r="G25" s="6">
        <f t="shared" si="2"/>
        <v>0.27325133966115783</v>
      </c>
      <c r="H25" s="6"/>
    </row>
    <row r="26" spans="1:8" x14ac:dyDescent="0.25">
      <c r="A26" s="14">
        <v>35432</v>
      </c>
      <c r="B26" s="6">
        <f t="shared" si="2"/>
        <v>0.42867843048794668</v>
      </c>
      <c r="C26" s="6">
        <f t="shared" si="2"/>
        <v>0.79115085799206308</v>
      </c>
      <c r="D26" s="6">
        <f t="shared" si="2"/>
        <v>0.22940287091404585</v>
      </c>
      <c r="E26" s="6">
        <f t="shared" si="2"/>
        <v>-5.0876389807343811E-2</v>
      </c>
      <c r="F26" s="6">
        <f t="shared" si="2"/>
        <v>0.5434160567213141</v>
      </c>
      <c r="G26" s="6">
        <f t="shared" si="2"/>
        <v>0.41084015158897974</v>
      </c>
      <c r="H26" s="6"/>
    </row>
    <row r="27" spans="1:8" x14ac:dyDescent="0.25">
      <c r="A27" s="14">
        <v>35797</v>
      </c>
      <c r="B27" s="6">
        <f t="shared" si="2"/>
        <v>0.47111330200617335</v>
      </c>
      <c r="C27" s="6">
        <f t="shared" si="2"/>
        <v>0.38036365668032207</v>
      </c>
      <c r="D27" s="6">
        <f t="shared" si="2"/>
        <v>0.17623377849310673</v>
      </c>
      <c r="E27" s="6">
        <f t="shared" si="2"/>
        <v>0.32039589477196262</v>
      </c>
      <c r="F27" s="6">
        <f t="shared" si="2"/>
        <v>0.37114264453303181</v>
      </c>
      <c r="G27" s="6">
        <f t="shared" si="2"/>
        <v>2.6291992182133208E-2</v>
      </c>
      <c r="H27" s="6"/>
    </row>
    <row r="28" spans="1:8" x14ac:dyDescent="0.25">
      <c r="A28" s="14">
        <v>36164</v>
      </c>
      <c r="B28" s="6">
        <f t="shared" si="2"/>
        <v>0.34547568192446243</v>
      </c>
      <c r="C28" s="6">
        <f t="shared" si="2"/>
        <v>0.8525379124482414</v>
      </c>
      <c r="D28" s="6">
        <f t="shared" si="2"/>
        <v>0.26618332488068819</v>
      </c>
      <c r="E28" s="6">
        <f t="shared" si="2"/>
        <v>-0.10737956563486276</v>
      </c>
      <c r="F28" s="6">
        <f t="shared" si="2"/>
        <v>0.15053557753818592</v>
      </c>
      <c r="G28" s="6">
        <f t="shared" si="2"/>
        <v>-2.1107275447946366E-2</v>
      </c>
      <c r="H28" s="6"/>
    </row>
    <row r="29" spans="1:8" x14ac:dyDescent="0.25">
      <c r="A29" s="14">
        <v>36528</v>
      </c>
      <c r="B29" s="6">
        <f t="shared" si="2"/>
        <v>0.28152972131185594</v>
      </c>
      <c r="C29" s="6">
        <f t="shared" si="2"/>
        <v>0.11200200440985024</v>
      </c>
      <c r="D29" s="6">
        <f t="shared" si="2"/>
        <v>3.4111834506863122E-2</v>
      </c>
      <c r="E29" s="6">
        <f t="shared" si="2"/>
        <v>-0.48928618090838627</v>
      </c>
      <c r="F29" s="6">
        <f t="shared" si="2"/>
        <v>0.43526794343187897</v>
      </c>
      <c r="G29" s="6">
        <f t="shared" si="2"/>
        <v>0.23764678955224222</v>
      </c>
      <c r="H29" s="6"/>
    </row>
    <row r="30" spans="1:8" x14ac:dyDescent="0.25">
      <c r="A30" s="14">
        <v>36893</v>
      </c>
      <c r="B30" s="6">
        <f t="shared" si="2"/>
        <v>4.6071091921937368E-2</v>
      </c>
      <c r="C30" s="6">
        <f t="shared" si="2"/>
        <v>-0.47194325389691516</v>
      </c>
      <c r="D30" s="6">
        <f t="shared" si="2"/>
        <v>0.10688374519834776</v>
      </c>
      <c r="E30" s="6">
        <f t="shared" si="2"/>
        <v>0.11666758657251773</v>
      </c>
      <c r="F30" s="6">
        <f t="shared" si="2"/>
        <v>0.28291473002020701</v>
      </c>
      <c r="G30" s="6">
        <f t="shared" si="2"/>
        <v>0.21762375809061188</v>
      </c>
      <c r="H30" s="6"/>
    </row>
    <row r="31" spans="1:8" x14ac:dyDescent="0.25">
      <c r="A31" s="14">
        <v>37258</v>
      </c>
      <c r="B31" s="6">
        <f t="shared" si="2"/>
        <v>-0.19742801479649347</v>
      </c>
      <c r="C31" s="6">
        <f t="shared" si="2"/>
        <v>4.2697300467286127E-2</v>
      </c>
      <c r="D31" s="6">
        <f t="shared" si="2"/>
        <v>0.23114796006900939</v>
      </c>
      <c r="E31" s="6">
        <f t="shared" si="2"/>
        <v>0.19904599973514916</v>
      </c>
      <c r="F31" s="6">
        <f t="shared" si="2"/>
        <v>-0.15086637755437701</v>
      </c>
      <c r="G31" s="6">
        <f t="shared" si="2"/>
        <v>4.5485151822900263E-2</v>
      </c>
      <c r="H31" s="6"/>
    </row>
    <row r="32" spans="1:8" x14ac:dyDescent="0.25">
      <c r="A32" s="14">
        <v>37623</v>
      </c>
      <c r="B32" s="6">
        <f t="shared" si="2"/>
        <v>-0.44784992572779375</v>
      </c>
      <c r="C32" s="6">
        <f t="shared" si="2"/>
        <v>-0.29467288579706979</v>
      </c>
      <c r="D32" s="6">
        <f t="shared" si="2"/>
        <v>-5.6657596004628455E-2</v>
      </c>
      <c r="E32" s="6">
        <f t="shared" si="2"/>
        <v>0.10883878003415107</v>
      </c>
      <c r="F32" s="6">
        <f t="shared" si="2"/>
        <v>-0.23230595878763066</v>
      </c>
      <c r="G32" s="6">
        <f t="shared" si="2"/>
        <v>0.15535325852434001</v>
      </c>
      <c r="H32" s="6"/>
    </row>
    <row r="33" spans="1:8" x14ac:dyDescent="0.25">
      <c r="A33" s="14">
        <v>37988</v>
      </c>
      <c r="B33" s="6">
        <f t="shared" si="2"/>
        <v>0.35900929586965324</v>
      </c>
      <c r="C33" s="6">
        <f t="shared" si="2"/>
        <v>0.18005140825941549</v>
      </c>
      <c r="D33" s="6">
        <f t="shared" si="2"/>
        <v>-1.2736567388731407E-2</v>
      </c>
      <c r="E33" s="6">
        <f t="shared" si="2"/>
        <v>0.1548647105609153</v>
      </c>
      <c r="F33" s="6">
        <f t="shared" si="2"/>
        <v>0.39822571885658403</v>
      </c>
      <c r="G33" s="6">
        <f t="shared" si="2"/>
        <v>0.31795050205482422</v>
      </c>
      <c r="H33" s="6"/>
    </row>
    <row r="35" spans="1:8" x14ac:dyDescent="0.25">
      <c r="A35" s="5" t="s">
        <v>13</v>
      </c>
      <c r="B35" s="7">
        <f t="shared" ref="B35:G35" si="3">AVERAGE(B23:B33)</f>
        <v>0.23660815322221673</v>
      </c>
      <c r="C35" s="7">
        <f t="shared" si="3"/>
        <v>0.21382597606973422</v>
      </c>
      <c r="D35" s="7">
        <f t="shared" si="3"/>
        <v>0.1843100465550678</v>
      </c>
      <c r="E35" s="7">
        <f t="shared" si="3"/>
        <v>5.5139762101993367E-2</v>
      </c>
      <c r="F35" s="7">
        <f t="shared" si="3"/>
        <v>0.27625528513272585</v>
      </c>
      <c r="G35" s="7">
        <f t="shared" si="3"/>
        <v>0.17625978096732356</v>
      </c>
      <c r="H35" s="4" t="str">
        <f ca="1">[1]!getformula(G35)</f>
        <v>&lt;--  =AVERAGE(G23:G33)</v>
      </c>
    </row>
    <row r="36" spans="1:8" x14ac:dyDescent="0.25">
      <c r="A36" s="5" t="s">
        <v>14</v>
      </c>
      <c r="B36" s="6">
        <f t="shared" ref="B36:G36" si="4">STDEV(B23:B33)</f>
        <v>0.32171943662556884</v>
      </c>
      <c r="C36" s="6">
        <f t="shared" si="4"/>
        <v>0.40711692921454828</v>
      </c>
      <c r="D36" s="6">
        <f t="shared" si="4"/>
        <v>0.18965192381063015</v>
      </c>
      <c r="E36" s="6">
        <f t="shared" si="4"/>
        <v>0.23864750057184578</v>
      </c>
      <c r="F36" s="6">
        <f t="shared" si="4"/>
        <v>0.29928419828700653</v>
      </c>
      <c r="G36" s="6">
        <f t="shared" si="4"/>
        <v>0.13561454751568608</v>
      </c>
      <c r="H36" s="4" t="str">
        <f ca="1">[1]!getformula(G36)</f>
        <v>&lt;--  =STDEV(G23:G33)</v>
      </c>
    </row>
    <row r="37" spans="1:8" x14ac:dyDescent="0.25">
      <c r="A37" s="5" t="s">
        <v>15</v>
      </c>
      <c r="B37" s="8">
        <f t="shared" ref="B37:G37" si="5">VAR(B23:B33)</f>
        <v>0.10350339590267339</v>
      </c>
      <c r="C37" s="8">
        <f t="shared" si="5"/>
        <v>0.16574419405308352</v>
      </c>
      <c r="D37" s="8">
        <f t="shared" si="5"/>
        <v>3.5967852205073064E-2</v>
      </c>
      <c r="E37" s="8">
        <f t="shared" si="5"/>
        <v>5.6952629529189128E-2</v>
      </c>
      <c r="F37" s="8">
        <f t="shared" si="5"/>
        <v>8.9571031344296254E-2</v>
      </c>
      <c r="G37" s="8">
        <f t="shared" si="5"/>
        <v>1.8391305497884276E-2</v>
      </c>
      <c r="H37" s="4" t="str">
        <f ca="1">[1]!getformula(G37)</f>
        <v>&lt;--  =VAR(G23:G33)</v>
      </c>
    </row>
    <row r="40" spans="1:8" x14ac:dyDescent="0.25">
      <c r="A40" s="9" t="s">
        <v>16</v>
      </c>
    </row>
    <row r="41" spans="1:8" x14ac:dyDescent="0.25">
      <c r="A41" s="1" t="s">
        <v>2</v>
      </c>
      <c r="B41" s="1" t="s">
        <v>3</v>
      </c>
      <c r="C41" s="1" t="s">
        <v>4</v>
      </c>
      <c r="D41" s="1" t="s">
        <v>5</v>
      </c>
      <c r="E41" s="1" t="s">
        <v>6</v>
      </c>
      <c r="F41" s="1" t="s">
        <v>7</v>
      </c>
      <c r="G41" s="1" t="s">
        <v>8</v>
      </c>
      <c r="H41" s="1"/>
    </row>
    <row r="42" spans="1:8" x14ac:dyDescent="0.25">
      <c r="A42" s="14">
        <v>34337</v>
      </c>
      <c r="B42" s="6">
        <f t="shared" ref="B42:G52" si="6">B23-B$35</f>
        <v>0.32783856198287165</v>
      </c>
      <c r="C42" s="6">
        <f t="shared" si="6"/>
        <v>-0.22886385343427479</v>
      </c>
      <c r="D42" s="6">
        <f t="shared" si="6"/>
        <v>-0.12420612248536228</v>
      </c>
      <c r="E42" s="6">
        <f t="shared" si="6"/>
        <v>-0.15305519812955937</v>
      </c>
      <c r="F42" s="6">
        <f t="shared" si="6"/>
        <v>0.31105643319195414</v>
      </c>
      <c r="G42" s="6">
        <f t="shared" si="6"/>
        <v>3.8878958805029395E-2</v>
      </c>
      <c r="H42" s="6" t="str">
        <f ca="1">[1]!getformula(G42)</f>
        <v>&lt;--  =G23-G$35</v>
      </c>
    </row>
    <row r="43" spans="1:8" x14ac:dyDescent="0.25">
      <c r="A43" s="14">
        <v>34702</v>
      </c>
      <c r="B43" s="6">
        <f t="shared" si="6"/>
        <v>-5.428659642826214E-2</v>
      </c>
      <c r="C43" s="6">
        <f t="shared" si="6"/>
        <v>0.11830785895288062</v>
      </c>
      <c r="D43" s="6">
        <f t="shared" si="6"/>
        <v>0.23128872726790198</v>
      </c>
      <c r="E43" s="6">
        <f t="shared" si="6"/>
        <v>1.9432175417304645E-2</v>
      </c>
      <c r="F43" s="6">
        <f t="shared" si="6"/>
        <v>-0.27863340753769317</v>
      </c>
      <c r="G43" s="6">
        <f t="shared" si="6"/>
        <v>-0.11587659812836029</v>
      </c>
      <c r="H43" s="6" t="str">
        <f ca="1">[1]!getformula(G43)</f>
        <v>&lt;--  =G24-G$35</v>
      </c>
    </row>
    <row r="44" spans="1:8" x14ac:dyDescent="0.25">
      <c r="A44" s="14">
        <v>35066</v>
      </c>
      <c r="B44" s="6">
        <f t="shared" si="6"/>
        <v>0.33271367722538248</v>
      </c>
      <c r="C44" s="6">
        <f t="shared" si="6"/>
        <v>0.22897680247607446</v>
      </c>
      <c r="D44" s="6">
        <f t="shared" si="6"/>
        <v>0.39282841698930149</v>
      </c>
      <c r="E44" s="6">
        <f t="shared" si="6"/>
        <v>0.32247028420409862</v>
      </c>
      <c r="F44" s="6">
        <f t="shared" si="6"/>
        <v>0.37928892064835179</v>
      </c>
      <c r="G44" s="6">
        <f t="shared" si="6"/>
        <v>9.6991558693834273E-2</v>
      </c>
      <c r="H44" s="6"/>
    </row>
    <row r="45" spans="1:8" x14ac:dyDescent="0.25">
      <c r="A45" s="14">
        <v>35432</v>
      </c>
      <c r="B45" s="6">
        <f t="shared" si="6"/>
        <v>0.19207027726572995</v>
      </c>
      <c r="C45" s="6">
        <f t="shared" si="6"/>
        <v>0.57732488192232889</v>
      </c>
      <c r="D45" s="6">
        <f t="shared" si="6"/>
        <v>4.5092824358978045E-2</v>
      </c>
      <c r="E45" s="6">
        <f t="shared" si="6"/>
        <v>-0.10601615190933718</v>
      </c>
      <c r="F45" s="6">
        <f t="shared" si="6"/>
        <v>0.26716077158858825</v>
      </c>
      <c r="G45" s="6">
        <f t="shared" si="6"/>
        <v>0.23458037062165618</v>
      </c>
      <c r="H45" s="6"/>
    </row>
    <row r="46" spans="1:8" x14ac:dyDescent="0.25">
      <c r="A46" s="14">
        <v>35797</v>
      </c>
      <c r="B46" s="6">
        <f t="shared" si="6"/>
        <v>0.23450514878395662</v>
      </c>
      <c r="C46" s="6">
        <f t="shared" si="6"/>
        <v>0.16653768061058785</v>
      </c>
      <c r="D46" s="6">
        <f t="shared" si="6"/>
        <v>-8.0762680619610727E-3</v>
      </c>
      <c r="E46" s="6">
        <f t="shared" si="6"/>
        <v>0.26525613266996928</v>
      </c>
      <c r="F46" s="6">
        <f t="shared" si="6"/>
        <v>9.488735940030596E-2</v>
      </c>
      <c r="G46" s="6">
        <f t="shared" si="6"/>
        <v>-0.14996778878519035</v>
      </c>
      <c r="H46" s="6"/>
    </row>
    <row r="47" spans="1:8" x14ac:dyDescent="0.25">
      <c r="A47" s="14">
        <v>36164</v>
      </c>
      <c r="B47" s="6">
        <f t="shared" si="6"/>
        <v>0.1088675287022457</v>
      </c>
      <c r="C47" s="6">
        <f t="shared" si="6"/>
        <v>0.63871193637850721</v>
      </c>
      <c r="D47" s="6">
        <f t="shared" si="6"/>
        <v>8.1873278325620386E-2</v>
      </c>
      <c r="E47" s="6">
        <f t="shared" si="6"/>
        <v>-0.16251932773685612</v>
      </c>
      <c r="F47" s="6">
        <f t="shared" si="6"/>
        <v>-0.12571970759453993</v>
      </c>
      <c r="G47" s="6">
        <f t="shared" si="6"/>
        <v>-0.19736705641526991</v>
      </c>
      <c r="H47" s="6"/>
    </row>
    <row r="48" spans="1:8" x14ac:dyDescent="0.25">
      <c r="A48" s="14">
        <v>36528</v>
      </c>
      <c r="B48" s="6">
        <f t="shared" si="6"/>
        <v>4.4921568089639208E-2</v>
      </c>
      <c r="C48" s="6">
        <f t="shared" si="6"/>
        <v>-0.10182397165988398</v>
      </c>
      <c r="D48" s="6">
        <f t="shared" si="6"/>
        <v>-0.15019821204820469</v>
      </c>
      <c r="E48" s="6">
        <f t="shared" si="6"/>
        <v>-0.54442594301037961</v>
      </c>
      <c r="F48" s="6">
        <f t="shared" si="6"/>
        <v>0.15901265829915312</v>
      </c>
      <c r="G48" s="6">
        <f t="shared" si="6"/>
        <v>6.1387008584918662E-2</v>
      </c>
      <c r="H48" s="6"/>
    </row>
    <row r="49" spans="1:8" x14ac:dyDescent="0.25">
      <c r="A49" s="14">
        <v>36893</v>
      </c>
      <c r="B49" s="6">
        <f t="shared" si="6"/>
        <v>-0.19053706130027936</v>
      </c>
      <c r="C49" s="6">
        <f t="shared" si="6"/>
        <v>-0.68576922996664935</v>
      </c>
      <c r="D49" s="6">
        <f t="shared" si="6"/>
        <v>-7.7426301356720045E-2</v>
      </c>
      <c r="E49" s="6">
        <f t="shared" si="6"/>
        <v>6.1527824470524364E-2</v>
      </c>
      <c r="F49" s="6">
        <f t="shared" si="6"/>
        <v>6.6594448874811585E-3</v>
      </c>
      <c r="G49" s="6">
        <f t="shared" si="6"/>
        <v>4.136397712328832E-2</v>
      </c>
      <c r="H49" s="6"/>
    </row>
    <row r="50" spans="1:8" x14ac:dyDescent="0.25">
      <c r="A50" s="14">
        <v>37258</v>
      </c>
      <c r="B50" s="6">
        <f t="shared" si="6"/>
        <v>-0.4340361680187102</v>
      </c>
      <c r="C50" s="6">
        <f t="shared" si="6"/>
        <v>-0.1711286756024481</v>
      </c>
      <c r="D50" s="6">
        <f t="shared" si="6"/>
        <v>4.6837913513941593E-2</v>
      </c>
      <c r="E50" s="6">
        <f t="shared" si="6"/>
        <v>0.1439062376331558</v>
      </c>
      <c r="F50" s="6">
        <f t="shared" si="6"/>
        <v>-0.42712166268710283</v>
      </c>
      <c r="G50" s="6">
        <f t="shared" si="6"/>
        <v>-0.13077462914442328</v>
      </c>
      <c r="H50" s="6"/>
    </row>
    <row r="51" spans="1:8" x14ac:dyDescent="0.25">
      <c r="A51" s="14">
        <v>37623</v>
      </c>
      <c r="B51" s="6">
        <f t="shared" si="6"/>
        <v>-0.68445807895001054</v>
      </c>
      <c r="C51" s="6">
        <f t="shared" si="6"/>
        <v>-0.50849886186680404</v>
      </c>
      <c r="D51" s="6">
        <f t="shared" si="6"/>
        <v>-0.24096764255969627</v>
      </c>
      <c r="E51" s="6">
        <f t="shared" si="6"/>
        <v>5.36990179321577E-2</v>
      </c>
      <c r="F51" s="6">
        <f t="shared" si="6"/>
        <v>-0.50856124392035651</v>
      </c>
      <c r="G51" s="6">
        <f t="shared" si="6"/>
        <v>-2.0906522442983549E-2</v>
      </c>
      <c r="H51" s="6"/>
    </row>
    <row r="52" spans="1:8" x14ac:dyDescent="0.25">
      <c r="A52" s="14">
        <v>37988</v>
      </c>
      <c r="B52" s="6">
        <f t="shared" si="6"/>
        <v>0.12240114264743651</v>
      </c>
      <c r="C52" s="6">
        <f t="shared" si="6"/>
        <v>-3.3774567810318734E-2</v>
      </c>
      <c r="D52" s="6">
        <f t="shared" si="6"/>
        <v>-0.19704661394379921</v>
      </c>
      <c r="E52" s="6">
        <f t="shared" si="6"/>
        <v>9.9724948458921936E-2</v>
      </c>
      <c r="F52" s="6">
        <f t="shared" si="6"/>
        <v>0.12197043372385818</v>
      </c>
      <c r="G52" s="6">
        <f t="shared" si="6"/>
        <v>0.14169072108750067</v>
      </c>
      <c r="H52" s="6"/>
    </row>
    <row r="54" spans="1:8" ht="31.2" customHeight="1" x14ac:dyDescent="0.25">
      <c r="A54" s="19" t="str">
        <f ca="1">"Uses the array formula {"&amp;[1]!getformula(B56)&amp;"} to compute the sample var-cov matrix"</f>
        <v>Uses the array formula {&lt;--  {=MMULT(TRANSPOSE(B42:G52),B42:G52)/10}} to compute the sample var-cov matrix</v>
      </c>
      <c r="B54" s="19"/>
      <c r="C54" s="19"/>
      <c r="D54" s="19"/>
      <c r="E54" s="19"/>
      <c r="F54" s="19"/>
      <c r="G54" s="19"/>
      <c r="H54" s="10"/>
    </row>
    <row r="55" spans="1:8" x14ac:dyDescent="0.25">
      <c r="B55" s="1" t="s">
        <v>3</v>
      </c>
      <c r="C55" s="1" t="s">
        <v>4</v>
      </c>
      <c r="D55" s="1" t="s">
        <v>5</v>
      </c>
      <c r="E55" s="1" t="s">
        <v>6</v>
      </c>
      <c r="F55" s="1" t="s">
        <v>7</v>
      </c>
      <c r="G55" s="1" t="s">
        <v>8</v>
      </c>
      <c r="H55" s="1"/>
    </row>
    <row r="56" spans="1:8" x14ac:dyDescent="0.25">
      <c r="A56" s="1" t="s">
        <v>3</v>
      </c>
      <c r="B56" s="15">
        <f t="array" ref="B56:G61">MMULT(TRANSPOSE(B42:G52),B42:G52)/10</f>
        <v>0.10350339590267339</v>
      </c>
      <c r="C56" s="15">
        <v>7.5848517451494873E-2</v>
      </c>
      <c r="D56" s="15">
        <v>2.2159397029916771E-2</v>
      </c>
      <c r="E56" s="15">
        <v>-4.2982317962569593E-3</v>
      </c>
      <c r="F56" s="15">
        <v>8.5745403769960343E-2</v>
      </c>
      <c r="G56" s="15">
        <v>1.2299771404392935E-2</v>
      </c>
      <c r="H56" s="8"/>
    </row>
    <row r="57" spans="1:8" x14ac:dyDescent="0.25">
      <c r="A57" s="1" t="s">
        <v>4</v>
      </c>
      <c r="B57" s="15">
        <v>7.5848517451494873E-2</v>
      </c>
      <c r="C57" s="15">
        <v>0.16574419405308355</v>
      </c>
      <c r="D57" s="15">
        <v>4.1228178711632993E-2</v>
      </c>
      <c r="E57" s="15">
        <v>-5.1726477136713293E-3</v>
      </c>
      <c r="F57" s="15">
        <v>3.7925440892755881E-2</v>
      </c>
      <c r="G57" s="15">
        <v>-2.2397303974877624E-3</v>
      </c>
      <c r="H57" s="8"/>
    </row>
    <row r="58" spans="1:8" x14ac:dyDescent="0.25">
      <c r="A58" s="1" t="s">
        <v>5</v>
      </c>
      <c r="B58" s="15">
        <v>2.2159397029916771E-2</v>
      </c>
      <c r="C58" s="15">
        <v>4.1228178711632993E-2</v>
      </c>
      <c r="D58" s="15">
        <v>3.5967852205073078E-2</v>
      </c>
      <c r="E58" s="15">
        <v>1.811094996608098E-2</v>
      </c>
      <c r="F58" s="15">
        <v>1.010116224480139E-2</v>
      </c>
      <c r="G58" s="15">
        <v>-3.9328902436987553E-3</v>
      </c>
      <c r="H58" s="8"/>
    </row>
    <row r="59" spans="1:8" x14ac:dyDescent="0.25">
      <c r="A59" s="1" t="s">
        <v>6</v>
      </c>
      <c r="B59" s="15">
        <v>-4.2982317962569593E-3</v>
      </c>
      <c r="C59" s="15">
        <v>-5.1726477136713293E-3</v>
      </c>
      <c r="D59" s="15">
        <v>1.811094996608098E-2</v>
      </c>
      <c r="E59" s="15">
        <v>5.6952629529189128E-2</v>
      </c>
      <c r="F59" s="15">
        <v>-7.6207962734914699E-3</v>
      </c>
      <c r="G59" s="15">
        <v>-4.6186177423792676E-3</v>
      </c>
      <c r="H59" s="8"/>
    </row>
    <row r="60" spans="1:8" x14ac:dyDescent="0.25">
      <c r="A60" s="1" t="s">
        <v>7</v>
      </c>
      <c r="B60" s="15">
        <v>8.5745403769960343E-2</v>
      </c>
      <c r="C60" s="15">
        <v>3.7925440892755881E-2</v>
      </c>
      <c r="D60" s="15">
        <v>1.010116224480139E-2</v>
      </c>
      <c r="E60" s="15">
        <v>-7.6207962734914699E-3</v>
      </c>
      <c r="F60" s="15">
        <v>8.9571031344296226E-2</v>
      </c>
      <c r="G60" s="15">
        <v>2.4822979456358491E-2</v>
      </c>
      <c r="H60" s="8"/>
    </row>
    <row r="61" spans="1:8" x14ac:dyDescent="0.25">
      <c r="A61" s="1" t="s">
        <v>8</v>
      </c>
      <c r="B61" s="15">
        <v>1.2299771404392935E-2</v>
      </c>
      <c r="C61" s="15">
        <v>-2.2397303974877624E-3</v>
      </c>
      <c r="D61" s="15">
        <v>-3.9328902436987553E-3</v>
      </c>
      <c r="E61" s="15">
        <v>-4.6186177423792676E-3</v>
      </c>
      <c r="F61" s="15">
        <v>2.4822979456358491E-2</v>
      </c>
      <c r="G61" s="15">
        <v>1.8391305497884269E-2</v>
      </c>
      <c r="H61" s="8"/>
    </row>
    <row r="63" spans="1:8" x14ac:dyDescent="0.25">
      <c r="A63" s="11" t="str">
        <f>"Note:  To put the array formula into cells "&amp;CHAR(COLUMN(B56)+64)&amp;ROW(B56)&amp;":"&amp;CHAR(COLUMN(G61)+64)&amp;ROW(G61)&amp;":"</f>
        <v>Note:  To put the array formula into cells B56:G61:</v>
      </c>
    </row>
    <row r="64" spans="1:8" x14ac:dyDescent="0.25">
      <c r="A64" s="12" t="str">
        <f>"1.  Mark the whole area "&amp;CHAR(COLUMN(B56)+64)&amp;ROW(B56)&amp;":"&amp;CHAR(COLUMN(G61)+64)&amp;ROW(G61)</f>
        <v>1.  Mark the whole area B56:G61</v>
      </c>
    </row>
    <row r="65" spans="1:8" x14ac:dyDescent="0.25">
      <c r="A65" s="12" t="str">
        <f ca="1">"2.  Type "&amp;[1]!getformula(B56)&amp;" into one of the cells."</f>
        <v>2.  Type &lt;--  {=MMULT(TRANSPOSE(B42:G52),B42:G52)/10} into one of the cells.</v>
      </c>
    </row>
    <row r="66" spans="1:8" x14ac:dyDescent="0.25">
      <c r="A66" s="12" t="s">
        <v>17</v>
      </c>
    </row>
    <row r="67" spans="1:8" x14ac:dyDescent="0.25">
      <c r="A67" s="12"/>
    </row>
    <row r="68" spans="1:8" ht="15.6" x14ac:dyDescent="0.3">
      <c r="A68" s="16" t="s">
        <v>18</v>
      </c>
    </row>
    <row r="69" spans="1:8" ht="31.2" customHeight="1" x14ac:dyDescent="0.25">
      <c r="A69" s="19" t="str">
        <f ca="1">"Uses the array formula {"&amp;[1]!getformula(B71)&amp;"} to compute the sample var-cov matrix"</f>
        <v>Uses the array formula {&lt;--  {=MMULT(TRANSPOSE(B23:G33-B35:G35),B23:G33-B35:G35)/10}} to compute the sample var-cov matrix</v>
      </c>
      <c r="B69" s="19"/>
      <c r="C69" s="19"/>
      <c r="D69" s="19"/>
      <c r="E69" s="19"/>
      <c r="F69" s="19"/>
      <c r="G69" s="19"/>
      <c r="H69" s="13"/>
    </row>
    <row r="70" spans="1:8" x14ac:dyDescent="0.25"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  <c r="G70" s="1" t="s">
        <v>8</v>
      </c>
      <c r="H70" s="1"/>
    </row>
    <row r="71" spans="1:8" x14ac:dyDescent="0.25">
      <c r="A71" s="1" t="s">
        <v>3</v>
      </c>
      <c r="B71" s="8">
        <f t="array" ref="B71:G76">MMULT(TRANSPOSE(B23:G33-B35:G35),B23:G33-B35:G35)/10</f>
        <v>0.10350339590267339</v>
      </c>
      <c r="C71" s="8">
        <v>7.5848517451494873E-2</v>
      </c>
      <c r="D71" s="8">
        <v>2.2159397029916771E-2</v>
      </c>
      <c r="E71" s="8">
        <v>-4.2982317962569593E-3</v>
      </c>
      <c r="F71" s="8">
        <v>8.5745403769960343E-2</v>
      </c>
      <c r="G71" s="8">
        <v>1.2299771404392935E-2</v>
      </c>
      <c r="H71" s="8"/>
    </row>
    <row r="72" spans="1:8" x14ac:dyDescent="0.25">
      <c r="A72" s="1" t="s">
        <v>4</v>
      </c>
      <c r="B72" s="8">
        <v>7.5848517451494873E-2</v>
      </c>
      <c r="C72" s="8">
        <v>0.16574419405308355</v>
      </c>
      <c r="D72" s="8">
        <v>4.1228178711632993E-2</v>
      </c>
      <c r="E72" s="8">
        <v>-5.1726477136713293E-3</v>
      </c>
      <c r="F72" s="8">
        <v>3.7925440892755881E-2</v>
      </c>
      <c r="G72" s="8">
        <v>-2.2397303974877624E-3</v>
      </c>
      <c r="H72" s="8"/>
    </row>
    <row r="73" spans="1:8" x14ac:dyDescent="0.25">
      <c r="A73" s="1" t="s">
        <v>5</v>
      </c>
      <c r="B73" s="8">
        <v>2.2159397029916771E-2</v>
      </c>
      <c r="C73" s="8">
        <v>4.1228178711632993E-2</v>
      </c>
      <c r="D73" s="8">
        <v>3.5967852205073078E-2</v>
      </c>
      <c r="E73" s="8">
        <v>1.811094996608098E-2</v>
      </c>
      <c r="F73" s="8">
        <v>1.010116224480139E-2</v>
      </c>
      <c r="G73" s="8">
        <v>-3.9328902436987553E-3</v>
      </c>
      <c r="H73" s="8"/>
    </row>
    <row r="74" spans="1:8" x14ac:dyDescent="0.25">
      <c r="A74" s="1" t="s">
        <v>6</v>
      </c>
      <c r="B74" s="8">
        <v>-4.2982317962569593E-3</v>
      </c>
      <c r="C74" s="8">
        <v>-5.1726477136713293E-3</v>
      </c>
      <c r="D74" s="8">
        <v>1.811094996608098E-2</v>
      </c>
      <c r="E74" s="8">
        <v>5.6952629529189128E-2</v>
      </c>
      <c r="F74" s="8">
        <v>-7.6207962734914699E-3</v>
      </c>
      <c r="G74" s="8">
        <v>-4.6186177423792676E-3</v>
      </c>
      <c r="H74" s="8"/>
    </row>
    <row r="75" spans="1:8" x14ac:dyDescent="0.25">
      <c r="A75" s="1" t="s">
        <v>7</v>
      </c>
      <c r="B75" s="8">
        <v>8.5745403769960343E-2</v>
      </c>
      <c r="C75" s="8">
        <v>3.7925440892755881E-2</v>
      </c>
      <c r="D75" s="8">
        <v>1.010116224480139E-2</v>
      </c>
      <c r="E75" s="8">
        <v>-7.6207962734914699E-3</v>
      </c>
      <c r="F75" s="8">
        <v>8.9571031344296226E-2</v>
      </c>
      <c r="G75" s="8">
        <v>2.4822979456358491E-2</v>
      </c>
      <c r="H75" s="8"/>
    </row>
    <row r="76" spans="1:8" x14ac:dyDescent="0.25">
      <c r="A76" s="1" t="s">
        <v>8</v>
      </c>
      <c r="B76" s="8">
        <v>1.2299771404392935E-2</v>
      </c>
      <c r="C76" s="8">
        <v>-2.2397303974877624E-3</v>
      </c>
      <c r="D76" s="8">
        <v>-3.9328902436987553E-3</v>
      </c>
      <c r="E76" s="8">
        <v>-4.6186177423792676E-3</v>
      </c>
      <c r="F76" s="8">
        <v>2.4822979456358491E-2</v>
      </c>
      <c r="G76" s="8">
        <v>1.8391305497884269E-2</v>
      </c>
      <c r="H76" s="8"/>
    </row>
    <row r="77" spans="1:8" x14ac:dyDescent="0.25">
      <c r="A77" s="1"/>
      <c r="B77" s="8"/>
      <c r="C77" s="8"/>
      <c r="D77" s="8"/>
      <c r="E77" s="8"/>
      <c r="F77" s="8"/>
      <c r="G77" s="8"/>
      <c r="H77" s="8"/>
    </row>
    <row r="78" spans="1:8" x14ac:dyDescent="0.25">
      <c r="A78" s="1"/>
      <c r="B78" s="8"/>
      <c r="C78" s="8"/>
      <c r="D78" s="8"/>
      <c r="E78" s="8"/>
      <c r="F78" s="8"/>
      <c r="G78" s="8"/>
      <c r="H78" s="8"/>
    </row>
    <row r="79" spans="1:8" x14ac:dyDescent="0.25">
      <c r="A79" s="1"/>
      <c r="B79" s="8"/>
      <c r="C79" s="8"/>
      <c r="D79" s="8"/>
      <c r="E79" s="8"/>
      <c r="F79" s="8"/>
      <c r="G79" s="8"/>
      <c r="H79" s="8"/>
    </row>
    <row r="80" spans="1:8" x14ac:dyDescent="0.25">
      <c r="A80" s="1"/>
      <c r="B80" s="8"/>
      <c r="C80" s="8"/>
      <c r="D80" s="8"/>
      <c r="E80" s="8"/>
      <c r="F80" s="8"/>
      <c r="G80" s="8"/>
      <c r="H80" s="8"/>
    </row>
  </sheetData>
  <mergeCells count="3">
    <mergeCell ref="A1:H1"/>
    <mergeCell ref="A54:G54"/>
    <mergeCell ref="A69:G69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2024-11-01T02:07:18Z</dcterms:modified>
</cp:coreProperties>
</file>