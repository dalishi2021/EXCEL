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practice\"/>
    </mc:Choice>
  </mc:AlternateContent>
  <xr:revisionPtr revIDLastSave="0" documentId="13_ncr:1_{144F050D-E371-469B-9E81-23BD5D2A91C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5" sheetId="2" r:id="rId2"/>
    <sheet name="Sheet3" sheetId="3" r:id="rId3"/>
  </sheets>
  <functionGroups builtInGroupCount="19"/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2" l="1"/>
  <c r="C27" i="2"/>
  <c r="B27" i="2"/>
  <c r="D26" i="2"/>
  <c r="C26" i="2"/>
  <c r="C28" i="2" s="1"/>
  <c r="B26" i="2"/>
  <c r="D10" i="2"/>
  <c r="D11" i="2" s="1"/>
  <c r="D30" i="2" s="1"/>
  <c r="C10" i="2"/>
  <c r="C11" i="2" s="1"/>
  <c r="C30" i="2" s="1"/>
  <c r="B10" i="2"/>
  <c r="B11" i="2" s="1"/>
  <c r="B30" i="2" s="1"/>
  <c r="E31" i="2"/>
  <c r="E30" i="2"/>
  <c r="E28" i="2"/>
  <c r="E27" i="2"/>
  <c r="E26" i="2"/>
  <c r="E13" i="2"/>
  <c r="E11" i="2"/>
  <c r="E10" i="2"/>
  <c r="B13" i="2"/>
  <c r="C13" i="2"/>
  <c r="D13" i="2"/>
  <c r="B19" i="2" l="1"/>
  <c r="B20" i="2" s="1"/>
  <c r="B16" i="2"/>
  <c r="B17" i="2" s="1"/>
  <c r="C31" i="2"/>
  <c r="B28" i="2"/>
  <c r="B31" i="2"/>
  <c r="D28" i="2"/>
  <c r="D31" i="2" s="1"/>
  <c r="D35" i="2" l="1"/>
  <c r="C35" i="2"/>
</calcChain>
</file>

<file path=xl/sharedStrings.xml><?xml version="1.0" encoding="utf-8"?>
<sst xmlns="http://schemas.openxmlformats.org/spreadsheetml/2006/main" count="31" uniqueCount="26">
  <si>
    <t>BASIC IMMUNIZATION EXAMPLE WITH 3 BONDS</t>
  </si>
  <si>
    <t>Yield to maturity</t>
  </si>
  <si>
    <t>Bond 1</t>
  </si>
  <si>
    <t>Bond 2</t>
  </si>
  <si>
    <t>Bond 3</t>
  </si>
  <si>
    <t>Coupon rate</t>
  </si>
  <si>
    <t>Maturity</t>
  </si>
  <si>
    <t>Face value</t>
  </si>
  <si>
    <t>Bond price</t>
  </si>
  <si>
    <t>Face value equal to $1,000 of market value</t>
  </si>
  <si>
    <t>Duration</t>
  </si>
  <si>
    <t>Target duration</t>
  </si>
  <si>
    <t xml:space="preserve">     Weight of Bond 1</t>
  </si>
  <si>
    <t xml:space="preserve">     Weight of Bond 3</t>
  </si>
  <si>
    <t xml:space="preserve">     Weight of Bond 2</t>
  </si>
  <si>
    <t>New yield to maturity</t>
  </si>
  <si>
    <t>Reinvested coupons</t>
  </si>
  <si>
    <t>Total</t>
  </si>
  <si>
    <t>Multiply by percent of face value bought</t>
  </si>
  <si>
    <t>Product</t>
  </si>
  <si>
    <t>Bond 1&amp;2</t>
  </si>
  <si>
    <t>Bond 1&amp;3</t>
  </si>
  <si>
    <t>Data table</t>
  </si>
  <si>
    <t>portfolio</t>
  </si>
  <si>
    <t>Portfolio</t>
  </si>
  <si>
    <t>&lt;-- Table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</si>
</sst>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%"/>
    <numFmt numFmtId="177" formatCode="&quot;$&quot;#,##0.00_);[Red]\(&quot;$&quot;#,##0.00\)"/>
    <numFmt numFmtId="178" formatCode="_(&quot;$&quot;* #,##0.00_);_(&quot;$&quot;* \(#,##0.00\);_(&quot;$&quot;* &quot;-&quot;??_);_(@_)"/>
    <numFmt numFmtId="179" formatCode="0.0000"/>
    <numFmt numFmtId="180" formatCode="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8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">
    <xf numFmtId="0" fontId="0" fillId="0" borderId="0" xfId="0">
      <alignment vertical="center"/>
    </xf>
    <xf numFmtId="0" fontId="3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0" fontId="2" fillId="0" borderId="0" xfId="1"/>
    <xf numFmtId="0" fontId="4" fillId="0" borderId="0" xfId="1" applyFont="1" applyAlignment="1">
      <alignment horizontal="centerContinuous"/>
    </xf>
    <xf numFmtId="9" fontId="2" fillId="0" borderId="0" xfId="1" applyNumberFormat="1"/>
    <xf numFmtId="0" fontId="4" fillId="0" borderId="0" xfId="1" applyFont="1" applyAlignment="1">
      <alignment horizontal="center"/>
    </xf>
    <xf numFmtId="10" fontId="2" fillId="0" borderId="0" xfId="1" applyNumberFormat="1"/>
    <xf numFmtId="176" fontId="2" fillId="0" borderId="0" xfId="1" applyNumberFormat="1"/>
    <xf numFmtId="3" fontId="2" fillId="0" borderId="0" xfId="1" applyNumberFormat="1"/>
    <xf numFmtId="177" fontId="2" fillId="0" borderId="0" xfId="1" applyNumberFormat="1"/>
    <xf numFmtId="178" fontId="0" fillId="0" borderId="0" xfId="2" applyFont="1"/>
    <xf numFmtId="179" fontId="2" fillId="0" borderId="0" xfId="1" applyNumberFormat="1"/>
    <xf numFmtId="179" fontId="2" fillId="0" borderId="0" xfId="1" quotePrefix="1" applyNumberFormat="1"/>
    <xf numFmtId="9" fontId="0" fillId="0" borderId="0" xfId="3" applyFont="1"/>
    <xf numFmtId="0" fontId="4" fillId="0" borderId="0" xfId="1" applyFont="1"/>
    <xf numFmtId="10" fontId="0" fillId="0" borderId="0" xfId="3" applyNumberFormat="1" applyFont="1"/>
    <xf numFmtId="180" fontId="2" fillId="0" borderId="0" xfId="1" applyNumberFormat="1"/>
  </cellXfs>
  <cellStyles count="4">
    <cellStyle name="百分比 2" xfId="3" xr:uid="{60602D87-7299-4097-84E1-24C2D446CC76}"/>
    <cellStyle name="常规" xfId="0" builtinId="0"/>
    <cellStyle name="常规 2" xfId="1" xr:uid="{02F3FFF4-6412-46B5-9D6B-DB3F1E6920E6}"/>
    <cellStyle name="货币 2" xfId="2" xr:uid="{94DE2B4E-47F5-4142-AF10-27AA6624B49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4324357682104"/>
          <c:y val="0.1086147784458405"/>
          <c:w val="0.62749513612884589"/>
          <c:h val="0.719104740055219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'Exercise 5'!$C$33:$C$35</c:f>
              <c:strCache>
                <c:ptCount val="3"/>
                <c:pt idx="0">
                  <c:v>Bond 1&amp;2</c:v>
                </c:pt>
                <c:pt idx="1">
                  <c:v>portfolio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5'!$B$36:$B$51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'Exercise 5'!$C$36:$C$51</c:f>
              <c:numCache>
                <c:formatCode>_("$"* #,##0.00_);_("$"* \(#,##0.00\);_("$"* "-"??_);_(@_)</c:formatCode>
                <c:ptCount val="16"/>
                <c:pt idx="0">
                  <c:v>2109.3402427718561</c:v>
                </c:pt>
                <c:pt idx="1">
                  <c:v>2039.2534420083748</c:v>
                </c:pt>
                <c:pt idx="2">
                  <c:v>1976.3041514014567</c:v>
                </c:pt>
                <c:pt idx="3">
                  <c:v>1920.2179494870188</c:v>
                </c:pt>
                <c:pt idx="4">
                  <c:v>1870.7514965804078</c:v>
                </c:pt>
                <c:pt idx="5">
                  <c:v>1827.6904674962857</c:v>
                </c:pt>
                <c:pt idx="6">
                  <c:v>1790.8476965428536</c:v>
                </c:pt>
                <c:pt idx="7">
                  <c:v>1760.061514224564</c:v>
                </c:pt>
                <c:pt idx="8">
                  <c:v>1735.1942573417575</c:v>
                </c:pt>
                <c:pt idx="9">
                  <c:v>1716.1309361669253</c:v>
                </c:pt>
                <c:pt idx="10">
                  <c:v>1702.7780441386442</c:v>
                </c:pt>
                <c:pt idx="11">
                  <c:v>1695.0624970739188</c:v>
                </c:pt>
                <c:pt idx="12">
                  <c:v>1692.930690282371</c:v>
                </c:pt>
                <c:pt idx="13">
                  <c:v>1696.3476631930932</c:v>
                </c:pt>
                <c:pt idx="14">
                  <c:v>1705.2963621954862</c:v>
                </c:pt>
                <c:pt idx="15">
                  <c:v>1719.7769933655179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7A-4D94-AE5E-769BDC62951D}"/>
            </c:ext>
          </c:extLst>
        </c:ser>
        <c:ser>
          <c:idx val="1"/>
          <c:order val="1"/>
          <c:tx>
            <c:strRef>
              <c:f>'Exercise 5'!$D$33:$D$35</c:f>
              <c:strCache>
                <c:ptCount val="3"/>
                <c:pt idx="0">
                  <c:v>Bond 1&amp;3</c:v>
                </c:pt>
                <c:pt idx="1">
                  <c:v>Portfolio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'Exercise 5'!$B$36:$B$51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'Exercise 5'!$D$36:$D$51</c:f>
              <c:numCache>
                <c:formatCode>_("$"* #,##0.00_);_("$"* \(#,##0.00\);_("$"* "-"??_);_(@_)</c:formatCode>
                <c:ptCount val="16"/>
                <c:pt idx="0">
                  <c:v>2347.1096171869171</c:v>
                </c:pt>
                <c:pt idx="1">
                  <c:v>2188.957223610958</c:v>
                </c:pt>
                <c:pt idx="2">
                  <c:v>2063.402681896222</c:v>
                </c:pt>
                <c:pt idx="3">
                  <c:v>1964.8703937954901</c:v>
                </c:pt>
                <c:pt idx="4">
                  <c:v>1888.8834385488915</c:v>
                </c:pt>
                <c:pt idx="5">
                  <c:v>1831.8418476017728</c:v>
                </c:pt>
                <c:pt idx="6">
                  <c:v>1790.8476965428545</c:v>
                </c:pt>
                <c:pt idx="7">
                  <c:v>1763.5667804600655</c:v>
                </c:pt>
                <c:pt idx="8">
                  <c:v>1748.1189505083394</c:v>
                </c:pt>
                <c:pt idx="9">
                  <c:v>1742.990962859139</c:v>
                </c:pt>
                <c:pt idx="10">
                  <c:v>1746.9670552951504</c:v>
                </c:pt>
                <c:pt idx="11">
                  <c:v>1759.0735187316427</c:v>
                </c:pt>
                <c:pt idx="12">
                  <c:v>1778.5343443746838</c:v>
                </c:pt>
                <c:pt idx="13">
                  <c:v>1804.7356577699356</c:v>
                </c:pt>
                <c:pt idx="14">
                  <c:v>1837.1971409920895</c:v>
                </c:pt>
                <c:pt idx="15">
                  <c:v>1875.5490259372691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7A-4D94-AE5E-769BDC629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1187624"/>
        <c:axId val="1"/>
      </c:scatterChart>
      <c:valAx>
        <c:axId val="981187624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1500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811876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853729834016672"/>
          <c:y val="0.32209899814973392"/>
          <c:w val="0.32816000051967914"/>
          <c:h val="0.2809002890840702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</xdr:colOff>
      <xdr:row>35</xdr:row>
      <xdr:rowOff>91440</xdr:rowOff>
    </xdr:from>
    <xdr:to>
      <xdr:col>11</xdr:col>
      <xdr:colOff>266700</xdr:colOff>
      <xdr:row>50</xdr:row>
      <xdr:rowOff>68580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013F8E1-EC92-4E2E-985F-0BA054F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230163</xdr:colOff>
      <xdr:row>54</xdr:row>
      <xdr:rowOff>50829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F2B9A00-CB34-4A3C-32B3-CAA51B6F4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202963" cy="93091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 1 "/>
      <sheetName val="Exercise 2"/>
      <sheetName val="练习 2 "/>
      <sheetName val="VBA, dduration function"/>
      <sheetName val="Exercise 3"/>
      <sheetName val="练习 3 "/>
      <sheetName val="Exercise 4"/>
      <sheetName val="练习4"/>
      <sheetName val="Exercise 5"/>
      <sheetName val="练习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3">
          <cell r="C33" t="str">
            <v>Bond 1&amp;2</v>
          </cell>
          <cell r="D33" t="str">
            <v>Bond 1&amp;3</v>
          </cell>
        </row>
        <row r="34">
          <cell r="C34" t="str">
            <v>portfolio</v>
          </cell>
          <cell r="D34" t="str">
            <v>Portfolio</v>
          </cell>
        </row>
        <row r="35">
          <cell r="C35">
            <v>1760.061514224564</v>
          </cell>
          <cell r="D35">
            <v>1763.5667804600655</v>
          </cell>
        </row>
        <row r="36">
          <cell r="B36">
            <v>0</v>
          </cell>
          <cell r="C36">
            <v>2109.3402427718561</v>
          </cell>
          <cell r="D36">
            <v>2347.1096171869171</v>
          </cell>
        </row>
        <row r="37">
          <cell r="B37">
            <v>0.01</v>
          </cell>
          <cell r="C37">
            <v>2039.2534420083748</v>
          </cell>
          <cell r="D37">
            <v>2188.957223610958</v>
          </cell>
        </row>
        <row r="38">
          <cell r="B38">
            <v>0.02</v>
          </cell>
          <cell r="C38">
            <v>1976.3041514014567</v>
          </cell>
          <cell r="D38">
            <v>2063.402681896222</v>
          </cell>
        </row>
        <row r="39">
          <cell r="B39">
            <v>0.03</v>
          </cell>
          <cell r="C39">
            <v>1920.2179494870188</v>
          </cell>
          <cell r="D39">
            <v>1964.8703937954901</v>
          </cell>
        </row>
        <row r="40">
          <cell r="B40">
            <v>0.04</v>
          </cell>
          <cell r="C40">
            <v>1870.7514965804078</v>
          </cell>
          <cell r="D40">
            <v>1888.8834385488915</v>
          </cell>
        </row>
        <row r="41">
          <cell r="B41">
            <v>0.05</v>
          </cell>
          <cell r="C41">
            <v>1827.6904674962857</v>
          </cell>
          <cell r="D41">
            <v>1831.8418476017728</v>
          </cell>
        </row>
        <row r="42">
          <cell r="B42">
            <v>0.06</v>
          </cell>
          <cell r="C42">
            <v>1790.8476965428536</v>
          </cell>
          <cell r="D42">
            <v>1790.8476965428545</v>
          </cell>
        </row>
        <row r="43">
          <cell r="B43">
            <v>7.0000000000000007E-2</v>
          </cell>
          <cell r="C43">
            <v>1760.061514224564</v>
          </cell>
          <cell r="D43">
            <v>1763.5667804600655</v>
          </cell>
        </row>
        <row r="44">
          <cell r="B44">
            <v>0.08</v>
          </cell>
          <cell r="C44">
            <v>1735.1942573417575</v>
          </cell>
          <cell r="D44">
            <v>1748.1189505083394</v>
          </cell>
        </row>
        <row r="45">
          <cell r="B45">
            <v>0.09</v>
          </cell>
          <cell r="C45">
            <v>1716.1309361669253</v>
          </cell>
          <cell r="D45">
            <v>1742.990962859139</v>
          </cell>
        </row>
        <row r="46">
          <cell r="B46">
            <v>0.1</v>
          </cell>
          <cell r="C46">
            <v>1702.7780441386442</v>
          </cell>
          <cell r="D46">
            <v>1746.9670552951504</v>
          </cell>
        </row>
        <row r="47">
          <cell r="B47">
            <v>0.11</v>
          </cell>
          <cell r="C47">
            <v>1695.0624970739188</v>
          </cell>
          <cell r="D47">
            <v>1759.0735187316427</v>
          </cell>
        </row>
        <row r="48">
          <cell r="B48">
            <v>0.12</v>
          </cell>
          <cell r="C48">
            <v>1692.930690282371</v>
          </cell>
          <cell r="D48">
            <v>1778.5343443746838</v>
          </cell>
        </row>
        <row r="49">
          <cell r="B49">
            <v>0.13</v>
          </cell>
          <cell r="C49">
            <v>1696.3476631930932</v>
          </cell>
          <cell r="D49">
            <v>1804.7356577699356</v>
          </cell>
        </row>
        <row r="50">
          <cell r="B50">
            <v>0.14000000000000001</v>
          </cell>
          <cell r="C50">
            <v>1705.2963621954862</v>
          </cell>
          <cell r="D50">
            <v>1837.1971409920895</v>
          </cell>
        </row>
        <row r="51">
          <cell r="B51">
            <v>0.15</v>
          </cell>
          <cell r="C51">
            <v>1719.7769933655179</v>
          </cell>
          <cell r="D51">
            <v>1875.5490259372691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O29" sqref="O2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D4B57-A8AC-4600-A50B-96B9FF76CE03}">
  <sheetPr codeName="Sheet5"/>
  <dimension ref="A1:E51"/>
  <sheetViews>
    <sheetView tabSelected="1" workbookViewId="0">
      <selection activeCell="L54" sqref="L54"/>
    </sheetView>
  </sheetViews>
  <sheetFormatPr defaultRowHeight="13.2" x14ac:dyDescent="0.25"/>
  <cols>
    <col min="1" max="1" width="35.109375" style="3" customWidth="1"/>
    <col min="2" max="2" width="12.33203125" style="3" customWidth="1"/>
    <col min="3" max="3" width="12.109375" style="3" customWidth="1"/>
    <col min="4" max="4" width="11.109375" style="3" customWidth="1"/>
    <col min="5" max="256" width="8.88671875" style="3"/>
    <col min="257" max="257" width="35.109375" style="3" customWidth="1"/>
    <col min="258" max="258" width="12.33203125" style="3" customWidth="1"/>
    <col min="259" max="259" width="12.109375" style="3" customWidth="1"/>
    <col min="260" max="260" width="11.109375" style="3" customWidth="1"/>
    <col min="261" max="512" width="8.88671875" style="3"/>
    <col min="513" max="513" width="35.109375" style="3" customWidth="1"/>
    <col min="514" max="514" width="12.33203125" style="3" customWidth="1"/>
    <col min="515" max="515" width="12.109375" style="3" customWidth="1"/>
    <col min="516" max="516" width="11.109375" style="3" customWidth="1"/>
    <col min="517" max="768" width="8.88671875" style="3"/>
    <col min="769" max="769" width="35.109375" style="3" customWidth="1"/>
    <col min="770" max="770" width="12.33203125" style="3" customWidth="1"/>
    <col min="771" max="771" width="12.109375" style="3" customWidth="1"/>
    <col min="772" max="772" width="11.109375" style="3" customWidth="1"/>
    <col min="773" max="1024" width="8.88671875" style="3"/>
    <col min="1025" max="1025" width="35.109375" style="3" customWidth="1"/>
    <col min="1026" max="1026" width="12.33203125" style="3" customWidth="1"/>
    <col min="1027" max="1027" width="12.109375" style="3" customWidth="1"/>
    <col min="1028" max="1028" width="11.109375" style="3" customWidth="1"/>
    <col min="1029" max="1280" width="8.88671875" style="3"/>
    <col min="1281" max="1281" width="35.109375" style="3" customWidth="1"/>
    <col min="1282" max="1282" width="12.33203125" style="3" customWidth="1"/>
    <col min="1283" max="1283" width="12.109375" style="3" customWidth="1"/>
    <col min="1284" max="1284" width="11.109375" style="3" customWidth="1"/>
    <col min="1285" max="1536" width="8.88671875" style="3"/>
    <col min="1537" max="1537" width="35.109375" style="3" customWidth="1"/>
    <col min="1538" max="1538" width="12.33203125" style="3" customWidth="1"/>
    <col min="1539" max="1539" width="12.109375" style="3" customWidth="1"/>
    <col min="1540" max="1540" width="11.109375" style="3" customWidth="1"/>
    <col min="1541" max="1792" width="8.88671875" style="3"/>
    <col min="1793" max="1793" width="35.109375" style="3" customWidth="1"/>
    <col min="1794" max="1794" width="12.33203125" style="3" customWidth="1"/>
    <col min="1795" max="1795" width="12.109375" style="3" customWidth="1"/>
    <col min="1796" max="1796" width="11.109375" style="3" customWidth="1"/>
    <col min="1797" max="2048" width="8.88671875" style="3"/>
    <col min="2049" max="2049" width="35.109375" style="3" customWidth="1"/>
    <col min="2050" max="2050" width="12.33203125" style="3" customWidth="1"/>
    <col min="2051" max="2051" width="12.109375" style="3" customWidth="1"/>
    <col min="2052" max="2052" width="11.109375" style="3" customWidth="1"/>
    <col min="2053" max="2304" width="8.88671875" style="3"/>
    <col min="2305" max="2305" width="35.109375" style="3" customWidth="1"/>
    <col min="2306" max="2306" width="12.33203125" style="3" customWidth="1"/>
    <col min="2307" max="2307" width="12.109375" style="3" customWidth="1"/>
    <col min="2308" max="2308" width="11.109375" style="3" customWidth="1"/>
    <col min="2309" max="2560" width="8.88671875" style="3"/>
    <col min="2561" max="2561" width="35.109375" style="3" customWidth="1"/>
    <col min="2562" max="2562" width="12.33203125" style="3" customWidth="1"/>
    <col min="2563" max="2563" width="12.109375" style="3" customWidth="1"/>
    <col min="2564" max="2564" width="11.109375" style="3" customWidth="1"/>
    <col min="2565" max="2816" width="8.88671875" style="3"/>
    <col min="2817" max="2817" width="35.109375" style="3" customWidth="1"/>
    <col min="2818" max="2818" width="12.33203125" style="3" customWidth="1"/>
    <col min="2819" max="2819" width="12.109375" style="3" customWidth="1"/>
    <col min="2820" max="2820" width="11.109375" style="3" customWidth="1"/>
    <col min="2821" max="3072" width="8.88671875" style="3"/>
    <col min="3073" max="3073" width="35.109375" style="3" customWidth="1"/>
    <col min="3074" max="3074" width="12.33203125" style="3" customWidth="1"/>
    <col min="3075" max="3075" width="12.109375" style="3" customWidth="1"/>
    <col min="3076" max="3076" width="11.109375" style="3" customWidth="1"/>
    <col min="3077" max="3328" width="8.88671875" style="3"/>
    <col min="3329" max="3329" width="35.109375" style="3" customWidth="1"/>
    <col min="3330" max="3330" width="12.33203125" style="3" customWidth="1"/>
    <col min="3331" max="3331" width="12.109375" style="3" customWidth="1"/>
    <col min="3332" max="3332" width="11.109375" style="3" customWidth="1"/>
    <col min="3333" max="3584" width="8.88671875" style="3"/>
    <col min="3585" max="3585" width="35.109375" style="3" customWidth="1"/>
    <col min="3586" max="3586" width="12.33203125" style="3" customWidth="1"/>
    <col min="3587" max="3587" width="12.109375" style="3" customWidth="1"/>
    <col min="3588" max="3588" width="11.109375" style="3" customWidth="1"/>
    <col min="3589" max="3840" width="8.88671875" style="3"/>
    <col min="3841" max="3841" width="35.109375" style="3" customWidth="1"/>
    <col min="3842" max="3842" width="12.33203125" style="3" customWidth="1"/>
    <col min="3843" max="3843" width="12.109375" style="3" customWidth="1"/>
    <col min="3844" max="3844" width="11.109375" style="3" customWidth="1"/>
    <col min="3845" max="4096" width="8.88671875" style="3"/>
    <col min="4097" max="4097" width="35.109375" style="3" customWidth="1"/>
    <col min="4098" max="4098" width="12.33203125" style="3" customWidth="1"/>
    <col min="4099" max="4099" width="12.109375" style="3" customWidth="1"/>
    <col min="4100" max="4100" width="11.109375" style="3" customWidth="1"/>
    <col min="4101" max="4352" width="8.88671875" style="3"/>
    <col min="4353" max="4353" width="35.109375" style="3" customWidth="1"/>
    <col min="4354" max="4354" width="12.33203125" style="3" customWidth="1"/>
    <col min="4355" max="4355" width="12.109375" style="3" customWidth="1"/>
    <col min="4356" max="4356" width="11.109375" style="3" customWidth="1"/>
    <col min="4357" max="4608" width="8.88671875" style="3"/>
    <col min="4609" max="4609" width="35.109375" style="3" customWidth="1"/>
    <col min="4610" max="4610" width="12.33203125" style="3" customWidth="1"/>
    <col min="4611" max="4611" width="12.109375" style="3" customWidth="1"/>
    <col min="4612" max="4612" width="11.109375" style="3" customWidth="1"/>
    <col min="4613" max="4864" width="8.88671875" style="3"/>
    <col min="4865" max="4865" width="35.109375" style="3" customWidth="1"/>
    <col min="4866" max="4866" width="12.33203125" style="3" customWidth="1"/>
    <col min="4867" max="4867" width="12.109375" style="3" customWidth="1"/>
    <col min="4868" max="4868" width="11.109375" style="3" customWidth="1"/>
    <col min="4869" max="5120" width="8.88671875" style="3"/>
    <col min="5121" max="5121" width="35.109375" style="3" customWidth="1"/>
    <col min="5122" max="5122" width="12.33203125" style="3" customWidth="1"/>
    <col min="5123" max="5123" width="12.109375" style="3" customWidth="1"/>
    <col min="5124" max="5124" width="11.109375" style="3" customWidth="1"/>
    <col min="5125" max="5376" width="8.88671875" style="3"/>
    <col min="5377" max="5377" width="35.109375" style="3" customWidth="1"/>
    <col min="5378" max="5378" width="12.33203125" style="3" customWidth="1"/>
    <col min="5379" max="5379" width="12.109375" style="3" customWidth="1"/>
    <col min="5380" max="5380" width="11.109375" style="3" customWidth="1"/>
    <col min="5381" max="5632" width="8.88671875" style="3"/>
    <col min="5633" max="5633" width="35.109375" style="3" customWidth="1"/>
    <col min="5634" max="5634" width="12.33203125" style="3" customWidth="1"/>
    <col min="5635" max="5635" width="12.109375" style="3" customWidth="1"/>
    <col min="5636" max="5636" width="11.109375" style="3" customWidth="1"/>
    <col min="5637" max="5888" width="8.88671875" style="3"/>
    <col min="5889" max="5889" width="35.109375" style="3" customWidth="1"/>
    <col min="5890" max="5890" width="12.33203125" style="3" customWidth="1"/>
    <col min="5891" max="5891" width="12.109375" style="3" customWidth="1"/>
    <col min="5892" max="5892" width="11.109375" style="3" customWidth="1"/>
    <col min="5893" max="6144" width="8.88671875" style="3"/>
    <col min="6145" max="6145" width="35.109375" style="3" customWidth="1"/>
    <col min="6146" max="6146" width="12.33203125" style="3" customWidth="1"/>
    <col min="6147" max="6147" width="12.109375" style="3" customWidth="1"/>
    <col min="6148" max="6148" width="11.109375" style="3" customWidth="1"/>
    <col min="6149" max="6400" width="8.88671875" style="3"/>
    <col min="6401" max="6401" width="35.109375" style="3" customWidth="1"/>
    <col min="6402" max="6402" width="12.33203125" style="3" customWidth="1"/>
    <col min="6403" max="6403" width="12.109375" style="3" customWidth="1"/>
    <col min="6404" max="6404" width="11.109375" style="3" customWidth="1"/>
    <col min="6405" max="6656" width="8.88671875" style="3"/>
    <col min="6657" max="6657" width="35.109375" style="3" customWidth="1"/>
    <col min="6658" max="6658" width="12.33203125" style="3" customWidth="1"/>
    <col min="6659" max="6659" width="12.109375" style="3" customWidth="1"/>
    <col min="6660" max="6660" width="11.109375" style="3" customWidth="1"/>
    <col min="6661" max="6912" width="8.88671875" style="3"/>
    <col min="6913" max="6913" width="35.109375" style="3" customWidth="1"/>
    <col min="6914" max="6914" width="12.33203125" style="3" customWidth="1"/>
    <col min="6915" max="6915" width="12.109375" style="3" customWidth="1"/>
    <col min="6916" max="6916" width="11.109375" style="3" customWidth="1"/>
    <col min="6917" max="7168" width="8.88671875" style="3"/>
    <col min="7169" max="7169" width="35.109375" style="3" customWidth="1"/>
    <col min="7170" max="7170" width="12.33203125" style="3" customWidth="1"/>
    <col min="7171" max="7171" width="12.109375" style="3" customWidth="1"/>
    <col min="7172" max="7172" width="11.109375" style="3" customWidth="1"/>
    <col min="7173" max="7424" width="8.88671875" style="3"/>
    <col min="7425" max="7425" width="35.109375" style="3" customWidth="1"/>
    <col min="7426" max="7426" width="12.33203125" style="3" customWidth="1"/>
    <col min="7427" max="7427" width="12.109375" style="3" customWidth="1"/>
    <col min="7428" max="7428" width="11.109375" style="3" customWidth="1"/>
    <col min="7429" max="7680" width="8.88671875" style="3"/>
    <col min="7681" max="7681" width="35.109375" style="3" customWidth="1"/>
    <col min="7682" max="7682" width="12.33203125" style="3" customWidth="1"/>
    <col min="7683" max="7683" width="12.109375" style="3" customWidth="1"/>
    <col min="7684" max="7684" width="11.109375" style="3" customWidth="1"/>
    <col min="7685" max="7936" width="8.88671875" style="3"/>
    <col min="7937" max="7937" width="35.109375" style="3" customWidth="1"/>
    <col min="7938" max="7938" width="12.33203125" style="3" customWidth="1"/>
    <col min="7939" max="7939" width="12.109375" style="3" customWidth="1"/>
    <col min="7940" max="7940" width="11.109375" style="3" customWidth="1"/>
    <col min="7941" max="8192" width="8.88671875" style="3"/>
    <col min="8193" max="8193" width="35.109375" style="3" customWidth="1"/>
    <col min="8194" max="8194" width="12.33203125" style="3" customWidth="1"/>
    <col min="8195" max="8195" width="12.109375" style="3" customWidth="1"/>
    <col min="8196" max="8196" width="11.109375" style="3" customWidth="1"/>
    <col min="8197" max="8448" width="8.88671875" style="3"/>
    <col min="8449" max="8449" width="35.109375" style="3" customWidth="1"/>
    <col min="8450" max="8450" width="12.33203125" style="3" customWidth="1"/>
    <col min="8451" max="8451" width="12.109375" style="3" customWidth="1"/>
    <col min="8452" max="8452" width="11.109375" style="3" customWidth="1"/>
    <col min="8453" max="8704" width="8.88671875" style="3"/>
    <col min="8705" max="8705" width="35.109375" style="3" customWidth="1"/>
    <col min="8706" max="8706" width="12.33203125" style="3" customWidth="1"/>
    <col min="8707" max="8707" width="12.109375" style="3" customWidth="1"/>
    <col min="8708" max="8708" width="11.109375" style="3" customWidth="1"/>
    <col min="8709" max="8960" width="8.88671875" style="3"/>
    <col min="8961" max="8961" width="35.109375" style="3" customWidth="1"/>
    <col min="8962" max="8962" width="12.33203125" style="3" customWidth="1"/>
    <col min="8963" max="8963" width="12.109375" style="3" customWidth="1"/>
    <col min="8964" max="8964" width="11.109375" style="3" customWidth="1"/>
    <col min="8965" max="9216" width="8.88671875" style="3"/>
    <col min="9217" max="9217" width="35.109375" style="3" customWidth="1"/>
    <col min="9218" max="9218" width="12.33203125" style="3" customWidth="1"/>
    <col min="9219" max="9219" width="12.109375" style="3" customWidth="1"/>
    <col min="9220" max="9220" width="11.109375" style="3" customWidth="1"/>
    <col min="9221" max="9472" width="8.88671875" style="3"/>
    <col min="9473" max="9473" width="35.109375" style="3" customWidth="1"/>
    <col min="9474" max="9474" width="12.33203125" style="3" customWidth="1"/>
    <col min="9475" max="9475" width="12.109375" style="3" customWidth="1"/>
    <col min="9476" max="9476" width="11.109375" style="3" customWidth="1"/>
    <col min="9477" max="9728" width="8.88671875" style="3"/>
    <col min="9729" max="9729" width="35.109375" style="3" customWidth="1"/>
    <col min="9730" max="9730" width="12.33203125" style="3" customWidth="1"/>
    <col min="9731" max="9731" width="12.109375" style="3" customWidth="1"/>
    <col min="9732" max="9732" width="11.109375" style="3" customWidth="1"/>
    <col min="9733" max="9984" width="8.88671875" style="3"/>
    <col min="9985" max="9985" width="35.109375" style="3" customWidth="1"/>
    <col min="9986" max="9986" width="12.33203125" style="3" customWidth="1"/>
    <col min="9987" max="9987" width="12.109375" style="3" customWidth="1"/>
    <col min="9988" max="9988" width="11.109375" style="3" customWidth="1"/>
    <col min="9989" max="10240" width="8.88671875" style="3"/>
    <col min="10241" max="10241" width="35.109375" style="3" customWidth="1"/>
    <col min="10242" max="10242" width="12.33203125" style="3" customWidth="1"/>
    <col min="10243" max="10243" width="12.109375" style="3" customWidth="1"/>
    <col min="10244" max="10244" width="11.109375" style="3" customWidth="1"/>
    <col min="10245" max="10496" width="8.88671875" style="3"/>
    <col min="10497" max="10497" width="35.109375" style="3" customWidth="1"/>
    <col min="10498" max="10498" width="12.33203125" style="3" customWidth="1"/>
    <col min="10499" max="10499" width="12.109375" style="3" customWidth="1"/>
    <col min="10500" max="10500" width="11.109375" style="3" customWidth="1"/>
    <col min="10501" max="10752" width="8.88671875" style="3"/>
    <col min="10753" max="10753" width="35.109375" style="3" customWidth="1"/>
    <col min="10754" max="10754" width="12.33203125" style="3" customWidth="1"/>
    <col min="10755" max="10755" width="12.109375" style="3" customWidth="1"/>
    <col min="10756" max="10756" width="11.109375" style="3" customWidth="1"/>
    <col min="10757" max="11008" width="8.88671875" style="3"/>
    <col min="11009" max="11009" width="35.109375" style="3" customWidth="1"/>
    <col min="11010" max="11010" width="12.33203125" style="3" customWidth="1"/>
    <col min="11011" max="11011" width="12.109375" style="3" customWidth="1"/>
    <col min="11012" max="11012" width="11.109375" style="3" customWidth="1"/>
    <col min="11013" max="11264" width="8.88671875" style="3"/>
    <col min="11265" max="11265" width="35.109375" style="3" customWidth="1"/>
    <col min="11266" max="11266" width="12.33203125" style="3" customWidth="1"/>
    <col min="11267" max="11267" width="12.109375" style="3" customWidth="1"/>
    <col min="11268" max="11268" width="11.109375" style="3" customWidth="1"/>
    <col min="11269" max="11520" width="8.88671875" style="3"/>
    <col min="11521" max="11521" width="35.109375" style="3" customWidth="1"/>
    <col min="11522" max="11522" width="12.33203125" style="3" customWidth="1"/>
    <col min="11523" max="11523" width="12.109375" style="3" customWidth="1"/>
    <col min="11524" max="11524" width="11.109375" style="3" customWidth="1"/>
    <col min="11525" max="11776" width="8.88671875" style="3"/>
    <col min="11777" max="11777" width="35.109375" style="3" customWidth="1"/>
    <col min="11778" max="11778" width="12.33203125" style="3" customWidth="1"/>
    <col min="11779" max="11779" width="12.109375" style="3" customWidth="1"/>
    <col min="11780" max="11780" width="11.109375" style="3" customWidth="1"/>
    <col min="11781" max="12032" width="8.88671875" style="3"/>
    <col min="12033" max="12033" width="35.109375" style="3" customWidth="1"/>
    <col min="12034" max="12034" width="12.33203125" style="3" customWidth="1"/>
    <col min="12035" max="12035" width="12.109375" style="3" customWidth="1"/>
    <col min="12036" max="12036" width="11.109375" style="3" customWidth="1"/>
    <col min="12037" max="12288" width="8.88671875" style="3"/>
    <col min="12289" max="12289" width="35.109375" style="3" customWidth="1"/>
    <col min="12290" max="12290" width="12.33203125" style="3" customWidth="1"/>
    <col min="12291" max="12291" width="12.109375" style="3" customWidth="1"/>
    <col min="12292" max="12292" width="11.109375" style="3" customWidth="1"/>
    <col min="12293" max="12544" width="8.88671875" style="3"/>
    <col min="12545" max="12545" width="35.109375" style="3" customWidth="1"/>
    <col min="12546" max="12546" width="12.33203125" style="3" customWidth="1"/>
    <col min="12547" max="12547" width="12.109375" style="3" customWidth="1"/>
    <col min="12548" max="12548" width="11.109375" style="3" customWidth="1"/>
    <col min="12549" max="12800" width="8.88671875" style="3"/>
    <col min="12801" max="12801" width="35.109375" style="3" customWidth="1"/>
    <col min="12802" max="12802" width="12.33203125" style="3" customWidth="1"/>
    <col min="12803" max="12803" width="12.109375" style="3" customWidth="1"/>
    <col min="12804" max="12804" width="11.109375" style="3" customWidth="1"/>
    <col min="12805" max="13056" width="8.88671875" style="3"/>
    <col min="13057" max="13057" width="35.109375" style="3" customWidth="1"/>
    <col min="13058" max="13058" width="12.33203125" style="3" customWidth="1"/>
    <col min="13059" max="13059" width="12.109375" style="3" customWidth="1"/>
    <col min="13060" max="13060" width="11.109375" style="3" customWidth="1"/>
    <col min="13061" max="13312" width="8.88671875" style="3"/>
    <col min="13313" max="13313" width="35.109375" style="3" customWidth="1"/>
    <col min="13314" max="13314" width="12.33203125" style="3" customWidth="1"/>
    <col min="13315" max="13315" width="12.109375" style="3" customWidth="1"/>
    <col min="13316" max="13316" width="11.109375" style="3" customWidth="1"/>
    <col min="13317" max="13568" width="8.88671875" style="3"/>
    <col min="13569" max="13569" width="35.109375" style="3" customWidth="1"/>
    <col min="13570" max="13570" width="12.33203125" style="3" customWidth="1"/>
    <col min="13571" max="13571" width="12.109375" style="3" customWidth="1"/>
    <col min="13572" max="13572" width="11.109375" style="3" customWidth="1"/>
    <col min="13573" max="13824" width="8.88671875" style="3"/>
    <col min="13825" max="13825" width="35.109375" style="3" customWidth="1"/>
    <col min="13826" max="13826" width="12.33203125" style="3" customWidth="1"/>
    <col min="13827" max="13827" width="12.109375" style="3" customWidth="1"/>
    <col min="13828" max="13828" width="11.109375" style="3" customWidth="1"/>
    <col min="13829" max="14080" width="8.88671875" style="3"/>
    <col min="14081" max="14081" width="35.109375" style="3" customWidth="1"/>
    <col min="14082" max="14082" width="12.33203125" style="3" customWidth="1"/>
    <col min="14083" max="14083" width="12.109375" style="3" customWidth="1"/>
    <col min="14084" max="14084" width="11.109375" style="3" customWidth="1"/>
    <col min="14085" max="14336" width="8.88671875" style="3"/>
    <col min="14337" max="14337" width="35.109375" style="3" customWidth="1"/>
    <col min="14338" max="14338" width="12.33203125" style="3" customWidth="1"/>
    <col min="14339" max="14339" width="12.109375" style="3" customWidth="1"/>
    <col min="14340" max="14340" width="11.109375" style="3" customWidth="1"/>
    <col min="14341" max="14592" width="8.88671875" style="3"/>
    <col min="14593" max="14593" width="35.109375" style="3" customWidth="1"/>
    <col min="14594" max="14594" width="12.33203125" style="3" customWidth="1"/>
    <col min="14595" max="14595" width="12.109375" style="3" customWidth="1"/>
    <col min="14596" max="14596" width="11.109375" style="3" customWidth="1"/>
    <col min="14597" max="14848" width="8.88671875" style="3"/>
    <col min="14849" max="14849" width="35.109375" style="3" customWidth="1"/>
    <col min="14850" max="14850" width="12.33203125" style="3" customWidth="1"/>
    <col min="14851" max="14851" width="12.109375" style="3" customWidth="1"/>
    <col min="14852" max="14852" width="11.109375" style="3" customWidth="1"/>
    <col min="14853" max="15104" width="8.88671875" style="3"/>
    <col min="15105" max="15105" width="35.109375" style="3" customWidth="1"/>
    <col min="15106" max="15106" width="12.33203125" style="3" customWidth="1"/>
    <col min="15107" max="15107" width="12.109375" style="3" customWidth="1"/>
    <col min="15108" max="15108" width="11.109375" style="3" customWidth="1"/>
    <col min="15109" max="15360" width="8.88671875" style="3"/>
    <col min="15361" max="15361" width="35.109375" style="3" customWidth="1"/>
    <col min="15362" max="15362" width="12.33203125" style="3" customWidth="1"/>
    <col min="15363" max="15363" width="12.109375" style="3" customWidth="1"/>
    <col min="15364" max="15364" width="11.109375" style="3" customWidth="1"/>
    <col min="15365" max="15616" width="8.88671875" style="3"/>
    <col min="15617" max="15617" width="35.109375" style="3" customWidth="1"/>
    <col min="15618" max="15618" width="12.33203125" style="3" customWidth="1"/>
    <col min="15619" max="15619" width="12.109375" style="3" customWidth="1"/>
    <col min="15620" max="15620" width="11.109375" style="3" customWidth="1"/>
    <col min="15621" max="15872" width="8.88671875" style="3"/>
    <col min="15873" max="15873" width="35.109375" style="3" customWidth="1"/>
    <col min="15874" max="15874" width="12.33203125" style="3" customWidth="1"/>
    <col min="15875" max="15875" width="12.109375" style="3" customWidth="1"/>
    <col min="15876" max="15876" width="11.109375" style="3" customWidth="1"/>
    <col min="15877" max="16128" width="8.88671875" style="3"/>
    <col min="16129" max="16129" width="35.109375" style="3" customWidth="1"/>
    <col min="16130" max="16130" width="12.33203125" style="3" customWidth="1"/>
    <col min="16131" max="16131" width="12.109375" style="3" customWidth="1"/>
    <col min="16132" max="16132" width="11.109375" style="3" customWidth="1"/>
    <col min="16133" max="16384" width="8.88671875" style="3"/>
  </cols>
  <sheetData>
    <row r="1" spans="1:5" ht="17.399999999999999" x14ac:dyDescent="0.3">
      <c r="A1" s="1" t="s">
        <v>0</v>
      </c>
      <c r="B1" s="2"/>
      <c r="C1" s="2"/>
      <c r="D1" s="2"/>
    </row>
    <row r="2" spans="1:5" x14ac:dyDescent="0.25">
      <c r="B2" s="4"/>
      <c r="C2" s="4"/>
      <c r="D2" s="4"/>
    </row>
    <row r="3" spans="1:5" x14ac:dyDescent="0.25">
      <c r="A3" s="3" t="s">
        <v>1</v>
      </c>
      <c r="B3" s="5">
        <v>0.06</v>
      </c>
    </row>
    <row r="4" spans="1:5" x14ac:dyDescent="0.25">
      <c r="B4" s="5"/>
    </row>
    <row r="5" spans="1:5" x14ac:dyDescent="0.25">
      <c r="B5" s="6" t="s">
        <v>2</v>
      </c>
      <c r="C5" s="6" t="s">
        <v>3</v>
      </c>
      <c r="D5" s="6" t="s">
        <v>4</v>
      </c>
    </row>
    <row r="6" spans="1:5" x14ac:dyDescent="0.25">
      <c r="A6" s="3" t="s">
        <v>5</v>
      </c>
      <c r="B6" s="7">
        <v>6.7000000000000004E-2</v>
      </c>
      <c r="C6" s="8">
        <v>6.9879999999999998E-2</v>
      </c>
      <c r="D6" s="7">
        <v>5.8999999999999997E-2</v>
      </c>
    </row>
    <row r="7" spans="1:5" x14ac:dyDescent="0.25">
      <c r="A7" s="3" t="s">
        <v>6</v>
      </c>
      <c r="B7" s="3">
        <v>10</v>
      </c>
      <c r="C7" s="3">
        <v>15</v>
      </c>
      <c r="D7" s="3">
        <v>30</v>
      </c>
    </row>
    <row r="8" spans="1:5" x14ac:dyDescent="0.25">
      <c r="A8" s="3" t="s">
        <v>7</v>
      </c>
      <c r="B8" s="9">
        <v>1000</v>
      </c>
      <c r="C8" s="9">
        <v>1000</v>
      </c>
      <c r="D8" s="9">
        <v>1000</v>
      </c>
    </row>
    <row r="10" spans="1:5" x14ac:dyDescent="0.25">
      <c r="A10" s="3" t="s">
        <v>8</v>
      </c>
      <c r="B10" s="10">
        <f>-PV($B$3,B7,B6*B8)+B8/(1+$B$3)^B7</f>
        <v>1051.5206093599029</v>
      </c>
      <c r="C10" s="10">
        <f>-PV($B$3,C7,C6*C8)+C8/(1+$B$3)^C7</f>
        <v>1095.9570199988812</v>
      </c>
      <c r="D10" s="10">
        <f>-PV($B$3,D7,D6*D8)+D8/(1+$B$3)^D7</f>
        <v>986.23516884851074</v>
      </c>
      <c r="E10" s="3" t="str">
        <f t="shared" ref="E10:E13" ca="1" si="0">_xlfn.FORMULATEXT(D10)</f>
        <v>=-PV($B$3,D7,D6*D8)+D8/(1+$B$3)^D7</v>
      </c>
    </row>
    <row r="11" spans="1:5" ht="13.8" x14ac:dyDescent="0.25">
      <c r="A11" s="3" t="s">
        <v>9</v>
      </c>
      <c r="B11" s="11">
        <f>B8/B10*B8</f>
        <v>951.0037093887629</v>
      </c>
      <c r="C11" s="11">
        <f>C8/C10*C8</f>
        <v>912.44454093740001</v>
      </c>
      <c r="D11" s="11">
        <f>D8/D10*D8</f>
        <v>1013.9569461587549</v>
      </c>
      <c r="E11" s="3" t="str">
        <f t="shared" ca="1" si="0"/>
        <v>=D8/D10*D8</v>
      </c>
    </row>
    <row r="13" spans="1:5" x14ac:dyDescent="0.25">
      <c r="A13" s="3" t="s">
        <v>10</v>
      </c>
      <c r="B13" s="12">
        <f>dduration(B7,B6,$B$3,1)</f>
        <v>7.665498005182755</v>
      </c>
      <c r="C13" s="12">
        <f>dduration(C7,C6,$B$3,1)</f>
        <v>10.000008863163943</v>
      </c>
      <c r="D13" s="12">
        <f>dduration(D7,D6,$B$3,1)</f>
        <v>14.636060301125804</v>
      </c>
      <c r="E13" s="3" t="str">
        <f t="shared" ca="1" si="0"/>
        <v>=dduration(D7,D6,$B$3,1)</v>
      </c>
    </row>
    <row r="14" spans="1:5" x14ac:dyDescent="0.25">
      <c r="B14" s="12"/>
      <c r="C14" s="12"/>
      <c r="D14" s="12"/>
    </row>
    <row r="15" spans="1:5" x14ac:dyDescent="0.25">
      <c r="A15" s="3" t="s">
        <v>11</v>
      </c>
      <c r="B15" s="13">
        <v>12</v>
      </c>
      <c r="C15" s="12"/>
      <c r="D15" s="12"/>
    </row>
    <row r="16" spans="1:5" x14ac:dyDescent="0.25">
      <c r="A16" s="3" t="s">
        <v>12</v>
      </c>
      <c r="B16" s="12">
        <f>(B15-D13)/(B13-D13)</f>
        <v>0.37817039561643723</v>
      </c>
      <c r="C16" s="12"/>
      <c r="D16" s="12"/>
    </row>
    <row r="17" spans="1:5" x14ac:dyDescent="0.25">
      <c r="A17" s="3" t="s">
        <v>13</v>
      </c>
      <c r="B17" s="12">
        <f>1-B16</f>
        <v>0.62182960438356272</v>
      </c>
      <c r="C17" s="12"/>
      <c r="D17" s="12"/>
    </row>
    <row r="18" spans="1:5" x14ac:dyDescent="0.25">
      <c r="B18" s="12"/>
      <c r="C18" s="12"/>
      <c r="D18" s="12"/>
    </row>
    <row r="19" spans="1:5" x14ac:dyDescent="0.25">
      <c r="A19" s="3" t="s">
        <v>12</v>
      </c>
      <c r="B19" s="12">
        <f>(B15-C13)/(B13-C13)</f>
        <v>-0.85670671866807524</v>
      </c>
      <c r="C19" s="12"/>
      <c r="D19" s="12"/>
    </row>
    <row r="20" spans="1:5" x14ac:dyDescent="0.25">
      <c r="A20" s="3" t="s">
        <v>14</v>
      </c>
      <c r="B20" s="12">
        <f>1-B19</f>
        <v>1.8567067186680752</v>
      </c>
      <c r="C20" s="12"/>
      <c r="D20" s="12"/>
    </row>
    <row r="21" spans="1:5" x14ac:dyDescent="0.25">
      <c r="B21" s="12"/>
      <c r="C21" s="12"/>
      <c r="D21" s="12"/>
    </row>
    <row r="22" spans="1:5" x14ac:dyDescent="0.25">
      <c r="B22" s="12"/>
      <c r="C22" s="12"/>
      <c r="D22" s="12"/>
    </row>
    <row r="23" spans="1:5" ht="13.8" x14ac:dyDescent="0.25">
      <c r="A23" s="3" t="s">
        <v>15</v>
      </c>
      <c r="B23" s="14">
        <v>7.0000000000000007E-2</v>
      </c>
      <c r="C23" s="12"/>
      <c r="D23" s="12"/>
    </row>
    <row r="25" spans="1:5" x14ac:dyDescent="0.25">
      <c r="B25" s="6" t="s">
        <v>2</v>
      </c>
      <c r="C25" s="6" t="s">
        <v>3</v>
      </c>
      <c r="D25" s="6" t="s">
        <v>4</v>
      </c>
    </row>
    <row r="26" spans="1:5" x14ac:dyDescent="0.25">
      <c r="A26" s="3" t="s">
        <v>8</v>
      </c>
      <c r="B26" s="10">
        <f>-PV($B$23,B7-10,B6*B8)+B8/(1+$B$23)^(B7-10)</f>
        <v>1000</v>
      </c>
      <c r="C26" s="10">
        <f>-PV($B$23,C7-10,C6*C8)+C8/(1+$B$23)^(C7-10)</f>
        <v>999.50797630768625</v>
      </c>
      <c r="D26" s="10">
        <f>-PV($B$23,D7-10,D6*D8)+D8/(1+$B$23)^(D7-10)</f>
        <v>883.46584329932216</v>
      </c>
      <c r="E26" s="3" t="str">
        <f t="shared" ref="E26:E28" ca="1" si="1">_xlfn.FORMULATEXT(D26)</f>
        <v>=-PV($B$23,D7-10,D6*D8)+D8/(1+$B$23)^(D7-10)</v>
      </c>
    </row>
    <row r="27" spans="1:5" x14ac:dyDescent="0.25">
      <c r="A27" s="3" t="s">
        <v>16</v>
      </c>
      <c r="B27" s="10">
        <f>-FV($B$23,10,B6*B8)</f>
        <v>925.70201340572703</v>
      </c>
      <c r="C27" s="10">
        <f>-FV($B$23,10,C6*C8)</f>
        <v>965.49338353421194</v>
      </c>
      <c r="D27" s="10">
        <f>-FV($B$23,10,D6*D8)</f>
        <v>815.17042971549097</v>
      </c>
      <c r="E27" s="3" t="str">
        <f t="shared" ca="1" si="1"/>
        <v>=-FV($B$23,10,D6*D8)</v>
      </c>
    </row>
    <row r="28" spans="1:5" x14ac:dyDescent="0.25">
      <c r="A28" s="15" t="s">
        <v>17</v>
      </c>
      <c r="B28" s="10">
        <f>SUM(B26:B27)</f>
        <v>1925.702013405727</v>
      </c>
      <c r="C28" s="10">
        <f>SUM(C26:C27)</f>
        <v>1965.0013598418982</v>
      </c>
      <c r="D28" s="10">
        <f>SUM(D26:D27)</f>
        <v>1698.636273014813</v>
      </c>
      <c r="E28" s="3" t="str">
        <f t="shared" ca="1" si="1"/>
        <v>=SUM(D26:D27)</v>
      </c>
    </row>
    <row r="30" spans="1:5" ht="13.8" x14ac:dyDescent="0.25">
      <c r="A30" s="3" t="s">
        <v>18</v>
      </c>
      <c r="B30" s="16">
        <f>B11/1000</f>
        <v>0.95100370938876289</v>
      </c>
      <c r="C30" s="16">
        <f>C11/1000</f>
        <v>0.91244454093740002</v>
      </c>
      <c r="D30" s="16">
        <f>D11/1000</f>
        <v>1.013956946158755</v>
      </c>
      <c r="E30" s="3" t="str">
        <f t="shared" ref="E30:E31" ca="1" si="2">_xlfn.FORMULATEXT(D30)</f>
        <v>=D11/1000</v>
      </c>
    </row>
    <row r="31" spans="1:5" ht="13.8" x14ac:dyDescent="0.25">
      <c r="A31" s="15" t="s">
        <v>19</v>
      </c>
      <c r="B31" s="11">
        <f>B30*B28</f>
        <v>1831.3497579262555</v>
      </c>
      <c r="C31" s="11">
        <f>C30*C28</f>
        <v>1792.9547637223077</v>
      </c>
      <c r="D31" s="11">
        <f>D30*D28</f>
        <v>1722.3440480205891</v>
      </c>
      <c r="E31" s="3" t="str">
        <f t="shared" ca="1" si="2"/>
        <v>=D30*D28</v>
      </c>
    </row>
    <row r="32" spans="1:5" ht="13.8" x14ac:dyDescent="0.25">
      <c r="A32" s="15"/>
      <c r="B32" s="11"/>
      <c r="C32" s="11"/>
      <c r="D32" s="11"/>
    </row>
    <row r="33" spans="1:5" x14ac:dyDescent="0.25">
      <c r="C33" s="6" t="s">
        <v>20</v>
      </c>
      <c r="D33" s="6" t="s">
        <v>21</v>
      </c>
    </row>
    <row r="34" spans="1:5" x14ac:dyDescent="0.25">
      <c r="A34" s="3" t="s">
        <v>22</v>
      </c>
      <c r="C34" s="6" t="s">
        <v>23</v>
      </c>
      <c r="D34" s="6" t="s">
        <v>24</v>
      </c>
    </row>
    <row r="35" spans="1:5" x14ac:dyDescent="0.25">
      <c r="C35" s="17">
        <f>B19*B31+B20*C31</f>
        <v>1760.061514224564</v>
      </c>
      <c r="D35" s="17">
        <f>B16*B31+B17*D31</f>
        <v>1763.5667804600655</v>
      </c>
      <c r="E35" s="3" t="s">
        <v>25</v>
      </c>
    </row>
    <row r="36" spans="1:5" ht="13.8" x14ac:dyDescent="0.25">
      <c r="B36" s="5">
        <v>0</v>
      </c>
      <c r="C36" s="11">
        <f t="dataTable" ref="C36:D51" dt2D="0" dtr="0" r1="B23"/>
        <v>2109.3402427718561</v>
      </c>
      <c r="D36" s="11">
        <v>2347.1096171869171</v>
      </c>
    </row>
    <row r="37" spans="1:5" ht="13.8" x14ac:dyDescent="0.25">
      <c r="B37" s="5">
        <v>0.01</v>
      </c>
      <c r="C37" s="11">
        <v>2039.2534420083748</v>
      </c>
      <c r="D37" s="11">
        <v>2188.957223610958</v>
      </c>
    </row>
    <row r="38" spans="1:5" ht="13.8" x14ac:dyDescent="0.25">
      <c r="B38" s="5">
        <v>0.02</v>
      </c>
      <c r="C38" s="11">
        <v>1976.3041514014567</v>
      </c>
      <c r="D38" s="11">
        <v>2063.402681896222</v>
      </c>
    </row>
    <row r="39" spans="1:5" ht="13.8" x14ac:dyDescent="0.25">
      <c r="B39" s="5">
        <v>0.03</v>
      </c>
      <c r="C39" s="11">
        <v>1920.2179494870188</v>
      </c>
      <c r="D39" s="11">
        <v>1964.8703937954901</v>
      </c>
    </row>
    <row r="40" spans="1:5" ht="13.8" x14ac:dyDescent="0.25">
      <c r="B40" s="5">
        <v>0.04</v>
      </c>
      <c r="C40" s="11">
        <v>1870.7514965804078</v>
      </c>
      <c r="D40" s="11">
        <v>1888.8834385488915</v>
      </c>
    </row>
    <row r="41" spans="1:5" ht="13.8" x14ac:dyDescent="0.25">
      <c r="B41" s="5">
        <v>0.05</v>
      </c>
      <c r="C41" s="11">
        <v>1827.6904674962857</v>
      </c>
      <c r="D41" s="11">
        <v>1831.8418476017728</v>
      </c>
    </row>
    <row r="42" spans="1:5" ht="13.8" x14ac:dyDescent="0.25">
      <c r="B42" s="5">
        <v>0.06</v>
      </c>
      <c r="C42" s="11">
        <v>1790.8476965428536</v>
      </c>
      <c r="D42" s="11">
        <v>1790.8476965428545</v>
      </c>
    </row>
    <row r="43" spans="1:5" ht="13.8" x14ac:dyDescent="0.25">
      <c r="B43" s="5">
        <v>7.0000000000000007E-2</v>
      </c>
      <c r="C43" s="11">
        <v>1760.061514224564</v>
      </c>
      <c r="D43" s="11">
        <v>1763.5667804600655</v>
      </c>
    </row>
    <row r="44" spans="1:5" ht="13.8" x14ac:dyDescent="0.25">
      <c r="B44" s="5">
        <v>0.08</v>
      </c>
      <c r="C44" s="11">
        <v>1735.1942573417575</v>
      </c>
      <c r="D44" s="11">
        <v>1748.1189505083394</v>
      </c>
    </row>
    <row r="45" spans="1:5" ht="13.8" x14ac:dyDescent="0.25">
      <c r="B45" s="5">
        <v>0.09</v>
      </c>
      <c r="C45" s="11">
        <v>1716.1309361669253</v>
      </c>
      <c r="D45" s="11">
        <v>1742.990962859139</v>
      </c>
    </row>
    <row r="46" spans="1:5" ht="13.8" x14ac:dyDescent="0.25">
      <c r="B46" s="5">
        <v>0.1</v>
      </c>
      <c r="C46" s="11">
        <v>1702.7780441386442</v>
      </c>
      <c r="D46" s="11">
        <v>1746.9670552951504</v>
      </c>
    </row>
    <row r="47" spans="1:5" ht="13.8" x14ac:dyDescent="0.25">
      <c r="B47" s="5">
        <v>0.11</v>
      </c>
      <c r="C47" s="11">
        <v>1695.0624970739188</v>
      </c>
      <c r="D47" s="11">
        <v>1759.0735187316427</v>
      </c>
    </row>
    <row r="48" spans="1:5" ht="13.8" x14ac:dyDescent="0.25">
      <c r="B48" s="5">
        <v>0.12</v>
      </c>
      <c r="C48" s="11">
        <v>1692.930690282371</v>
      </c>
      <c r="D48" s="11">
        <v>1778.5343443746838</v>
      </c>
    </row>
    <row r="49" spans="2:4" ht="13.8" x14ac:dyDescent="0.25">
      <c r="B49" s="5">
        <v>0.13</v>
      </c>
      <c r="C49" s="11">
        <v>1696.3476631930932</v>
      </c>
      <c r="D49" s="11">
        <v>1804.7356577699356</v>
      </c>
    </row>
    <row r="50" spans="2:4" ht="13.8" x14ac:dyDescent="0.25">
      <c r="B50" s="5">
        <v>0.14000000000000001</v>
      </c>
      <c r="C50" s="11">
        <v>1705.2963621954862</v>
      </c>
      <c r="D50" s="11">
        <v>1837.1971409920895</v>
      </c>
    </row>
    <row r="51" spans="2:4" ht="13.8" x14ac:dyDescent="0.25">
      <c r="B51" s="5">
        <v>0.15</v>
      </c>
      <c r="C51" s="11">
        <v>1719.7769933655179</v>
      </c>
      <c r="D51" s="11">
        <v>1875.5490259372691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9925-60AC-4A51-8B41-0B86EB8A4231}">
  <sheetPr codeName="Sheet2">
    <pageSetUpPr fitToPage="1"/>
  </sheetPr>
  <dimension ref="A1"/>
  <sheetViews>
    <sheetView workbookViewId="0">
      <selection activeCell="V26" sqref="V26"/>
    </sheetView>
  </sheetViews>
  <sheetFormatPr defaultRowHeight="13.8" x14ac:dyDescent="0.25"/>
  <sheetData/>
  <phoneticPr fontId="1" type="noConversion"/>
  <printOptions horizontalCentered="1"/>
  <pageMargins left="0" right="0" top="0.74803149606299213" bottom="0" header="0.31496062992125984" footer="0.31496062992125984"/>
  <pageSetup paperSize="9" scale="77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Exercise 5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2024-12-18T02:35:00Z</cp:lastPrinted>
  <dcterms:created xsi:type="dcterms:W3CDTF">2024-10-05T13:27:14Z</dcterms:created>
  <dcterms:modified xsi:type="dcterms:W3CDTF">2024-12-18T02:36:14Z</dcterms:modified>
</cp:coreProperties>
</file>