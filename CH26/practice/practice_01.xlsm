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6\practice\"/>
    </mc:Choice>
  </mc:AlternateContent>
  <xr:revisionPtr revIDLastSave="0" documentId="13_ncr:1_{90C6EBBB-C501-4E17-B697-1D18189AEF2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1" sheetId="2" r:id="rId2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2" l="1"/>
  <c r="F14" i="2" s="1"/>
  <c r="B25" i="2"/>
  <c r="C23" i="2"/>
  <c r="F22" i="2"/>
  <c r="C22" i="2"/>
  <c r="C21" i="2"/>
  <c r="C20" i="2"/>
  <c r="C19" i="2"/>
  <c r="F18" i="2"/>
  <c r="C18" i="2"/>
  <c r="C17" i="2"/>
  <c r="C16" i="2"/>
  <c r="C15" i="2"/>
  <c r="C14" i="2"/>
  <c r="C25" i="2" s="1"/>
  <c r="B10" i="2"/>
  <c r="B8" i="2"/>
  <c r="B7" i="2"/>
  <c r="B9" i="2" s="1"/>
  <c r="B11" i="2" s="1"/>
  <c r="C31" i="2"/>
  <c r="C8" i="2"/>
  <c r="C7" i="2"/>
  <c r="C9" i="2"/>
  <c r="C11" i="2"/>
  <c r="K14" i="2"/>
  <c r="C10" i="2"/>
  <c r="D5" i="2"/>
  <c r="H14" i="2" l="1"/>
  <c r="H22" i="2"/>
  <c r="H21" i="2"/>
  <c r="J14" i="2"/>
  <c r="F23" i="2"/>
  <c r="H15" i="2"/>
  <c r="H19" i="2"/>
  <c r="H23" i="2"/>
  <c r="F15" i="2"/>
  <c r="F25" i="2" s="1"/>
  <c r="B31" i="2" s="1"/>
  <c r="F19" i="2"/>
  <c r="H18" i="2"/>
  <c r="F16" i="2"/>
  <c r="F20" i="2"/>
  <c r="H16" i="2"/>
  <c r="H20" i="2"/>
  <c r="F21" i="2"/>
  <c r="H17" i="2"/>
  <c r="F17" i="2"/>
  <c r="H25" i="2" l="1"/>
  <c r="I23" i="2" s="1"/>
  <c r="I20" i="2" l="1"/>
  <c r="I22" i="2"/>
  <c r="I17" i="2"/>
  <c r="I21" i="2"/>
  <c r="I18" i="2"/>
  <c r="I15" i="2"/>
  <c r="I19" i="2"/>
  <c r="I16" i="2"/>
  <c r="I14" i="2"/>
  <c r="I25" i="2" l="1"/>
</calcChain>
</file>

<file path=xl/sharedStrings.xml><?xml version="1.0" encoding="utf-8"?>
<sst xmlns="http://schemas.openxmlformats.org/spreadsheetml/2006/main" count="24" uniqueCount="22">
  <si>
    <r>
      <t>Note:</t>
    </r>
    <r>
      <rPr>
        <sz val="12"/>
        <rFont val="Arial"/>
        <family val="2"/>
      </rPr>
      <t xml:space="preserve">  This is not a proof, but it explains the logic</t>
    </r>
  </si>
  <si>
    <t>YTM</t>
  </si>
  <si>
    <t>Total investment in bonds</t>
  </si>
  <si>
    <t>Proportion of bond A in portfolio</t>
  </si>
  <si>
    <t>Proportion of bond B in portfolio</t>
  </si>
  <si>
    <t>Dollar amount of A purchased</t>
  </si>
  <si>
    <t>Dollar amount of B purchased</t>
  </si>
  <si>
    <t>Percentage of face value of A purchased</t>
  </si>
  <si>
    <t>Percentage of face value of B purchased</t>
  </si>
  <si>
    <t>Year</t>
  </si>
  <si>
    <r>
      <t>C</t>
    </r>
    <r>
      <rPr>
        <b/>
        <vertAlign val="subscript"/>
        <sz val="10"/>
        <rFont val="Arial"/>
        <family val="2"/>
      </rPr>
      <t>t,A</t>
    </r>
  </si>
  <si>
    <r>
      <t>t*C</t>
    </r>
    <r>
      <rPr>
        <b/>
        <vertAlign val="subscript"/>
        <sz val="10"/>
        <rFont val="Arial"/>
        <family val="2"/>
      </rPr>
      <t>t,A</t>
    </r>
    <r>
      <rPr>
        <b/>
        <sz val="10"/>
        <rFont val="Arial"/>
        <family val="2"/>
      </rPr>
      <t xml:space="preserve"> /(P</t>
    </r>
    <r>
      <rPr>
        <b/>
        <vertAlign val="subscript"/>
        <sz val="10"/>
        <rFont val="Arial"/>
        <family val="2"/>
      </rPr>
      <t>A</t>
    </r>
    <r>
      <rPr>
        <b/>
        <sz val="10"/>
        <rFont val="Arial"/>
        <family val="2"/>
      </rPr>
      <t>*(1+YTM)</t>
    </r>
    <r>
      <rPr>
        <b/>
        <vertAlign val="super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</si>
  <si>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r>
      <t>C</t>
    </r>
    <r>
      <rPr>
        <b/>
        <vertAlign val="subscript"/>
        <sz val="10"/>
        <rFont val="Arial"/>
        <family val="2"/>
      </rPr>
      <t>t,B</t>
    </r>
  </si>
  <si>
    <r>
      <t>t*C</t>
    </r>
    <r>
      <rPr>
        <b/>
        <vertAlign val="subscript"/>
        <sz val="10"/>
        <rFont val="Arial"/>
        <family val="2"/>
      </rPr>
      <t>t,B</t>
    </r>
    <r>
      <rPr>
        <b/>
        <sz val="10"/>
        <rFont val="Arial"/>
        <family val="2"/>
      </rPr>
      <t xml:space="preserve"> /(P</t>
    </r>
    <r>
      <rPr>
        <b/>
        <vertAlign val="subscript"/>
        <sz val="10"/>
        <rFont val="Arial"/>
        <family val="2"/>
      </rPr>
      <t>B</t>
    </r>
    <r>
      <rPr>
        <b/>
        <sz val="10"/>
        <rFont val="Arial"/>
        <family val="2"/>
      </rPr>
      <t>*(1+YTM)</t>
    </r>
    <r>
      <rPr>
        <b/>
        <vertAlign val="super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</si>
  <si>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Portfolio</t>
  </si>
  <si>
    <r>
      <t>t*C</t>
    </r>
    <r>
      <rPr>
        <b/>
        <vertAlign val="subscript"/>
        <sz val="10"/>
        <rFont val="Arial"/>
        <family val="2"/>
      </rPr>
      <t>t,Port</t>
    </r>
    <r>
      <rPr>
        <b/>
        <sz val="10"/>
        <rFont val="Arial"/>
        <family val="2"/>
      </rPr>
      <t xml:space="preserve"> /(P</t>
    </r>
    <r>
      <rPr>
        <b/>
        <vertAlign val="subscript"/>
        <sz val="10"/>
        <rFont val="Arial"/>
        <family val="2"/>
      </rPr>
      <t>Port</t>
    </r>
    <r>
      <rPr>
        <b/>
        <sz val="10"/>
        <rFont val="Arial"/>
        <family val="2"/>
      </rPr>
      <t>*(1+YTM)</t>
    </r>
    <r>
      <rPr>
        <b/>
        <vertAlign val="superscript"/>
        <sz val="10"/>
        <rFont val="Arial"/>
        <family val="2"/>
      </rPr>
      <t>t</t>
    </r>
    <r>
      <rPr>
        <b/>
        <sz val="10"/>
        <rFont val="Arial"/>
        <family val="2"/>
      </rPr>
      <t>)</t>
    </r>
  </si>
  <si>
    <t>Bond price</t>
  </si>
  <si>
    <t>Duration</t>
  </si>
  <si>
    <t>=SUM(F6:F15)</t>
  </si>
  <si>
    <t>Weighted portfolio durations</t>
  </si>
  <si>
    <t>Note that because we purchase $700 of bond B, which costs $1421, we're only purchasing 49.25% of the bond's face value.</t>
  </si>
  <si>
    <t>=NPV(B3,B14:B23)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</si>
</sst>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_(&quot;$&quot;* #,##0.00_);_(&quot;$&quot;* \(#,##0.00\);_(&quot;$&quot;* &quot;-&quot;??_);_(@_)"/>
    <numFmt numFmtId="178" formatCode="_(&quot;$&quot;* #,##0_);_(&quot;$&quot;* \(#,##0\);_(&quot;$&quot;* &quot;-&quot;??_);_(@_)"/>
    <numFmt numFmtId="179" formatCode="_(* #,##0.00_);_(* \(#,##0.00\);_(* &quot;-&quot;??_);_(@_)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7" fontId="2" fillId="0" borderId="0" applyFont="0" applyFill="0" applyBorder="0" applyAlignment="0" applyProtection="0"/>
  </cellStyleXfs>
  <cellXfs count="20">
    <xf numFmtId="0" fontId="0" fillId="0" borderId="0" xfId="0">
      <alignment vertical="center"/>
    </xf>
    <xf numFmtId="0" fontId="3" fillId="0" borderId="0" xfId="1" applyFont="1" applyAlignment="1">
      <alignment horizontal="centerContinuous"/>
    </xf>
    <xf numFmtId="0" fontId="2" fillId="0" borderId="0" xfId="1" applyAlignment="1">
      <alignment horizontal="centerContinuous"/>
    </xf>
    <xf numFmtId="0" fontId="2" fillId="0" borderId="0" xfId="1"/>
    <xf numFmtId="0" fontId="5" fillId="0" borderId="0" xfId="1" applyFont="1"/>
    <xf numFmtId="9" fontId="5" fillId="0" borderId="0" xfId="1" applyNumberFormat="1" applyFont="1"/>
    <xf numFmtId="0" fontId="2" fillId="0" borderId="0" xfId="1" applyAlignment="1">
      <alignment horizontal="center"/>
    </xf>
    <xf numFmtId="3" fontId="5" fillId="0" borderId="0" xfId="1" applyNumberFormat="1" applyFont="1"/>
    <xf numFmtId="0" fontId="2" fillId="0" borderId="0" xfId="1" applyAlignment="1">
      <alignment horizontal="left"/>
    </xf>
    <xf numFmtId="10" fontId="5" fillId="0" borderId="0" xfId="2" applyNumberFormat="1" applyFont="1" applyAlignment="1">
      <alignment horizontal="right"/>
    </xf>
    <xf numFmtId="10" fontId="5" fillId="0" borderId="0" xfId="1" applyNumberFormat="1" applyFont="1" applyAlignment="1">
      <alignment horizontal="right"/>
    </xf>
    <xf numFmtId="0" fontId="5" fillId="0" borderId="0" xfId="1" applyFont="1" applyAlignment="1">
      <alignment horizontal="center"/>
    </xf>
    <xf numFmtId="176" fontId="2" fillId="0" borderId="0" xfId="1" applyNumberFormat="1" applyAlignment="1">
      <alignment horizontal="center"/>
    </xf>
    <xf numFmtId="0" fontId="2" fillId="0" borderId="0" xfId="1" applyAlignment="1">
      <alignment vertical="distributed" wrapText="1"/>
    </xf>
    <xf numFmtId="178" fontId="0" fillId="0" borderId="0" xfId="3" applyNumberFormat="1" applyFont="1" applyAlignment="1"/>
    <xf numFmtId="178" fontId="0" fillId="0" borderId="0" xfId="3" applyNumberFormat="1" applyFont="1"/>
    <xf numFmtId="179" fontId="2" fillId="0" borderId="0" xfId="1" applyNumberFormat="1"/>
    <xf numFmtId="178" fontId="0" fillId="0" borderId="0" xfId="3" quotePrefix="1" applyNumberFormat="1" applyFont="1" applyAlignment="1"/>
    <xf numFmtId="176" fontId="2" fillId="0" borderId="0" xfId="1" quotePrefix="1" applyNumberFormat="1" applyAlignment="1">
      <alignment horizontal="center"/>
    </xf>
    <xf numFmtId="176" fontId="2" fillId="0" borderId="0" xfId="1" quotePrefix="1" applyNumberFormat="1" applyAlignment="1">
      <alignment horizontal="left"/>
    </xf>
  </cellXfs>
  <cellStyles count="4">
    <cellStyle name="百分比 2" xfId="2" xr:uid="{2289873D-69C6-4ED6-A06B-7B9CB704832D}"/>
    <cellStyle name="常规" xfId="0" builtinId="0"/>
    <cellStyle name="常规 2" xfId="1" xr:uid="{B61C0664-D66A-4014-955C-6F47A76C73DB}"/>
    <cellStyle name="货币 2" xfId="3" xr:uid="{E0F5AAEE-30D5-427D-94AB-E9429F442FF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449580</xdr:colOff>
      <xdr:row>25</xdr:row>
      <xdr:rowOff>53340</xdr:rowOff>
    </xdr:from>
    <xdr:to>
      <xdr:col>2</xdr:col>
      <xdr:colOff>434340</xdr:colOff>
      <xdr:row>27</xdr:row>
      <xdr:rowOff>83820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DE35F379-BC55-4D43-B4D7-FB2900B9E748}"/>
            </a:ext>
          </a:extLst>
        </xdr:cNvPr>
        <xdr:cNvSpPr>
          <a:spLocks noChangeArrowheads="1"/>
        </xdr:cNvSpPr>
      </xdr:nvSpPr>
      <xdr:spPr bwMode="auto">
        <a:xfrm>
          <a:off x="447675" y="4410075"/>
          <a:ext cx="3257550" cy="352425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68580</xdr:colOff>
      <xdr:row>25</xdr:row>
      <xdr:rowOff>91440</xdr:rowOff>
    </xdr:from>
    <xdr:to>
      <xdr:col>5</xdr:col>
      <xdr:colOff>1074420</xdr:colOff>
      <xdr:row>27</xdr:row>
      <xdr:rowOff>60960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69413A43-81DF-4353-AACE-612B6EBF5DB6}"/>
            </a:ext>
          </a:extLst>
        </xdr:cNvPr>
        <xdr:cNvSpPr>
          <a:spLocks noChangeArrowheads="1"/>
        </xdr:cNvSpPr>
      </xdr:nvSpPr>
      <xdr:spPr bwMode="auto">
        <a:xfrm>
          <a:off x="6010275" y="4448175"/>
          <a:ext cx="1009650" cy="285750"/>
        </a:xfrm>
        <a:prstGeom prst="ellips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769620</xdr:colOff>
      <xdr:row>24</xdr:row>
      <xdr:rowOff>60960</xdr:rowOff>
    </xdr:from>
    <xdr:to>
      <xdr:col>6</xdr:col>
      <xdr:colOff>167640</xdr:colOff>
      <xdr:row>26</xdr:row>
      <xdr:rowOff>91440</xdr:rowOff>
    </xdr:to>
    <xdr:sp macro="" textlink="">
      <xdr:nvSpPr>
        <xdr:cNvPr id="4" name="Drawing 6">
          <a:extLst>
            <a:ext uri="{FF2B5EF4-FFF2-40B4-BE49-F238E27FC236}">
              <a16:creationId xmlns:a16="http://schemas.microsoft.com/office/drawing/2014/main" id="{0827DF80-FEB9-4AE3-8461-2D7B7B7846D6}"/>
            </a:ext>
          </a:extLst>
        </xdr:cNvPr>
        <xdr:cNvSpPr>
          <a:spLocks/>
        </xdr:cNvSpPr>
      </xdr:nvSpPr>
      <xdr:spPr bwMode="auto">
        <a:xfrm>
          <a:off x="6715125" y="4238625"/>
          <a:ext cx="771525" cy="381000"/>
        </a:xfrm>
        <a:custGeom>
          <a:avLst/>
          <a:gdLst>
            <a:gd name="T0" fmla="*/ 10299 w 16384"/>
            <a:gd name="T1" fmla="*/ 16384 h 16384"/>
            <a:gd name="T2" fmla="*/ 13107 w 16384"/>
            <a:gd name="T3" fmla="*/ 13797 h 16384"/>
            <a:gd name="T4" fmla="*/ 14512 w 16384"/>
            <a:gd name="T5" fmla="*/ 12935 h 16384"/>
            <a:gd name="T6" fmla="*/ 14980 w 16384"/>
            <a:gd name="T7" fmla="*/ 11641 h 16384"/>
            <a:gd name="T8" fmla="*/ 15916 w 16384"/>
            <a:gd name="T9" fmla="*/ 10348 h 16384"/>
            <a:gd name="T10" fmla="*/ 16384 w 16384"/>
            <a:gd name="T11" fmla="*/ 9054 h 16384"/>
            <a:gd name="T12" fmla="*/ 16384 w 16384"/>
            <a:gd name="T13" fmla="*/ 2156 h 16384"/>
            <a:gd name="T14" fmla="*/ 14980 w 16384"/>
            <a:gd name="T15" fmla="*/ 862 h 16384"/>
            <a:gd name="T16" fmla="*/ 13575 w 16384"/>
            <a:gd name="T17" fmla="*/ 0 h 16384"/>
            <a:gd name="T18" fmla="*/ 0 w 16384"/>
            <a:gd name="T19" fmla="*/ 0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0" t="0" r="r" b="b"/>
          <a:pathLst>
            <a:path w="16384" h="16384">
              <a:moveTo>
                <a:pt x="10299" y="16384"/>
              </a:moveTo>
              <a:lnTo>
                <a:pt x="13107" y="13797"/>
              </a:lnTo>
              <a:lnTo>
                <a:pt x="14512" y="12935"/>
              </a:lnTo>
              <a:lnTo>
                <a:pt x="14980" y="11641"/>
              </a:lnTo>
              <a:lnTo>
                <a:pt x="15916" y="10348"/>
              </a:lnTo>
              <a:lnTo>
                <a:pt x="16384" y="9054"/>
              </a:lnTo>
              <a:lnTo>
                <a:pt x="16384" y="2156"/>
              </a:lnTo>
              <a:lnTo>
                <a:pt x="14980" y="862"/>
              </a:lnTo>
              <a:lnTo>
                <a:pt x="13575" y="0"/>
              </a:lnTo>
              <a:lnTo>
                <a:pt x="0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701040</xdr:colOff>
      <xdr:row>24</xdr:row>
      <xdr:rowOff>60960</xdr:rowOff>
    </xdr:from>
    <xdr:to>
      <xdr:col>5</xdr:col>
      <xdr:colOff>845820</xdr:colOff>
      <xdr:row>24</xdr:row>
      <xdr:rowOff>60960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4BCE09A9-218D-4687-9811-7D593E8DBE74}"/>
            </a:ext>
          </a:extLst>
        </xdr:cNvPr>
        <xdr:cNvSpPr>
          <a:spLocks noChangeShapeType="1"/>
        </xdr:cNvSpPr>
      </xdr:nvSpPr>
      <xdr:spPr bwMode="auto">
        <a:xfrm flipH="1">
          <a:off x="6648450" y="4238625"/>
          <a:ext cx="1428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213360</xdr:colOff>
      <xdr:row>25</xdr:row>
      <xdr:rowOff>15240</xdr:rowOff>
    </xdr:from>
    <xdr:to>
      <xdr:col>0</xdr:col>
      <xdr:colOff>449580</xdr:colOff>
      <xdr:row>26</xdr:row>
      <xdr:rowOff>83820</xdr:rowOff>
    </xdr:to>
    <xdr:sp macro="" textlink="">
      <xdr:nvSpPr>
        <xdr:cNvPr id="6" name="Freeform 5">
          <a:extLst>
            <a:ext uri="{FF2B5EF4-FFF2-40B4-BE49-F238E27FC236}">
              <a16:creationId xmlns:a16="http://schemas.microsoft.com/office/drawing/2014/main" id="{343BCD77-90E0-4EBE-80D1-8F96A2204255}"/>
            </a:ext>
          </a:extLst>
        </xdr:cNvPr>
        <xdr:cNvSpPr>
          <a:spLocks/>
        </xdr:cNvSpPr>
      </xdr:nvSpPr>
      <xdr:spPr bwMode="auto">
        <a:xfrm>
          <a:off x="209550" y="4371975"/>
          <a:ext cx="238125" cy="238125"/>
        </a:xfrm>
        <a:custGeom>
          <a:avLst/>
          <a:gdLst>
            <a:gd name="T0" fmla="*/ 28 w 30"/>
            <a:gd name="T1" fmla="*/ 26 h 26"/>
            <a:gd name="T2" fmla="*/ 5 w 30"/>
            <a:gd name="T3" fmla="*/ 19 h 26"/>
            <a:gd name="T4" fmla="*/ 30 w 30"/>
            <a:gd name="T5" fmla="*/ 0 h 2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30" h="26">
              <a:moveTo>
                <a:pt x="28" y="26"/>
              </a:moveTo>
              <a:cubicBezTo>
                <a:pt x="22" y="22"/>
                <a:pt x="12" y="21"/>
                <a:pt x="5" y="19"/>
              </a:cubicBezTo>
              <a:cubicBezTo>
                <a:pt x="0" y="4"/>
                <a:pt x="18" y="0"/>
                <a:pt x="30" y="0"/>
              </a:cubicBez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0</xdr:col>
      <xdr:colOff>388620</xdr:colOff>
      <xdr:row>24</xdr:row>
      <xdr:rowOff>99060</xdr:rowOff>
    </xdr:from>
    <xdr:to>
      <xdr:col>1</xdr:col>
      <xdr:colOff>53340</xdr:colOff>
      <xdr:row>25</xdr:row>
      <xdr:rowOff>15240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E9894B-ADFD-41C1-8401-C660CB812523}"/>
            </a:ext>
          </a:extLst>
        </xdr:cNvPr>
        <xdr:cNvSpPr>
          <a:spLocks noChangeShapeType="1"/>
        </xdr:cNvSpPr>
      </xdr:nvSpPr>
      <xdr:spPr bwMode="auto">
        <a:xfrm flipV="1">
          <a:off x="390525" y="4276725"/>
          <a:ext cx="2276475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381000</xdr:colOff>
      <xdr:row>0</xdr:row>
      <xdr:rowOff>180975</xdr:rowOff>
    </xdr:from>
    <xdr:to>
      <xdr:col>35</xdr:col>
      <xdr:colOff>101083</xdr:colOff>
      <xdr:row>43</xdr:row>
      <xdr:rowOff>115326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24B6F8B3-1328-5938-60B4-0B4DE6EC8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54025" y="180975"/>
          <a:ext cx="14495263" cy="73543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57EBC-4BAA-43E0-B097-E70D0C889A51}">
  <sheetPr codeName="Sheet1"/>
  <dimension ref="A1:K34"/>
  <sheetViews>
    <sheetView tabSelected="1" workbookViewId="0">
      <selection activeCell="J14" sqref="J14"/>
    </sheetView>
  </sheetViews>
  <sheetFormatPr defaultRowHeight="13.2" x14ac:dyDescent="0.25"/>
  <cols>
    <col min="1" max="1" width="38" style="3" customWidth="1"/>
    <col min="2" max="2" width="9.5546875" style="3" customWidth="1"/>
    <col min="3" max="3" width="21.109375" style="6" customWidth="1"/>
    <col min="4" max="4" width="8.109375" style="3" customWidth="1"/>
    <col min="5" max="5" width="9.88671875" style="3" customWidth="1"/>
    <col min="6" max="6" width="20" style="6" customWidth="1"/>
    <col min="7" max="8" width="8.88671875" style="3"/>
    <col min="9" max="9" width="22" style="3" bestFit="1" customWidth="1"/>
    <col min="10" max="10" width="9.44140625" style="3" bestFit="1" customWidth="1"/>
    <col min="11" max="11" width="30.44140625" style="3" bestFit="1" customWidth="1"/>
    <col min="12" max="12" width="8.88671875" style="3"/>
    <col min="13" max="13" width="11" style="3" customWidth="1"/>
    <col min="14" max="256" width="8.88671875" style="3"/>
    <col min="257" max="257" width="38" style="3" customWidth="1"/>
    <col min="258" max="258" width="9.5546875" style="3" customWidth="1"/>
    <col min="259" max="259" width="21.109375" style="3" customWidth="1"/>
    <col min="260" max="260" width="8.109375" style="3" customWidth="1"/>
    <col min="261" max="261" width="9.88671875" style="3" customWidth="1"/>
    <col min="262" max="262" width="20" style="3" customWidth="1"/>
    <col min="263" max="264" width="8.88671875" style="3"/>
    <col min="265" max="265" width="22" style="3" bestFit="1" customWidth="1"/>
    <col min="266" max="266" width="9.44140625" style="3" bestFit="1" customWidth="1"/>
    <col min="267" max="267" width="30.44140625" style="3" bestFit="1" customWidth="1"/>
    <col min="268" max="268" width="8.88671875" style="3"/>
    <col min="269" max="269" width="11" style="3" customWidth="1"/>
    <col min="270" max="512" width="8.88671875" style="3"/>
    <col min="513" max="513" width="38" style="3" customWidth="1"/>
    <col min="514" max="514" width="9.5546875" style="3" customWidth="1"/>
    <col min="515" max="515" width="21.109375" style="3" customWidth="1"/>
    <col min="516" max="516" width="8.109375" style="3" customWidth="1"/>
    <col min="517" max="517" width="9.88671875" style="3" customWidth="1"/>
    <col min="518" max="518" width="20" style="3" customWidth="1"/>
    <col min="519" max="520" width="8.88671875" style="3"/>
    <col min="521" max="521" width="22" style="3" bestFit="1" customWidth="1"/>
    <col min="522" max="522" width="9.44140625" style="3" bestFit="1" customWidth="1"/>
    <col min="523" max="523" width="30.44140625" style="3" bestFit="1" customWidth="1"/>
    <col min="524" max="524" width="8.88671875" style="3"/>
    <col min="525" max="525" width="11" style="3" customWidth="1"/>
    <col min="526" max="768" width="8.88671875" style="3"/>
    <col min="769" max="769" width="38" style="3" customWidth="1"/>
    <col min="770" max="770" width="9.5546875" style="3" customWidth="1"/>
    <col min="771" max="771" width="21.109375" style="3" customWidth="1"/>
    <col min="772" max="772" width="8.109375" style="3" customWidth="1"/>
    <col min="773" max="773" width="9.88671875" style="3" customWidth="1"/>
    <col min="774" max="774" width="20" style="3" customWidth="1"/>
    <col min="775" max="776" width="8.88671875" style="3"/>
    <col min="777" max="777" width="22" style="3" bestFit="1" customWidth="1"/>
    <col min="778" max="778" width="9.44140625" style="3" bestFit="1" customWidth="1"/>
    <col min="779" max="779" width="30.44140625" style="3" bestFit="1" customWidth="1"/>
    <col min="780" max="780" width="8.88671875" style="3"/>
    <col min="781" max="781" width="11" style="3" customWidth="1"/>
    <col min="782" max="1024" width="8.88671875" style="3"/>
    <col min="1025" max="1025" width="38" style="3" customWidth="1"/>
    <col min="1026" max="1026" width="9.5546875" style="3" customWidth="1"/>
    <col min="1027" max="1027" width="21.109375" style="3" customWidth="1"/>
    <col min="1028" max="1028" width="8.109375" style="3" customWidth="1"/>
    <col min="1029" max="1029" width="9.88671875" style="3" customWidth="1"/>
    <col min="1030" max="1030" width="20" style="3" customWidth="1"/>
    <col min="1031" max="1032" width="8.88671875" style="3"/>
    <col min="1033" max="1033" width="22" style="3" bestFit="1" customWidth="1"/>
    <col min="1034" max="1034" width="9.44140625" style="3" bestFit="1" customWidth="1"/>
    <col min="1035" max="1035" width="30.44140625" style="3" bestFit="1" customWidth="1"/>
    <col min="1036" max="1036" width="8.88671875" style="3"/>
    <col min="1037" max="1037" width="11" style="3" customWidth="1"/>
    <col min="1038" max="1280" width="8.88671875" style="3"/>
    <col min="1281" max="1281" width="38" style="3" customWidth="1"/>
    <col min="1282" max="1282" width="9.5546875" style="3" customWidth="1"/>
    <col min="1283" max="1283" width="21.109375" style="3" customWidth="1"/>
    <col min="1284" max="1284" width="8.109375" style="3" customWidth="1"/>
    <col min="1285" max="1285" width="9.88671875" style="3" customWidth="1"/>
    <col min="1286" max="1286" width="20" style="3" customWidth="1"/>
    <col min="1287" max="1288" width="8.88671875" style="3"/>
    <col min="1289" max="1289" width="22" style="3" bestFit="1" customWidth="1"/>
    <col min="1290" max="1290" width="9.44140625" style="3" bestFit="1" customWidth="1"/>
    <col min="1291" max="1291" width="30.44140625" style="3" bestFit="1" customWidth="1"/>
    <col min="1292" max="1292" width="8.88671875" style="3"/>
    <col min="1293" max="1293" width="11" style="3" customWidth="1"/>
    <col min="1294" max="1536" width="8.88671875" style="3"/>
    <col min="1537" max="1537" width="38" style="3" customWidth="1"/>
    <col min="1538" max="1538" width="9.5546875" style="3" customWidth="1"/>
    <col min="1539" max="1539" width="21.109375" style="3" customWidth="1"/>
    <col min="1540" max="1540" width="8.109375" style="3" customWidth="1"/>
    <col min="1541" max="1541" width="9.88671875" style="3" customWidth="1"/>
    <col min="1542" max="1542" width="20" style="3" customWidth="1"/>
    <col min="1543" max="1544" width="8.88671875" style="3"/>
    <col min="1545" max="1545" width="22" style="3" bestFit="1" customWidth="1"/>
    <col min="1546" max="1546" width="9.44140625" style="3" bestFit="1" customWidth="1"/>
    <col min="1547" max="1547" width="30.44140625" style="3" bestFit="1" customWidth="1"/>
    <col min="1548" max="1548" width="8.88671875" style="3"/>
    <col min="1549" max="1549" width="11" style="3" customWidth="1"/>
    <col min="1550" max="1792" width="8.88671875" style="3"/>
    <col min="1793" max="1793" width="38" style="3" customWidth="1"/>
    <col min="1794" max="1794" width="9.5546875" style="3" customWidth="1"/>
    <col min="1795" max="1795" width="21.109375" style="3" customWidth="1"/>
    <col min="1796" max="1796" width="8.109375" style="3" customWidth="1"/>
    <col min="1797" max="1797" width="9.88671875" style="3" customWidth="1"/>
    <col min="1798" max="1798" width="20" style="3" customWidth="1"/>
    <col min="1799" max="1800" width="8.88671875" style="3"/>
    <col min="1801" max="1801" width="22" style="3" bestFit="1" customWidth="1"/>
    <col min="1802" max="1802" width="9.44140625" style="3" bestFit="1" customWidth="1"/>
    <col min="1803" max="1803" width="30.44140625" style="3" bestFit="1" customWidth="1"/>
    <col min="1804" max="1804" width="8.88671875" style="3"/>
    <col min="1805" max="1805" width="11" style="3" customWidth="1"/>
    <col min="1806" max="2048" width="8.88671875" style="3"/>
    <col min="2049" max="2049" width="38" style="3" customWidth="1"/>
    <col min="2050" max="2050" width="9.5546875" style="3" customWidth="1"/>
    <col min="2051" max="2051" width="21.109375" style="3" customWidth="1"/>
    <col min="2052" max="2052" width="8.109375" style="3" customWidth="1"/>
    <col min="2053" max="2053" width="9.88671875" style="3" customWidth="1"/>
    <col min="2054" max="2054" width="20" style="3" customWidth="1"/>
    <col min="2055" max="2056" width="8.88671875" style="3"/>
    <col min="2057" max="2057" width="22" style="3" bestFit="1" customWidth="1"/>
    <col min="2058" max="2058" width="9.44140625" style="3" bestFit="1" customWidth="1"/>
    <col min="2059" max="2059" width="30.44140625" style="3" bestFit="1" customWidth="1"/>
    <col min="2060" max="2060" width="8.88671875" style="3"/>
    <col min="2061" max="2061" width="11" style="3" customWidth="1"/>
    <col min="2062" max="2304" width="8.88671875" style="3"/>
    <col min="2305" max="2305" width="38" style="3" customWidth="1"/>
    <col min="2306" max="2306" width="9.5546875" style="3" customWidth="1"/>
    <col min="2307" max="2307" width="21.109375" style="3" customWidth="1"/>
    <col min="2308" max="2308" width="8.109375" style="3" customWidth="1"/>
    <col min="2309" max="2309" width="9.88671875" style="3" customWidth="1"/>
    <col min="2310" max="2310" width="20" style="3" customWidth="1"/>
    <col min="2311" max="2312" width="8.88671875" style="3"/>
    <col min="2313" max="2313" width="22" style="3" bestFit="1" customWidth="1"/>
    <col min="2314" max="2314" width="9.44140625" style="3" bestFit="1" customWidth="1"/>
    <col min="2315" max="2315" width="30.44140625" style="3" bestFit="1" customWidth="1"/>
    <col min="2316" max="2316" width="8.88671875" style="3"/>
    <col min="2317" max="2317" width="11" style="3" customWidth="1"/>
    <col min="2318" max="2560" width="8.88671875" style="3"/>
    <col min="2561" max="2561" width="38" style="3" customWidth="1"/>
    <col min="2562" max="2562" width="9.5546875" style="3" customWidth="1"/>
    <col min="2563" max="2563" width="21.109375" style="3" customWidth="1"/>
    <col min="2564" max="2564" width="8.109375" style="3" customWidth="1"/>
    <col min="2565" max="2565" width="9.88671875" style="3" customWidth="1"/>
    <col min="2566" max="2566" width="20" style="3" customWidth="1"/>
    <col min="2567" max="2568" width="8.88671875" style="3"/>
    <col min="2569" max="2569" width="22" style="3" bestFit="1" customWidth="1"/>
    <col min="2570" max="2570" width="9.44140625" style="3" bestFit="1" customWidth="1"/>
    <col min="2571" max="2571" width="30.44140625" style="3" bestFit="1" customWidth="1"/>
    <col min="2572" max="2572" width="8.88671875" style="3"/>
    <col min="2573" max="2573" width="11" style="3" customWidth="1"/>
    <col min="2574" max="2816" width="8.88671875" style="3"/>
    <col min="2817" max="2817" width="38" style="3" customWidth="1"/>
    <col min="2818" max="2818" width="9.5546875" style="3" customWidth="1"/>
    <col min="2819" max="2819" width="21.109375" style="3" customWidth="1"/>
    <col min="2820" max="2820" width="8.109375" style="3" customWidth="1"/>
    <col min="2821" max="2821" width="9.88671875" style="3" customWidth="1"/>
    <col min="2822" max="2822" width="20" style="3" customWidth="1"/>
    <col min="2823" max="2824" width="8.88671875" style="3"/>
    <col min="2825" max="2825" width="22" style="3" bestFit="1" customWidth="1"/>
    <col min="2826" max="2826" width="9.44140625" style="3" bestFit="1" customWidth="1"/>
    <col min="2827" max="2827" width="30.44140625" style="3" bestFit="1" customWidth="1"/>
    <col min="2828" max="2828" width="8.88671875" style="3"/>
    <col min="2829" max="2829" width="11" style="3" customWidth="1"/>
    <col min="2830" max="3072" width="8.88671875" style="3"/>
    <col min="3073" max="3073" width="38" style="3" customWidth="1"/>
    <col min="3074" max="3074" width="9.5546875" style="3" customWidth="1"/>
    <col min="3075" max="3075" width="21.109375" style="3" customWidth="1"/>
    <col min="3076" max="3076" width="8.109375" style="3" customWidth="1"/>
    <col min="3077" max="3077" width="9.88671875" style="3" customWidth="1"/>
    <col min="3078" max="3078" width="20" style="3" customWidth="1"/>
    <col min="3079" max="3080" width="8.88671875" style="3"/>
    <col min="3081" max="3081" width="22" style="3" bestFit="1" customWidth="1"/>
    <col min="3082" max="3082" width="9.44140625" style="3" bestFit="1" customWidth="1"/>
    <col min="3083" max="3083" width="30.44140625" style="3" bestFit="1" customWidth="1"/>
    <col min="3084" max="3084" width="8.88671875" style="3"/>
    <col min="3085" max="3085" width="11" style="3" customWidth="1"/>
    <col min="3086" max="3328" width="8.88671875" style="3"/>
    <col min="3329" max="3329" width="38" style="3" customWidth="1"/>
    <col min="3330" max="3330" width="9.5546875" style="3" customWidth="1"/>
    <col min="3331" max="3331" width="21.109375" style="3" customWidth="1"/>
    <col min="3332" max="3332" width="8.109375" style="3" customWidth="1"/>
    <col min="3333" max="3333" width="9.88671875" style="3" customWidth="1"/>
    <col min="3334" max="3334" width="20" style="3" customWidth="1"/>
    <col min="3335" max="3336" width="8.88671875" style="3"/>
    <col min="3337" max="3337" width="22" style="3" bestFit="1" customWidth="1"/>
    <col min="3338" max="3338" width="9.44140625" style="3" bestFit="1" customWidth="1"/>
    <col min="3339" max="3339" width="30.44140625" style="3" bestFit="1" customWidth="1"/>
    <col min="3340" max="3340" width="8.88671875" style="3"/>
    <col min="3341" max="3341" width="11" style="3" customWidth="1"/>
    <col min="3342" max="3584" width="8.88671875" style="3"/>
    <col min="3585" max="3585" width="38" style="3" customWidth="1"/>
    <col min="3586" max="3586" width="9.5546875" style="3" customWidth="1"/>
    <col min="3587" max="3587" width="21.109375" style="3" customWidth="1"/>
    <col min="3588" max="3588" width="8.109375" style="3" customWidth="1"/>
    <col min="3589" max="3589" width="9.88671875" style="3" customWidth="1"/>
    <col min="3590" max="3590" width="20" style="3" customWidth="1"/>
    <col min="3591" max="3592" width="8.88671875" style="3"/>
    <col min="3593" max="3593" width="22" style="3" bestFit="1" customWidth="1"/>
    <col min="3594" max="3594" width="9.44140625" style="3" bestFit="1" customWidth="1"/>
    <col min="3595" max="3595" width="30.44140625" style="3" bestFit="1" customWidth="1"/>
    <col min="3596" max="3596" width="8.88671875" style="3"/>
    <col min="3597" max="3597" width="11" style="3" customWidth="1"/>
    <col min="3598" max="3840" width="8.88671875" style="3"/>
    <col min="3841" max="3841" width="38" style="3" customWidth="1"/>
    <col min="3842" max="3842" width="9.5546875" style="3" customWidth="1"/>
    <col min="3843" max="3843" width="21.109375" style="3" customWidth="1"/>
    <col min="3844" max="3844" width="8.109375" style="3" customWidth="1"/>
    <col min="3845" max="3845" width="9.88671875" style="3" customWidth="1"/>
    <col min="3846" max="3846" width="20" style="3" customWidth="1"/>
    <col min="3847" max="3848" width="8.88671875" style="3"/>
    <col min="3849" max="3849" width="22" style="3" bestFit="1" customWidth="1"/>
    <col min="3850" max="3850" width="9.44140625" style="3" bestFit="1" customWidth="1"/>
    <col min="3851" max="3851" width="30.44140625" style="3" bestFit="1" customWidth="1"/>
    <col min="3852" max="3852" width="8.88671875" style="3"/>
    <col min="3853" max="3853" width="11" style="3" customWidth="1"/>
    <col min="3854" max="4096" width="8.88671875" style="3"/>
    <col min="4097" max="4097" width="38" style="3" customWidth="1"/>
    <col min="4098" max="4098" width="9.5546875" style="3" customWidth="1"/>
    <col min="4099" max="4099" width="21.109375" style="3" customWidth="1"/>
    <col min="4100" max="4100" width="8.109375" style="3" customWidth="1"/>
    <col min="4101" max="4101" width="9.88671875" style="3" customWidth="1"/>
    <col min="4102" max="4102" width="20" style="3" customWidth="1"/>
    <col min="4103" max="4104" width="8.88671875" style="3"/>
    <col min="4105" max="4105" width="22" style="3" bestFit="1" customWidth="1"/>
    <col min="4106" max="4106" width="9.44140625" style="3" bestFit="1" customWidth="1"/>
    <col min="4107" max="4107" width="30.44140625" style="3" bestFit="1" customWidth="1"/>
    <col min="4108" max="4108" width="8.88671875" style="3"/>
    <col min="4109" max="4109" width="11" style="3" customWidth="1"/>
    <col min="4110" max="4352" width="8.88671875" style="3"/>
    <col min="4353" max="4353" width="38" style="3" customWidth="1"/>
    <col min="4354" max="4354" width="9.5546875" style="3" customWidth="1"/>
    <col min="4355" max="4355" width="21.109375" style="3" customWidth="1"/>
    <col min="4356" max="4356" width="8.109375" style="3" customWidth="1"/>
    <col min="4357" max="4357" width="9.88671875" style="3" customWidth="1"/>
    <col min="4358" max="4358" width="20" style="3" customWidth="1"/>
    <col min="4359" max="4360" width="8.88671875" style="3"/>
    <col min="4361" max="4361" width="22" style="3" bestFit="1" customWidth="1"/>
    <col min="4362" max="4362" width="9.44140625" style="3" bestFit="1" customWidth="1"/>
    <col min="4363" max="4363" width="30.44140625" style="3" bestFit="1" customWidth="1"/>
    <col min="4364" max="4364" width="8.88671875" style="3"/>
    <col min="4365" max="4365" width="11" style="3" customWidth="1"/>
    <col min="4366" max="4608" width="8.88671875" style="3"/>
    <col min="4609" max="4609" width="38" style="3" customWidth="1"/>
    <col min="4610" max="4610" width="9.5546875" style="3" customWidth="1"/>
    <col min="4611" max="4611" width="21.109375" style="3" customWidth="1"/>
    <col min="4612" max="4612" width="8.109375" style="3" customWidth="1"/>
    <col min="4613" max="4613" width="9.88671875" style="3" customWidth="1"/>
    <col min="4614" max="4614" width="20" style="3" customWidth="1"/>
    <col min="4615" max="4616" width="8.88671875" style="3"/>
    <col min="4617" max="4617" width="22" style="3" bestFit="1" customWidth="1"/>
    <col min="4618" max="4618" width="9.44140625" style="3" bestFit="1" customWidth="1"/>
    <col min="4619" max="4619" width="30.44140625" style="3" bestFit="1" customWidth="1"/>
    <col min="4620" max="4620" width="8.88671875" style="3"/>
    <col min="4621" max="4621" width="11" style="3" customWidth="1"/>
    <col min="4622" max="4864" width="8.88671875" style="3"/>
    <col min="4865" max="4865" width="38" style="3" customWidth="1"/>
    <col min="4866" max="4866" width="9.5546875" style="3" customWidth="1"/>
    <col min="4867" max="4867" width="21.109375" style="3" customWidth="1"/>
    <col min="4868" max="4868" width="8.109375" style="3" customWidth="1"/>
    <col min="4869" max="4869" width="9.88671875" style="3" customWidth="1"/>
    <col min="4870" max="4870" width="20" style="3" customWidth="1"/>
    <col min="4871" max="4872" width="8.88671875" style="3"/>
    <col min="4873" max="4873" width="22" style="3" bestFit="1" customWidth="1"/>
    <col min="4874" max="4874" width="9.44140625" style="3" bestFit="1" customWidth="1"/>
    <col min="4875" max="4875" width="30.44140625" style="3" bestFit="1" customWidth="1"/>
    <col min="4876" max="4876" width="8.88671875" style="3"/>
    <col min="4877" max="4877" width="11" style="3" customWidth="1"/>
    <col min="4878" max="5120" width="8.88671875" style="3"/>
    <col min="5121" max="5121" width="38" style="3" customWidth="1"/>
    <col min="5122" max="5122" width="9.5546875" style="3" customWidth="1"/>
    <col min="5123" max="5123" width="21.109375" style="3" customWidth="1"/>
    <col min="5124" max="5124" width="8.109375" style="3" customWidth="1"/>
    <col min="5125" max="5125" width="9.88671875" style="3" customWidth="1"/>
    <col min="5126" max="5126" width="20" style="3" customWidth="1"/>
    <col min="5127" max="5128" width="8.88671875" style="3"/>
    <col min="5129" max="5129" width="22" style="3" bestFit="1" customWidth="1"/>
    <col min="5130" max="5130" width="9.44140625" style="3" bestFit="1" customWidth="1"/>
    <col min="5131" max="5131" width="30.44140625" style="3" bestFit="1" customWidth="1"/>
    <col min="5132" max="5132" width="8.88671875" style="3"/>
    <col min="5133" max="5133" width="11" style="3" customWidth="1"/>
    <col min="5134" max="5376" width="8.88671875" style="3"/>
    <col min="5377" max="5377" width="38" style="3" customWidth="1"/>
    <col min="5378" max="5378" width="9.5546875" style="3" customWidth="1"/>
    <col min="5379" max="5379" width="21.109375" style="3" customWidth="1"/>
    <col min="5380" max="5380" width="8.109375" style="3" customWidth="1"/>
    <col min="5381" max="5381" width="9.88671875" style="3" customWidth="1"/>
    <col min="5382" max="5382" width="20" style="3" customWidth="1"/>
    <col min="5383" max="5384" width="8.88671875" style="3"/>
    <col min="5385" max="5385" width="22" style="3" bestFit="1" customWidth="1"/>
    <col min="5386" max="5386" width="9.44140625" style="3" bestFit="1" customWidth="1"/>
    <col min="5387" max="5387" width="30.44140625" style="3" bestFit="1" customWidth="1"/>
    <col min="5388" max="5388" width="8.88671875" style="3"/>
    <col min="5389" max="5389" width="11" style="3" customWidth="1"/>
    <col min="5390" max="5632" width="8.88671875" style="3"/>
    <col min="5633" max="5633" width="38" style="3" customWidth="1"/>
    <col min="5634" max="5634" width="9.5546875" style="3" customWidth="1"/>
    <col min="5635" max="5635" width="21.109375" style="3" customWidth="1"/>
    <col min="5636" max="5636" width="8.109375" style="3" customWidth="1"/>
    <col min="5637" max="5637" width="9.88671875" style="3" customWidth="1"/>
    <col min="5638" max="5638" width="20" style="3" customWidth="1"/>
    <col min="5639" max="5640" width="8.88671875" style="3"/>
    <col min="5641" max="5641" width="22" style="3" bestFit="1" customWidth="1"/>
    <col min="5642" max="5642" width="9.44140625" style="3" bestFit="1" customWidth="1"/>
    <col min="5643" max="5643" width="30.44140625" style="3" bestFit="1" customWidth="1"/>
    <col min="5644" max="5644" width="8.88671875" style="3"/>
    <col min="5645" max="5645" width="11" style="3" customWidth="1"/>
    <col min="5646" max="5888" width="8.88671875" style="3"/>
    <col min="5889" max="5889" width="38" style="3" customWidth="1"/>
    <col min="5890" max="5890" width="9.5546875" style="3" customWidth="1"/>
    <col min="5891" max="5891" width="21.109375" style="3" customWidth="1"/>
    <col min="5892" max="5892" width="8.109375" style="3" customWidth="1"/>
    <col min="5893" max="5893" width="9.88671875" style="3" customWidth="1"/>
    <col min="5894" max="5894" width="20" style="3" customWidth="1"/>
    <col min="5895" max="5896" width="8.88671875" style="3"/>
    <col min="5897" max="5897" width="22" style="3" bestFit="1" customWidth="1"/>
    <col min="5898" max="5898" width="9.44140625" style="3" bestFit="1" customWidth="1"/>
    <col min="5899" max="5899" width="30.44140625" style="3" bestFit="1" customWidth="1"/>
    <col min="5900" max="5900" width="8.88671875" style="3"/>
    <col min="5901" max="5901" width="11" style="3" customWidth="1"/>
    <col min="5902" max="6144" width="8.88671875" style="3"/>
    <col min="6145" max="6145" width="38" style="3" customWidth="1"/>
    <col min="6146" max="6146" width="9.5546875" style="3" customWidth="1"/>
    <col min="6147" max="6147" width="21.109375" style="3" customWidth="1"/>
    <col min="6148" max="6148" width="8.109375" style="3" customWidth="1"/>
    <col min="6149" max="6149" width="9.88671875" style="3" customWidth="1"/>
    <col min="6150" max="6150" width="20" style="3" customWidth="1"/>
    <col min="6151" max="6152" width="8.88671875" style="3"/>
    <col min="6153" max="6153" width="22" style="3" bestFit="1" customWidth="1"/>
    <col min="6154" max="6154" width="9.44140625" style="3" bestFit="1" customWidth="1"/>
    <col min="6155" max="6155" width="30.44140625" style="3" bestFit="1" customWidth="1"/>
    <col min="6156" max="6156" width="8.88671875" style="3"/>
    <col min="6157" max="6157" width="11" style="3" customWidth="1"/>
    <col min="6158" max="6400" width="8.88671875" style="3"/>
    <col min="6401" max="6401" width="38" style="3" customWidth="1"/>
    <col min="6402" max="6402" width="9.5546875" style="3" customWidth="1"/>
    <col min="6403" max="6403" width="21.109375" style="3" customWidth="1"/>
    <col min="6404" max="6404" width="8.109375" style="3" customWidth="1"/>
    <col min="6405" max="6405" width="9.88671875" style="3" customWidth="1"/>
    <col min="6406" max="6406" width="20" style="3" customWidth="1"/>
    <col min="6407" max="6408" width="8.88671875" style="3"/>
    <col min="6409" max="6409" width="22" style="3" bestFit="1" customWidth="1"/>
    <col min="6410" max="6410" width="9.44140625" style="3" bestFit="1" customWidth="1"/>
    <col min="6411" max="6411" width="30.44140625" style="3" bestFit="1" customWidth="1"/>
    <col min="6412" max="6412" width="8.88671875" style="3"/>
    <col min="6413" max="6413" width="11" style="3" customWidth="1"/>
    <col min="6414" max="6656" width="8.88671875" style="3"/>
    <col min="6657" max="6657" width="38" style="3" customWidth="1"/>
    <col min="6658" max="6658" width="9.5546875" style="3" customWidth="1"/>
    <col min="6659" max="6659" width="21.109375" style="3" customWidth="1"/>
    <col min="6660" max="6660" width="8.109375" style="3" customWidth="1"/>
    <col min="6661" max="6661" width="9.88671875" style="3" customWidth="1"/>
    <col min="6662" max="6662" width="20" style="3" customWidth="1"/>
    <col min="6663" max="6664" width="8.88671875" style="3"/>
    <col min="6665" max="6665" width="22" style="3" bestFit="1" customWidth="1"/>
    <col min="6666" max="6666" width="9.44140625" style="3" bestFit="1" customWidth="1"/>
    <col min="6667" max="6667" width="30.44140625" style="3" bestFit="1" customWidth="1"/>
    <col min="6668" max="6668" width="8.88671875" style="3"/>
    <col min="6669" max="6669" width="11" style="3" customWidth="1"/>
    <col min="6670" max="6912" width="8.88671875" style="3"/>
    <col min="6913" max="6913" width="38" style="3" customWidth="1"/>
    <col min="6914" max="6914" width="9.5546875" style="3" customWidth="1"/>
    <col min="6915" max="6915" width="21.109375" style="3" customWidth="1"/>
    <col min="6916" max="6916" width="8.109375" style="3" customWidth="1"/>
    <col min="6917" max="6917" width="9.88671875" style="3" customWidth="1"/>
    <col min="6918" max="6918" width="20" style="3" customWidth="1"/>
    <col min="6919" max="6920" width="8.88671875" style="3"/>
    <col min="6921" max="6921" width="22" style="3" bestFit="1" customWidth="1"/>
    <col min="6922" max="6922" width="9.44140625" style="3" bestFit="1" customWidth="1"/>
    <col min="6923" max="6923" width="30.44140625" style="3" bestFit="1" customWidth="1"/>
    <col min="6924" max="6924" width="8.88671875" style="3"/>
    <col min="6925" max="6925" width="11" style="3" customWidth="1"/>
    <col min="6926" max="7168" width="8.88671875" style="3"/>
    <col min="7169" max="7169" width="38" style="3" customWidth="1"/>
    <col min="7170" max="7170" width="9.5546875" style="3" customWidth="1"/>
    <col min="7171" max="7171" width="21.109375" style="3" customWidth="1"/>
    <col min="7172" max="7172" width="8.109375" style="3" customWidth="1"/>
    <col min="7173" max="7173" width="9.88671875" style="3" customWidth="1"/>
    <col min="7174" max="7174" width="20" style="3" customWidth="1"/>
    <col min="7175" max="7176" width="8.88671875" style="3"/>
    <col min="7177" max="7177" width="22" style="3" bestFit="1" customWidth="1"/>
    <col min="7178" max="7178" width="9.44140625" style="3" bestFit="1" customWidth="1"/>
    <col min="7179" max="7179" width="30.44140625" style="3" bestFit="1" customWidth="1"/>
    <col min="7180" max="7180" width="8.88671875" style="3"/>
    <col min="7181" max="7181" width="11" style="3" customWidth="1"/>
    <col min="7182" max="7424" width="8.88671875" style="3"/>
    <col min="7425" max="7425" width="38" style="3" customWidth="1"/>
    <col min="7426" max="7426" width="9.5546875" style="3" customWidth="1"/>
    <col min="7427" max="7427" width="21.109375" style="3" customWidth="1"/>
    <col min="7428" max="7428" width="8.109375" style="3" customWidth="1"/>
    <col min="7429" max="7429" width="9.88671875" style="3" customWidth="1"/>
    <col min="7430" max="7430" width="20" style="3" customWidth="1"/>
    <col min="7431" max="7432" width="8.88671875" style="3"/>
    <col min="7433" max="7433" width="22" style="3" bestFit="1" customWidth="1"/>
    <col min="7434" max="7434" width="9.44140625" style="3" bestFit="1" customWidth="1"/>
    <col min="7435" max="7435" width="30.44140625" style="3" bestFit="1" customWidth="1"/>
    <col min="7436" max="7436" width="8.88671875" style="3"/>
    <col min="7437" max="7437" width="11" style="3" customWidth="1"/>
    <col min="7438" max="7680" width="8.88671875" style="3"/>
    <col min="7681" max="7681" width="38" style="3" customWidth="1"/>
    <col min="7682" max="7682" width="9.5546875" style="3" customWidth="1"/>
    <col min="7683" max="7683" width="21.109375" style="3" customWidth="1"/>
    <col min="7684" max="7684" width="8.109375" style="3" customWidth="1"/>
    <col min="7685" max="7685" width="9.88671875" style="3" customWidth="1"/>
    <col min="7686" max="7686" width="20" style="3" customWidth="1"/>
    <col min="7687" max="7688" width="8.88671875" style="3"/>
    <col min="7689" max="7689" width="22" style="3" bestFit="1" customWidth="1"/>
    <col min="7690" max="7690" width="9.44140625" style="3" bestFit="1" customWidth="1"/>
    <col min="7691" max="7691" width="30.44140625" style="3" bestFit="1" customWidth="1"/>
    <col min="7692" max="7692" width="8.88671875" style="3"/>
    <col min="7693" max="7693" width="11" style="3" customWidth="1"/>
    <col min="7694" max="7936" width="8.88671875" style="3"/>
    <col min="7937" max="7937" width="38" style="3" customWidth="1"/>
    <col min="7938" max="7938" width="9.5546875" style="3" customWidth="1"/>
    <col min="7939" max="7939" width="21.109375" style="3" customWidth="1"/>
    <col min="7940" max="7940" width="8.109375" style="3" customWidth="1"/>
    <col min="7941" max="7941" width="9.88671875" style="3" customWidth="1"/>
    <col min="7942" max="7942" width="20" style="3" customWidth="1"/>
    <col min="7943" max="7944" width="8.88671875" style="3"/>
    <col min="7945" max="7945" width="22" style="3" bestFit="1" customWidth="1"/>
    <col min="7946" max="7946" width="9.44140625" style="3" bestFit="1" customWidth="1"/>
    <col min="7947" max="7947" width="30.44140625" style="3" bestFit="1" customWidth="1"/>
    <col min="7948" max="7948" width="8.88671875" style="3"/>
    <col min="7949" max="7949" width="11" style="3" customWidth="1"/>
    <col min="7950" max="8192" width="8.88671875" style="3"/>
    <col min="8193" max="8193" width="38" style="3" customWidth="1"/>
    <col min="8194" max="8194" width="9.5546875" style="3" customWidth="1"/>
    <col min="8195" max="8195" width="21.109375" style="3" customWidth="1"/>
    <col min="8196" max="8196" width="8.109375" style="3" customWidth="1"/>
    <col min="8197" max="8197" width="9.88671875" style="3" customWidth="1"/>
    <col min="8198" max="8198" width="20" style="3" customWidth="1"/>
    <col min="8199" max="8200" width="8.88671875" style="3"/>
    <col min="8201" max="8201" width="22" style="3" bestFit="1" customWidth="1"/>
    <col min="8202" max="8202" width="9.44140625" style="3" bestFit="1" customWidth="1"/>
    <col min="8203" max="8203" width="30.44140625" style="3" bestFit="1" customWidth="1"/>
    <col min="8204" max="8204" width="8.88671875" style="3"/>
    <col min="8205" max="8205" width="11" style="3" customWidth="1"/>
    <col min="8206" max="8448" width="8.88671875" style="3"/>
    <col min="8449" max="8449" width="38" style="3" customWidth="1"/>
    <col min="8450" max="8450" width="9.5546875" style="3" customWidth="1"/>
    <col min="8451" max="8451" width="21.109375" style="3" customWidth="1"/>
    <col min="8452" max="8452" width="8.109375" style="3" customWidth="1"/>
    <col min="8453" max="8453" width="9.88671875" style="3" customWidth="1"/>
    <col min="8454" max="8454" width="20" style="3" customWidth="1"/>
    <col min="8455" max="8456" width="8.88671875" style="3"/>
    <col min="8457" max="8457" width="22" style="3" bestFit="1" customWidth="1"/>
    <col min="8458" max="8458" width="9.44140625" style="3" bestFit="1" customWidth="1"/>
    <col min="8459" max="8459" width="30.44140625" style="3" bestFit="1" customWidth="1"/>
    <col min="8460" max="8460" width="8.88671875" style="3"/>
    <col min="8461" max="8461" width="11" style="3" customWidth="1"/>
    <col min="8462" max="8704" width="8.88671875" style="3"/>
    <col min="8705" max="8705" width="38" style="3" customWidth="1"/>
    <col min="8706" max="8706" width="9.5546875" style="3" customWidth="1"/>
    <col min="8707" max="8707" width="21.109375" style="3" customWidth="1"/>
    <col min="8708" max="8708" width="8.109375" style="3" customWidth="1"/>
    <col min="8709" max="8709" width="9.88671875" style="3" customWidth="1"/>
    <col min="8710" max="8710" width="20" style="3" customWidth="1"/>
    <col min="8711" max="8712" width="8.88671875" style="3"/>
    <col min="8713" max="8713" width="22" style="3" bestFit="1" customWidth="1"/>
    <col min="8714" max="8714" width="9.44140625" style="3" bestFit="1" customWidth="1"/>
    <col min="8715" max="8715" width="30.44140625" style="3" bestFit="1" customWidth="1"/>
    <col min="8716" max="8716" width="8.88671875" style="3"/>
    <col min="8717" max="8717" width="11" style="3" customWidth="1"/>
    <col min="8718" max="8960" width="8.88671875" style="3"/>
    <col min="8961" max="8961" width="38" style="3" customWidth="1"/>
    <col min="8962" max="8962" width="9.5546875" style="3" customWidth="1"/>
    <col min="8963" max="8963" width="21.109375" style="3" customWidth="1"/>
    <col min="8964" max="8964" width="8.109375" style="3" customWidth="1"/>
    <col min="8965" max="8965" width="9.88671875" style="3" customWidth="1"/>
    <col min="8966" max="8966" width="20" style="3" customWidth="1"/>
    <col min="8967" max="8968" width="8.88671875" style="3"/>
    <col min="8969" max="8969" width="22" style="3" bestFit="1" customWidth="1"/>
    <col min="8970" max="8970" width="9.44140625" style="3" bestFit="1" customWidth="1"/>
    <col min="8971" max="8971" width="30.44140625" style="3" bestFit="1" customWidth="1"/>
    <col min="8972" max="8972" width="8.88671875" style="3"/>
    <col min="8973" max="8973" width="11" style="3" customWidth="1"/>
    <col min="8974" max="9216" width="8.88671875" style="3"/>
    <col min="9217" max="9217" width="38" style="3" customWidth="1"/>
    <col min="9218" max="9218" width="9.5546875" style="3" customWidth="1"/>
    <col min="9219" max="9219" width="21.109375" style="3" customWidth="1"/>
    <col min="9220" max="9220" width="8.109375" style="3" customWidth="1"/>
    <col min="9221" max="9221" width="9.88671875" style="3" customWidth="1"/>
    <col min="9222" max="9222" width="20" style="3" customWidth="1"/>
    <col min="9223" max="9224" width="8.88671875" style="3"/>
    <col min="9225" max="9225" width="22" style="3" bestFit="1" customWidth="1"/>
    <col min="9226" max="9226" width="9.44140625" style="3" bestFit="1" customWidth="1"/>
    <col min="9227" max="9227" width="30.44140625" style="3" bestFit="1" customWidth="1"/>
    <col min="9228" max="9228" width="8.88671875" style="3"/>
    <col min="9229" max="9229" width="11" style="3" customWidth="1"/>
    <col min="9230" max="9472" width="8.88671875" style="3"/>
    <col min="9473" max="9473" width="38" style="3" customWidth="1"/>
    <col min="9474" max="9474" width="9.5546875" style="3" customWidth="1"/>
    <col min="9475" max="9475" width="21.109375" style="3" customWidth="1"/>
    <col min="9476" max="9476" width="8.109375" style="3" customWidth="1"/>
    <col min="9477" max="9477" width="9.88671875" style="3" customWidth="1"/>
    <col min="9478" max="9478" width="20" style="3" customWidth="1"/>
    <col min="9479" max="9480" width="8.88671875" style="3"/>
    <col min="9481" max="9481" width="22" style="3" bestFit="1" customWidth="1"/>
    <col min="9482" max="9482" width="9.44140625" style="3" bestFit="1" customWidth="1"/>
    <col min="9483" max="9483" width="30.44140625" style="3" bestFit="1" customWidth="1"/>
    <col min="9484" max="9484" width="8.88671875" style="3"/>
    <col min="9485" max="9485" width="11" style="3" customWidth="1"/>
    <col min="9486" max="9728" width="8.88671875" style="3"/>
    <col min="9729" max="9729" width="38" style="3" customWidth="1"/>
    <col min="9730" max="9730" width="9.5546875" style="3" customWidth="1"/>
    <col min="9731" max="9731" width="21.109375" style="3" customWidth="1"/>
    <col min="9732" max="9732" width="8.109375" style="3" customWidth="1"/>
    <col min="9733" max="9733" width="9.88671875" style="3" customWidth="1"/>
    <col min="9734" max="9734" width="20" style="3" customWidth="1"/>
    <col min="9735" max="9736" width="8.88671875" style="3"/>
    <col min="9737" max="9737" width="22" style="3" bestFit="1" customWidth="1"/>
    <col min="9738" max="9738" width="9.44140625" style="3" bestFit="1" customWidth="1"/>
    <col min="9739" max="9739" width="30.44140625" style="3" bestFit="1" customWidth="1"/>
    <col min="9740" max="9740" width="8.88671875" style="3"/>
    <col min="9741" max="9741" width="11" style="3" customWidth="1"/>
    <col min="9742" max="9984" width="8.88671875" style="3"/>
    <col min="9985" max="9985" width="38" style="3" customWidth="1"/>
    <col min="9986" max="9986" width="9.5546875" style="3" customWidth="1"/>
    <col min="9987" max="9987" width="21.109375" style="3" customWidth="1"/>
    <col min="9988" max="9988" width="8.109375" style="3" customWidth="1"/>
    <col min="9989" max="9989" width="9.88671875" style="3" customWidth="1"/>
    <col min="9990" max="9990" width="20" style="3" customWidth="1"/>
    <col min="9991" max="9992" width="8.88671875" style="3"/>
    <col min="9993" max="9993" width="22" style="3" bestFit="1" customWidth="1"/>
    <col min="9994" max="9994" width="9.44140625" style="3" bestFit="1" customWidth="1"/>
    <col min="9995" max="9995" width="30.44140625" style="3" bestFit="1" customWidth="1"/>
    <col min="9996" max="9996" width="8.88671875" style="3"/>
    <col min="9997" max="9997" width="11" style="3" customWidth="1"/>
    <col min="9998" max="10240" width="8.88671875" style="3"/>
    <col min="10241" max="10241" width="38" style="3" customWidth="1"/>
    <col min="10242" max="10242" width="9.5546875" style="3" customWidth="1"/>
    <col min="10243" max="10243" width="21.109375" style="3" customWidth="1"/>
    <col min="10244" max="10244" width="8.109375" style="3" customWidth="1"/>
    <col min="10245" max="10245" width="9.88671875" style="3" customWidth="1"/>
    <col min="10246" max="10246" width="20" style="3" customWidth="1"/>
    <col min="10247" max="10248" width="8.88671875" style="3"/>
    <col min="10249" max="10249" width="22" style="3" bestFit="1" customWidth="1"/>
    <col min="10250" max="10250" width="9.44140625" style="3" bestFit="1" customWidth="1"/>
    <col min="10251" max="10251" width="30.44140625" style="3" bestFit="1" customWidth="1"/>
    <col min="10252" max="10252" width="8.88671875" style="3"/>
    <col min="10253" max="10253" width="11" style="3" customWidth="1"/>
    <col min="10254" max="10496" width="8.88671875" style="3"/>
    <col min="10497" max="10497" width="38" style="3" customWidth="1"/>
    <col min="10498" max="10498" width="9.5546875" style="3" customWidth="1"/>
    <col min="10499" max="10499" width="21.109375" style="3" customWidth="1"/>
    <col min="10500" max="10500" width="8.109375" style="3" customWidth="1"/>
    <col min="10501" max="10501" width="9.88671875" style="3" customWidth="1"/>
    <col min="10502" max="10502" width="20" style="3" customWidth="1"/>
    <col min="10503" max="10504" width="8.88671875" style="3"/>
    <col min="10505" max="10505" width="22" style="3" bestFit="1" customWidth="1"/>
    <col min="10506" max="10506" width="9.44140625" style="3" bestFit="1" customWidth="1"/>
    <col min="10507" max="10507" width="30.44140625" style="3" bestFit="1" customWidth="1"/>
    <col min="10508" max="10508" width="8.88671875" style="3"/>
    <col min="10509" max="10509" width="11" style="3" customWidth="1"/>
    <col min="10510" max="10752" width="8.88671875" style="3"/>
    <col min="10753" max="10753" width="38" style="3" customWidth="1"/>
    <col min="10754" max="10754" width="9.5546875" style="3" customWidth="1"/>
    <col min="10755" max="10755" width="21.109375" style="3" customWidth="1"/>
    <col min="10756" max="10756" width="8.109375" style="3" customWidth="1"/>
    <col min="10757" max="10757" width="9.88671875" style="3" customWidth="1"/>
    <col min="10758" max="10758" width="20" style="3" customWidth="1"/>
    <col min="10759" max="10760" width="8.88671875" style="3"/>
    <col min="10761" max="10761" width="22" style="3" bestFit="1" customWidth="1"/>
    <col min="10762" max="10762" width="9.44140625" style="3" bestFit="1" customWidth="1"/>
    <col min="10763" max="10763" width="30.44140625" style="3" bestFit="1" customWidth="1"/>
    <col min="10764" max="10764" width="8.88671875" style="3"/>
    <col min="10765" max="10765" width="11" style="3" customWidth="1"/>
    <col min="10766" max="11008" width="8.88671875" style="3"/>
    <col min="11009" max="11009" width="38" style="3" customWidth="1"/>
    <col min="11010" max="11010" width="9.5546875" style="3" customWidth="1"/>
    <col min="11011" max="11011" width="21.109375" style="3" customWidth="1"/>
    <col min="11012" max="11012" width="8.109375" style="3" customWidth="1"/>
    <col min="11013" max="11013" width="9.88671875" style="3" customWidth="1"/>
    <col min="11014" max="11014" width="20" style="3" customWidth="1"/>
    <col min="11015" max="11016" width="8.88671875" style="3"/>
    <col min="11017" max="11017" width="22" style="3" bestFit="1" customWidth="1"/>
    <col min="11018" max="11018" width="9.44140625" style="3" bestFit="1" customWidth="1"/>
    <col min="11019" max="11019" width="30.44140625" style="3" bestFit="1" customWidth="1"/>
    <col min="11020" max="11020" width="8.88671875" style="3"/>
    <col min="11021" max="11021" width="11" style="3" customWidth="1"/>
    <col min="11022" max="11264" width="8.88671875" style="3"/>
    <col min="11265" max="11265" width="38" style="3" customWidth="1"/>
    <col min="11266" max="11266" width="9.5546875" style="3" customWidth="1"/>
    <col min="11267" max="11267" width="21.109375" style="3" customWidth="1"/>
    <col min="11268" max="11268" width="8.109375" style="3" customWidth="1"/>
    <col min="11269" max="11269" width="9.88671875" style="3" customWidth="1"/>
    <col min="11270" max="11270" width="20" style="3" customWidth="1"/>
    <col min="11271" max="11272" width="8.88671875" style="3"/>
    <col min="11273" max="11273" width="22" style="3" bestFit="1" customWidth="1"/>
    <col min="11274" max="11274" width="9.44140625" style="3" bestFit="1" customWidth="1"/>
    <col min="11275" max="11275" width="30.44140625" style="3" bestFit="1" customWidth="1"/>
    <col min="11276" max="11276" width="8.88671875" style="3"/>
    <col min="11277" max="11277" width="11" style="3" customWidth="1"/>
    <col min="11278" max="11520" width="8.88671875" style="3"/>
    <col min="11521" max="11521" width="38" style="3" customWidth="1"/>
    <col min="11522" max="11522" width="9.5546875" style="3" customWidth="1"/>
    <col min="11523" max="11523" width="21.109375" style="3" customWidth="1"/>
    <col min="11524" max="11524" width="8.109375" style="3" customWidth="1"/>
    <col min="11525" max="11525" width="9.88671875" style="3" customWidth="1"/>
    <col min="11526" max="11526" width="20" style="3" customWidth="1"/>
    <col min="11527" max="11528" width="8.88671875" style="3"/>
    <col min="11529" max="11529" width="22" style="3" bestFit="1" customWidth="1"/>
    <col min="11530" max="11530" width="9.44140625" style="3" bestFit="1" customWidth="1"/>
    <col min="11531" max="11531" width="30.44140625" style="3" bestFit="1" customWidth="1"/>
    <col min="11532" max="11532" width="8.88671875" style="3"/>
    <col min="11533" max="11533" width="11" style="3" customWidth="1"/>
    <col min="11534" max="11776" width="8.88671875" style="3"/>
    <col min="11777" max="11777" width="38" style="3" customWidth="1"/>
    <col min="11778" max="11778" width="9.5546875" style="3" customWidth="1"/>
    <col min="11779" max="11779" width="21.109375" style="3" customWidth="1"/>
    <col min="11780" max="11780" width="8.109375" style="3" customWidth="1"/>
    <col min="11781" max="11781" width="9.88671875" style="3" customWidth="1"/>
    <col min="11782" max="11782" width="20" style="3" customWidth="1"/>
    <col min="11783" max="11784" width="8.88671875" style="3"/>
    <col min="11785" max="11785" width="22" style="3" bestFit="1" customWidth="1"/>
    <col min="11786" max="11786" width="9.44140625" style="3" bestFit="1" customWidth="1"/>
    <col min="11787" max="11787" width="30.44140625" style="3" bestFit="1" customWidth="1"/>
    <col min="11788" max="11788" width="8.88671875" style="3"/>
    <col min="11789" max="11789" width="11" style="3" customWidth="1"/>
    <col min="11790" max="12032" width="8.88671875" style="3"/>
    <col min="12033" max="12033" width="38" style="3" customWidth="1"/>
    <col min="12034" max="12034" width="9.5546875" style="3" customWidth="1"/>
    <col min="12035" max="12035" width="21.109375" style="3" customWidth="1"/>
    <col min="12036" max="12036" width="8.109375" style="3" customWidth="1"/>
    <col min="12037" max="12037" width="9.88671875" style="3" customWidth="1"/>
    <col min="12038" max="12038" width="20" style="3" customWidth="1"/>
    <col min="12039" max="12040" width="8.88671875" style="3"/>
    <col min="12041" max="12041" width="22" style="3" bestFit="1" customWidth="1"/>
    <col min="12042" max="12042" width="9.44140625" style="3" bestFit="1" customWidth="1"/>
    <col min="12043" max="12043" width="30.44140625" style="3" bestFit="1" customWidth="1"/>
    <col min="12044" max="12044" width="8.88671875" style="3"/>
    <col min="12045" max="12045" width="11" style="3" customWidth="1"/>
    <col min="12046" max="12288" width="8.88671875" style="3"/>
    <col min="12289" max="12289" width="38" style="3" customWidth="1"/>
    <col min="12290" max="12290" width="9.5546875" style="3" customWidth="1"/>
    <col min="12291" max="12291" width="21.109375" style="3" customWidth="1"/>
    <col min="12292" max="12292" width="8.109375" style="3" customWidth="1"/>
    <col min="12293" max="12293" width="9.88671875" style="3" customWidth="1"/>
    <col min="12294" max="12294" width="20" style="3" customWidth="1"/>
    <col min="12295" max="12296" width="8.88671875" style="3"/>
    <col min="12297" max="12297" width="22" style="3" bestFit="1" customWidth="1"/>
    <col min="12298" max="12298" width="9.44140625" style="3" bestFit="1" customWidth="1"/>
    <col min="12299" max="12299" width="30.44140625" style="3" bestFit="1" customWidth="1"/>
    <col min="12300" max="12300" width="8.88671875" style="3"/>
    <col min="12301" max="12301" width="11" style="3" customWidth="1"/>
    <col min="12302" max="12544" width="8.88671875" style="3"/>
    <col min="12545" max="12545" width="38" style="3" customWidth="1"/>
    <col min="12546" max="12546" width="9.5546875" style="3" customWidth="1"/>
    <col min="12547" max="12547" width="21.109375" style="3" customWidth="1"/>
    <col min="12548" max="12548" width="8.109375" style="3" customWidth="1"/>
    <col min="12549" max="12549" width="9.88671875" style="3" customWidth="1"/>
    <col min="12550" max="12550" width="20" style="3" customWidth="1"/>
    <col min="12551" max="12552" width="8.88671875" style="3"/>
    <col min="12553" max="12553" width="22" style="3" bestFit="1" customWidth="1"/>
    <col min="12554" max="12554" width="9.44140625" style="3" bestFit="1" customWidth="1"/>
    <col min="12555" max="12555" width="30.44140625" style="3" bestFit="1" customWidth="1"/>
    <col min="12556" max="12556" width="8.88671875" style="3"/>
    <col min="12557" max="12557" width="11" style="3" customWidth="1"/>
    <col min="12558" max="12800" width="8.88671875" style="3"/>
    <col min="12801" max="12801" width="38" style="3" customWidth="1"/>
    <col min="12802" max="12802" width="9.5546875" style="3" customWidth="1"/>
    <col min="12803" max="12803" width="21.109375" style="3" customWidth="1"/>
    <col min="12804" max="12804" width="8.109375" style="3" customWidth="1"/>
    <col min="12805" max="12805" width="9.88671875" style="3" customWidth="1"/>
    <col min="12806" max="12806" width="20" style="3" customWidth="1"/>
    <col min="12807" max="12808" width="8.88671875" style="3"/>
    <col min="12809" max="12809" width="22" style="3" bestFit="1" customWidth="1"/>
    <col min="12810" max="12810" width="9.44140625" style="3" bestFit="1" customWidth="1"/>
    <col min="12811" max="12811" width="30.44140625" style="3" bestFit="1" customWidth="1"/>
    <col min="12812" max="12812" width="8.88671875" style="3"/>
    <col min="12813" max="12813" width="11" style="3" customWidth="1"/>
    <col min="12814" max="13056" width="8.88671875" style="3"/>
    <col min="13057" max="13057" width="38" style="3" customWidth="1"/>
    <col min="13058" max="13058" width="9.5546875" style="3" customWidth="1"/>
    <col min="13059" max="13059" width="21.109375" style="3" customWidth="1"/>
    <col min="13060" max="13060" width="8.109375" style="3" customWidth="1"/>
    <col min="13061" max="13061" width="9.88671875" style="3" customWidth="1"/>
    <col min="13062" max="13062" width="20" style="3" customWidth="1"/>
    <col min="13063" max="13064" width="8.88671875" style="3"/>
    <col min="13065" max="13065" width="22" style="3" bestFit="1" customWidth="1"/>
    <col min="13066" max="13066" width="9.44140625" style="3" bestFit="1" customWidth="1"/>
    <col min="13067" max="13067" width="30.44140625" style="3" bestFit="1" customWidth="1"/>
    <col min="13068" max="13068" width="8.88671875" style="3"/>
    <col min="13069" max="13069" width="11" style="3" customWidth="1"/>
    <col min="13070" max="13312" width="8.88671875" style="3"/>
    <col min="13313" max="13313" width="38" style="3" customWidth="1"/>
    <col min="13314" max="13314" width="9.5546875" style="3" customWidth="1"/>
    <col min="13315" max="13315" width="21.109375" style="3" customWidth="1"/>
    <col min="13316" max="13316" width="8.109375" style="3" customWidth="1"/>
    <col min="13317" max="13317" width="9.88671875" style="3" customWidth="1"/>
    <col min="13318" max="13318" width="20" style="3" customWidth="1"/>
    <col min="13319" max="13320" width="8.88671875" style="3"/>
    <col min="13321" max="13321" width="22" style="3" bestFit="1" customWidth="1"/>
    <col min="13322" max="13322" width="9.44140625" style="3" bestFit="1" customWidth="1"/>
    <col min="13323" max="13323" width="30.44140625" style="3" bestFit="1" customWidth="1"/>
    <col min="13324" max="13324" width="8.88671875" style="3"/>
    <col min="13325" max="13325" width="11" style="3" customWidth="1"/>
    <col min="13326" max="13568" width="8.88671875" style="3"/>
    <col min="13569" max="13569" width="38" style="3" customWidth="1"/>
    <col min="13570" max="13570" width="9.5546875" style="3" customWidth="1"/>
    <col min="13571" max="13571" width="21.109375" style="3" customWidth="1"/>
    <col min="13572" max="13572" width="8.109375" style="3" customWidth="1"/>
    <col min="13573" max="13573" width="9.88671875" style="3" customWidth="1"/>
    <col min="13574" max="13574" width="20" style="3" customWidth="1"/>
    <col min="13575" max="13576" width="8.88671875" style="3"/>
    <col min="13577" max="13577" width="22" style="3" bestFit="1" customWidth="1"/>
    <col min="13578" max="13578" width="9.44140625" style="3" bestFit="1" customWidth="1"/>
    <col min="13579" max="13579" width="30.44140625" style="3" bestFit="1" customWidth="1"/>
    <col min="13580" max="13580" width="8.88671875" style="3"/>
    <col min="13581" max="13581" width="11" style="3" customWidth="1"/>
    <col min="13582" max="13824" width="8.88671875" style="3"/>
    <col min="13825" max="13825" width="38" style="3" customWidth="1"/>
    <col min="13826" max="13826" width="9.5546875" style="3" customWidth="1"/>
    <col min="13827" max="13827" width="21.109375" style="3" customWidth="1"/>
    <col min="13828" max="13828" width="8.109375" style="3" customWidth="1"/>
    <col min="13829" max="13829" width="9.88671875" style="3" customWidth="1"/>
    <col min="13830" max="13830" width="20" style="3" customWidth="1"/>
    <col min="13831" max="13832" width="8.88671875" style="3"/>
    <col min="13833" max="13833" width="22" style="3" bestFit="1" customWidth="1"/>
    <col min="13834" max="13834" width="9.44140625" style="3" bestFit="1" customWidth="1"/>
    <col min="13835" max="13835" width="30.44140625" style="3" bestFit="1" customWidth="1"/>
    <col min="13836" max="13836" width="8.88671875" style="3"/>
    <col min="13837" max="13837" width="11" style="3" customWidth="1"/>
    <col min="13838" max="14080" width="8.88671875" style="3"/>
    <col min="14081" max="14081" width="38" style="3" customWidth="1"/>
    <col min="14082" max="14082" width="9.5546875" style="3" customWidth="1"/>
    <col min="14083" max="14083" width="21.109375" style="3" customWidth="1"/>
    <col min="14084" max="14084" width="8.109375" style="3" customWidth="1"/>
    <col min="14085" max="14085" width="9.88671875" style="3" customWidth="1"/>
    <col min="14086" max="14086" width="20" style="3" customWidth="1"/>
    <col min="14087" max="14088" width="8.88671875" style="3"/>
    <col min="14089" max="14089" width="22" style="3" bestFit="1" customWidth="1"/>
    <col min="14090" max="14090" width="9.44140625" style="3" bestFit="1" customWidth="1"/>
    <col min="14091" max="14091" width="30.44140625" style="3" bestFit="1" customWidth="1"/>
    <col min="14092" max="14092" width="8.88671875" style="3"/>
    <col min="14093" max="14093" width="11" style="3" customWidth="1"/>
    <col min="14094" max="14336" width="8.88671875" style="3"/>
    <col min="14337" max="14337" width="38" style="3" customWidth="1"/>
    <col min="14338" max="14338" width="9.5546875" style="3" customWidth="1"/>
    <col min="14339" max="14339" width="21.109375" style="3" customWidth="1"/>
    <col min="14340" max="14340" width="8.109375" style="3" customWidth="1"/>
    <col min="14341" max="14341" width="9.88671875" style="3" customWidth="1"/>
    <col min="14342" max="14342" width="20" style="3" customWidth="1"/>
    <col min="14343" max="14344" width="8.88671875" style="3"/>
    <col min="14345" max="14345" width="22" style="3" bestFit="1" customWidth="1"/>
    <col min="14346" max="14346" width="9.44140625" style="3" bestFit="1" customWidth="1"/>
    <col min="14347" max="14347" width="30.44140625" style="3" bestFit="1" customWidth="1"/>
    <col min="14348" max="14348" width="8.88671875" style="3"/>
    <col min="14349" max="14349" width="11" style="3" customWidth="1"/>
    <col min="14350" max="14592" width="8.88671875" style="3"/>
    <col min="14593" max="14593" width="38" style="3" customWidth="1"/>
    <col min="14594" max="14594" width="9.5546875" style="3" customWidth="1"/>
    <col min="14595" max="14595" width="21.109375" style="3" customWidth="1"/>
    <col min="14596" max="14596" width="8.109375" style="3" customWidth="1"/>
    <col min="14597" max="14597" width="9.88671875" style="3" customWidth="1"/>
    <col min="14598" max="14598" width="20" style="3" customWidth="1"/>
    <col min="14599" max="14600" width="8.88671875" style="3"/>
    <col min="14601" max="14601" width="22" style="3" bestFit="1" customWidth="1"/>
    <col min="14602" max="14602" width="9.44140625" style="3" bestFit="1" customWidth="1"/>
    <col min="14603" max="14603" width="30.44140625" style="3" bestFit="1" customWidth="1"/>
    <col min="14604" max="14604" width="8.88671875" style="3"/>
    <col min="14605" max="14605" width="11" style="3" customWidth="1"/>
    <col min="14606" max="14848" width="8.88671875" style="3"/>
    <col min="14849" max="14849" width="38" style="3" customWidth="1"/>
    <col min="14850" max="14850" width="9.5546875" style="3" customWidth="1"/>
    <col min="14851" max="14851" width="21.109375" style="3" customWidth="1"/>
    <col min="14852" max="14852" width="8.109375" style="3" customWidth="1"/>
    <col min="14853" max="14853" width="9.88671875" style="3" customWidth="1"/>
    <col min="14854" max="14854" width="20" style="3" customWidth="1"/>
    <col min="14855" max="14856" width="8.88671875" style="3"/>
    <col min="14857" max="14857" width="22" style="3" bestFit="1" customWidth="1"/>
    <col min="14858" max="14858" width="9.44140625" style="3" bestFit="1" customWidth="1"/>
    <col min="14859" max="14859" width="30.44140625" style="3" bestFit="1" customWidth="1"/>
    <col min="14860" max="14860" width="8.88671875" style="3"/>
    <col min="14861" max="14861" width="11" style="3" customWidth="1"/>
    <col min="14862" max="15104" width="8.88671875" style="3"/>
    <col min="15105" max="15105" width="38" style="3" customWidth="1"/>
    <col min="15106" max="15106" width="9.5546875" style="3" customWidth="1"/>
    <col min="15107" max="15107" width="21.109375" style="3" customWidth="1"/>
    <col min="15108" max="15108" width="8.109375" style="3" customWidth="1"/>
    <col min="15109" max="15109" width="9.88671875" style="3" customWidth="1"/>
    <col min="15110" max="15110" width="20" style="3" customWidth="1"/>
    <col min="15111" max="15112" width="8.88671875" style="3"/>
    <col min="15113" max="15113" width="22" style="3" bestFit="1" customWidth="1"/>
    <col min="15114" max="15114" width="9.44140625" style="3" bestFit="1" customWidth="1"/>
    <col min="15115" max="15115" width="30.44140625" style="3" bestFit="1" customWidth="1"/>
    <col min="15116" max="15116" width="8.88671875" style="3"/>
    <col min="15117" max="15117" width="11" style="3" customWidth="1"/>
    <col min="15118" max="15360" width="8.88671875" style="3"/>
    <col min="15361" max="15361" width="38" style="3" customWidth="1"/>
    <col min="15362" max="15362" width="9.5546875" style="3" customWidth="1"/>
    <col min="15363" max="15363" width="21.109375" style="3" customWidth="1"/>
    <col min="15364" max="15364" width="8.109375" style="3" customWidth="1"/>
    <col min="15365" max="15365" width="9.88671875" style="3" customWidth="1"/>
    <col min="15366" max="15366" width="20" style="3" customWidth="1"/>
    <col min="15367" max="15368" width="8.88671875" style="3"/>
    <col min="15369" max="15369" width="22" style="3" bestFit="1" customWidth="1"/>
    <col min="15370" max="15370" width="9.44140625" style="3" bestFit="1" customWidth="1"/>
    <col min="15371" max="15371" width="30.44140625" style="3" bestFit="1" customWidth="1"/>
    <col min="15372" max="15372" width="8.88671875" style="3"/>
    <col min="15373" max="15373" width="11" style="3" customWidth="1"/>
    <col min="15374" max="15616" width="8.88671875" style="3"/>
    <col min="15617" max="15617" width="38" style="3" customWidth="1"/>
    <col min="15618" max="15618" width="9.5546875" style="3" customWidth="1"/>
    <col min="15619" max="15619" width="21.109375" style="3" customWidth="1"/>
    <col min="15620" max="15620" width="8.109375" style="3" customWidth="1"/>
    <col min="15621" max="15621" width="9.88671875" style="3" customWidth="1"/>
    <col min="15622" max="15622" width="20" style="3" customWidth="1"/>
    <col min="15623" max="15624" width="8.88671875" style="3"/>
    <col min="15625" max="15625" width="22" style="3" bestFit="1" customWidth="1"/>
    <col min="15626" max="15626" width="9.44140625" style="3" bestFit="1" customWidth="1"/>
    <col min="15627" max="15627" width="30.44140625" style="3" bestFit="1" customWidth="1"/>
    <col min="15628" max="15628" width="8.88671875" style="3"/>
    <col min="15629" max="15629" width="11" style="3" customWidth="1"/>
    <col min="15630" max="15872" width="8.88671875" style="3"/>
    <col min="15873" max="15873" width="38" style="3" customWidth="1"/>
    <col min="15874" max="15874" width="9.5546875" style="3" customWidth="1"/>
    <col min="15875" max="15875" width="21.109375" style="3" customWidth="1"/>
    <col min="15876" max="15876" width="8.109375" style="3" customWidth="1"/>
    <col min="15877" max="15877" width="9.88671875" style="3" customWidth="1"/>
    <col min="15878" max="15878" width="20" style="3" customWidth="1"/>
    <col min="15879" max="15880" width="8.88671875" style="3"/>
    <col min="15881" max="15881" width="22" style="3" bestFit="1" customWidth="1"/>
    <col min="15882" max="15882" width="9.44140625" style="3" bestFit="1" customWidth="1"/>
    <col min="15883" max="15883" width="30.44140625" style="3" bestFit="1" customWidth="1"/>
    <col min="15884" max="15884" width="8.88671875" style="3"/>
    <col min="15885" max="15885" width="11" style="3" customWidth="1"/>
    <col min="15886" max="16128" width="8.88671875" style="3"/>
    <col min="16129" max="16129" width="38" style="3" customWidth="1"/>
    <col min="16130" max="16130" width="9.5546875" style="3" customWidth="1"/>
    <col min="16131" max="16131" width="21.109375" style="3" customWidth="1"/>
    <col min="16132" max="16132" width="8.109375" style="3" customWidth="1"/>
    <col min="16133" max="16133" width="9.88671875" style="3" customWidth="1"/>
    <col min="16134" max="16134" width="20" style="3" customWidth="1"/>
    <col min="16135" max="16136" width="8.88671875" style="3"/>
    <col min="16137" max="16137" width="22" style="3" bestFit="1" customWidth="1"/>
    <col min="16138" max="16138" width="9.44140625" style="3" bestFit="1" customWidth="1"/>
    <col min="16139" max="16139" width="30.44140625" style="3" bestFit="1" customWidth="1"/>
    <col min="16140" max="16140" width="8.88671875" style="3"/>
    <col min="16141" max="16141" width="11" style="3" customWidth="1"/>
    <col min="16142" max="16384" width="8.88671875" style="3"/>
  </cols>
  <sheetData>
    <row r="1" spans="1:11" ht="15.6" x14ac:dyDescent="0.3">
      <c r="A1" s="1" t="s">
        <v>0</v>
      </c>
      <c r="B1" s="2"/>
      <c r="C1" s="2"/>
      <c r="D1" s="2"/>
      <c r="E1" s="2"/>
      <c r="F1" s="2"/>
    </row>
    <row r="3" spans="1:11" x14ac:dyDescent="0.25">
      <c r="A3" s="4" t="s">
        <v>1</v>
      </c>
      <c r="B3" s="5">
        <v>7.0000000000000007E-2</v>
      </c>
    </row>
    <row r="4" spans="1:11" x14ac:dyDescent="0.25">
      <c r="A4" s="4"/>
      <c r="B4" s="5"/>
    </row>
    <row r="5" spans="1:11" x14ac:dyDescent="0.25">
      <c r="A5" s="4" t="s">
        <v>2</v>
      </c>
      <c r="B5" s="7">
        <v>1000</v>
      </c>
      <c r="D5" s="3" t="e">
        <f ca="1">_xlfn.FORMULATEXT(B5)</f>
        <v>#N/A</v>
      </c>
    </row>
    <row r="6" spans="1:11" x14ac:dyDescent="0.25">
      <c r="A6" s="4" t="s">
        <v>3</v>
      </c>
      <c r="B6" s="5">
        <v>0.3</v>
      </c>
    </row>
    <row r="7" spans="1:11" x14ac:dyDescent="0.25">
      <c r="A7" s="4" t="s">
        <v>4</v>
      </c>
      <c r="B7" s="5">
        <f>1-B6</f>
        <v>0.7</v>
      </c>
      <c r="C7" s="8" t="str">
        <f ca="1">_xlfn.FORMULATEXT(B7)</f>
        <v>=1-B6</v>
      </c>
    </row>
    <row r="8" spans="1:11" x14ac:dyDescent="0.25">
      <c r="A8" s="4" t="s">
        <v>5</v>
      </c>
      <c r="B8" s="4">
        <f>B6*B5</f>
        <v>300</v>
      </c>
      <c r="C8" s="8" t="str">
        <f ca="1">_xlfn.FORMULATEXT(B8)</f>
        <v>=B6*B5</v>
      </c>
    </row>
    <row r="9" spans="1:11" x14ac:dyDescent="0.25">
      <c r="A9" s="4" t="s">
        <v>6</v>
      </c>
      <c r="B9" s="4">
        <f>B7*B5</f>
        <v>700</v>
      </c>
      <c r="C9" s="8" t="str">
        <f ca="1">_xlfn.FORMULATEXT(B9)</f>
        <v>=B7*B5</v>
      </c>
    </row>
    <row r="10" spans="1:11" x14ac:dyDescent="0.25">
      <c r="A10" s="4" t="s">
        <v>7</v>
      </c>
      <c r="B10" s="9">
        <f>B8/B25</f>
        <v>0.30000000000000016</v>
      </c>
      <c r="C10" s="8" t="str">
        <f ca="1">_xlfn.FORMULATEXT(B10)</f>
        <v>=B8/B25</v>
      </c>
    </row>
    <row r="11" spans="1:11" x14ac:dyDescent="0.25">
      <c r="A11" s="4" t="s">
        <v>8</v>
      </c>
      <c r="B11" s="10">
        <f>B9/E25</f>
        <v>0.49246705076413178</v>
      </c>
      <c r="C11" s="8" t="str">
        <f ca="1">_xlfn.FORMULATEXT(B11)</f>
        <v>=B9/E25</v>
      </c>
    </row>
    <row r="12" spans="1:11" x14ac:dyDescent="0.25">
      <c r="A12" s="4"/>
      <c r="B12" s="4"/>
      <c r="C12" s="11"/>
      <c r="D12" s="4"/>
      <c r="E12" s="4"/>
      <c r="F12" s="11"/>
    </row>
    <row r="13" spans="1:11" ht="16.8" x14ac:dyDescent="0.35">
      <c r="A13" s="11" t="s">
        <v>9</v>
      </c>
      <c r="B13" s="11" t="s">
        <v>10</v>
      </c>
      <c r="C13" s="11" t="s">
        <v>11</v>
      </c>
      <c r="D13" s="11"/>
      <c r="E13" s="11" t="s">
        <v>12</v>
      </c>
      <c r="F13" s="11" t="s">
        <v>13</v>
      </c>
      <c r="H13" s="11" t="s">
        <v>14</v>
      </c>
      <c r="I13" s="11" t="s">
        <v>15</v>
      </c>
    </row>
    <row r="14" spans="1:11" x14ac:dyDescent="0.25">
      <c r="A14" s="6">
        <v>1</v>
      </c>
      <c r="B14" s="3">
        <v>70</v>
      </c>
      <c r="C14" s="12">
        <f>$A14*B14/(B$25*(1+$B$3)^$A14)</f>
        <v>6.5420560747663573E-2</v>
      </c>
      <c r="E14" s="3">
        <v>130</v>
      </c>
      <c r="F14" s="12">
        <f>$A14*E14/(E$25*(1+$B$3)^$A14)</f>
        <v>8.5474922028487485E-2</v>
      </c>
      <c r="H14" s="3">
        <f t="shared" ref="H14:H23" si="0">$B$10*B14+$B$11*E14</f>
        <v>85.020716599337149</v>
      </c>
      <c r="I14" s="12">
        <f>$A14*H14/(H$25*(1+$B$3)^$A14)</f>
        <v>7.9458613644240311E-2</v>
      </c>
      <c r="J14" s="3">
        <f>$B$6*C14+$B$7*F14</f>
        <v>7.9458613644240311E-2</v>
      </c>
      <c r="K14" s="13" t="str">
        <f ca="1">_xlfn.FORMULATEXT(J14)&amp;". Note that each individual term is the weighted average of the terms in "&amp;CHAR(COLUMN(C14)+64)&amp;ROW(C14)&amp;" and "&amp;CHAR(COLUMN(F14)+64)&amp;ROW(F14)&amp;"."</f>
        <v>=$B$6*C14+$B$7*F14. Note that each individual term is the weighted average of the terms in C14 and F14.</v>
      </c>
    </row>
    <row r="15" spans="1:11" x14ac:dyDescent="0.25">
      <c r="A15" s="6">
        <v>2</v>
      </c>
      <c r="B15" s="3">
        <v>70</v>
      </c>
      <c r="C15" s="12">
        <f t="shared" ref="C15:C23" si="1">$A15*B15/(B$25*(1+$B$3)^$A15)</f>
        <v>0.12228142195824969</v>
      </c>
      <c r="E15" s="3">
        <v>130</v>
      </c>
      <c r="F15" s="12">
        <f t="shared" ref="F15:F23" si="2">$A15*E15/(E$25*(1+$B$3)^$A15)</f>
        <v>0.15976620939904204</v>
      </c>
      <c r="H15" s="3">
        <f t="shared" si="0"/>
        <v>85.020716599337149</v>
      </c>
      <c r="I15" s="12">
        <f t="shared" ref="I15:I23" si="3">$A15*H15/(H$25*(1+$B$3)^$A15)</f>
        <v>0.14852077316680434</v>
      </c>
      <c r="K15" s="13"/>
    </row>
    <row r="16" spans="1:11" x14ac:dyDescent="0.25">
      <c r="A16" s="6">
        <v>3</v>
      </c>
      <c r="B16" s="3">
        <v>70</v>
      </c>
      <c r="C16" s="12">
        <f t="shared" si="1"/>
        <v>0.17142255414707899</v>
      </c>
      <c r="E16" s="3">
        <v>130</v>
      </c>
      <c r="F16" s="12">
        <f t="shared" si="2"/>
        <v>0.22397132158744207</v>
      </c>
      <c r="H16" s="3">
        <f t="shared" si="0"/>
        <v>85.020716599337149</v>
      </c>
      <c r="I16" s="12">
        <f t="shared" si="3"/>
        <v>0.20820669135533312</v>
      </c>
      <c r="K16" s="13"/>
    </row>
    <row r="17" spans="1:11" x14ac:dyDescent="0.25">
      <c r="A17" s="6">
        <v>4</v>
      </c>
      <c r="B17" s="3">
        <v>70</v>
      </c>
      <c r="C17" s="12">
        <f t="shared" si="1"/>
        <v>0.21361065937330717</v>
      </c>
      <c r="E17" s="3">
        <v>130</v>
      </c>
      <c r="F17" s="12">
        <f t="shared" si="2"/>
        <v>0.27909198951706182</v>
      </c>
      <c r="H17" s="3">
        <f t="shared" si="0"/>
        <v>85.020716599337149</v>
      </c>
      <c r="I17" s="12">
        <f t="shared" si="3"/>
        <v>0.2594475904739354</v>
      </c>
      <c r="K17" s="13"/>
    </row>
    <row r="18" spans="1:11" x14ac:dyDescent="0.25">
      <c r="A18" s="6">
        <v>5</v>
      </c>
      <c r="B18" s="3">
        <v>70</v>
      </c>
      <c r="C18" s="12">
        <f t="shared" si="1"/>
        <v>0.24954516281928404</v>
      </c>
      <c r="E18" s="3">
        <v>130</v>
      </c>
      <c r="F18" s="12">
        <f t="shared" si="2"/>
        <v>0.32604204382834323</v>
      </c>
      <c r="H18" s="3">
        <f t="shared" si="0"/>
        <v>85.020716599337149</v>
      </c>
      <c r="I18" s="12">
        <f t="shared" si="3"/>
        <v>0.30309297952562547</v>
      </c>
      <c r="K18" s="13"/>
    </row>
    <row r="19" spans="1:11" x14ac:dyDescent="0.25">
      <c r="A19" s="6">
        <v>6</v>
      </c>
      <c r="B19" s="3">
        <v>70</v>
      </c>
      <c r="C19" s="12">
        <f t="shared" si="1"/>
        <v>0.2798637340029354</v>
      </c>
      <c r="E19" s="3">
        <v>130</v>
      </c>
      <c r="F19" s="12">
        <f t="shared" si="2"/>
        <v>0.3656546285925345</v>
      </c>
      <c r="H19" s="3">
        <f t="shared" si="0"/>
        <v>85.020716599337149</v>
      </c>
      <c r="I19" s="12">
        <f t="shared" si="3"/>
        <v>0.33991736021565472</v>
      </c>
      <c r="K19" s="13"/>
    </row>
    <row r="20" spans="1:11" x14ac:dyDescent="0.25">
      <c r="A20" s="6">
        <v>7</v>
      </c>
      <c r="B20" s="3">
        <v>70</v>
      </c>
      <c r="C20" s="12">
        <f t="shared" si="1"/>
        <v>0.30514737352344978</v>
      </c>
      <c r="E20" s="3">
        <v>130</v>
      </c>
      <c r="F20" s="12">
        <f t="shared" si="2"/>
        <v>0.39868884737503757</v>
      </c>
      <c r="H20" s="3">
        <f t="shared" si="0"/>
        <v>85.020716599337149</v>
      </c>
      <c r="I20" s="12">
        <f t="shared" si="3"/>
        <v>0.37062640521956125</v>
      </c>
    </row>
    <row r="21" spans="1:11" x14ac:dyDescent="0.25">
      <c r="A21" s="6">
        <v>8</v>
      </c>
      <c r="B21" s="3">
        <v>70</v>
      </c>
      <c r="C21" s="12">
        <f t="shared" si="1"/>
        <v>0.32592509855642171</v>
      </c>
      <c r="E21" s="3">
        <v>130</v>
      </c>
      <c r="F21" s="12">
        <f t="shared" si="2"/>
        <v>0.42583588504676911</v>
      </c>
      <c r="H21" s="3">
        <f t="shared" si="0"/>
        <v>85.020716599337149</v>
      </c>
      <c r="I21" s="12">
        <f t="shared" si="3"/>
        <v>0.39586264909966484</v>
      </c>
    </row>
    <row r="22" spans="1:11" x14ac:dyDescent="0.25">
      <c r="A22" s="6">
        <v>9</v>
      </c>
      <c r="B22" s="3">
        <v>70</v>
      </c>
      <c r="C22" s="12">
        <f t="shared" si="1"/>
        <v>0.34267825782801342</v>
      </c>
      <c r="E22" s="3">
        <v>130</v>
      </c>
      <c r="F22" s="12">
        <f t="shared" si="2"/>
        <v>0.44772464549309832</v>
      </c>
      <c r="H22" s="3">
        <f t="shared" si="0"/>
        <v>85.020716599337149</v>
      </c>
      <c r="I22" s="12">
        <f t="shared" si="3"/>
        <v>0.41621072919357277</v>
      </c>
    </row>
    <row r="23" spans="1:11" x14ac:dyDescent="0.25">
      <c r="A23" s="6">
        <v>10</v>
      </c>
      <c r="B23" s="3">
        <v>1070</v>
      </c>
      <c r="C23" s="12">
        <f t="shared" si="1"/>
        <v>5.4393374258414831</v>
      </c>
      <c r="E23" s="3">
        <v>1130</v>
      </c>
      <c r="F23" s="12">
        <f t="shared" si="2"/>
        <v>4.0412880374406992</v>
      </c>
      <c r="H23" s="3">
        <f t="shared" si="0"/>
        <v>877.48776736346917</v>
      </c>
      <c r="I23" s="12">
        <f t="shared" si="3"/>
        <v>4.4607028539609344</v>
      </c>
    </row>
    <row r="24" spans="1:11" x14ac:dyDescent="0.25">
      <c r="B24" s="3" t="s">
        <v>16</v>
      </c>
      <c r="C24" s="6" t="s">
        <v>17</v>
      </c>
      <c r="D24" s="6"/>
      <c r="E24" s="3" t="s">
        <v>16</v>
      </c>
      <c r="F24" s="6" t="s">
        <v>17</v>
      </c>
    </row>
    <row r="25" spans="1:11" ht="13.8" x14ac:dyDescent="0.25">
      <c r="B25" s="14">
        <f>NPV(B3,B14:B23)</f>
        <v>999.99999999999955</v>
      </c>
      <c r="C25" s="12">
        <f>SUM(C14:C23)</f>
        <v>7.5152322487978864</v>
      </c>
      <c r="E25" s="15">
        <f>NPV(B3,E14:E23)</f>
        <v>1421.4148924559556</v>
      </c>
      <c r="F25" s="12">
        <f>SUM(F14:F23)</f>
        <v>6.7535385303085151</v>
      </c>
      <c r="H25" s="15">
        <f>NPV(B3,H14:H23)</f>
        <v>1000.0000000000001</v>
      </c>
      <c r="I25" s="12">
        <f>SUM(I14:I23)</f>
        <v>6.982046645855327</v>
      </c>
      <c r="J25" s="16"/>
    </row>
    <row r="26" spans="1:11" ht="13.8" x14ac:dyDescent="0.25">
      <c r="B26" s="14"/>
      <c r="C26" s="12"/>
      <c r="E26" s="15"/>
      <c r="F26" s="12"/>
    </row>
    <row r="27" spans="1:11" ht="12" customHeight="1" x14ac:dyDescent="0.25">
      <c r="B27" s="17" t="s">
        <v>21</v>
      </c>
      <c r="C27" s="12"/>
      <c r="E27" s="15"/>
      <c r="F27" s="18" t="s">
        <v>18</v>
      </c>
    </row>
    <row r="29" spans="1:11" x14ac:dyDescent="0.25">
      <c r="C29" s="19"/>
    </row>
    <row r="31" spans="1:11" x14ac:dyDescent="0.25">
      <c r="A31" s="3" t="s">
        <v>19</v>
      </c>
      <c r="B31" s="3">
        <f>C25*B6+F25*B7</f>
        <v>6.9820466458553261</v>
      </c>
      <c r="C31" s="8" t="str">
        <f ca="1">_xlfn.FORMULATEXT(B31)</f>
        <v>=C25*B6+F25*B7</v>
      </c>
    </row>
    <row r="34" spans="1:1" x14ac:dyDescent="0.25">
      <c r="A34" s="3" t="s">
        <v>20</v>
      </c>
    </row>
  </sheetData>
  <mergeCells count="1">
    <mergeCell ref="K14:K19"/>
  </mergeCells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2024-12-18T02:36:22Z</dcterms:modified>
</cp:coreProperties>
</file>