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6\"/>
    </mc:Choice>
  </mc:AlternateContent>
  <xr:revisionPtr revIDLastSave="0" documentId="13_ncr:1_{47D8470F-F577-474C-8DC5-E7E0E5F55103}" xr6:coauthVersionLast="47" xr6:coauthVersionMax="47" xr10:uidLastSave="{00000000-0000-0000-0000-000000000000}"/>
  <bookViews>
    <workbookView xWindow="-38520" yWindow="-120" windowWidth="38640" windowHeight="21120" activeTab="2" xr2:uid="{EA6F33A8-FE0E-48B1-8C74-8B2321C6BA8B}"/>
  </bookViews>
  <sheets>
    <sheet name="Sheet1" sheetId="1" r:id="rId1"/>
    <sheet name="Chart1" sheetId="3" r:id="rId2"/>
    <sheet name="Page 701, 703-4" sheetId="2" r:id="rId3"/>
    <sheet name="Sheet2" sheetId="4" r:id="rId4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9" i="2" l="1"/>
  <c r="I38" i="2"/>
  <c r="D22" i="2"/>
  <c r="E19" i="2"/>
  <c r="D19" i="2"/>
  <c r="C19" i="2"/>
  <c r="B19" i="2"/>
  <c r="E18" i="2"/>
  <c r="D18" i="2"/>
  <c r="C18" i="2"/>
  <c r="B18" i="2"/>
  <c r="B20" i="2" s="1"/>
  <c r="D10" i="2"/>
  <c r="B10" i="2"/>
  <c r="B22" i="2" s="1"/>
  <c r="E9" i="2"/>
  <c r="E10" i="2" s="1"/>
  <c r="E22" i="2" s="1"/>
  <c r="D9" i="2"/>
  <c r="C9" i="2"/>
  <c r="C10" i="2" s="1"/>
  <c r="C22" i="2" s="1"/>
  <c r="B9" i="2"/>
  <c r="B12" i="2"/>
  <c r="B13" i="2"/>
  <c r="E12" i="2"/>
  <c r="D12" i="2"/>
  <c r="C12" i="2"/>
  <c r="E13" i="2"/>
  <c r="D13" i="2"/>
  <c r="C13" i="2"/>
  <c r="F13" i="2"/>
  <c r="F12" i="2"/>
  <c r="F20" i="2"/>
  <c r="F19" i="2"/>
  <c r="F10" i="2"/>
  <c r="F22" i="2"/>
  <c r="F18" i="2"/>
  <c r="F9" i="2"/>
  <c r="F23" i="2"/>
  <c r="J24" i="2"/>
  <c r="E27" i="2"/>
  <c r="D20" i="2" l="1"/>
  <c r="I20" i="2"/>
  <c r="J20" i="2"/>
  <c r="K20" i="2"/>
  <c r="E20" i="2"/>
  <c r="M19" i="2"/>
  <c r="J19" i="2"/>
  <c r="K19" i="2"/>
  <c r="I19" i="2"/>
  <c r="I23" i="2" s="1" a="1"/>
  <c r="I25" i="2" s="1"/>
  <c r="D23" i="2"/>
  <c r="C20" i="2"/>
  <c r="C23" i="2" s="1"/>
  <c r="C27" i="2" s="1"/>
  <c r="B23" i="2"/>
  <c r="E23" i="2"/>
  <c r="I24" i="2" l="1"/>
  <c r="I23" i="2"/>
  <c r="D27" i="2" l="1"/>
</calcChain>
</file>

<file path=xl/sharedStrings.xml><?xml version="1.0" encoding="utf-8"?>
<sst xmlns="http://schemas.openxmlformats.org/spreadsheetml/2006/main" count="40" uniqueCount="34">
  <si>
    <t>BOND CONVEXITY</t>
  </si>
  <si>
    <t>Yield to maturity</t>
  </si>
  <si>
    <t>Bond 1</t>
  </si>
  <si>
    <t>Bond 2</t>
  </si>
  <si>
    <t>Bond 3</t>
  </si>
  <si>
    <t>Bond 4</t>
  </si>
  <si>
    <t>Coupon rate</t>
  </si>
  <si>
    <t>Maturity</t>
  </si>
  <si>
    <t>Face value</t>
  </si>
  <si>
    <t>Bond price</t>
  </si>
  <si>
    <t>Face value equal to $1,000 of market value</t>
  </si>
  <si>
    <t>Duration</t>
  </si>
  <si>
    <t>Second derivative of duration</t>
  </si>
  <si>
    <t>New yield to maturity</t>
  </si>
  <si>
    <t>Calculating the bond portfolio:</t>
  </si>
  <si>
    <t>Vector of</t>
  </si>
  <si>
    <t>Matrix of coefficients</t>
  </si>
  <si>
    <t>constants</t>
  </si>
  <si>
    <t>Reinvested coupons</t>
  </si>
  <si>
    <t>Total</t>
  </si>
  <si>
    <t>multiply by percent of face value bought</t>
  </si>
  <si>
    <t>Solution</t>
  </si>
  <si>
    <t>Product</t>
  </si>
  <si>
    <t>Data table:  Sensitivity of Bond 2 and bond
portfolio terminal values to interest rate</t>
  </si>
  <si>
    <t>Bond portfolio</t>
  </si>
  <si>
    <t>Explanation of the above:  We want to invest proportions</t>
  </si>
  <si>
    <r>
      <t>x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, x</t>
    </r>
    <r>
      <rPr>
        <vertAlign val="subscript"/>
        <sz val="10"/>
        <rFont val="Arial"/>
        <family val="2"/>
      </rPr>
      <t>3</t>
    </r>
    <r>
      <rPr>
        <sz val="11"/>
        <color theme="1"/>
        <rFont val="等线"/>
        <family val="2"/>
        <charset val="134"/>
        <scheme val="minor"/>
      </rPr>
      <t>, and x</t>
    </r>
    <r>
      <rPr>
        <vertAlign val="subscript"/>
        <sz val="10"/>
        <rFont val="Arial"/>
        <family val="2"/>
      </rPr>
      <t>4</t>
    </r>
    <r>
      <rPr>
        <sz val="11"/>
        <color theme="1"/>
        <rFont val="等线"/>
        <family val="2"/>
        <charset val="134"/>
        <scheme val="minor"/>
      </rPr>
      <t xml:space="preserve"> in bonds 1, 3 and 4 respectively, in order</t>
    </r>
  </si>
  <si>
    <r>
      <t>that:  a)  The total investment is $1000; this means x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+x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+x</t>
    </r>
    <r>
      <rPr>
        <vertAlign val="subscript"/>
        <sz val="10"/>
        <rFont val="Arial"/>
        <family val="2"/>
      </rPr>
      <t>4</t>
    </r>
    <r>
      <rPr>
        <sz val="11"/>
        <color theme="1"/>
        <rFont val="等线"/>
        <family val="2"/>
        <charset val="134"/>
        <scheme val="minor"/>
      </rPr>
      <t>=1</t>
    </r>
  </si>
  <si>
    <t>b)  Portfolio duration is matched to that of bond 2; this means</t>
  </si>
  <si>
    <r>
      <t>that x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*D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+x</t>
    </r>
    <r>
      <rPr>
        <vertAlign val="subscript"/>
        <sz val="10"/>
        <rFont val="Arial"/>
        <family val="2"/>
      </rPr>
      <t>3</t>
    </r>
    <r>
      <rPr>
        <sz val="11"/>
        <color theme="1"/>
        <rFont val="等线"/>
        <family val="2"/>
        <charset val="134"/>
        <scheme val="minor"/>
      </rPr>
      <t>*D</t>
    </r>
    <r>
      <rPr>
        <vertAlign val="subscript"/>
        <sz val="10"/>
        <rFont val="Arial"/>
        <family val="2"/>
      </rPr>
      <t>3</t>
    </r>
    <r>
      <rPr>
        <sz val="11"/>
        <color theme="1"/>
        <rFont val="等线"/>
        <family val="2"/>
        <charset val="134"/>
        <scheme val="minor"/>
      </rPr>
      <t>+x</t>
    </r>
    <r>
      <rPr>
        <vertAlign val="subscript"/>
        <sz val="10"/>
        <rFont val="Arial"/>
        <family val="2"/>
      </rPr>
      <t>4</t>
    </r>
    <r>
      <rPr>
        <sz val="11"/>
        <color theme="1"/>
        <rFont val="等线"/>
        <family val="2"/>
        <charset val="134"/>
        <scheme val="minor"/>
      </rPr>
      <t>*D</t>
    </r>
    <r>
      <rPr>
        <vertAlign val="subscript"/>
        <sz val="10"/>
        <rFont val="Arial"/>
        <family val="2"/>
      </rPr>
      <t>4</t>
    </r>
    <r>
      <rPr>
        <sz val="11"/>
        <color theme="1"/>
        <rFont val="等线"/>
        <family val="2"/>
        <charset val="134"/>
        <scheme val="minor"/>
      </rPr>
      <t xml:space="preserve"> = 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, where D</t>
    </r>
    <r>
      <rPr>
        <vertAlign val="subscript"/>
        <sz val="10"/>
        <rFont val="Arial"/>
        <family val="2"/>
      </rPr>
      <t>i</t>
    </r>
    <r>
      <rPr>
        <sz val="11"/>
        <color theme="1"/>
        <rFont val="等线"/>
        <family val="2"/>
        <charset val="134"/>
        <scheme val="minor"/>
      </rPr>
      <t xml:space="preserve"> is the duration </t>
    </r>
  </si>
  <si>
    <t>of bond I.</t>
  </si>
  <si>
    <t>c)  The weighted average duration derivatives are equal</t>
  </si>
  <si>
    <t xml:space="preserve">to that of bond 2.  </t>
  </si>
  <si>
    <t xml:space="preserve">These three conditions give us the matrix system in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</si>
</sst>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%"/>
    <numFmt numFmtId="177" formatCode="&quot;$&quot;#,##0.00_);[Red]\(&quot;$&quot;#,##0.00\)"/>
    <numFmt numFmtId="178" formatCode="0.0000"/>
    <numFmt numFmtId="179" formatCode="_(&quot;$&quot;* #,##0.00_);_(&quot;$&quot;* \(#,##0.00\);_(&quot;$&quot;* &quot;-&quot;??_);_(@_)"/>
    <numFmt numFmtId="180" formatCode=";;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179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1">
    <xf numFmtId="0" fontId="0" fillId="0" borderId="0" xfId="0">
      <alignment vertical="center"/>
    </xf>
    <xf numFmtId="0" fontId="2" fillId="0" borderId="0" xfId="1"/>
    <xf numFmtId="9" fontId="2" fillId="0" borderId="0" xfId="1" applyNumberFormat="1"/>
    <xf numFmtId="0" fontId="4" fillId="0" borderId="0" xfId="1" applyFont="1" applyAlignment="1">
      <alignment horizontal="right"/>
    </xf>
    <xf numFmtId="10" fontId="2" fillId="0" borderId="0" xfId="1" applyNumberFormat="1"/>
    <xf numFmtId="176" fontId="2" fillId="0" borderId="0" xfId="1" applyNumberFormat="1"/>
    <xf numFmtId="3" fontId="2" fillId="0" borderId="0" xfId="1" applyNumberFormat="1"/>
    <xf numFmtId="177" fontId="2" fillId="0" borderId="0" xfId="1" applyNumberFormat="1"/>
    <xf numFmtId="178" fontId="2" fillId="0" borderId="0" xfId="1" applyNumberFormat="1"/>
    <xf numFmtId="179" fontId="0" fillId="0" borderId="0" xfId="2" applyFont="1"/>
    <xf numFmtId="9" fontId="0" fillId="0" borderId="0" xfId="3" applyFont="1"/>
    <xf numFmtId="0" fontId="4" fillId="0" borderId="0" xfId="1" applyFont="1" applyAlignment="1">
      <alignment horizontal="left"/>
    </xf>
    <xf numFmtId="0" fontId="4" fillId="0" borderId="0" xfId="1" applyFont="1"/>
    <xf numFmtId="10" fontId="0" fillId="0" borderId="0" xfId="3" applyNumberFormat="1" applyFont="1"/>
    <xf numFmtId="0" fontId="4" fillId="0" borderId="0" xfId="1" applyFont="1" applyAlignment="1">
      <alignment horizontal="left" wrapText="1"/>
    </xf>
    <xf numFmtId="0" fontId="4" fillId="0" borderId="0" xfId="1" applyFont="1" applyAlignment="1">
      <alignment horizontal="center" vertical="center" wrapText="1"/>
    </xf>
    <xf numFmtId="180" fontId="2" fillId="0" borderId="0" xfId="1" applyNumberFormat="1"/>
    <xf numFmtId="180" fontId="0" fillId="0" borderId="0" xfId="2" applyNumberFormat="1" applyFont="1"/>
    <xf numFmtId="0" fontId="2" fillId="2" borderId="0" xfId="1" applyFill="1"/>
    <xf numFmtId="178" fontId="2" fillId="2" borderId="0" xfId="1" applyNumberFormat="1" applyFill="1"/>
    <xf numFmtId="0" fontId="3" fillId="0" borderId="0" xfId="1" applyFont="1" applyAlignment="1">
      <alignment horizontal="center"/>
    </xf>
  </cellXfs>
  <cellStyles count="4">
    <cellStyle name="百分比 2" xfId="3" xr:uid="{B2874A8D-AC6B-4890-A729-A51357959615}"/>
    <cellStyle name="常规" xfId="0" builtinId="0"/>
    <cellStyle name="常规 2" xfId="1" xr:uid="{F50D09AF-3568-42A7-84A0-806747303166}"/>
    <cellStyle name="货币 2" xfId="2" xr:uid="{77BB7B71-2AB1-4C6B-BFE1-F359145EA054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000" b="1">
                <a:solidFill>
                  <a:schemeClr val="tx1"/>
                </a:solidFill>
              </a:rPr>
              <a:t>Immunization Using Second Derivatives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'Page 701, 703-4'!$C$26</c:f>
              <c:strCache>
                <c:ptCount val="1"/>
                <c:pt idx="0">
                  <c:v>Bond 2</c:v>
                </c:pt>
              </c:strCache>
            </c:strRef>
          </c:tx>
          <c:spPr>
            <a:ln w="12700" cap="rnd">
              <a:solidFill>
                <a:schemeClr val="dk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701, 703-4'!$B$28:$B$43</c:f>
              <c:numCache>
                <c:formatCode>0%</c:formatCode>
                <c:ptCount val="1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</c:numCache>
            </c:numRef>
          </c:xVal>
          <c:yVal>
            <c:numRef>
              <c:f>'Page 701, 703-4'!$C$28:$C$43</c:f>
              <c:numCache>
                <c:formatCode>_("$"* #,##0.00_);_("$"* \(#,##0.00\);_("$"* "-"??_);_(@_)</c:formatCode>
                <c:ptCount val="16"/>
                <c:pt idx="0">
                  <c:v>1868.8689087479825</c:v>
                </c:pt>
                <c:pt idx="1">
                  <c:v>1844.710000567678</c:v>
                </c:pt>
                <c:pt idx="2">
                  <c:v>1825.1389673546807</c:v>
                </c:pt>
                <c:pt idx="3">
                  <c:v>1810.0478145693316</c:v>
                </c:pt>
                <c:pt idx="4">
                  <c:v>1799.3472198436446</c:v>
                </c:pt>
                <c:pt idx="5">
                  <c:v>1792.9655002331197</c:v>
                </c:pt>
                <c:pt idx="6">
                  <c:v>1790.8476965428542</c:v>
                </c:pt>
                <c:pt idx="7">
                  <c:v>1792.9547637223077</c:v>
                </c:pt>
                <c:pt idx="8">
                  <c:v>1799.2628575384854</c:v>
                </c:pt>
                <c:pt idx="9">
                  <c:v>1809.7627088109534</c:v>
                </c:pt>
                <c:pt idx="10">
                  <c:v>1824.4590774420512</c:v>
                </c:pt>
                <c:pt idx="11">
                  <c:v>1843.3702793169025</c:v>
                </c:pt>
                <c:pt idx="12">
                  <c:v>1866.5277798938403</c:v>
                </c:pt>
                <c:pt idx="13">
                  <c:v>1893.9758489681747</c:v>
                </c:pt>
                <c:pt idx="14">
                  <c:v>1925.7712716808758</c:v>
                </c:pt>
                <c:pt idx="15">
                  <c:v>1961.9831113674923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6-4F3A-AB4B-E03451E9E79F}"/>
            </c:ext>
          </c:extLst>
        </c:ser>
        <c:ser>
          <c:idx val="1"/>
          <c:order val="1"/>
          <c:tx>
            <c:strRef>
              <c:f>'Page 701, 703-4'!$D$26</c:f>
              <c:strCache>
                <c:ptCount val="1"/>
                <c:pt idx="0">
                  <c:v>Bond portfolio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'Page 701, 703-4'!$B$28:$B$43</c:f>
              <c:numCache>
                <c:formatCode>0%</c:formatCode>
                <c:ptCount val="1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</c:numCache>
            </c:numRef>
          </c:xVal>
          <c:yVal>
            <c:numRef>
              <c:f>'Page 701, 703-4'!$D$28:$D$43</c:f>
              <c:numCache>
                <c:formatCode>_("$"* #,##0.00_);_("$"* \(#,##0.00\);_("$"* "-"??_);_(@_)</c:formatCode>
                <c:ptCount val="16"/>
                <c:pt idx="0">
                  <c:v>1774.6308056635194</c:v>
                </c:pt>
                <c:pt idx="1">
                  <c:v>1781.788160861867</c:v>
                </c:pt>
                <c:pt idx="2">
                  <c:v>1786.3651712821288</c:v>
                </c:pt>
                <c:pt idx="3">
                  <c:v>1789.0183615584992</c:v>
                </c:pt>
                <c:pt idx="4">
                  <c:v>1790.3229195039328</c:v>
                </c:pt>
                <c:pt idx="5">
                  <c:v>1790.7842099270083</c:v>
                </c:pt>
                <c:pt idx="6">
                  <c:v>1790.8476965428561</c:v>
                </c:pt>
                <c:pt idx="7">
                  <c:v>1790.9075043481275</c:v>
                </c:pt>
                <c:pt idx="8">
                  <c:v>1791.3138194903329</c:v>
                </c:pt>
                <c:pt idx="9">
                  <c:v>1792.3792939426667</c:v>
                </c:pt>
                <c:pt idx="10">
                  <c:v>1794.384597263796</c:v>
                </c:pt>
                <c:pt idx="11">
                  <c:v>1797.5832366059828</c:v>
                </c:pt>
                <c:pt idx="12">
                  <c:v>1802.205748295215</c:v>
                </c:pt>
                <c:pt idx="13">
                  <c:v>1808.4633492131068</c:v>
                </c:pt>
                <c:pt idx="14">
                  <c:v>1816.5511234212013</c:v>
                </c:pt>
                <c:pt idx="15">
                  <c:v>1826.6508086167637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66-4F3A-AB4B-E03451E9E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238592"/>
        <c:axId val="1037235352"/>
      </c:scatterChart>
      <c:valAx>
        <c:axId val="1037238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 b="1">
                    <a:solidFill>
                      <a:schemeClr val="tx1"/>
                    </a:solidFill>
                  </a:rPr>
                  <a:t>New interest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dk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7235352"/>
        <c:crosses val="autoZero"/>
        <c:crossBetween val="midCat"/>
      </c:valAx>
      <c:valAx>
        <c:axId val="10372353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800" b="1">
                    <a:solidFill>
                      <a:schemeClr val="tx1"/>
                    </a:solidFill>
                  </a:rPr>
                  <a:t>Terminal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12700">
            <a:solidFill>
              <a:schemeClr val="dk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7238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2132135-4454-4D9A-9D85-44DB05F3445B}">
  <sheetPr codeName="图表2"/>
  <sheetViews>
    <sheetView zoomScale="13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1605092" cy="757797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E99340A-5CAE-0BB9-07FD-FD101012D70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472440</xdr:colOff>
      <xdr:row>21</xdr:row>
      <xdr:rowOff>121920</xdr:rowOff>
    </xdr:from>
    <xdr:to>
      <xdr:col>9</xdr:col>
      <xdr:colOff>53340</xdr:colOff>
      <xdr:row>25</xdr:row>
      <xdr:rowOff>15240</xdr:rowOff>
    </xdr:to>
    <xdr:sp macro="" textlink="">
      <xdr:nvSpPr>
        <xdr:cNvPr id="2" name="AutoShape 6">
          <a:extLst>
            <a:ext uri="{FF2B5EF4-FFF2-40B4-BE49-F238E27FC236}">
              <a16:creationId xmlns:a16="http://schemas.microsoft.com/office/drawing/2014/main" id="{8FFCC2DE-A353-45D0-A3C1-1B94290D0D66}"/>
            </a:ext>
          </a:extLst>
        </xdr:cNvPr>
        <xdr:cNvSpPr>
          <a:spLocks/>
        </xdr:cNvSpPr>
      </xdr:nvSpPr>
      <xdr:spPr bwMode="auto">
        <a:xfrm>
          <a:off x="10915650" y="3790950"/>
          <a:ext cx="190500" cy="581025"/>
        </a:xfrm>
        <a:prstGeom prst="rightBrace">
          <a:avLst>
            <a:gd name="adj1" fmla="val 24667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 editAs="oneCell">
    <xdr:from>
      <xdr:col>15</xdr:col>
      <xdr:colOff>110490</xdr:colOff>
      <xdr:row>2</xdr:row>
      <xdr:rowOff>5715</xdr:rowOff>
    </xdr:from>
    <xdr:to>
      <xdr:col>40</xdr:col>
      <xdr:colOff>381259</xdr:colOff>
      <xdr:row>54</xdr:row>
      <xdr:rowOff>144173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F42430A0-99B0-089B-3AF9-CCFCC570C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17090" y="415290"/>
          <a:ext cx="15510769" cy="93015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21095</xdr:colOff>
      <xdr:row>51</xdr:row>
      <xdr:rowOff>39326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EB940BA5-ED4D-E578-1206-B3DEDDEFA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651495" cy="87832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N37" sqref="N37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78DAD-013A-4688-8926-C8BD7D7108DB}">
  <sheetPr codeName="Sheet5"/>
  <dimension ref="A1:M47"/>
  <sheetViews>
    <sheetView tabSelected="1" workbookViewId="0">
      <selection activeCell="L53" sqref="L53"/>
    </sheetView>
  </sheetViews>
  <sheetFormatPr defaultRowHeight="13.2" x14ac:dyDescent="0.25"/>
  <cols>
    <col min="1" max="1" width="42.44140625" style="1" customWidth="1"/>
    <col min="2" max="2" width="12.33203125" style="1" customWidth="1"/>
    <col min="3" max="3" width="12.109375" style="1" customWidth="1"/>
    <col min="4" max="4" width="11.109375" style="1" customWidth="1"/>
    <col min="5" max="5" width="10.6640625" style="1" customWidth="1"/>
    <col min="6" max="6" width="45.6640625" style="1" customWidth="1"/>
    <col min="7" max="256" width="8.88671875" style="1"/>
    <col min="257" max="257" width="42.44140625" style="1" customWidth="1"/>
    <col min="258" max="258" width="12.33203125" style="1" customWidth="1"/>
    <col min="259" max="259" width="12.109375" style="1" customWidth="1"/>
    <col min="260" max="260" width="11.109375" style="1" customWidth="1"/>
    <col min="261" max="261" width="10.6640625" style="1" customWidth="1"/>
    <col min="262" max="262" width="45.6640625" style="1" customWidth="1"/>
    <col min="263" max="512" width="8.88671875" style="1"/>
    <col min="513" max="513" width="42.44140625" style="1" customWidth="1"/>
    <col min="514" max="514" width="12.33203125" style="1" customWidth="1"/>
    <col min="515" max="515" width="12.109375" style="1" customWidth="1"/>
    <col min="516" max="516" width="11.109375" style="1" customWidth="1"/>
    <col min="517" max="517" width="10.6640625" style="1" customWidth="1"/>
    <col min="518" max="518" width="45.6640625" style="1" customWidth="1"/>
    <col min="519" max="768" width="8.88671875" style="1"/>
    <col min="769" max="769" width="42.44140625" style="1" customWidth="1"/>
    <col min="770" max="770" width="12.33203125" style="1" customWidth="1"/>
    <col min="771" max="771" width="12.109375" style="1" customWidth="1"/>
    <col min="772" max="772" width="11.109375" style="1" customWidth="1"/>
    <col min="773" max="773" width="10.6640625" style="1" customWidth="1"/>
    <col min="774" max="774" width="45.6640625" style="1" customWidth="1"/>
    <col min="775" max="1024" width="8.88671875" style="1"/>
    <col min="1025" max="1025" width="42.44140625" style="1" customWidth="1"/>
    <col min="1026" max="1026" width="12.33203125" style="1" customWidth="1"/>
    <col min="1027" max="1027" width="12.109375" style="1" customWidth="1"/>
    <col min="1028" max="1028" width="11.109375" style="1" customWidth="1"/>
    <col min="1029" max="1029" width="10.6640625" style="1" customWidth="1"/>
    <col min="1030" max="1030" width="45.6640625" style="1" customWidth="1"/>
    <col min="1031" max="1280" width="8.88671875" style="1"/>
    <col min="1281" max="1281" width="42.44140625" style="1" customWidth="1"/>
    <col min="1282" max="1282" width="12.33203125" style="1" customWidth="1"/>
    <col min="1283" max="1283" width="12.109375" style="1" customWidth="1"/>
    <col min="1284" max="1284" width="11.109375" style="1" customWidth="1"/>
    <col min="1285" max="1285" width="10.6640625" style="1" customWidth="1"/>
    <col min="1286" max="1286" width="45.6640625" style="1" customWidth="1"/>
    <col min="1287" max="1536" width="8.88671875" style="1"/>
    <col min="1537" max="1537" width="42.44140625" style="1" customWidth="1"/>
    <col min="1538" max="1538" width="12.33203125" style="1" customWidth="1"/>
    <col min="1539" max="1539" width="12.109375" style="1" customWidth="1"/>
    <col min="1540" max="1540" width="11.109375" style="1" customWidth="1"/>
    <col min="1541" max="1541" width="10.6640625" style="1" customWidth="1"/>
    <col min="1542" max="1542" width="45.6640625" style="1" customWidth="1"/>
    <col min="1543" max="1792" width="8.88671875" style="1"/>
    <col min="1793" max="1793" width="42.44140625" style="1" customWidth="1"/>
    <col min="1794" max="1794" width="12.33203125" style="1" customWidth="1"/>
    <col min="1795" max="1795" width="12.109375" style="1" customWidth="1"/>
    <col min="1796" max="1796" width="11.109375" style="1" customWidth="1"/>
    <col min="1797" max="1797" width="10.6640625" style="1" customWidth="1"/>
    <col min="1798" max="1798" width="45.6640625" style="1" customWidth="1"/>
    <col min="1799" max="2048" width="8.88671875" style="1"/>
    <col min="2049" max="2049" width="42.44140625" style="1" customWidth="1"/>
    <col min="2050" max="2050" width="12.33203125" style="1" customWidth="1"/>
    <col min="2051" max="2051" width="12.109375" style="1" customWidth="1"/>
    <col min="2052" max="2052" width="11.109375" style="1" customWidth="1"/>
    <col min="2053" max="2053" width="10.6640625" style="1" customWidth="1"/>
    <col min="2054" max="2054" width="45.6640625" style="1" customWidth="1"/>
    <col min="2055" max="2304" width="8.88671875" style="1"/>
    <col min="2305" max="2305" width="42.44140625" style="1" customWidth="1"/>
    <col min="2306" max="2306" width="12.33203125" style="1" customWidth="1"/>
    <col min="2307" max="2307" width="12.109375" style="1" customWidth="1"/>
    <col min="2308" max="2308" width="11.109375" style="1" customWidth="1"/>
    <col min="2309" max="2309" width="10.6640625" style="1" customWidth="1"/>
    <col min="2310" max="2310" width="45.6640625" style="1" customWidth="1"/>
    <col min="2311" max="2560" width="8.88671875" style="1"/>
    <col min="2561" max="2561" width="42.44140625" style="1" customWidth="1"/>
    <col min="2562" max="2562" width="12.33203125" style="1" customWidth="1"/>
    <col min="2563" max="2563" width="12.109375" style="1" customWidth="1"/>
    <col min="2564" max="2564" width="11.109375" style="1" customWidth="1"/>
    <col min="2565" max="2565" width="10.6640625" style="1" customWidth="1"/>
    <col min="2566" max="2566" width="45.6640625" style="1" customWidth="1"/>
    <col min="2567" max="2816" width="8.88671875" style="1"/>
    <col min="2817" max="2817" width="42.44140625" style="1" customWidth="1"/>
    <col min="2818" max="2818" width="12.33203125" style="1" customWidth="1"/>
    <col min="2819" max="2819" width="12.109375" style="1" customWidth="1"/>
    <col min="2820" max="2820" width="11.109375" style="1" customWidth="1"/>
    <col min="2821" max="2821" width="10.6640625" style="1" customWidth="1"/>
    <col min="2822" max="2822" width="45.6640625" style="1" customWidth="1"/>
    <col min="2823" max="3072" width="8.88671875" style="1"/>
    <col min="3073" max="3073" width="42.44140625" style="1" customWidth="1"/>
    <col min="3074" max="3074" width="12.33203125" style="1" customWidth="1"/>
    <col min="3075" max="3075" width="12.109375" style="1" customWidth="1"/>
    <col min="3076" max="3076" width="11.109375" style="1" customWidth="1"/>
    <col min="3077" max="3077" width="10.6640625" style="1" customWidth="1"/>
    <col min="3078" max="3078" width="45.6640625" style="1" customWidth="1"/>
    <col min="3079" max="3328" width="8.88671875" style="1"/>
    <col min="3329" max="3329" width="42.44140625" style="1" customWidth="1"/>
    <col min="3330" max="3330" width="12.33203125" style="1" customWidth="1"/>
    <col min="3331" max="3331" width="12.109375" style="1" customWidth="1"/>
    <col min="3332" max="3332" width="11.109375" style="1" customWidth="1"/>
    <col min="3333" max="3333" width="10.6640625" style="1" customWidth="1"/>
    <col min="3334" max="3334" width="45.6640625" style="1" customWidth="1"/>
    <col min="3335" max="3584" width="8.88671875" style="1"/>
    <col min="3585" max="3585" width="42.44140625" style="1" customWidth="1"/>
    <col min="3586" max="3586" width="12.33203125" style="1" customWidth="1"/>
    <col min="3587" max="3587" width="12.109375" style="1" customWidth="1"/>
    <col min="3588" max="3588" width="11.109375" style="1" customWidth="1"/>
    <col min="3589" max="3589" width="10.6640625" style="1" customWidth="1"/>
    <col min="3590" max="3590" width="45.6640625" style="1" customWidth="1"/>
    <col min="3591" max="3840" width="8.88671875" style="1"/>
    <col min="3841" max="3841" width="42.44140625" style="1" customWidth="1"/>
    <col min="3842" max="3842" width="12.33203125" style="1" customWidth="1"/>
    <col min="3843" max="3843" width="12.109375" style="1" customWidth="1"/>
    <col min="3844" max="3844" width="11.109375" style="1" customWidth="1"/>
    <col min="3845" max="3845" width="10.6640625" style="1" customWidth="1"/>
    <col min="3846" max="3846" width="45.6640625" style="1" customWidth="1"/>
    <col min="3847" max="4096" width="8.88671875" style="1"/>
    <col min="4097" max="4097" width="42.44140625" style="1" customWidth="1"/>
    <col min="4098" max="4098" width="12.33203125" style="1" customWidth="1"/>
    <col min="4099" max="4099" width="12.109375" style="1" customWidth="1"/>
    <col min="4100" max="4100" width="11.109375" style="1" customWidth="1"/>
    <col min="4101" max="4101" width="10.6640625" style="1" customWidth="1"/>
    <col min="4102" max="4102" width="45.6640625" style="1" customWidth="1"/>
    <col min="4103" max="4352" width="8.88671875" style="1"/>
    <col min="4353" max="4353" width="42.44140625" style="1" customWidth="1"/>
    <col min="4354" max="4354" width="12.33203125" style="1" customWidth="1"/>
    <col min="4355" max="4355" width="12.109375" style="1" customWidth="1"/>
    <col min="4356" max="4356" width="11.109375" style="1" customWidth="1"/>
    <col min="4357" max="4357" width="10.6640625" style="1" customWidth="1"/>
    <col min="4358" max="4358" width="45.6640625" style="1" customWidth="1"/>
    <col min="4359" max="4608" width="8.88671875" style="1"/>
    <col min="4609" max="4609" width="42.44140625" style="1" customWidth="1"/>
    <col min="4610" max="4610" width="12.33203125" style="1" customWidth="1"/>
    <col min="4611" max="4611" width="12.109375" style="1" customWidth="1"/>
    <col min="4612" max="4612" width="11.109375" style="1" customWidth="1"/>
    <col min="4613" max="4613" width="10.6640625" style="1" customWidth="1"/>
    <col min="4614" max="4614" width="45.6640625" style="1" customWidth="1"/>
    <col min="4615" max="4864" width="8.88671875" style="1"/>
    <col min="4865" max="4865" width="42.44140625" style="1" customWidth="1"/>
    <col min="4866" max="4866" width="12.33203125" style="1" customWidth="1"/>
    <col min="4867" max="4867" width="12.109375" style="1" customWidth="1"/>
    <col min="4868" max="4868" width="11.109375" style="1" customWidth="1"/>
    <col min="4869" max="4869" width="10.6640625" style="1" customWidth="1"/>
    <col min="4870" max="4870" width="45.6640625" style="1" customWidth="1"/>
    <col min="4871" max="5120" width="8.88671875" style="1"/>
    <col min="5121" max="5121" width="42.44140625" style="1" customWidth="1"/>
    <col min="5122" max="5122" width="12.33203125" style="1" customWidth="1"/>
    <col min="5123" max="5123" width="12.109375" style="1" customWidth="1"/>
    <col min="5124" max="5124" width="11.109375" style="1" customWidth="1"/>
    <col min="5125" max="5125" width="10.6640625" style="1" customWidth="1"/>
    <col min="5126" max="5126" width="45.6640625" style="1" customWidth="1"/>
    <col min="5127" max="5376" width="8.88671875" style="1"/>
    <col min="5377" max="5377" width="42.44140625" style="1" customWidth="1"/>
    <col min="5378" max="5378" width="12.33203125" style="1" customWidth="1"/>
    <col min="5379" max="5379" width="12.109375" style="1" customWidth="1"/>
    <col min="5380" max="5380" width="11.109375" style="1" customWidth="1"/>
    <col min="5381" max="5381" width="10.6640625" style="1" customWidth="1"/>
    <col min="5382" max="5382" width="45.6640625" style="1" customWidth="1"/>
    <col min="5383" max="5632" width="8.88671875" style="1"/>
    <col min="5633" max="5633" width="42.44140625" style="1" customWidth="1"/>
    <col min="5634" max="5634" width="12.33203125" style="1" customWidth="1"/>
    <col min="5635" max="5635" width="12.109375" style="1" customWidth="1"/>
    <col min="5636" max="5636" width="11.109375" style="1" customWidth="1"/>
    <col min="5637" max="5637" width="10.6640625" style="1" customWidth="1"/>
    <col min="5638" max="5638" width="45.6640625" style="1" customWidth="1"/>
    <col min="5639" max="5888" width="8.88671875" style="1"/>
    <col min="5889" max="5889" width="42.44140625" style="1" customWidth="1"/>
    <col min="5890" max="5890" width="12.33203125" style="1" customWidth="1"/>
    <col min="5891" max="5891" width="12.109375" style="1" customWidth="1"/>
    <col min="5892" max="5892" width="11.109375" style="1" customWidth="1"/>
    <col min="5893" max="5893" width="10.6640625" style="1" customWidth="1"/>
    <col min="5894" max="5894" width="45.6640625" style="1" customWidth="1"/>
    <col min="5895" max="6144" width="8.88671875" style="1"/>
    <col min="6145" max="6145" width="42.44140625" style="1" customWidth="1"/>
    <col min="6146" max="6146" width="12.33203125" style="1" customWidth="1"/>
    <col min="6147" max="6147" width="12.109375" style="1" customWidth="1"/>
    <col min="6148" max="6148" width="11.109375" style="1" customWidth="1"/>
    <col min="6149" max="6149" width="10.6640625" style="1" customWidth="1"/>
    <col min="6150" max="6150" width="45.6640625" style="1" customWidth="1"/>
    <col min="6151" max="6400" width="8.88671875" style="1"/>
    <col min="6401" max="6401" width="42.44140625" style="1" customWidth="1"/>
    <col min="6402" max="6402" width="12.33203125" style="1" customWidth="1"/>
    <col min="6403" max="6403" width="12.109375" style="1" customWidth="1"/>
    <col min="6404" max="6404" width="11.109375" style="1" customWidth="1"/>
    <col min="6405" max="6405" width="10.6640625" style="1" customWidth="1"/>
    <col min="6406" max="6406" width="45.6640625" style="1" customWidth="1"/>
    <col min="6407" max="6656" width="8.88671875" style="1"/>
    <col min="6657" max="6657" width="42.44140625" style="1" customWidth="1"/>
    <col min="6658" max="6658" width="12.33203125" style="1" customWidth="1"/>
    <col min="6659" max="6659" width="12.109375" style="1" customWidth="1"/>
    <col min="6660" max="6660" width="11.109375" style="1" customWidth="1"/>
    <col min="6661" max="6661" width="10.6640625" style="1" customWidth="1"/>
    <col min="6662" max="6662" width="45.6640625" style="1" customWidth="1"/>
    <col min="6663" max="6912" width="8.88671875" style="1"/>
    <col min="6913" max="6913" width="42.44140625" style="1" customWidth="1"/>
    <col min="6914" max="6914" width="12.33203125" style="1" customWidth="1"/>
    <col min="6915" max="6915" width="12.109375" style="1" customWidth="1"/>
    <col min="6916" max="6916" width="11.109375" style="1" customWidth="1"/>
    <col min="6917" max="6917" width="10.6640625" style="1" customWidth="1"/>
    <col min="6918" max="6918" width="45.6640625" style="1" customWidth="1"/>
    <col min="6919" max="7168" width="8.88671875" style="1"/>
    <col min="7169" max="7169" width="42.44140625" style="1" customWidth="1"/>
    <col min="7170" max="7170" width="12.33203125" style="1" customWidth="1"/>
    <col min="7171" max="7171" width="12.109375" style="1" customWidth="1"/>
    <col min="7172" max="7172" width="11.109375" style="1" customWidth="1"/>
    <col min="7173" max="7173" width="10.6640625" style="1" customWidth="1"/>
    <col min="7174" max="7174" width="45.6640625" style="1" customWidth="1"/>
    <col min="7175" max="7424" width="8.88671875" style="1"/>
    <col min="7425" max="7425" width="42.44140625" style="1" customWidth="1"/>
    <col min="7426" max="7426" width="12.33203125" style="1" customWidth="1"/>
    <col min="7427" max="7427" width="12.109375" style="1" customWidth="1"/>
    <col min="7428" max="7428" width="11.109375" style="1" customWidth="1"/>
    <col min="7429" max="7429" width="10.6640625" style="1" customWidth="1"/>
    <col min="7430" max="7430" width="45.6640625" style="1" customWidth="1"/>
    <col min="7431" max="7680" width="8.88671875" style="1"/>
    <col min="7681" max="7681" width="42.44140625" style="1" customWidth="1"/>
    <col min="7682" max="7682" width="12.33203125" style="1" customWidth="1"/>
    <col min="7683" max="7683" width="12.109375" style="1" customWidth="1"/>
    <col min="7684" max="7684" width="11.109375" style="1" customWidth="1"/>
    <col min="7685" max="7685" width="10.6640625" style="1" customWidth="1"/>
    <col min="7686" max="7686" width="45.6640625" style="1" customWidth="1"/>
    <col min="7687" max="7936" width="8.88671875" style="1"/>
    <col min="7937" max="7937" width="42.44140625" style="1" customWidth="1"/>
    <col min="7938" max="7938" width="12.33203125" style="1" customWidth="1"/>
    <col min="7939" max="7939" width="12.109375" style="1" customWidth="1"/>
    <col min="7940" max="7940" width="11.109375" style="1" customWidth="1"/>
    <col min="7941" max="7941" width="10.6640625" style="1" customWidth="1"/>
    <col min="7942" max="7942" width="45.6640625" style="1" customWidth="1"/>
    <col min="7943" max="8192" width="8.88671875" style="1"/>
    <col min="8193" max="8193" width="42.44140625" style="1" customWidth="1"/>
    <col min="8194" max="8194" width="12.33203125" style="1" customWidth="1"/>
    <col min="8195" max="8195" width="12.109375" style="1" customWidth="1"/>
    <col min="8196" max="8196" width="11.109375" style="1" customWidth="1"/>
    <col min="8197" max="8197" width="10.6640625" style="1" customWidth="1"/>
    <col min="8198" max="8198" width="45.6640625" style="1" customWidth="1"/>
    <col min="8199" max="8448" width="8.88671875" style="1"/>
    <col min="8449" max="8449" width="42.44140625" style="1" customWidth="1"/>
    <col min="8450" max="8450" width="12.33203125" style="1" customWidth="1"/>
    <col min="8451" max="8451" width="12.109375" style="1" customWidth="1"/>
    <col min="8452" max="8452" width="11.109375" style="1" customWidth="1"/>
    <col min="8453" max="8453" width="10.6640625" style="1" customWidth="1"/>
    <col min="8454" max="8454" width="45.6640625" style="1" customWidth="1"/>
    <col min="8455" max="8704" width="8.88671875" style="1"/>
    <col min="8705" max="8705" width="42.44140625" style="1" customWidth="1"/>
    <col min="8706" max="8706" width="12.33203125" style="1" customWidth="1"/>
    <col min="8707" max="8707" width="12.109375" style="1" customWidth="1"/>
    <col min="8708" max="8708" width="11.109375" style="1" customWidth="1"/>
    <col min="8709" max="8709" width="10.6640625" style="1" customWidth="1"/>
    <col min="8710" max="8710" width="45.6640625" style="1" customWidth="1"/>
    <col min="8711" max="8960" width="8.88671875" style="1"/>
    <col min="8961" max="8961" width="42.44140625" style="1" customWidth="1"/>
    <col min="8962" max="8962" width="12.33203125" style="1" customWidth="1"/>
    <col min="8963" max="8963" width="12.109375" style="1" customWidth="1"/>
    <col min="8964" max="8964" width="11.109375" style="1" customWidth="1"/>
    <col min="8965" max="8965" width="10.6640625" style="1" customWidth="1"/>
    <col min="8966" max="8966" width="45.6640625" style="1" customWidth="1"/>
    <col min="8967" max="9216" width="8.88671875" style="1"/>
    <col min="9217" max="9217" width="42.44140625" style="1" customWidth="1"/>
    <col min="9218" max="9218" width="12.33203125" style="1" customWidth="1"/>
    <col min="9219" max="9219" width="12.109375" style="1" customWidth="1"/>
    <col min="9220" max="9220" width="11.109375" style="1" customWidth="1"/>
    <col min="9221" max="9221" width="10.6640625" style="1" customWidth="1"/>
    <col min="9222" max="9222" width="45.6640625" style="1" customWidth="1"/>
    <col min="9223" max="9472" width="8.88671875" style="1"/>
    <col min="9473" max="9473" width="42.44140625" style="1" customWidth="1"/>
    <col min="9474" max="9474" width="12.33203125" style="1" customWidth="1"/>
    <col min="9475" max="9475" width="12.109375" style="1" customWidth="1"/>
    <col min="9476" max="9476" width="11.109375" style="1" customWidth="1"/>
    <col min="9477" max="9477" width="10.6640625" style="1" customWidth="1"/>
    <col min="9478" max="9478" width="45.6640625" style="1" customWidth="1"/>
    <col min="9479" max="9728" width="8.88671875" style="1"/>
    <col min="9729" max="9729" width="42.44140625" style="1" customWidth="1"/>
    <col min="9730" max="9730" width="12.33203125" style="1" customWidth="1"/>
    <col min="9731" max="9731" width="12.109375" style="1" customWidth="1"/>
    <col min="9732" max="9732" width="11.109375" style="1" customWidth="1"/>
    <col min="9733" max="9733" width="10.6640625" style="1" customWidth="1"/>
    <col min="9734" max="9734" width="45.6640625" style="1" customWidth="1"/>
    <col min="9735" max="9984" width="8.88671875" style="1"/>
    <col min="9985" max="9985" width="42.44140625" style="1" customWidth="1"/>
    <col min="9986" max="9986" width="12.33203125" style="1" customWidth="1"/>
    <col min="9987" max="9987" width="12.109375" style="1" customWidth="1"/>
    <col min="9988" max="9988" width="11.109375" style="1" customWidth="1"/>
    <col min="9989" max="9989" width="10.6640625" style="1" customWidth="1"/>
    <col min="9990" max="9990" width="45.6640625" style="1" customWidth="1"/>
    <col min="9991" max="10240" width="8.88671875" style="1"/>
    <col min="10241" max="10241" width="42.44140625" style="1" customWidth="1"/>
    <col min="10242" max="10242" width="12.33203125" style="1" customWidth="1"/>
    <col min="10243" max="10243" width="12.109375" style="1" customWidth="1"/>
    <col min="10244" max="10244" width="11.109375" style="1" customWidth="1"/>
    <col min="10245" max="10245" width="10.6640625" style="1" customWidth="1"/>
    <col min="10246" max="10246" width="45.6640625" style="1" customWidth="1"/>
    <col min="10247" max="10496" width="8.88671875" style="1"/>
    <col min="10497" max="10497" width="42.44140625" style="1" customWidth="1"/>
    <col min="10498" max="10498" width="12.33203125" style="1" customWidth="1"/>
    <col min="10499" max="10499" width="12.109375" style="1" customWidth="1"/>
    <col min="10500" max="10500" width="11.109375" style="1" customWidth="1"/>
    <col min="10501" max="10501" width="10.6640625" style="1" customWidth="1"/>
    <col min="10502" max="10502" width="45.6640625" style="1" customWidth="1"/>
    <col min="10503" max="10752" width="8.88671875" style="1"/>
    <col min="10753" max="10753" width="42.44140625" style="1" customWidth="1"/>
    <col min="10754" max="10754" width="12.33203125" style="1" customWidth="1"/>
    <col min="10755" max="10755" width="12.109375" style="1" customWidth="1"/>
    <col min="10756" max="10756" width="11.109375" style="1" customWidth="1"/>
    <col min="10757" max="10757" width="10.6640625" style="1" customWidth="1"/>
    <col min="10758" max="10758" width="45.6640625" style="1" customWidth="1"/>
    <col min="10759" max="11008" width="8.88671875" style="1"/>
    <col min="11009" max="11009" width="42.44140625" style="1" customWidth="1"/>
    <col min="11010" max="11010" width="12.33203125" style="1" customWidth="1"/>
    <col min="11011" max="11011" width="12.109375" style="1" customWidth="1"/>
    <col min="11012" max="11012" width="11.109375" style="1" customWidth="1"/>
    <col min="11013" max="11013" width="10.6640625" style="1" customWidth="1"/>
    <col min="11014" max="11014" width="45.6640625" style="1" customWidth="1"/>
    <col min="11015" max="11264" width="8.88671875" style="1"/>
    <col min="11265" max="11265" width="42.44140625" style="1" customWidth="1"/>
    <col min="11266" max="11266" width="12.33203125" style="1" customWidth="1"/>
    <col min="11267" max="11267" width="12.109375" style="1" customWidth="1"/>
    <col min="11268" max="11268" width="11.109375" style="1" customWidth="1"/>
    <col min="11269" max="11269" width="10.6640625" style="1" customWidth="1"/>
    <col min="11270" max="11270" width="45.6640625" style="1" customWidth="1"/>
    <col min="11271" max="11520" width="8.88671875" style="1"/>
    <col min="11521" max="11521" width="42.44140625" style="1" customWidth="1"/>
    <col min="11522" max="11522" width="12.33203125" style="1" customWidth="1"/>
    <col min="11523" max="11523" width="12.109375" style="1" customWidth="1"/>
    <col min="11524" max="11524" width="11.109375" style="1" customWidth="1"/>
    <col min="11525" max="11525" width="10.6640625" style="1" customWidth="1"/>
    <col min="11526" max="11526" width="45.6640625" style="1" customWidth="1"/>
    <col min="11527" max="11776" width="8.88671875" style="1"/>
    <col min="11777" max="11777" width="42.44140625" style="1" customWidth="1"/>
    <col min="11778" max="11778" width="12.33203125" style="1" customWidth="1"/>
    <col min="11779" max="11779" width="12.109375" style="1" customWidth="1"/>
    <col min="11780" max="11780" width="11.109375" style="1" customWidth="1"/>
    <col min="11781" max="11781" width="10.6640625" style="1" customWidth="1"/>
    <col min="11782" max="11782" width="45.6640625" style="1" customWidth="1"/>
    <col min="11783" max="12032" width="8.88671875" style="1"/>
    <col min="12033" max="12033" width="42.44140625" style="1" customWidth="1"/>
    <col min="12034" max="12034" width="12.33203125" style="1" customWidth="1"/>
    <col min="12035" max="12035" width="12.109375" style="1" customWidth="1"/>
    <col min="12036" max="12036" width="11.109375" style="1" customWidth="1"/>
    <col min="12037" max="12037" width="10.6640625" style="1" customWidth="1"/>
    <col min="12038" max="12038" width="45.6640625" style="1" customWidth="1"/>
    <col min="12039" max="12288" width="8.88671875" style="1"/>
    <col min="12289" max="12289" width="42.44140625" style="1" customWidth="1"/>
    <col min="12290" max="12290" width="12.33203125" style="1" customWidth="1"/>
    <col min="12291" max="12291" width="12.109375" style="1" customWidth="1"/>
    <col min="12292" max="12292" width="11.109375" style="1" customWidth="1"/>
    <col min="12293" max="12293" width="10.6640625" style="1" customWidth="1"/>
    <col min="12294" max="12294" width="45.6640625" style="1" customWidth="1"/>
    <col min="12295" max="12544" width="8.88671875" style="1"/>
    <col min="12545" max="12545" width="42.44140625" style="1" customWidth="1"/>
    <col min="12546" max="12546" width="12.33203125" style="1" customWidth="1"/>
    <col min="12547" max="12547" width="12.109375" style="1" customWidth="1"/>
    <col min="12548" max="12548" width="11.109375" style="1" customWidth="1"/>
    <col min="12549" max="12549" width="10.6640625" style="1" customWidth="1"/>
    <col min="12550" max="12550" width="45.6640625" style="1" customWidth="1"/>
    <col min="12551" max="12800" width="8.88671875" style="1"/>
    <col min="12801" max="12801" width="42.44140625" style="1" customWidth="1"/>
    <col min="12802" max="12802" width="12.33203125" style="1" customWidth="1"/>
    <col min="12803" max="12803" width="12.109375" style="1" customWidth="1"/>
    <col min="12804" max="12804" width="11.109375" style="1" customWidth="1"/>
    <col min="12805" max="12805" width="10.6640625" style="1" customWidth="1"/>
    <col min="12806" max="12806" width="45.6640625" style="1" customWidth="1"/>
    <col min="12807" max="13056" width="8.88671875" style="1"/>
    <col min="13057" max="13057" width="42.44140625" style="1" customWidth="1"/>
    <col min="13058" max="13058" width="12.33203125" style="1" customWidth="1"/>
    <col min="13059" max="13059" width="12.109375" style="1" customWidth="1"/>
    <col min="13060" max="13060" width="11.109375" style="1" customWidth="1"/>
    <col min="13061" max="13061" width="10.6640625" style="1" customWidth="1"/>
    <col min="13062" max="13062" width="45.6640625" style="1" customWidth="1"/>
    <col min="13063" max="13312" width="8.88671875" style="1"/>
    <col min="13313" max="13313" width="42.44140625" style="1" customWidth="1"/>
    <col min="13314" max="13314" width="12.33203125" style="1" customWidth="1"/>
    <col min="13315" max="13315" width="12.109375" style="1" customWidth="1"/>
    <col min="13316" max="13316" width="11.109375" style="1" customWidth="1"/>
    <col min="13317" max="13317" width="10.6640625" style="1" customWidth="1"/>
    <col min="13318" max="13318" width="45.6640625" style="1" customWidth="1"/>
    <col min="13319" max="13568" width="8.88671875" style="1"/>
    <col min="13569" max="13569" width="42.44140625" style="1" customWidth="1"/>
    <col min="13570" max="13570" width="12.33203125" style="1" customWidth="1"/>
    <col min="13571" max="13571" width="12.109375" style="1" customWidth="1"/>
    <col min="13572" max="13572" width="11.109375" style="1" customWidth="1"/>
    <col min="13573" max="13573" width="10.6640625" style="1" customWidth="1"/>
    <col min="13574" max="13574" width="45.6640625" style="1" customWidth="1"/>
    <col min="13575" max="13824" width="8.88671875" style="1"/>
    <col min="13825" max="13825" width="42.44140625" style="1" customWidth="1"/>
    <col min="13826" max="13826" width="12.33203125" style="1" customWidth="1"/>
    <col min="13827" max="13827" width="12.109375" style="1" customWidth="1"/>
    <col min="13828" max="13828" width="11.109375" style="1" customWidth="1"/>
    <col min="13829" max="13829" width="10.6640625" style="1" customWidth="1"/>
    <col min="13830" max="13830" width="45.6640625" style="1" customWidth="1"/>
    <col min="13831" max="14080" width="8.88671875" style="1"/>
    <col min="14081" max="14081" width="42.44140625" style="1" customWidth="1"/>
    <col min="14082" max="14082" width="12.33203125" style="1" customWidth="1"/>
    <col min="14083" max="14083" width="12.109375" style="1" customWidth="1"/>
    <col min="14084" max="14084" width="11.109375" style="1" customWidth="1"/>
    <col min="14085" max="14085" width="10.6640625" style="1" customWidth="1"/>
    <col min="14086" max="14086" width="45.6640625" style="1" customWidth="1"/>
    <col min="14087" max="14336" width="8.88671875" style="1"/>
    <col min="14337" max="14337" width="42.44140625" style="1" customWidth="1"/>
    <col min="14338" max="14338" width="12.33203125" style="1" customWidth="1"/>
    <col min="14339" max="14339" width="12.109375" style="1" customWidth="1"/>
    <col min="14340" max="14340" width="11.109375" style="1" customWidth="1"/>
    <col min="14341" max="14341" width="10.6640625" style="1" customWidth="1"/>
    <col min="14342" max="14342" width="45.6640625" style="1" customWidth="1"/>
    <col min="14343" max="14592" width="8.88671875" style="1"/>
    <col min="14593" max="14593" width="42.44140625" style="1" customWidth="1"/>
    <col min="14594" max="14594" width="12.33203125" style="1" customWidth="1"/>
    <col min="14595" max="14595" width="12.109375" style="1" customWidth="1"/>
    <col min="14596" max="14596" width="11.109375" style="1" customWidth="1"/>
    <col min="14597" max="14597" width="10.6640625" style="1" customWidth="1"/>
    <col min="14598" max="14598" width="45.6640625" style="1" customWidth="1"/>
    <col min="14599" max="14848" width="8.88671875" style="1"/>
    <col min="14849" max="14849" width="42.44140625" style="1" customWidth="1"/>
    <col min="14850" max="14850" width="12.33203125" style="1" customWidth="1"/>
    <col min="14851" max="14851" width="12.109375" style="1" customWidth="1"/>
    <col min="14852" max="14852" width="11.109375" style="1" customWidth="1"/>
    <col min="14853" max="14853" width="10.6640625" style="1" customWidth="1"/>
    <col min="14854" max="14854" width="45.6640625" style="1" customWidth="1"/>
    <col min="14855" max="15104" width="8.88671875" style="1"/>
    <col min="15105" max="15105" width="42.44140625" style="1" customWidth="1"/>
    <col min="15106" max="15106" width="12.33203125" style="1" customWidth="1"/>
    <col min="15107" max="15107" width="12.109375" style="1" customWidth="1"/>
    <col min="15108" max="15108" width="11.109375" style="1" customWidth="1"/>
    <col min="15109" max="15109" width="10.6640625" style="1" customWidth="1"/>
    <col min="15110" max="15110" width="45.6640625" style="1" customWidth="1"/>
    <col min="15111" max="15360" width="8.88671875" style="1"/>
    <col min="15361" max="15361" width="42.44140625" style="1" customWidth="1"/>
    <col min="15362" max="15362" width="12.33203125" style="1" customWidth="1"/>
    <col min="15363" max="15363" width="12.109375" style="1" customWidth="1"/>
    <col min="15364" max="15364" width="11.109375" style="1" customWidth="1"/>
    <col min="15365" max="15365" width="10.6640625" style="1" customWidth="1"/>
    <col min="15366" max="15366" width="45.6640625" style="1" customWidth="1"/>
    <col min="15367" max="15616" width="8.88671875" style="1"/>
    <col min="15617" max="15617" width="42.44140625" style="1" customWidth="1"/>
    <col min="15618" max="15618" width="12.33203125" style="1" customWidth="1"/>
    <col min="15619" max="15619" width="12.109375" style="1" customWidth="1"/>
    <col min="15620" max="15620" width="11.109375" style="1" customWidth="1"/>
    <col min="15621" max="15621" width="10.6640625" style="1" customWidth="1"/>
    <col min="15622" max="15622" width="45.6640625" style="1" customWidth="1"/>
    <col min="15623" max="15872" width="8.88671875" style="1"/>
    <col min="15873" max="15873" width="42.44140625" style="1" customWidth="1"/>
    <col min="15874" max="15874" width="12.33203125" style="1" customWidth="1"/>
    <col min="15875" max="15875" width="12.109375" style="1" customWidth="1"/>
    <col min="15876" max="15876" width="11.109375" style="1" customWidth="1"/>
    <col min="15877" max="15877" width="10.6640625" style="1" customWidth="1"/>
    <col min="15878" max="15878" width="45.6640625" style="1" customWidth="1"/>
    <col min="15879" max="16128" width="8.88671875" style="1"/>
    <col min="16129" max="16129" width="42.44140625" style="1" customWidth="1"/>
    <col min="16130" max="16130" width="12.33203125" style="1" customWidth="1"/>
    <col min="16131" max="16131" width="12.109375" style="1" customWidth="1"/>
    <col min="16132" max="16132" width="11.109375" style="1" customWidth="1"/>
    <col min="16133" max="16133" width="10.6640625" style="1" customWidth="1"/>
    <col min="16134" max="16134" width="45.6640625" style="1" customWidth="1"/>
    <col min="16135" max="16384" width="8.88671875" style="1"/>
  </cols>
  <sheetData>
    <row r="1" spans="1:13" ht="18.75" customHeight="1" x14ac:dyDescent="0.3">
      <c r="A1" s="20" t="s">
        <v>0</v>
      </c>
      <c r="B1" s="20"/>
      <c r="C1" s="20"/>
      <c r="D1" s="20"/>
      <c r="E1" s="20"/>
      <c r="F1" s="20"/>
    </row>
    <row r="2" spans="1:13" x14ac:dyDescent="0.25">
      <c r="A2" s="1" t="s">
        <v>1</v>
      </c>
      <c r="B2" s="2">
        <v>0.06</v>
      </c>
    </row>
    <row r="3" spans="1:13" x14ac:dyDescent="0.25">
      <c r="B3" s="2"/>
    </row>
    <row r="4" spans="1:13" x14ac:dyDescent="0.25">
      <c r="B4" s="3" t="s">
        <v>2</v>
      </c>
      <c r="C4" s="3" t="s">
        <v>3</v>
      </c>
      <c r="D4" s="3" t="s">
        <v>4</v>
      </c>
      <c r="E4" s="3" t="s">
        <v>5</v>
      </c>
    </row>
    <row r="5" spans="1:13" x14ac:dyDescent="0.25">
      <c r="A5" s="1" t="s">
        <v>6</v>
      </c>
      <c r="B5" s="4">
        <v>4.4999999999999998E-2</v>
      </c>
      <c r="C5" s="5">
        <v>6.9879999999999998E-2</v>
      </c>
      <c r="D5" s="4">
        <v>3.5000000000000003E-2</v>
      </c>
      <c r="E5" s="4">
        <v>0.11</v>
      </c>
    </row>
    <row r="6" spans="1:13" x14ac:dyDescent="0.25">
      <c r="A6" s="1" t="s">
        <v>7</v>
      </c>
      <c r="B6" s="1">
        <v>20</v>
      </c>
      <c r="C6" s="1">
        <v>15</v>
      </c>
      <c r="D6" s="1">
        <v>14</v>
      </c>
      <c r="E6" s="1">
        <v>10</v>
      </c>
    </row>
    <row r="7" spans="1:13" x14ac:dyDescent="0.25">
      <c r="A7" s="1" t="s">
        <v>8</v>
      </c>
      <c r="B7" s="6">
        <v>1000</v>
      </c>
      <c r="C7" s="6">
        <v>1000</v>
      </c>
      <c r="D7" s="6">
        <v>1000</v>
      </c>
      <c r="E7" s="6">
        <v>1000</v>
      </c>
    </row>
    <row r="9" spans="1:13" x14ac:dyDescent="0.25">
      <c r="A9" s="1" t="s">
        <v>9</v>
      </c>
      <c r="B9" s="7">
        <f>-PV($B$2,B6,B5*B7)+B7/(1+$B$2)^B6</f>
        <v>827.95118172152104</v>
      </c>
      <c r="C9" s="7">
        <f>-PV($B$2,C6,C5*C7)+C7/(1+$B$2)^C6</f>
        <v>1095.9570199988812</v>
      </c>
      <c r="D9" s="7">
        <f>-PV($B$2,D6,D5*D7)+D7/(1+$B$2)^D6</f>
        <v>767.62540182486373</v>
      </c>
      <c r="E9" s="7">
        <f>-PV($B$2,E6,E5*E7)+E7/(1+$B$2)^E6</f>
        <v>1368.0043525707351</v>
      </c>
      <c r="F9" s="8" t="str">
        <f ca="1">_xlfn.FORMULATEXT(E9)</f>
        <v>=-PV($B$2,E6,E5*E7)+E7/(1+$B$2)^E6</v>
      </c>
    </row>
    <row r="10" spans="1:13" ht="13.8" x14ac:dyDescent="0.25">
      <c r="A10" s="1" t="s">
        <v>10</v>
      </c>
      <c r="B10" s="9">
        <f>B7/B9*B7</f>
        <v>1207.8006796496695</v>
      </c>
      <c r="C10" s="9">
        <f>C7/C9*C7</f>
        <v>912.44454093740001</v>
      </c>
      <c r="D10" s="9">
        <f>D7/D9*D7</f>
        <v>1302.7187448757113</v>
      </c>
      <c r="E10" s="9">
        <f>E7/E9*E7</f>
        <v>730.99182624734601</v>
      </c>
      <c r="F10" s="8" t="str">
        <f ca="1">_xlfn.FORMULATEXT(E10)</f>
        <v>=E7/E9*E7</v>
      </c>
    </row>
    <row r="12" spans="1:13" x14ac:dyDescent="0.25">
      <c r="A12" s="18" t="s">
        <v>11</v>
      </c>
      <c r="B12" s="19">
        <f>dduration(B6,B5,$B$2,1)</f>
        <v>12.896425826687421</v>
      </c>
      <c r="C12" s="19">
        <f>dduration(C6,C5,$B$2,1)</f>
        <v>10.000008863163943</v>
      </c>
      <c r="D12" s="19">
        <f>dduration(D6,D5,$B$2,1)</f>
        <v>10.84837387344095</v>
      </c>
      <c r="E12" s="19">
        <f>dduration(E6,E5,$B$2,1)</f>
        <v>7.0539342053184608</v>
      </c>
      <c r="F12" s="8" t="str">
        <f ca="1">_xlfn.FORMULATEXT(E12)</f>
        <v>=dduration(E6,E5,$B$2,1)</v>
      </c>
    </row>
    <row r="13" spans="1:13" x14ac:dyDescent="0.25">
      <c r="A13" s="18" t="s">
        <v>12</v>
      </c>
      <c r="B13" s="19">
        <f>secondDur(B6,B5,$B$2)/bondprice(B6,B5,$B$2)</f>
        <v>229.0872726439419</v>
      </c>
      <c r="C13" s="19">
        <f>secondDur(C6,C5,$B$2)/bondprice(C6,C5,$B$2)</f>
        <v>136.49959821584713</v>
      </c>
      <c r="D13" s="19">
        <f>secondDur(D6,D5,$B$2)/bondprice(D6,D5,$B$2)</f>
        <v>148.70231873223125</v>
      </c>
      <c r="E13" s="19">
        <f>secondDur(E6,E5,$B$2)/bondprice(E6,E5,$B$2)</f>
        <v>67.598010691766987</v>
      </c>
      <c r="F13" s="8" t="str">
        <f ca="1">_xlfn.FORMULATEXT(E13)</f>
        <v>=secondDur(E6,E5,$B$2)/bondprice(E6,E5,$B$2)</v>
      </c>
    </row>
    <row r="14" spans="1:13" x14ac:dyDescent="0.25">
      <c r="B14" s="8"/>
      <c r="C14" s="8"/>
      <c r="D14" s="8"/>
    </row>
    <row r="15" spans="1:13" ht="13.8" x14ac:dyDescent="0.25">
      <c r="A15" s="1" t="s">
        <v>13</v>
      </c>
      <c r="B15" s="10">
        <v>0.06</v>
      </c>
      <c r="C15" s="8"/>
      <c r="D15" s="8"/>
      <c r="I15" s="11" t="s">
        <v>14</v>
      </c>
    </row>
    <row r="16" spans="1:13" x14ac:dyDescent="0.25">
      <c r="M16" s="1" t="s">
        <v>15</v>
      </c>
    </row>
    <row r="17" spans="1:13" x14ac:dyDescent="0.25">
      <c r="B17" s="3" t="s">
        <v>2</v>
      </c>
      <c r="C17" s="3" t="s">
        <v>3</v>
      </c>
      <c r="D17" s="3" t="s">
        <v>4</v>
      </c>
      <c r="E17" s="3" t="s">
        <v>5</v>
      </c>
      <c r="I17" s="1" t="s">
        <v>16</v>
      </c>
      <c r="M17" s="1" t="s">
        <v>17</v>
      </c>
    </row>
    <row r="18" spans="1:13" x14ac:dyDescent="0.25">
      <c r="A18" s="1" t="s">
        <v>9</v>
      </c>
      <c r="B18" s="7">
        <f>-PV($B$15,B6-10,B5*B7)+B7/(1+$B$15)^(B6-10)</f>
        <v>889.59869422877955</v>
      </c>
      <c r="C18" s="7">
        <f>-PV($B$15,C6-10,C5*C7)+C7/(1+$B$15)^(C6-10)</f>
        <v>1041.6181542013892</v>
      </c>
      <c r="D18" s="7">
        <f>-PV($B$15,D6-10,D5*D7)+D7/(1+$B$15)^(D6-10)</f>
        <v>913.37235968250855</v>
      </c>
      <c r="E18" s="7">
        <f>-PV($B$15,E6-10,E5*E7)+E7/(1+$B$15)^(E6-10)</f>
        <v>1000</v>
      </c>
      <c r="F18" s="8" t="str">
        <f ca="1">_xlfn.FORMULATEXT(E18)</f>
        <v>=-PV($B$15,E6-10,E5*E7)+E7/(1+$B$15)^(E6-10)</v>
      </c>
      <c r="I18" s="1">
        <v>1</v>
      </c>
      <c r="J18" s="1">
        <v>1</v>
      </c>
      <c r="K18" s="1">
        <v>1</v>
      </c>
      <c r="M18" s="1">
        <v>1</v>
      </c>
    </row>
    <row r="19" spans="1:13" x14ac:dyDescent="0.25">
      <c r="A19" s="1" t="s">
        <v>18</v>
      </c>
      <c r="B19" s="7">
        <f>-FV($B$15,10,B5*B7)</f>
        <v>593.13577240714096</v>
      </c>
      <c r="C19" s="7">
        <f>-FV($B$15,10,C5*C7)</f>
        <v>921.07395057357792</v>
      </c>
      <c r="D19" s="7">
        <f>-FV($B$15,10,D5*D7)</f>
        <v>461.32782298333183</v>
      </c>
      <c r="E19" s="7">
        <f>-FV($B$15,10,E5*E7)</f>
        <v>1449.8874436619001</v>
      </c>
      <c r="F19" s="8" t="str">
        <f ca="1">_xlfn.FORMULATEXT(E19)</f>
        <v>=-FV($B$15,10,E5*E7)</v>
      </c>
      <c r="I19" s="8">
        <f>B12</f>
        <v>12.896425826687421</v>
      </c>
      <c r="J19" s="8">
        <f>D12</f>
        <v>10.84837387344095</v>
      </c>
      <c r="K19" s="8">
        <f>E12</f>
        <v>7.0539342053184608</v>
      </c>
      <c r="M19" s="8">
        <f>C12</f>
        <v>10.000008863163943</v>
      </c>
    </row>
    <row r="20" spans="1:13" x14ac:dyDescent="0.25">
      <c r="A20" s="12" t="s">
        <v>19</v>
      </c>
      <c r="B20" s="7">
        <f>SUM(B18:B19)</f>
        <v>1482.7344666359204</v>
      </c>
      <c r="C20" s="7">
        <f>SUM(C18:C19)</f>
        <v>1962.692104774967</v>
      </c>
      <c r="D20" s="7">
        <f>SUM(D18:D19)</f>
        <v>1374.7001826658404</v>
      </c>
      <c r="E20" s="7">
        <f>SUM(E18:E19)</f>
        <v>2449.8874436618999</v>
      </c>
      <c r="F20" s="8" t="str">
        <f ca="1">_xlfn.FORMULATEXT(E20)</f>
        <v>=SUM(E18:E19)</v>
      </c>
      <c r="I20" s="8">
        <f>B13</f>
        <v>229.0872726439419</v>
      </c>
      <c r="J20" s="8">
        <f>D13</f>
        <v>148.70231873223125</v>
      </c>
      <c r="K20" s="8">
        <f>E13</f>
        <v>67.598010691766987</v>
      </c>
      <c r="M20" s="8">
        <v>110</v>
      </c>
    </row>
    <row r="22" spans="1:13" ht="13.8" x14ac:dyDescent="0.25">
      <c r="A22" s="1" t="s">
        <v>20</v>
      </c>
      <c r="B22" s="13">
        <f>B10/1000</f>
        <v>1.2078006796496694</v>
      </c>
      <c r="C22" s="13">
        <f>C10/1000</f>
        <v>0.91244454093740002</v>
      </c>
      <c r="D22" s="13">
        <f>D10/1000</f>
        <v>1.3027187448757114</v>
      </c>
      <c r="E22" s="13">
        <f>E10/1000</f>
        <v>0.73099182624734604</v>
      </c>
      <c r="F22" s="8" t="str">
        <f ca="1">_xlfn.FORMULATEXT(E22)</f>
        <v>=E10/1000</v>
      </c>
      <c r="I22" s="1" t="s">
        <v>21</v>
      </c>
    </row>
    <row r="23" spans="1:13" ht="13.8" x14ac:dyDescent="0.25">
      <c r="A23" s="12" t="s">
        <v>22</v>
      </c>
      <c r="B23" s="9">
        <f>B22*B20</f>
        <v>1790.8476965428547</v>
      </c>
      <c r="C23" s="9">
        <f>C22*C20</f>
        <v>1790.8476965428542</v>
      </c>
      <c r="D23" s="9">
        <f>D22*D20</f>
        <v>1790.8476965428547</v>
      </c>
      <c r="E23" s="9">
        <f>E22*E20</f>
        <v>1790.8476965428542</v>
      </c>
      <c r="F23" s="8" t="str">
        <f ca="1">_xlfn.FORMULATEXT(E23)</f>
        <v>=E22*E20</v>
      </c>
      <c r="I23" s="8">
        <f t="array" ref="I23:I25">MMULT(MINVERSE(I18:K20),M18:M20)</f>
        <v>-0.56185691692080653</v>
      </c>
    </row>
    <row r="24" spans="1:13" x14ac:dyDescent="0.25">
      <c r="I24" s="8">
        <v>1.6415385490752845</v>
      </c>
      <c r="J24" s="1" t="str">
        <f ca="1">_xlfn.FORMULATEXT(I24)</f>
        <v>{=MMULT(MINVERSE(I18:K20),M18:M20)}</v>
      </c>
    </row>
    <row r="25" spans="1:13" x14ac:dyDescent="0.25">
      <c r="I25" s="8">
        <v>-7.9681632154477322E-2</v>
      </c>
    </row>
    <row r="26" spans="1:13" ht="26.4" x14ac:dyDescent="0.25">
      <c r="A26" s="14" t="s">
        <v>23</v>
      </c>
      <c r="C26" s="15" t="s">
        <v>3</v>
      </c>
      <c r="D26" s="15" t="s">
        <v>24</v>
      </c>
    </row>
    <row r="27" spans="1:13" ht="13.8" x14ac:dyDescent="0.25">
      <c r="C27" s="16">
        <f>C23</f>
        <v>1790.8476965428542</v>
      </c>
      <c r="D27" s="17">
        <f>I23*B23+I24*D23+I25*E23</f>
        <v>1790.8476965428561</v>
      </c>
      <c r="E27" s="1" t="str">
        <f ca="1">_xlfn.FORMULATEXT(D27)&amp;" , data table header (hidden)"</f>
        <v>=I23*B23+I24*D23+I25*E23 , data table header (hidden)</v>
      </c>
    </row>
    <row r="28" spans="1:13" ht="13.8" x14ac:dyDescent="0.25">
      <c r="B28" s="2">
        <v>0</v>
      </c>
      <c r="C28" s="9">
        <f t="dataTable" ref="C28:D43" dt2D="0" dtr="0" r1="B15"/>
        <v>1868.8689087479825</v>
      </c>
      <c r="D28" s="9">
        <v>1774.6308056635194</v>
      </c>
      <c r="I28" s="1" t="s">
        <v>25</v>
      </c>
    </row>
    <row r="29" spans="1:13" ht="15.6" x14ac:dyDescent="0.35">
      <c r="B29" s="2">
        <v>0.01</v>
      </c>
      <c r="C29" s="9">
        <v>1844.710000567678</v>
      </c>
      <c r="D29" s="9">
        <v>1781.788160861867</v>
      </c>
      <c r="I29" s="1" t="s">
        <v>26</v>
      </c>
    </row>
    <row r="30" spans="1:13" ht="15.6" x14ac:dyDescent="0.35">
      <c r="B30" s="2">
        <v>0.02</v>
      </c>
      <c r="C30" s="9">
        <v>1825.1389673546807</v>
      </c>
      <c r="D30" s="9">
        <v>1786.3651712821288</v>
      </c>
      <c r="I30" s="1" t="s">
        <v>27</v>
      </c>
    </row>
    <row r="31" spans="1:13" ht="13.8" x14ac:dyDescent="0.25">
      <c r="B31" s="2">
        <v>0.03</v>
      </c>
      <c r="C31" s="9">
        <v>1810.0478145693316</v>
      </c>
      <c r="D31" s="9">
        <v>1789.0183615584992</v>
      </c>
      <c r="I31" s="1" t="s">
        <v>28</v>
      </c>
    </row>
    <row r="32" spans="1:13" ht="15.6" x14ac:dyDescent="0.35">
      <c r="B32" s="2">
        <v>0.04</v>
      </c>
      <c r="C32" s="9">
        <v>1799.3472198436446</v>
      </c>
      <c r="D32" s="9">
        <v>1790.3229195039328</v>
      </c>
      <c r="I32" s="1" t="s">
        <v>29</v>
      </c>
    </row>
    <row r="33" spans="2:9" ht="13.8" x14ac:dyDescent="0.25">
      <c r="B33" s="2">
        <v>0.05</v>
      </c>
      <c r="C33" s="9">
        <v>1792.9655002331197</v>
      </c>
      <c r="D33" s="9">
        <v>1790.7842099270083</v>
      </c>
      <c r="I33" s="1" t="s">
        <v>30</v>
      </c>
    </row>
    <row r="34" spans="2:9" ht="13.8" x14ac:dyDescent="0.25">
      <c r="B34" s="2">
        <v>0.06</v>
      </c>
      <c r="C34" s="9">
        <v>1790.8476965428542</v>
      </c>
      <c r="D34" s="9">
        <v>1790.8476965428561</v>
      </c>
      <c r="I34" s="1" t="s">
        <v>31</v>
      </c>
    </row>
    <row r="35" spans="2:9" ht="13.8" x14ac:dyDescent="0.25">
      <c r="B35" s="2">
        <v>7.0000000000000007E-2</v>
      </c>
      <c r="C35" s="9">
        <v>1792.9547637223077</v>
      </c>
      <c r="D35" s="9">
        <v>1790.9075043481275</v>
      </c>
      <c r="I35" s="1" t="s">
        <v>32</v>
      </c>
    </row>
    <row r="36" spans="2:9" ht="13.8" x14ac:dyDescent="0.25">
      <c r="B36" s="2">
        <v>0.08</v>
      </c>
      <c r="C36" s="9">
        <v>1799.2628575384854</v>
      </c>
      <c r="D36" s="9">
        <v>1791.3138194903329</v>
      </c>
    </row>
    <row r="37" spans="2:9" ht="13.8" x14ac:dyDescent="0.25">
      <c r="B37" s="2">
        <v>0.09</v>
      </c>
      <c r="C37" s="9">
        <v>1809.7627088109534</v>
      </c>
      <c r="D37" s="9">
        <v>1792.3792939426667</v>
      </c>
      <c r="I37" s="1" t="s">
        <v>33</v>
      </c>
    </row>
    <row r="38" spans="2:9" ht="13.8" x14ac:dyDescent="0.25">
      <c r="B38" s="2">
        <v>0.1</v>
      </c>
      <c r="C38" s="9">
        <v>1824.4590774420512</v>
      </c>
      <c r="D38" s="9">
        <v>1794.384597263796</v>
      </c>
      <c r="I38" s="1" t="str">
        <f>"cells "&amp;CHAR(COLUMN(I18)+64)&amp;ROW(I18)&amp;":"&amp;CHAR(COLUMN(K20)+64)&amp;ROW(K20)&amp;" and the corresponding solution in"</f>
        <v>cells I18:K20 and the corresponding solution in</v>
      </c>
    </row>
    <row r="39" spans="2:9" ht="13.8" x14ac:dyDescent="0.25">
      <c r="B39" s="2">
        <v>0.11</v>
      </c>
      <c r="C39" s="9">
        <v>1843.3702793169025</v>
      </c>
      <c r="D39" s="9">
        <v>1797.5832366059828</v>
      </c>
      <c r="I39" s="1" t="str">
        <f>"cells "&amp;CHAR(COLUMN(I23)+64)&amp;ROW(I23)&amp;":"&amp;CHAR(COLUMN(I25)+64)&amp;ROW(I25)&amp;" ."</f>
        <v>cells I23:I25 .</v>
      </c>
    </row>
    <row r="40" spans="2:9" ht="13.8" x14ac:dyDescent="0.25">
      <c r="B40" s="2">
        <v>0.12</v>
      </c>
      <c r="C40" s="9">
        <v>1866.5277798938403</v>
      </c>
      <c r="D40" s="9">
        <v>1802.205748295215</v>
      </c>
    </row>
    <row r="41" spans="2:9" ht="13.8" x14ac:dyDescent="0.25">
      <c r="B41" s="2">
        <v>0.13</v>
      </c>
      <c r="C41" s="9">
        <v>1893.9758489681747</v>
      </c>
      <c r="D41" s="9">
        <v>1808.4633492131068</v>
      </c>
    </row>
    <row r="42" spans="2:9" ht="13.8" x14ac:dyDescent="0.25">
      <c r="B42" s="2">
        <v>0.14000000000000001</v>
      </c>
      <c r="C42" s="9">
        <v>1925.7712716808758</v>
      </c>
      <c r="D42" s="9">
        <v>1816.5511234212013</v>
      </c>
    </row>
    <row r="43" spans="2:9" ht="13.8" x14ac:dyDescent="0.25">
      <c r="B43" s="2">
        <v>0.15</v>
      </c>
      <c r="C43" s="9">
        <v>1961.9831113674923</v>
      </c>
      <c r="D43" s="9">
        <v>1826.6508086167637</v>
      </c>
    </row>
    <row r="44" spans="2:9" ht="13.8" x14ac:dyDescent="0.25">
      <c r="B44" s="2"/>
      <c r="C44" s="9"/>
      <c r="D44" s="9"/>
      <c r="E44" s="9"/>
    </row>
    <row r="45" spans="2:9" ht="13.8" x14ac:dyDescent="0.25">
      <c r="B45" s="2"/>
      <c r="C45" s="9"/>
      <c r="D45" s="9"/>
      <c r="E45" s="9"/>
    </row>
    <row r="46" spans="2:9" ht="13.8" x14ac:dyDescent="0.25">
      <c r="B46" s="2"/>
      <c r="C46" s="9"/>
      <c r="D46" s="9"/>
      <c r="E46" s="9"/>
    </row>
    <row r="47" spans="2:9" ht="13.8" x14ac:dyDescent="0.25">
      <c r="B47" s="2"/>
      <c r="C47" s="9"/>
      <c r="D47" s="9"/>
      <c r="E47" s="9"/>
    </row>
  </sheetData>
  <mergeCells count="1">
    <mergeCell ref="A1:F1"/>
  </mergeCells>
  <phoneticPr fontId="1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&amp;CUN-16F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4874E-F574-498D-91B0-9158A603FDE4}">
  <sheetPr codeName="Sheet2">
    <pageSetUpPr fitToPage="1"/>
  </sheetPr>
  <dimension ref="A1"/>
  <sheetViews>
    <sheetView workbookViewId="0">
      <selection activeCell="W55" sqref="W55"/>
    </sheetView>
  </sheetViews>
  <sheetFormatPr defaultRowHeight="13.8" x14ac:dyDescent="0.25"/>
  <sheetData/>
  <phoneticPr fontId="1" type="noConversion"/>
  <printOptions horizontalCentered="1"/>
  <pageMargins left="0" right="0" top="0.74803149606299213" bottom="0" header="0.31496062992125984" footer="0.31496062992125984"/>
  <pageSetup paperSize="9" scale="63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图表</vt:lpstr>
      </vt:variant>
      <vt:variant>
        <vt:i4>1</vt:i4>
      </vt:variant>
    </vt:vector>
  </HeadingPairs>
  <TitlesOfParts>
    <vt:vector size="4" baseType="lpstr">
      <vt:lpstr>Sheet1</vt:lpstr>
      <vt:lpstr>Page 701, 703-4</vt:lpstr>
      <vt:lpstr>Sheet2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2024-12-18T02:36:06Z</cp:lastPrinted>
  <dcterms:created xsi:type="dcterms:W3CDTF">2024-10-05T13:27:14Z</dcterms:created>
  <dcterms:modified xsi:type="dcterms:W3CDTF">2024-12-18T02:36:10Z</dcterms:modified>
</cp:coreProperties>
</file>