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"/>
    </mc:Choice>
  </mc:AlternateContent>
  <xr:revisionPtr revIDLastSave="0" documentId="13_ncr:1_{257DA983-A731-42F6-BF41-31AE3C0C4A2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8" i="1" l="1"/>
  <c r="C36" i="1"/>
  <c r="D36" i="1" s="1"/>
  <c r="E36" i="1" s="1"/>
  <c r="F36" i="1" s="1"/>
  <c r="G36" i="1" s="1"/>
  <c r="H35" i="1"/>
  <c r="C34" i="1"/>
  <c r="C46" i="1" s="1"/>
  <c r="B32" i="1"/>
  <c r="B35" i="1" s="1"/>
  <c r="C31" i="1"/>
  <c r="B31" i="1"/>
  <c r="C27" i="1"/>
  <c r="C45" i="1" s="1"/>
  <c r="C15" i="1"/>
  <c r="F14" i="1"/>
  <c r="E14" i="1"/>
  <c r="D14" i="1"/>
  <c r="H30" i="1"/>
  <c r="H26" i="1"/>
  <c r="C59" i="1"/>
  <c r="B38" i="1" l="1"/>
  <c r="C35" i="1"/>
  <c r="C16" i="1" s="1"/>
  <c r="G14" i="1"/>
  <c r="D34" i="1"/>
  <c r="D15" i="1"/>
  <c r="E34" i="1"/>
  <c r="E15" i="1"/>
  <c r="F34" i="1"/>
  <c r="F15" i="1"/>
  <c r="D27" i="1"/>
  <c r="D45" i="1" s="1"/>
  <c r="E27" i="1"/>
  <c r="E45" i="1" s="1"/>
  <c r="D31" i="1"/>
  <c r="F27" i="1"/>
  <c r="G27" i="1" l="1"/>
  <c r="G45" i="1" s="1"/>
  <c r="G15" i="1"/>
  <c r="G34" i="1"/>
  <c r="E46" i="1"/>
  <c r="C48" i="1"/>
  <c r="D46" i="1"/>
  <c r="D35" i="1"/>
  <c r="D16" i="1" s="1"/>
  <c r="D48" i="1" s="1"/>
  <c r="F46" i="1"/>
  <c r="F45" i="1"/>
  <c r="E31" i="1"/>
  <c r="E35" i="1" l="1"/>
  <c r="E16" i="1" s="1"/>
  <c r="G46" i="1"/>
  <c r="F31" i="1"/>
  <c r="G31" i="1" l="1"/>
  <c r="E48" i="1"/>
  <c r="F35" i="1"/>
  <c r="F16" i="1" s="1"/>
  <c r="F48" i="1" l="1"/>
  <c r="G35" i="1"/>
  <c r="G16" i="1" s="1"/>
  <c r="G48" i="1" l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6" i="1"/>
  <c r="D26" i="1"/>
  <c r="E26" i="1"/>
  <c r="F26" i="1"/>
  <c r="G26" i="1"/>
  <c r="C29" i="1"/>
  <c r="D29" i="1"/>
  <c r="E29" i="1"/>
  <c r="F29" i="1"/>
  <c r="G29" i="1"/>
  <c r="C30" i="1"/>
  <c r="D30" i="1"/>
  <c r="E30" i="1"/>
  <c r="F30" i="1"/>
  <c r="G30" i="1"/>
  <c r="C32" i="1"/>
  <c r="D32" i="1"/>
  <c r="E32" i="1"/>
  <c r="F32" i="1"/>
  <c r="G32" i="1"/>
  <c r="C37" i="1"/>
  <c r="D37" i="1"/>
  <c r="E37" i="1"/>
  <c r="F37" i="1"/>
  <c r="G37" i="1"/>
  <c r="C38" i="1"/>
  <c r="D38" i="1"/>
  <c r="E38" i="1"/>
  <c r="F38" i="1"/>
  <c r="G38" i="1"/>
  <c r="C43" i="1"/>
  <c r="D43" i="1"/>
  <c r="E43" i="1"/>
  <c r="F43" i="1"/>
  <c r="G43" i="1"/>
  <c r="C44" i="1"/>
  <c r="D44" i="1"/>
  <c r="E44" i="1"/>
  <c r="F44" i="1"/>
  <c r="G44" i="1"/>
  <c r="C47" i="1"/>
  <c r="D47" i="1"/>
  <c r="E47" i="1"/>
  <c r="F47" i="1"/>
  <c r="G47" i="1"/>
  <c r="C49" i="1"/>
  <c r="D49" i="1"/>
  <c r="E49" i="1"/>
  <c r="F49" i="1"/>
  <c r="G49" i="1"/>
  <c r="C50" i="1"/>
  <c r="D50" i="1"/>
  <c r="E50" i="1"/>
  <c r="F50" i="1"/>
  <c r="G50" i="1"/>
  <c r="C58" i="1"/>
  <c r="D58" i="1"/>
  <c r="E58" i="1"/>
  <c r="F58" i="1"/>
  <c r="G58" i="1"/>
  <c r="B59" i="1"/>
  <c r="C62" i="1"/>
</calcChain>
</file>

<file path=xl/sharedStrings.xml><?xml version="1.0" encoding="utf-8"?>
<sst xmlns="http://schemas.openxmlformats.org/spreadsheetml/2006/main" count="55" uniqueCount="51">
  <si>
    <r>
      <t xml:space="preserve">PROJECT FINANCE
</t>
    </r>
    <r>
      <rPr>
        <b/>
        <sz val="12"/>
        <rFont val="Arial"/>
        <family val="2"/>
      </rPr>
      <t>No dividends, debt repayment schedule fixed, net fixed assets constant</t>
    </r>
    <phoneticPr fontId="5" type="noConversion"/>
  </si>
  <si>
    <t>Sales growth</t>
  </si>
  <si>
    <t>Current assets/Sales</t>
  </si>
  <si>
    <t>Current liabilities/Sales</t>
  </si>
  <si>
    <t>Costs of goods sold/Sales</t>
  </si>
  <si>
    <t>Depreciation rate</t>
  </si>
  <si>
    <t>Interest rate on debt</t>
  </si>
  <si>
    <t>Interest paid on cash and marketable securities</t>
  </si>
  <si>
    <t>Tax rate</t>
  </si>
  <si>
    <t>Dividend payout ratio</t>
  </si>
  <si>
    <t>&lt;-- No dividends until all the debt is paid off</t>
  </si>
  <si>
    <t>Year</t>
  </si>
  <si>
    <t>Income statement</t>
  </si>
  <si>
    <t>Sales</t>
  </si>
  <si>
    <t>Costs of goods sold</t>
  </si>
  <si>
    <t>Interest payments on debt</t>
  </si>
  <si>
    <t>Interest earned on cash and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</si>
  <si>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</si>
  <si>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</si>
  <si>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</si>
  <si>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</si>
  <si>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</si>
  <si>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</si>
  <si>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</si>
  <si>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</si>
  <si>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</si>
  <si>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</si>
  <si>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</si>
  <si>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</si>
  <si>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</si>
  <si>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</si>
  <si>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</si>
  <si>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</si>
  <si>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</si>
  <si>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</si>
  <si>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</si>
  <si>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</si>
  <si>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</si>
  <si>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</si>
  <si>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</si>
  <si>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</si>
  <si>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</si>
  <si>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and mkt. securities</t>
  </si>
  <si>
    <t>Free cash flow</t>
  </si>
  <si>
    <t>RETURN ON EQUITY (ROE)</t>
  </si>
  <si>
    <t>Equity cash flow</t>
  </si>
  <si>
    <t>&lt;-- =G23+G37+G38</t>
  </si>
  <si>
    <t>Data table: ROE as a function of initial</t>
  </si>
  <si>
    <t>&lt;-- =B60&amp;" , table header"</t>
  </si>
  <si>
    <t>equity investment</t>
  </si>
  <si>
    <t>&lt;-- NFA don't change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</si>
</sst>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0_);\(0\)"/>
    <numFmt numFmtId="178" formatCode="_(* #,##0_);_(* \(#,##0\);_(* &quot;-&quot;??_);_(@_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/>
    <xf numFmtId="9" fontId="0" fillId="0" borderId="0" xfId="0" applyNumberFormat="1" applyAlignment="1"/>
    <xf numFmtId="10" fontId="0" fillId="0" borderId="0" xfId="0" applyNumberFormat="1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37" fontId="0" fillId="0" borderId="0" xfId="1" applyNumberFormat="1" applyFont="1" applyAlignment="1"/>
    <xf numFmtId="0" fontId="5" fillId="0" borderId="0" xfId="0" applyFont="1" applyAlignment="1"/>
    <xf numFmtId="1" fontId="0" fillId="0" borderId="0" xfId="1" applyNumberFormat="1" applyFont="1" applyAlignment="1"/>
    <xf numFmtId="177" fontId="4" fillId="0" borderId="0" xfId="0" applyNumberFormat="1" applyFont="1" applyAlignment="1"/>
    <xf numFmtId="177" fontId="0" fillId="0" borderId="0" xfId="0" applyNumberFormat="1" applyAlignment="1"/>
    <xf numFmtId="177" fontId="6" fillId="0" borderId="0" xfId="0" applyNumberFormat="1" applyFont="1" applyAlignment="1"/>
    <xf numFmtId="177" fontId="6" fillId="0" borderId="0" xfId="0" applyNumberFormat="1" applyFont="1" applyAlignment="1">
      <alignment horizontal="center"/>
    </xf>
    <xf numFmtId="37" fontId="0" fillId="0" borderId="0" xfId="0" applyNumberFormat="1" applyAlignment="1"/>
    <xf numFmtId="177" fontId="5" fillId="0" borderId="0" xfId="0" applyNumberFormat="1" applyFont="1" applyAlignment="1"/>
    <xf numFmtId="9" fontId="5" fillId="0" borderId="0" xfId="0" applyNumberFormat="1" applyFont="1" applyAlignment="1"/>
    <xf numFmtId="3" fontId="0" fillId="0" borderId="0" xfId="0" applyNumberFormat="1" applyAlignment="1"/>
    <xf numFmtId="3" fontId="0" fillId="0" borderId="0" xfId="0" quotePrefix="1" applyNumberFormat="1" applyAlignment="1"/>
    <xf numFmtId="178" fontId="0" fillId="0" borderId="0" xfId="0" applyNumberFormat="1" applyAlignment="1"/>
    <xf numFmtId="10" fontId="0" fillId="0" borderId="0" xfId="2" applyNumberFormat="1" applyFont="1" applyAlignment="1"/>
    <xf numFmtId="0" fontId="6" fillId="0" borderId="0" xfId="0" applyFont="1" applyAlignment="1">
      <alignment horizontal="right"/>
    </xf>
    <xf numFmtId="0" fontId="3" fillId="0" borderId="0" xfId="0" applyFont="1" applyAlignment="1"/>
    <xf numFmtId="10" fontId="5" fillId="0" borderId="0" xfId="2" applyNumberFormat="1" applyFont="1" applyAlignment="1"/>
    <xf numFmtId="43" fontId="0" fillId="0" borderId="0" xfId="1" applyFont="1" applyAlignment="1"/>
    <xf numFmtId="9" fontId="6" fillId="0" borderId="0" xfId="0" applyNumberFormat="1" applyFont="1" applyAlignment="1"/>
    <xf numFmtId="0" fontId="0" fillId="2" borderId="0" xfId="0" applyFill="1" applyAlignment="1"/>
    <xf numFmtId="37" fontId="0" fillId="2" borderId="0" xfId="1" applyNumberFormat="1" applyFont="1" applyFill="1" applyAlignment="1"/>
    <xf numFmtId="37" fontId="0" fillId="2" borderId="0" xfId="0" applyNumberFormat="1" applyFill="1" applyAlignment="1"/>
    <xf numFmtId="9" fontId="0" fillId="2" borderId="0" xfId="0" applyNumberFormat="1" applyFill="1" applyAlignment="1"/>
    <xf numFmtId="10" fontId="0" fillId="2" borderId="0" xfId="2" applyNumberFormat="1" applyFont="1" applyFill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331470</xdr:colOff>
      <xdr:row>43</xdr:row>
      <xdr:rowOff>93345</xdr:rowOff>
    </xdr:from>
    <xdr:to>
      <xdr:col>7</xdr:col>
      <xdr:colOff>1552624</xdr:colOff>
      <xdr:row>47</xdr:row>
      <xdr:rowOff>121920</xdr:rowOff>
    </xdr:to>
    <xdr:sp macro="" textlink="">
      <xdr:nvSpPr>
        <xdr:cNvPr id="2" name="Text Box 15">
          <a:extLst>
            <a:ext uri="{FF2B5EF4-FFF2-40B4-BE49-F238E27FC236}">
              <a16:creationId xmlns:a16="http://schemas.microsoft.com/office/drawing/2014/main" id="{9B694EED-3356-43BC-B8FD-4E36B1CE80F7}"/>
            </a:ext>
          </a:extLst>
        </xdr:cNvPr>
        <xdr:cNvSpPr txBox="1">
          <a:spLocks noChangeArrowheads="1"/>
        </xdr:cNvSpPr>
      </xdr:nvSpPr>
      <xdr:spPr bwMode="auto">
        <a:xfrm>
          <a:off x="7244715" y="7840980"/>
          <a:ext cx="1221154" cy="71247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Cash flow generated by depreciation equals capital expenditures.</a:t>
          </a:r>
        </a:p>
      </xdr:txBody>
    </xdr:sp>
    <xdr:clientData/>
  </xdr:twoCellAnchor>
  <xdr:twoCellAnchor>
    <xdr:from>
      <xdr:col>6</xdr:col>
      <xdr:colOff>632460</xdr:colOff>
      <xdr:row>43</xdr:row>
      <xdr:rowOff>91440</xdr:rowOff>
    </xdr:from>
    <xdr:to>
      <xdr:col>7</xdr:col>
      <xdr:colOff>335280</xdr:colOff>
      <xdr:row>44</xdr:row>
      <xdr:rowOff>121920</xdr:rowOff>
    </xdr:to>
    <xdr:sp macro="" textlink="">
      <xdr:nvSpPr>
        <xdr:cNvPr id="3" name="Line 16">
          <a:extLst>
            <a:ext uri="{FF2B5EF4-FFF2-40B4-BE49-F238E27FC236}">
              <a16:creationId xmlns:a16="http://schemas.microsoft.com/office/drawing/2014/main" id="{F5FEB89D-459A-4EA8-BEA4-74B415D41DDB}"/>
            </a:ext>
          </a:extLst>
        </xdr:cNvPr>
        <xdr:cNvSpPr>
          <a:spLocks noChangeShapeType="1"/>
        </xdr:cNvSpPr>
      </xdr:nvSpPr>
      <xdr:spPr bwMode="auto">
        <a:xfrm flipH="1" flipV="1">
          <a:off x="6905625" y="7839075"/>
          <a:ext cx="34290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</xdr:colOff>
      <xdr:row>46</xdr:row>
      <xdr:rowOff>22860</xdr:rowOff>
    </xdr:from>
    <xdr:to>
      <xdr:col>7</xdr:col>
      <xdr:colOff>335280</xdr:colOff>
      <xdr:row>46</xdr:row>
      <xdr:rowOff>99060</xdr:rowOff>
    </xdr:to>
    <xdr:sp macro="" textlink="">
      <xdr:nvSpPr>
        <xdr:cNvPr id="4" name="Line 17">
          <a:extLst>
            <a:ext uri="{FF2B5EF4-FFF2-40B4-BE49-F238E27FC236}">
              <a16:creationId xmlns:a16="http://schemas.microsoft.com/office/drawing/2014/main" id="{71CCE0F2-4962-4E38-9169-488818C63E7F}"/>
            </a:ext>
          </a:extLst>
        </xdr:cNvPr>
        <xdr:cNvSpPr>
          <a:spLocks noChangeShapeType="1"/>
        </xdr:cNvSpPr>
      </xdr:nvSpPr>
      <xdr:spPr bwMode="auto">
        <a:xfrm flipH="1">
          <a:off x="6934200" y="8277225"/>
          <a:ext cx="31432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111"/>
  <sheetViews>
    <sheetView tabSelected="1" topLeftCell="A30" zoomScale="130" zoomScaleNormal="130" workbookViewId="0">
      <selection activeCell="E53" sqref="E53"/>
    </sheetView>
  </sheetViews>
  <sheetFormatPr defaultRowHeight="13.8" x14ac:dyDescent="0.25"/>
  <cols>
    <col min="1" max="1" width="44.5546875" style="3" customWidth="1"/>
    <col min="2" max="2" width="9.6640625" style="3" bestFit="1" customWidth="1"/>
    <col min="3" max="7" width="9.33203125" style="3" bestFit="1" customWidth="1"/>
    <col min="8" max="8" width="24.5546875" style="3" bestFit="1" customWidth="1"/>
  </cols>
  <sheetData>
    <row r="1" spans="1:8" ht="17.399999999999999" x14ac:dyDescent="0.25">
      <c r="A1" s="1" t="s">
        <v>0</v>
      </c>
      <c r="B1" s="2"/>
      <c r="C1" s="2"/>
      <c r="D1" s="2"/>
      <c r="E1" s="2"/>
      <c r="F1" s="2"/>
      <c r="G1" s="2"/>
      <c r="H1" s="2"/>
    </row>
    <row r="2" spans="1:8" x14ac:dyDescent="0.25">
      <c r="A2" s="3" t="s">
        <v>1</v>
      </c>
      <c r="B2" s="4">
        <v>0.15</v>
      </c>
    </row>
    <row r="3" spans="1:8" x14ac:dyDescent="0.25">
      <c r="A3" s="3" t="s">
        <v>2</v>
      </c>
      <c r="B3" s="4">
        <v>0.15</v>
      </c>
    </row>
    <row r="4" spans="1:8" x14ac:dyDescent="0.25">
      <c r="A4" s="3" t="s">
        <v>3</v>
      </c>
      <c r="B4" s="4">
        <v>0.08</v>
      </c>
    </row>
    <row r="5" spans="1:8" x14ac:dyDescent="0.25">
      <c r="A5" s="3" t="s">
        <v>4</v>
      </c>
      <c r="B5" s="30">
        <v>0.55000000000000004</v>
      </c>
    </row>
    <row r="6" spans="1:8" x14ac:dyDescent="0.25">
      <c r="A6" s="3" t="s">
        <v>5</v>
      </c>
      <c r="B6" s="4">
        <v>0.1</v>
      </c>
    </row>
    <row r="7" spans="1:8" x14ac:dyDescent="0.25">
      <c r="A7" s="3" t="s">
        <v>6</v>
      </c>
      <c r="B7" s="5">
        <v>0.1</v>
      </c>
    </row>
    <row r="8" spans="1:8" x14ac:dyDescent="0.25">
      <c r="A8" s="3" t="s">
        <v>7</v>
      </c>
      <c r="B8" s="5">
        <v>0.08</v>
      </c>
    </row>
    <row r="9" spans="1:8" x14ac:dyDescent="0.25">
      <c r="A9" s="3" t="s">
        <v>8</v>
      </c>
      <c r="B9" s="4">
        <v>0.4</v>
      </c>
    </row>
    <row r="10" spans="1:8" x14ac:dyDescent="0.25">
      <c r="A10" s="3" t="s">
        <v>9</v>
      </c>
      <c r="B10" s="4">
        <v>0</v>
      </c>
      <c r="C10" s="3" t="s">
        <v>10</v>
      </c>
    </row>
    <row r="12" spans="1:8" x14ac:dyDescent="0.25">
      <c r="A12" s="6" t="s">
        <v>11</v>
      </c>
      <c r="B12" s="7">
        <v>0</v>
      </c>
      <c r="C12" s="7">
        <v>1</v>
      </c>
      <c r="D12" s="7">
        <v>2</v>
      </c>
      <c r="E12" s="7">
        <v>3</v>
      </c>
      <c r="F12" s="7">
        <v>4</v>
      </c>
      <c r="G12" s="7">
        <v>5</v>
      </c>
      <c r="H12" s="6"/>
    </row>
    <row r="13" spans="1:8" x14ac:dyDescent="0.25">
      <c r="A13" s="6" t="s">
        <v>12</v>
      </c>
    </row>
    <row r="14" spans="1:8" x14ac:dyDescent="0.25">
      <c r="A14" s="3" t="s">
        <v>13</v>
      </c>
      <c r="B14" s="8"/>
      <c r="C14" s="8">
        <v>1150</v>
      </c>
      <c r="D14" s="8">
        <f>C14*(1+$B$2)</f>
        <v>1322.5</v>
      </c>
      <c r="E14" s="8">
        <f>D14*(1+$B$2)</f>
        <v>1520.8749999999998</v>
      </c>
      <c r="F14" s="8">
        <f>E14*(1+$B$2)</f>
        <v>1749.0062499999997</v>
      </c>
      <c r="G14" s="8">
        <f>F14*(1+$B$2)</f>
        <v>2011.3571874999996</v>
      </c>
    </row>
    <row r="15" spans="1:8" x14ac:dyDescent="0.25">
      <c r="A15" s="3" t="s">
        <v>14</v>
      </c>
      <c r="B15" s="8"/>
      <c r="C15" s="8">
        <f>-C14*$B$5</f>
        <v>-632.5</v>
      </c>
      <c r="D15" s="8">
        <f>-D14*$B$5</f>
        <v>-727.37500000000011</v>
      </c>
      <c r="E15" s="8">
        <f>-E14*$B$5</f>
        <v>-836.48124999999993</v>
      </c>
      <c r="F15" s="8">
        <f>-F14*$B$5</f>
        <v>-961.95343749999995</v>
      </c>
      <c r="G15" s="8">
        <f>-G14*$B$5</f>
        <v>-1106.2464531249998</v>
      </c>
    </row>
    <row r="16" spans="1:8" x14ac:dyDescent="0.25">
      <c r="A16" s="3" t="s">
        <v>15</v>
      </c>
      <c r="B16" s="8"/>
      <c r="C16" s="8">
        <f>-$B$7*(B35+C35)/2</f>
        <v>-90</v>
      </c>
      <c r="D16" s="8">
        <f>-$B$7*(C35+D35)/2</f>
        <v>-70</v>
      </c>
      <c r="E16" s="8">
        <f>-$B$7*(D35+E35)/2</f>
        <v>-50</v>
      </c>
      <c r="F16" s="8">
        <f>-$B$7*(E35+F35)/2</f>
        <v>-30</v>
      </c>
      <c r="G16" s="8">
        <f>-$B$7*(F35+G35)/2</f>
        <v>-10</v>
      </c>
    </row>
    <row r="17" spans="1:8" x14ac:dyDescent="0.25">
      <c r="A17" s="3" t="s">
        <v>16</v>
      </c>
      <c r="B17" s="8"/>
      <c r="C17" s="8">
        <f ca="1">$B$8*(B26+C26)/2</f>
        <v>-2.0621225194138608</v>
      </c>
      <c r="D17" s="8">
        <f ca="1">$B$8*(C26+D26)/2</f>
        <v>-5.7261604236303718</v>
      </c>
      <c r="E17" s="8">
        <f ca="1">$B$8*(D26+E26)/2</f>
        <v>-6.9983648937071665</v>
      </c>
      <c r="F17" s="8">
        <f ca="1">$B$8*(E26+F26)/2</f>
        <v>-4.0575830722632418</v>
      </c>
      <c r="G17" s="8">
        <f ca="1">$B$8*(F26+G26)/2</f>
        <v>3.8538990905718857</v>
      </c>
    </row>
    <row r="18" spans="1:8" x14ac:dyDescent="0.25">
      <c r="A18" s="3" t="s">
        <v>17</v>
      </c>
      <c r="B18" s="8"/>
      <c r="C18" s="28">
        <f ca="1">-$B$6*(C29+B29)/2</f>
        <v>-210.52631578947367</v>
      </c>
      <c r="D18" s="28">
        <f ca="1">-$B$6*(D29+C29)/2</f>
        <v>-232.6869806094183</v>
      </c>
      <c r="E18" s="28">
        <f ca="1">-$B$6*(E29+D29)/2</f>
        <v>-257.18034698935708</v>
      </c>
      <c r="F18" s="28">
        <f ca="1">-$B$6*(F29+E29)/2</f>
        <v>-284.25196246192098</v>
      </c>
      <c r="G18" s="28">
        <f ca="1">-$B$6*(G29+F29)/2</f>
        <v>-314.173221668439</v>
      </c>
    </row>
    <row r="19" spans="1:8" x14ac:dyDescent="0.25">
      <c r="A19" s="3" t="s">
        <v>18</v>
      </c>
      <c r="B19" s="8"/>
      <c r="C19" s="8">
        <f ca="1">SUM(C14:C18)</f>
        <v>214.9115616911125</v>
      </c>
      <c r="D19" s="8">
        <f ca="1">SUM(D14:D18)</f>
        <v>286.71185896695118</v>
      </c>
      <c r="E19" s="8">
        <f ca="1">SUM(E14:E18)</f>
        <v>370.2150381169356</v>
      </c>
      <c r="F19" s="8">
        <f ca="1">SUM(F14:F18)</f>
        <v>468.74326696581551</v>
      </c>
      <c r="G19" s="8">
        <f ca="1">SUM(G14:G18)</f>
        <v>584.7914117971327</v>
      </c>
    </row>
    <row r="20" spans="1:8" x14ac:dyDescent="0.25">
      <c r="A20" s="3" t="s">
        <v>19</v>
      </c>
      <c r="B20" s="8"/>
      <c r="C20" s="8">
        <f ca="1">-C19*$B$9</f>
        <v>-85.964624676444998</v>
      </c>
      <c r="D20" s="8">
        <f ca="1">-D19*$B$9</f>
        <v>-114.68474358678048</v>
      </c>
      <c r="E20" s="8">
        <f ca="1">-E19*$B$9</f>
        <v>-148.08601524677425</v>
      </c>
      <c r="F20" s="8">
        <f ca="1">-F19*$B$9</f>
        <v>-187.49730678632622</v>
      </c>
      <c r="G20" s="8">
        <f ca="1">-G19*$B$9</f>
        <v>-233.9165647188531</v>
      </c>
    </row>
    <row r="21" spans="1:8" x14ac:dyDescent="0.25">
      <c r="A21" s="27" t="s">
        <v>20</v>
      </c>
      <c r="B21" s="28"/>
      <c r="C21" s="28">
        <f ca="1">C20+C19</f>
        <v>128.9469370146675</v>
      </c>
      <c r="D21" s="28">
        <f ca="1">D20+D19</f>
        <v>172.0271153801707</v>
      </c>
      <c r="E21" s="28">
        <f ca="1">E20+E19</f>
        <v>222.12902287016135</v>
      </c>
      <c r="F21" s="28">
        <f ca="1">F20+F19</f>
        <v>281.24596017948932</v>
      </c>
      <c r="G21" s="28">
        <f ca="1">G20+G19</f>
        <v>350.87484707827957</v>
      </c>
    </row>
    <row r="22" spans="1:8" x14ac:dyDescent="0.25">
      <c r="A22" s="3" t="s">
        <v>21</v>
      </c>
      <c r="B22" s="8"/>
      <c r="C22" s="8">
        <f ca="1">-$B$10*C21</f>
        <v>0</v>
      </c>
      <c r="D22" s="8">
        <f ca="1">-$B$10*D21</f>
        <v>0</v>
      </c>
      <c r="E22" s="8">
        <f ca="1">-$B$10*E21</f>
        <v>0</v>
      </c>
      <c r="F22" s="8">
        <f ca="1">-$B$10*F21</f>
        <v>0</v>
      </c>
      <c r="G22" s="8">
        <f ca="1">-$B$10*G21</f>
        <v>0</v>
      </c>
    </row>
    <row r="23" spans="1:8" x14ac:dyDescent="0.25">
      <c r="A23" s="3" t="s">
        <v>22</v>
      </c>
      <c r="B23" s="8"/>
      <c r="C23" s="8">
        <f ca="1">C22+C21</f>
        <v>128.9469370146675</v>
      </c>
      <c r="D23" s="8">
        <f ca="1">D22+D21</f>
        <v>172.0271153801707</v>
      </c>
      <c r="E23" s="8">
        <f ca="1">E22+E21</f>
        <v>222.12902287016135</v>
      </c>
      <c r="F23" s="8">
        <f ca="1">F22+F21</f>
        <v>281.24596017948932</v>
      </c>
      <c r="G23" s="8">
        <f ca="1">G22+G21</f>
        <v>350.87484707827957</v>
      </c>
    </row>
    <row r="24" spans="1:8" x14ac:dyDescent="0.25">
      <c r="B24" s="8"/>
      <c r="C24" s="8"/>
      <c r="D24" s="8"/>
      <c r="E24" s="8"/>
      <c r="F24" s="8"/>
      <c r="G24" s="8"/>
    </row>
    <row r="25" spans="1:8" x14ac:dyDescent="0.25">
      <c r="A25" s="6" t="s">
        <v>23</v>
      </c>
      <c r="B25" s="8"/>
      <c r="C25" s="8"/>
      <c r="D25" s="8"/>
      <c r="E25" s="8"/>
      <c r="F25" s="8"/>
      <c r="G25" s="8"/>
    </row>
    <row r="26" spans="1:8" x14ac:dyDescent="0.25">
      <c r="A26" s="9" t="s">
        <v>24</v>
      </c>
      <c r="B26" s="8">
        <v>0</v>
      </c>
      <c r="C26" s="8">
        <f ca="1">C38-C27-C31</f>
        <v>-51.553062985346514</v>
      </c>
      <c r="D26" s="8">
        <f ca="1">D38-D27-D31</f>
        <v>-91.600947605412784</v>
      </c>
      <c r="E26" s="8">
        <f ca="1">E38-E27-E31</f>
        <v>-83.358174737266381</v>
      </c>
      <c r="F26" s="8">
        <f ca="1">F38-F27-F31</f>
        <v>-18.081402069314663</v>
      </c>
      <c r="G26" s="8">
        <f ca="1">G38-G27-G31</f>
        <v>114.4288793336118</v>
      </c>
      <c r="H26" s="10" t="str">
        <f ca="1">[1]!getformula(G26)</f>
        <v>&lt;--  =G38-G27-G31</v>
      </c>
    </row>
    <row r="27" spans="1:8" x14ac:dyDescent="0.25">
      <c r="A27" s="3" t="s">
        <v>25</v>
      </c>
      <c r="B27" s="8">
        <v>200</v>
      </c>
      <c r="C27" s="8">
        <f>C14*$B$3</f>
        <v>172.5</v>
      </c>
      <c r="D27" s="8">
        <f>D14*$B$3</f>
        <v>198.375</v>
      </c>
      <c r="E27" s="8">
        <f>E14*$B$3</f>
        <v>228.13124999999997</v>
      </c>
      <c r="F27" s="8">
        <f>F14*$B$3</f>
        <v>262.35093749999993</v>
      </c>
      <c r="G27" s="8">
        <f>G14*$B$3</f>
        <v>301.70357812499992</v>
      </c>
    </row>
    <row r="28" spans="1:8" x14ac:dyDescent="0.25">
      <c r="A28" s="3" t="s">
        <v>26</v>
      </c>
      <c r="B28" s="8"/>
      <c r="C28" s="8"/>
      <c r="D28" s="8"/>
      <c r="E28" s="8"/>
      <c r="F28" s="8"/>
      <c r="G28" s="8"/>
    </row>
    <row r="29" spans="1:8" x14ac:dyDescent="0.25">
      <c r="A29" s="3" t="s">
        <v>27</v>
      </c>
      <c r="B29" s="28">
        <v>2000</v>
      </c>
      <c r="C29" s="28">
        <f ca="1">C31-C30</f>
        <v>2210.5263157894738</v>
      </c>
      <c r="D29" s="28">
        <f ca="1">D31-D30</f>
        <v>2443.213296398892</v>
      </c>
      <c r="E29" s="28">
        <f ca="1">E31-E30</f>
        <v>2700.3936433882491</v>
      </c>
      <c r="F29" s="28">
        <f ca="1">F31-F30</f>
        <v>2984.6456058501699</v>
      </c>
      <c r="G29" s="28">
        <f ca="1">G31-G30</f>
        <v>3298.8188275186094</v>
      </c>
    </row>
    <row r="30" spans="1:8" x14ac:dyDescent="0.25">
      <c r="A30" s="3" t="s">
        <v>28</v>
      </c>
      <c r="B30" s="8">
        <v>0</v>
      </c>
      <c r="C30" s="8">
        <f ca="1">B30-$B$6*(C29+B29)/2</f>
        <v>-210.52631578947367</v>
      </c>
      <c r="D30" s="8">
        <f ca="1">C30-$B$6*(D29+C29)/2</f>
        <v>-443.213296398892</v>
      </c>
      <c r="E30" s="8">
        <f ca="1">D30-$B$6*(E29+D29)/2</f>
        <v>-700.39364338824907</v>
      </c>
      <c r="F30" s="8">
        <f ca="1">E30-$B$6*(F29+E29)/2</f>
        <v>-984.64560585017011</v>
      </c>
      <c r="G30" s="8">
        <f ca="1">F30-$B$6*(G29+F29)/2</f>
        <v>-1298.8188275186092</v>
      </c>
      <c r="H30" s="10" t="str">
        <f ca="1">[1]!getformula(G30)</f>
        <v>&lt;--  =F30-$B$6*(G29+F29)/2</v>
      </c>
    </row>
    <row r="31" spans="1:8" x14ac:dyDescent="0.25">
      <c r="A31" s="3" t="s">
        <v>29</v>
      </c>
      <c r="B31" s="8">
        <f>B29-B30</f>
        <v>2000</v>
      </c>
      <c r="C31" s="8">
        <f>B31</f>
        <v>2000</v>
      </c>
      <c r="D31" s="8">
        <f>C31</f>
        <v>2000</v>
      </c>
      <c r="E31" s="8">
        <f>D31</f>
        <v>2000</v>
      </c>
      <c r="F31" s="8">
        <f>E31</f>
        <v>2000</v>
      </c>
      <c r="G31" s="8">
        <f>F31</f>
        <v>2000</v>
      </c>
      <c r="H31" s="3" t="s">
        <v>50</v>
      </c>
    </row>
    <row r="32" spans="1:8" x14ac:dyDescent="0.25">
      <c r="A32" s="6" t="s">
        <v>30</v>
      </c>
      <c r="B32" s="8">
        <f>B26+B27+B31</f>
        <v>2200</v>
      </c>
      <c r="C32" s="8">
        <f ca="1">C31+C27+C26</f>
        <v>2120.9469370146535</v>
      </c>
      <c r="D32" s="8">
        <f ca="1">D31+D27+D26</f>
        <v>2106.7740523945872</v>
      </c>
      <c r="E32" s="8">
        <f ca="1">E31+E27+E26</f>
        <v>2144.7730752627335</v>
      </c>
      <c r="F32" s="8">
        <f ca="1">F31+F27+F26</f>
        <v>2244.2695354306852</v>
      </c>
      <c r="G32" s="8">
        <f ca="1">G31+G27+G26</f>
        <v>2416.1324574586115</v>
      </c>
    </row>
    <row r="33" spans="1:8" x14ac:dyDescent="0.25">
      <c r="B33" s="8"/>
      <c r="C33" s="8"/>
      <c r="D33" s="8"/>
      <c r="E33" s="8"/>
      <c r="F33" s="8"/>
      <c r="G33" s="8"/>
    </row>
    <row r="34" spans="1:8" x14ac:dyDescent="0.25">
      <c r="A34" s="3" t="s">
        <v>31</v>
      </c>
      <c r="B34" s="8">
        <v>100</v>
      </c>
      <c r="C34" s="8">
        <f>C14*$B$4</f>
        <v>92</v>
      </c>
      <c r="D34" s="8">
        <f>D14*$B$4</f>
        <v>105.8</v>
      </c>
      <c r="E34" s="8">
        <f>E14*$B$4</f>
        <v>121.66999999999999</v>
      </c>
      <c r="F34" s="8">
        <f>F14*$B$4</f>
        <v>139.92049999999998</v>
      </c>
      <c r="G34" s="8">
        <f>G14*$B$4</f>
        <v>160.90857499999996</v>
      </c>
    </row>
    <row r="35" spans="1:8" x14ac:dyDescent="0.25">
      <c r="A35" s="3" t="s">
        <v>32</v>
      </c>
      <c r="B35" s="8">
        <f>B32-B34-B36-B37</f>
        <v>1000</v>
      </c>
      <c r="C35" s="8">
        <f>B35-$B$35/5</f>
        <v>800</v>
      </c>
      <c r="D35" s="8">
        <f>C35-$B$35/5</f>
        <v>600</v>
      </c>
      <c r="E35" s="8">
        <f>D35-$B$35/5</f>
        <v>400</v>
      </c>
      <c r="F35" s="8">
        <f>E35-$B$35/5</f>
        <v>200</v>
      </c>
      <c r="G35" s="8">
        <f>F35-$B$35/5</f>
        <v>0</v>
      </c>
      <c r="H35" s="10" t="e">
        <f ca="1">getformula(G35)</f>
        <v>#NAME?</v>
      </c>
    </row>
    <row r="36" spans="1:8" x14ac:dyDescent="0.25">
      <c r="A36" s="3" t="s">
        <v>33</v>
      </c>
      <c r="B36" s="8">
        <v>1100</v>
      </c>
      <c r="C36" s="8">
        <f>B36</f>
        <v>1100</v>
      </c>
      <c r="D36" s="8">
        <f>C36</f>
        <v>1100</v>
      </c>
      <c r="E36" s="8">
        <f>D36</f>
        <v>1100</v>
      </c>
      <c r="F36" s="8">
        <f>E36</f>
        <v>1100</v>
      </c>
      <c r="G36" s="8">
        <f>F36</f>
        <v>1100</v>
      </c>
    </row>
    <row r="37" spans="1:8" x14ac:dyDescent="0.25">
      <c r="A37" s="3" t="s">
        <v>34</v>
      </c>
      <c r="B37" s="8">
        <v>0</v>
      </c>
      <c r="C37" s="8">
        <f ca="1">B37+C23</f>
        <v>128.9469370146675</v>
      </c>
      <c r="D37" s="8">
        <f ca="1">C37+D23</f>
        <v>300.97405239483817</v>
      </c>
      <c r="E37" s="8">
        <f ca="1">D37+E23</f>
        <v>523.10307526499946</v>
      </c>
      <c r="F37" s="8">
        <f ca="1">E37+F23</f>
        <v>804.34903544448878</v>
      </c>
      <c r="G37" s="8">
        <f ca="1">F37+G23</f>
        <v>1155.2238825227682</v>
      </c>
    </row>
    <row r="38" spans="1:8" x14ac:dyDescent="0.25">
      <c r="A38" s="6" t="s">
        <v>35</v>
      </c>
      <c r="B38" s="8">
        <f t="shared" ref="B38:G38" si="0">SUM(B34:B37)</f>
        <v>2200</v>
      </c>
      <c r="C38" s="8">
        <f t="shared" ca="1" si="0"/>
        <v>2120.9469370146676</v>
      </c>
      <c r="D38" s="8">
        <f t="shared" ca="1" si="0"/>
        <v>2106.7740523948382</v>
      </c>
      <c r="E38" s="8">
        <f t="shared" ca="1" si="0"/>
        <v>2144.7730752649995</v>
      </c>
      <c r="F38" s="8">
        <f t="shared" ca="1" si="0"/>
        <v>2244.2695354444886</v>
      </c>
      <c r="G38" s="8">
        <f t="shared" ca="1" si="0"/>
        <v>2416.1324575227682</v>
      </c>
    </row>
    <row r="41" spans="1:8" ht="15.6" x14ac:dyDescent="0.3">
      <c r="A41" s="11" t="s">
        <v>36</v>
      </c>
      <c r="B41" s="12"/>
      <c r="C41" s="12"/>
      <c r="D41" s="12"/>
      <c r="E41" s="12"/>
      <c r="F41" s="12"/>
      <c r="G41" s="12"/>
    </row>
    <row r="42" spans="1:8" x14ac:dyDescent="0.25">
      <c r="A42" s="13" t="s">
        <v>11</v>
      </c>
      <c r="B42" s="14">
        <v>0</v>
      </c>
      <c r="C42" s="14">
        <v>1</v>
      </c>
      <c r="D42" s="14">
        <v>2</v>
      </c>
      <c r="E42" s="14">
        <v>3</v>
      </c>
      <c r="F42" s="14">
        <v>4</v>
      </c>
      <c r="G42" s="14">
        <v>5</v>
      </c>
      <c r="H42" s="6"/>
    </row>
    <row r="43" spans="1:8" x14ac:dyDescent="0.25">
      <c r="A43" s="12" t="s">
        <v>20</v>
      </c>
      <c r="B43" s="12"/>
      <c r="C43" s="15">
        <f ca="1">C21</f>
        <v>128.9469370146675</v>
      </c>
      <c r="D43" s="15">
        <f ca="1">D21</f>
        <v>172.0271153801707</v>
      </c>
      <c r="E43" s="15">
        <f ca="1">E21</f>
        <v>222.12902287016135</v>
      </c>
      <c r="F43" s="15">
        <f ca="1">F21</f>
        <v>281.24596017948932</v>
      </c>
      <c r="G43" s="15">
        <f ca="1">G21</f>
        <v>350.87484707827957</v>
      </c>
    </row>
    <row r="44" spans="1:8" x14ac:dyDescent="0.25">
      <c r="A44" s="12" t="s">
        <v>37</v>
      </c>
      <c r="B44" s="12"/>
      <c r="C44" s="29">
        <f ca="1">-C18</f>
        <v>210.52631578947367</v>
      </c>
      <c r="D44" s="29">
        <f ca="1">-D18</f>
        <v>232.6869806094183</v>
      </c>
      <c r="E44" s="29">
        <f ca="1">-E18</f>
        <v>257.18034698935708</v>
      </c>
      <c r="F44" s="29">
        <f ca="1">-F18</f>
        <v>284.25196246192098</v>
      </c>
      <c r="G44" s="29">
        <f ca="1">-G18</f>
        <v>314.173221668439</v>
      </c>
    </row>
    <row r="45" spans="1:8" x14ac:dyDescent="0.25">
      <c r="A45" s="12" t="s">
        <v>38</v>
      </c>
      <c r="B45" s="12"/>
      <c r="C45" s="15">
        <f>-(C27-B27)</f>
        <v>27.5</v>
      </c>
      <c r="D45" s="15">
        <f>-(D27-C27)</f>
        <v>-25.875</v>
      </c>
      <c r="E45" s="15">
        <f>-(E27-D27)</f>
        <v>-29.756249999999966</v>
      </c>
      <c r="F45" s="15">
        <f>-(F27-E27)</f>
        <v>-34.219687499999964</v>
      </c>
      <c r="G45" s="15">
        <f>-(G27-F27)</f>
        <v>-39.352640624999992</v>
      </c>
    </row>
    <row r="46" spans="1:8" x14ac:dyDescent="0.25">
      <c r="A46" s="12" t="s">
        <v>39</v>
      </c>
      <c r="B46" s="12"/>
      <c r="C46" s="15">
        <f>C34-B34</f>
        <v>-8</v>
      </c>
      <c r="D46" s="15">
        <f>D34-C34</f>
        <v>13.799999999999997</v>
      </c>
      <c r="E46" s="15">
        <f>E34-D34</f>
        <v>15.86999999999999</v>
      </c>
      <c r="F46" s="15">
        <f>F34-E34</f>
        <v>18.250499999999988</v>
      </c>
      <c r="G46" s="15">
        <f>G34-F34</f>
        <v>20.988074999999981</v>
      </c>
    </row>
    <row r="47" spans="1:8" x14ac:dyDescent="0.25">
      <c r="A47" s="12" t="s">
        <v>40</v>
      </c>
      <c r="B47" s="12"/>
      <c r="C47" s="29">
        <f ca="1">-(C29-B29)</f>
        <v>-210.52631578947376</v>
      </c>
      <c r="D47" s="29">
        <f ca="1">-(D29-C29)</f>
        <v>-232.68698060941824</v>
      </c>
      <c r="E47" s="29">
        <f ca="1">-(E29-D29)</f>
        <v>-257.18034698935708</v>
      </c>
      <c r="F47" s="29">
        <f ca="1">-(F29-E29)</f>
        <v>-284.25196246192081</v>
      </c>
      <c r="G47" s="29">
        <f ca="1">-(G29-F29)</f>
        <v>-314.17322166843951</v>
      </c>
    </row>
    <row r="48" spans="1:8" x14ac:dyDescent="0.25">
      <c r="A48" s="16" t="s">
        <v>41</v>
      </c>
      <c r="B48" s="12"/>
      <c r="C48" s="15">
        <f t="shared" ref="C48:G49" si="1">-C16*(1-$B$9)</f>
        <v>54</v>
      </c>
      <c r="D48" s="15">
        <f t="shared" si="1"/>
        <v>42</v>
      </c>
      <c r="E48" s="15">
        <f t="shared" si="1"/>
        <v>30</v>
      </c>
      <c r="F48" s="15">
        <f t="shared" si="1"/>
        <v>18</v>
      </c>
      <c r="G48" s="15">
        <f t="shared" si="1"/>
        <v>6</v>
      </c>
    </row>
    <row r="49" spans="1:8" x14ac:dyDescent="0.25">
      <c r="A49" s="16" t="s">
        <v>42</v>
      </c>
      <c r="C49" s="15">
        <f t="shared" ca="1" si="1"/>
        <v>1.2372735116483164</v>
      </c>
      <c r="D49" s="15">
        <f t="shared" ca="1" si="1"/>
        <v>3.435696254178223</v>
      </c>
      <c r="E49" s="15">
        <f t="shared" ca="1" si="1"/>
        <v>4.1990189362242996</v>
      </c>
      <c r="F49" s="15">
        <f t="shared" ca="1" si="1"/>
        <v>2.4345498433579449</v>
      </c>
      <c r="G49" s="15">
        <f t="shared" ca="1" si="1"/>
        <v>-2.3123394543431313</v>
      </c>
    </row>
    <row r="50" spans="1:8" x14ac:dyDescent="0.25">
      <c r="A50" s="13" t="s">
        <v>43</v>
      </c>
      <c r="C50" s="15">
        <f ca="1">SUM(C43:C49)</f>
        <v>203.68421052631572</v>
      </c>
      <c r="D50" s="15">
        <f ca="1">SUM(D43:D49)</f>
        <v>205.38781163434899</v>
      </c>
      <c r="E50" s="15">
        <f ca="1">SUM(E43:E49)</f>
        <v>242.44179180638568</v>
      </c>
      <c r="F50" s="15">
        <f ca="1">SUM(F43:F49)</f>
        <v>285.71132252284741</v>
      </c>
      <c r="G50" s="15">
        <f ca="1">SUM(G43:G49)</f>
        <v>336.1979419989359</v>
      </c>
    </row>
    <row r="51" spans="1:8" x14ac:dyDescent="0.25">
      <c r="A51" s="9"/>
      <c r="B51" s="17"/>
      <c r="C51" s="9"/>
      <c r="D51" s="9"/>
      <c r="E51" s="9"/>
      <c r="F51" s="9"/>
      <c r="G51" s="9"/>
      <c r="H51" s="9"/>
    </row>
    <row r="52" spans="1:8" x14ac:dyDescent="0.25">
      <c r="A52" s="9"/>
    </row>
    <row r="53" spans="1:8" x14ac:dyDescent="0.25">
      <c r="A53" s="13"/>
      <c r="B53" s="14"/>
      <c r="C53" s="14"/>
      <c r="D53" s="14"/>
      <c r="E53" s="14"/>
      <c r="F53" s="14"/>
      <c r="G53" s="14"/>
      <c r="H53" s="6"/>
    </row>
    <row r="54" spans="1:8" x14ac:dyDescent="0.25">
      <c r="C54" s="12"/>
      <c r="D54" s="12"/>
      <c r="E54" s="12"/>
      <c r="F54" s="12"/>
      <c r="G54" s="18"/>
    </row>
    <row r="55" spans="1:8" x14ac:dyDescent="0.25">
      <c r="G55" s="19"/>
    </row>
    <row r="56" spans="1:8" x14ac:dyDescent="0.25">
      <c r="A56" s="6" t="s">
        <v>44</v>
      </c>
      <c r="C56" s="12"/>
      <c r="D56" s="12"/>
      <c r="E56" s="12"/>
      <c r="F56" s="12"/>
      <c r="G56" s="18"/>
    </row>
    <row r="57" spans="1:8" x14ac:dyDescent="0.25">
      <c r="A57" s="13" t="s">
        <v>11</v>
      </c>
      <c r="B57" s="14">
        <v>0</v>
      </c>
      <c r="C57" s="14">
        <v>1</v>
      </c>
      <c r="D57" s="14">
        <v>2</v>
      </c>
      <c r="E57" s="14">
        <v>3</v>
      </c>
      <c r="F57" s="14">
        <v>4</v>
      </c>
      <c r="G57" s="14">
        <v>5</v>
      </c>
      <c r="H57" s="6"/>
    </row>
    <row r="58" spans="1:8" x14ac:dyDescent="0.25">
      <c r="A58" s="3" t="s">
        <v>45</v>
      </c>
      <c r="B58" s="18">
        <f>-B36</f>
        <v>-1100</v>
      </c>
      <c r="C58" s="20">
        <f ca="1">C22</f>
        <v>0</v>
      </c>
      <c r="D58" s="20">
        <f ca="1">D22</f>
        <v>0</v>
      </c>
      <c r="E58" s="20">
        <f ca="1">E22</f>
        <v>0</v>
      </c>
      <c r="F58" s="20">
        <f ca="1">F22</f>
        <v>0</v>
      </c>
      <c r="G58" s="20">
        <f ca="1">G22+G36+G37</f>
        <v>2255.2238825227682</v>
      </c>
      <c r="H58" s="3" t="s">
        <v>46</v>
      </c>
    </row>
    <row r="59" spans="1:8" x14ac:dyDescent="0.25">
      <c r="A59" s="3" t="s">
        <v>44</v>
      </c>
      <c r="B59" s="31">
        <f ca="1">IRR(B58:G58)</f>
        <v>0.15440817977250099</v>
      </c>
      <c r="C59" s="3" t="str">
        <f ca="1">[1]!getformula(B59)</f>
        <v>&lt;--  =IRR(B58:G58)</v>
      </c>
    </row>
    <row r="60" spans="1:8" x14ac:dyDescent="0.25">
      <c r="B60" s="18"/>
    </row>
    <row r="61" spans="1:8" x14ac:dyDescent="0.25">
      <c r="B61" s="18"/>
    </row>
    <row r="62" spans="1:8" x14ac:dyDescent="0.25">
      <c r="A62" s="22" t="s">
        <v>47</v>
      </c>
      <c r="B62" s="18"/>
      <c r="C62" s="5">
        <f ca="1">B59</f>
        <v>0.15440817977250099</v>
      </c>
      <c r="D62" s="3" t="s">
        <v>48</v>
      </c>
    </row>
    <row r="63" spans="1:8" x14ac:dyDescent="0.25">
      <c r="A63" s="22" t="s">
        <v>49</v>
      </c>
      <c r="B63" s="18">
        <v>2000</v>
      </c>
      <c r="C63" s="21">
        <v>0.14581395127664765</v>
      </c>
    </row>
    <row r="64" spans="1:8" ht="17.399999999999999" x14ac:dyDescent="0.3">
      <c r="A64" s="23"/>
      <c r="B64" s="18">
        <v>1800</v>
      </c>
      <c r="C64" s="21">
        <v>0.15430557942459466</v>
      </c>
    </row>
    <row r="65" spans="1:8" x14ac:dyDescent="0.25">
      <c r="B65" s="18">
        <v>1600</v>
      </c>
      <c r="C65" s="21">
        <v>0.16458052931297096</v>
      </c>
    </row>
    <row r="66" spans="1:8" x14ac:dyDescent="0.25">
      <c r="B66" s="18">
        <v>1400</v>
      </c>
      <c r="C66" s="21">
        <v>0.17728010421235396</v>
      </c>
    </row>
    <row r="67" spans="1:8" x14ac:dyDescent="0.25">
      <c r="B67" s="18">
        <v>1200</v>
      </c>
      <c r="C67" s="21">
        <v>0.19340373751062434</v>
      </c>
    </row>
    <row r="68" spans="1:8" x14ac:dyDescent="0.25">
      <c r="B68" s="18">
        <v>1000</v>
      </c>
      <c r="C68" s="21">
        <v>0.21460803617602031</v>
      </c>
    </row>
    <row r="69" spans="1:8" x14ac:dyDescent="0.25">
      <c r="B69" s="18">
        <v>800</v>
      </c>
      <c r="C69" s="21">
        <v>0.24387804309377925</v>
      </c>
    </row>
    <row r="70" spans="1:8" ht="17.399999999999999" x14ac:dyDescent="0.3">
      <c r="A70" s="23"/>
      <c r="B70" s="18">
        <v>600</v>
      </c>
      <c r="C70" s="21">
        <v>0.28728224326726126</v>
      </c>
    </row>
    <row r="71" spans="1:8" x14ac:dyDescent="0.25">
      <c r="A71" s="9"/>
      <c r="B71" s="18">
        <v>400</v>
      </c>
      <c r="C71" s="24">
        <v>0.3597895161350797</v>
      </c>
      <c r="D71" s="9"/>
      <c r="E71" s="9"/>
      <c r="F71" s="9"/>
      <c r="G71" s="9"/>
      <c r="H71" s="9"/>
    </row>
    <row r="72" spans="1:8" x14ac:dyDescent="0.25">
      <c r="A72" s="9"/>
      <c r="B72" s="18">
        <v>200</v>
      </c>
      <c r="C72" s="21">
        <v>0.51539259217424704</v>
      </c>
    </row>
    <row r="73" spans="1:8" x14ac:dyDescent="0.25">
      <c r="A73" s="13"/>
      <c r="B73" s="14"/>
      <c r="C73" s="14"/>
      <c r="D73" s="14"/>
      <c r="E73" s="14"/>
      <c r="F73" s="14"/>
      <c r="G73" s="14"/>
      <c r="H73" s="6"/>
    </row>
    <row r="74" spans="1:8" x14ac:dyDescent="0.25">
      <c r="C74" s="12"/>
      <c r="D74" s="12"/>
      <c r="E74" s="12"/>
      <c r="F74" s="12"/>
      <c r="G74" s="12"/>
    </row>
    <row r="75" spans="1:8" x14ac:dyDescent="0.25">
      <c r="G75" s="19"/>
    </row>
    <row r="76" spans="1:8" x14ac:dyDescent="0.25">
      <c r="C76" s="12"/>
      <c r="D76" s="12"/>
      <c r="E76" s="12"/>
      <c r="F76" s="12"/>
      <c r="G76" s="18"/>
    </row>
    <row r="78" spans="1:8" x14ac:dyDescent="0.25">
      <c r="B78" s="18"/>
    </row>
    <row r="79" spans="1:8" x14ac:dyDescent="0.25">
      <c r="B79" s="18"/>
    </row>
    <row r="80" spans="1:8" x14ac:dyDescent="0.25">
      <c r="B80" s="18"/>
    </row>
    <row r="81" spans="2:3" x14ac:dyDescent="0.25">
      <c r="B81" s="18"/>
    </row>
    <row r="82" spans="2:3" x14ac:dyDescent="0.25">
      <c r="B82" s="18"/>
    </row>
    <row r="86" spans="2:3" x14ac:dyDescent="0.25">
      <c r="C86" s="18"/>
    </row>
    <row r="87" spans="2:3" x14ac:dyDescent="0.25">
      <c r="B87" s="4"/>
      <c r="C87" s="18"/>
    </row>
    <row r="88" spans="2:3" x14ac:dyDescent="0.25">
      <c r="B88" s="4"/>
      <c r="C88" s="18"/>
    </row>
    <row r="89" spans="2:3" x14ac:dyDescent="0.25">
      <c r="B89" s="4"/>
      <c r="C89" s="18"/>
    </row>
    <row r="90" spans="2:3" x14ac:dyDescent="0.25">
      <c r="B90" s="4"/>
      <c r="C90" s="18"/>
    </row>
    <row r="91" spans="2:3" x14ac:dyDescent="0.25">
      <c r="B91" s="4"/>
      <c r="C91" s="18"/>
    </row>
    <row r="92" spans="2:3" x14ac:dyDescent="0.25">
      <c r="B92" s="4"/>
      <c r="C92" s="18"/>
    </row>
    <row r="93" spans="2:3" x14ac:dyDescent="0.25">
      <c r="B93" s="4"/>
      <c r="C93" s="18"/>
    </row>
    <row r="94" spans="2:3" x14ac:dyDescent="0.25">
      <c r="B94" s="4"/>
      <c r="C94" s="18"/>
    </row>
    <row r="95" spans="2:3" x14ac:dyDescent="0.25">
      <c r="B95" s="4"/>
      <c r="C95" s="18"/>
    </row>
    <row r="101" spans="1:8" x14ac:dyDescent="0.25">
      <c r="C101" s="6"/>
    </row>
    <row r="102" spans="1:8" x14ac:dyDescent="0.25">
      <c r="B102" s="25"/>
      <c r="C102" s="26"/>
      <c r="D102" s="26"/>
      <c r="E102" s="26"/>
      <c r="F102" s="26"/>
      <c r="G102" s="26"/>
      <c r="H102" s="26"/>
    </row>
    <row r="103" spans="1:8" x14ac:dyDescent="0.25">
      <c r="B103" s="26"/>
      <c r="C103" s="25"/>
      <c r="D103" s="25"/>
      <c r="E103" s="25"/>
      <c r="F103" s="25"/>
      <c r="G103" s="25"/>
      <c r="H103" s="25"/>
    </row>
    <row r="104" spans="1:8" x14ac:dyDescent="0.25">
      <c r="A104" s="22"/>
      <c r="B104" s="26"/>
      <c r="C104" s="25"/>
      <c r="D104" s="25"/>
      <c r="E104" s="25"/>
      <c r="F104" s="25"/>
      <c r="G104" s="25"/>
      <c r="H104" s="25"/>
    </row>
    <row r="105" spans="1:8" x14ac:dyDescent="0.25">
      <c r="B105" s="26"/>
      <c r="C105" s="25"/>
      <c r="D105" s="25"/>
      <c r="E105" s="25"/>
      <c r="F105" s="25"/>
      <c r="G105" s="25"/>
      <c r="H105" s="25"/>
    </row>
    <row r="106" spans="1:8" x14ac:dyDescent="0.25">
      <c r="B106" s="26"/>
      <c r="C106" s="25"/>
      <c r="D106" s="25"/>
      <c r="E106" s="25"/>
      <c r="F106" s="25"/>
      <c r="G106" s="25"/>
      <c r="H106" s="25"/>
    </row>
    <row r="107" spans="1:8" x14ac:dyDescent="0.25">
      <c r="B107" s="26"/>
      <c r="C107" s="25"/>
      <c r="D107" s="25"/>
      <c r="E107" s="25"/>
      <c r="F107" s="25"/>
      <c r="G107" s="25"/>
      <c r="H107" s="25"/>
    </row>
    <row r="108" spans="1:8" x14ac:dyDescent="0.25">
      <c r="B108" s="26"/>
      <c r="C108" s="25"/>
      <c r="D108" s="25"/>
      <c r="E108" s="25"/>
      <c r="F108" s="25"/>
      <c r="G108" s="25"/>
      <c r="H108" s="25"/>
    </row>
    <row r="109" spans="1:8" x14ac:dyDescent="0.25">
      <c r="B109" s="26"/>
      <c r="C109" s="25"/>
      <c r="D109" s="25"/>
      <c r="E109" s="25"/>
      <c r="F109" s="25"/>
      <c r="G109" s="25"/>
      <c r="H109" s="25"/>
    </row>
    <row r="110" spans="1:8" x14ac:dyDescent="0.25">
      <c r="B110" s="26"/>
      <c r="C110" s="25"/>
      <c r="D110" s="25"/>
      <c r="E110" s="25"/>
      <c r="F110" s="25"/>
      <c r="G110" s="25"/>
      <c r="H110" s="25"/>
    </row>
    <row r="111" spans="1:8" x14ac:dyDescent="0.25">
      <c r="B111" s="26"/>
      <c r="C111" s="25"/>
      <c r="D111" s="25"/>
      <c r="E111" s="25"/>
      <c r="F111" s="25"/>
      <c r="G111" s="25"/>
      <c r="H111" s="25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2024-10-12T08:09:37Z</dcterms:modified>
</cp:coreProperties>
</file>