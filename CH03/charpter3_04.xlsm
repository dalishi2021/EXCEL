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3\"/>
    </mc:Choice>
  </mc:AlternateContent>
  <xr:revisionPtr revIDLastSave="0" documentId="13_ncr:1_{AFED7519-6445-4796-B223-7380DF8A7292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1" i="1" l="1"/>
  <c r="G41" i="1" s="1"/>
  <c r="B35" i="1"/>
  <c r="C27" i="1"/>
  <c r="C18" i="1" s="1"/>
  <c r="C51" i="1" s="1"/>
  <c r="B18" i="1"/>
  <c r="B16" i="1"/>
  <c r="B15" i="1"/>
  <c r="B32" i="1" s="1"/>
  <c r="B30" i="1" s="1"/>
  <c r="H37" i="1"/>
  <c r="H36" i="1"/>
  <c r="D27" i="1" l="1"/>
  <c r="B28" i="1"/>
  <c r="B33" i="1" s="1"/>
  <c r="B36" i="1" s="1"/>
  <c r="C15" i="1"/>
  <c r="C32" i="1" l="1"/>
  <c r="D15" i="1"/>
  <c r="C28" i="1"/>
  <c r="C47" i="1" s="1"/>
  <c r="C35" i="1"/>
  <c r="C16" i="1"/>
  <c r="B17" i="1"/>
  <c r="B20" i="1" s="1"/>
  <c r="B21" i="1" s="1"/>
  <c r="B22" i="1" s="1"/>
  <c r="B23" i="1" s="1"/>
  <c r="B24" i="1" s="1"/>
  <c r="B41" i="1"/>
  <c r="E27" i="1"/>
  <c r="E18" i="1" s="1"/>
  <c r="E51" i="1" s="1"/>
  <c r="D18" i="1"/>
  <c r="D51" i="1" s="1"/>
  <c r="B39" i="1"/>
  <c r="C48" i="1" l="1"/>
  <c r="D32" i="1"/>
  <c r="E15" i="1"/>
  <c r="D28" i="1"/>
  <c r="D47" i="1" s="1"/>
  <c r="D35" i="1"/>
  <c r="D16" i="1"/>
  <c r="F27" i="1"/>
  <c r="F18" i="1"/>
  <c r="F51" i="1" s="1"/>
  <c r="C33" i="1"/>
  <c r="G27" i="1" l="1"/>
  <c r="G18" i="1"/>
  <c r="G51" i="1" s="1"/>
  <c r="D48" i="1"/>
  <c r="E32" i="1"/>
  <c r="F15" i="1"/>
  <c r="E28" i="1"/>
  <c r="E47" i="1" s="1"/>
  <c r="E16" i="1"/>
  <c r="E35" i="1"/>
  <c r="D33" i="1"/>
  <c r="E48" i="1" l="1"/>
  <c r="F32" i="1"/>
  <c r="G15" i="1"/>
  <c r="F35" i="1"/>
  <c r="F16" i="1"/>
  <c r="F28" i="1"/>
  <c r="F47" i="1" s="1"/>
  <c r="E33" i="1"/>
  <c r="F48" i="1" l="1"/>
  <c r="F33" i="1"/>
  <c r="G28" i="1"/>
  <c r="G47" i="1" s="1"/>
  <c r="G35" i="1"/>
  <c r="G16" i="1"/>
  <c r="G32" i="1"/>
  <c r="G33" i="1" l="1"/>
  <c r="G48" i="1"/>
  <c r="C17" i="1"/>
  <c r="D17" i="1"/>
  <c r="E17" i="1"/>
  <c r="F17" i="1"/>
  <c r="G17" i="1"/>
  <c r="C19" i="1"/>
  <c r="D19" i="1"/>
  <c r="E19" i="1"/>
  <c r="F19" i="1"/>
  <c r="G19" i="1"/>
  <c r="C20" i="1"/>
  <c r="D20" i="1"/>
  <c r="E20" i="1"/>
  <c r="F20" i="1"/>
  <c r="G20" i="1"/>
  <c r="C21" i="1"/>
  <c r="D21" i="1"/>
  <c r="E21" i="1"/>
  <c r="F21" i="1"/>
  <c r="G21" i="1"/>
  <c r="C22" i="1"/>
  <c r="D22" i="1"/>
  <c r="E22" i="1"/>
  <c r="F22" i="1"/>
  <c r="G22" i="1"/>
  <c r="C23" i="1"/>
  <c r="D23" i="1"/>
  <c r="E23" i="1"/>
  <c r="F23" i="1"/>
  <c r="G23" i="1"/>
  <c r="C24" i="1"/>
  <c r="D24" i="1"/>
  <c r="E24" i="1"/>
  <c r="F24" i="1"/>
  <c r="G24" i="1"/>
  <c r="C30" i="1"/>
  <c r="D30" i="1"/>
  <c r="E30" i="1"/>
  <c r="F30" i="1"/>
  <c r="G30" i="1"/>
  <c r="C31" i="1"/>
  <c r="D31" i="1"/>
  <c r="E31" i="1"/>
  <c r="F31" i="1"/>
  <c r="G31" i="1"/>
  <c r="C36" i="1"/>
  <c r="D36" i="1"/>
  <c r="E36" i="1"/>
  <c r="F36" i="1"/>
  <c r="G36" i="1"/>
  <c r="C37" i="1"/>
  <c r="D37" i="1"/>
  <c r="E37" i="1"/>
  <c r="F37" i="1"/>
  <c r="G37" i="1"/>
  <c r="C38" i="1"/>
  <c r="D38" i="1"/>
  <c r="E38" i="1"/>
  <c r="F38" i="1"/>
  <c r="G38" i="1"/>
  <c r="C39" i="1"/>
  <c r="D39" i="1"/>
  <c r="E39" i="1"/>
  <c r="F39" i="1"/>
  <c r="G39" i="1"/>
  <c r="C45" i="1"/>
  <c r="D45" i="1"/>
  <c r="E45" i="1"/>
  <c r="F45" i="1"/>
  <c r="G45" i="1"/>
  <c r="C46" i="1"/>
  <c r="D46" i="1"/>
  <c r="E46" i="1"/>
  <c r="F46" i="1"/>
  <c r="G46" i="1"/>
  <c r="C49" i="1"/>
  <c r="D49" i="1"/>
  <c r="E49" i="1"/>
  <c r="F49" i="1"/>
  <c r="G49" i="1"/>
  <c r="C50" i="1"/>
  <c r="D50" i="1"/>
  <c r="E50" i="1"/>
  <c r="F50" i="1"/>
  <c r="G50" i="1"/>
  <c r="C52" i="1"/>
  <c r="D52" i="1"/>
  <c r="E52" i="1"/>
  <c r="F52" i="1"/>
  <c r="G52" i="1"/>
</calcChain>
</file>

<file path=xl/sharedStrings.xml><?xml version="1.0" encoding="utf-8"?>
<sst xmlns="http://schemas.openxmlformats.org/spreadsheetml/2006/main" count="47" uniqueCount="45">
  <si>
    <r>
      <t>TARGET DEBT-EQUITY RATIO
C</t>
    </r>
    <r>
      <rPr>
        <b/>
        <sz val="12"/>
        <rFont val="Arial"/>
        <family val="2"/>
      </rPr>
      <t>ash is fixed, ratio of debt/equity changes in each year</t>
    </r>
  </si>
  <si>
    <t>Sales growth</t>
  </si>
  <si>
    <t>Current assets/Sales</t>
  </si>
  <si>
    <t>Current liabilities/Sales</t>
  </si>
  <si>
    <t>Net fixed assets/Sales</t>
  </si>
  <si>
    <t>Costs of goods sold/Sales</t>
  </si>
  <si>
    <t>Depreciation rate</t>
  </si>
  <si>
    <t>Interest rate on debt</t>
  </si>
  <si>
    <t>Interest paid on cash &amp; marketable securities</t>
  </si>
  <si>
    <t>Tax rate</t>
  </si>
  <si>
    <t>Dividend payout ratio</t>
  </si>
  <si>
    <t>Year</t>
  </si>
  <si>
    <t>Income statement</t>
  </si>
  <si>
    <t>Sales</t>
  </si>
  <si>
    <t>Costs of goods sold</t>
  </si>
  <si>
    <t>Interest payments on debt</t>
  </si>
  <si>
    <t>Interest earned on cash &amp; marketable securities</t>
  </si>
  <si>
    <t>Depreciation</t>
  </si>
  <si>
    <t>Profit before tax</t>
  </si>
  <si>
    <t>Taxes</t>
  </si>
  <si>
    <t>Profit after tax</t>
  </si>
  <si>
    <t>Dividends</t>
  </si>
  <si>
    <t>Retained earnings</t>
  </si>
  <si>
    <t>Balance sheet</t>
  </si>
  <si>
    <t>Cash and marketable securities</t>
  </si>
  <si>
    <t>Current assets</t>
  </si>
  <si>
    <t>Fixed assets</t>
  </si>
  <si>
    <t xml:space="preserve">     At cost</t>
  </si>
  <si>
    <t xml:space="preserve">     Depreciation</t>
  </si>
  <si>
    <t xml:space="preserve">     Net fixed assets</t>
  </si>
  <si>
    <t>Total assets</t>
  </si>
  <si>
    <t>Current liabilities</t>
  </si>
  <si>
    <t>Debt</t>
  </si>
  <si>
    <t>Stock</t>
  </si>
  <si>
    <t>Accumulated retained earnings</t>
  </si>
  <si>
    <t>Total liabilities and equity</t>
  </si>
  <si>
    <t>Target debt-equity ratio</t>
  </si>
  <si>
    <t>Free cash flow calculation</t>
  </si>
  <si>
    <t>Add back depreciation</t>
  </si>
  <si>
    <t>Subtract increase in current assets</t>
  </si>
  <si>
    <t>Add back increase in current liabilities</t>
  </si>
  <si>
    <t>Subtract increase in fixed assets at cost</t>
  </si>
  <si>
    <t>Add back after-tax interest on debt</t>
  </si>
  <si>
    <t>Subtract after-tax interest on cash &amp; mkt. securities</t>
  </si>
  <si>
    <t>Free cash 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</si>
</sst>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7" formatCode="_(* #,##0_);_(* \(#,##0\);_(* &quot;-&quot;??_);_(@_)"/>
    <numFmt numFmtId="178" formatCode="0_);\(0\)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0" fillId="0" borderId="0" xfId="0" applyAlignment="1"/>
    <xf numFmtId="9" fontId="0" fillId="0" borderId="0" xfId="0" applyNumberFormat="1" applyAlignment="1"/>
    <xf numFmtId="10" fontId="0" fillId="0" borderId="0" xfId="0" applyNumberFormat="1" applyAlignment="1"/>
    <xf numFmtId="0" fontId="5" fillId="0" borderId="0" xfId="0" applyFont="1" applyAlignment="1"/>
    <xf numFmtId="0" fontId="5" fillId="0" borderId="0" xfId="0" applyFont="1" applyAlignment="1">
      <alignment horizontal="center"/>
    </xf>
    <xf numFmtId="177" fontId="0" fillId="0" borderId="0" xfId="1" applyNumberFormat="1" applyFont="1" applyAlignment="1"/>
    <xf numFmtId="0" fontId="6" fillId="0" borderId="0" xfId="0" applyFont="1" applyAlignment="1"/>
    <xf numFmtId="2" fontId="0" fillId="0" borderId="0" xfId="0" applyNumberFormat="1" applyAlignment="1"/>
    <xf numFmtId="178" fontId="5" fillId="0" borderId="0" xfId="0" applyNumberFormat="1" applyFont="1" applyAlignment="1"/>
    <xf numFmtId="178" fontId="5" fillId="0" borderId="0" xfId="0" applyNumberFormat="1" applyFont="1" applyAlignment="1">
      <alignment horizontal="center"/>
    </xf>
    <xf numFmtId="178" fontId="0" fillId="0" borderId="0" xfId="0" applyNumberFormat="1" applyAlignment="1"/>
    <xf numFmtId="0" fontId="3" fillId="0" borderId="0" xfId="0" applyFont="1" applyAlignment="1"/>
    <xf numFmtId="9" fontId="6" fillId="0" borderId="0" xfId="0" applyNumberFormat="1" applyFont="1" applyAlignment="1"/>
    <xf numFmtId="3" fontId="0" fillId="0" borderId="0" xfId="0" applyNumberFormat="1" applyAlignment="1"/>
    <xf numFmtId="3" fontId="0" fillId="0" borderId="0" xfId="0" quotePrefix="1" applyNumberFormat="1" applyAlignment="1"/>
    <xf numFmtId="43" fontId="6" fillId="0" borderId="0" xfId="1" applyFont="1" applyAlignment="1"/>
    <xf numFmtId="9" fontId="5" fillId="0" borderId="0" xfId="0" applyNumberFormat="1" applyFont="1" applyAlignment="1"/>
    <xf numFmtId="0" fontId="5" fillId="0" borderId="0" xfId="0" applyFont="1" applyAlignment="1">
      <alignment horizontal="right"/>
    </xf>
  </cellXfs>
  <cellStyles count="2">
    <cellStyle name="常规" xfId="0" builtinId="0"/>
    <cellStyle name="千位分隔" xfId="1" builtinId="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1815465</xdr:colOff>
      <xdr:row>36</xdr:row>
      <xdr:rowOff>47625</xdr:rowOff>
    </xdr:from>
    <xdr:to>
      <xdr:col>0</xdr:col>
      <xdr:colOff>2950845</xdr:colOff>
      <xdr:row>39</xdr:row>
      <xdr:rowOff>93345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id="{28D07AF2-CC11-4537-B46E-765E4D3DB599}"/>
            </a:ext>
          </a:extLst>
        </xdr:cNvPr>
        <xdr:cNvSpPr txBox="1">
          <a:spLocks noChangeArrowheads="1"/>
        </xdr:cNvSpPr>
      </xdr:nvSpPr>
      <xdr:spPr bwMode="auto">
        <a:xfrm>
          <a:off x="1811655" y="6526530"/>
          <a:ext cx="1143000" cy="561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Initial (year 0) debt/equity ratio: =B36/(B37+B38)</a:t>
          </a:r>
        </a:p>
      </xdr:txBody>
    </xdr:sp>
    <xdr:clientData/>
  </xdr:twoCellAnchor>
  <xdr:twoCellAnchor>
    <xdr:from>
      <xdr:col>0</xdr:col>
      <xdr:colOff>2948940</xdr:colOff>
      <xdr:row>38</xdr:row>
      <xdr:rowOff>121920</xdr:rowOff>
    </xdr:from>
    <xdr:to>
      <xdr:col>1</xdr:col>
      <xdr:colOff>266700</xdr:colOff>
      <xdr:row>40</xdr:row>
      <xdr:rowOff>45720</xdr:rowOff>
    </xdr:to>
    <xdr:sp macro="" textlink="">
      <xdr:nvSpPr>
        <xdr:cNvPr id="3" name="Line 5">
          <a:extLst>
            <a:ext uri="{FF2B5EF4-FFF2-40B4-BE49-F238E27FC236}">
              <a16:creationId xmlns:a16="http://schemas.microsoft.com/office/drawing/2014/main" id="{FDD34A30-2DBE-4B49-909C-E2433BADB5B2}"/>
            </a:ext>
          </a:extLst>
        </xdr:cNvPr>
        <xdr:cNvSpPr>
          <a:spLocks noChangeShapeType="1"/>
        </xdr:cNvSpPr>
      </xdr:nvSpPr>
      <xdr:spPr bwMode="auto">
        <a:xfrm>
          <a:off x="2952750" y="6943725"/>
          <a:ext cx="371475" cy="266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2948940</xdr:colOff>
      <xdr:row>38</xdr:row>
      <xdr:rowOff>121920</xdr:rowOff>
    </xdr:from>
    <xdr:to>
      <xdr:col>1</xdr:col>
      <xdr:colOff>266700</xdr:colOff>
      <xdr:row>40</xdr:row>
      <xdr:rowOff>45720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F319B672-9311-465E-B869-89FED3776FBB}"/>
            </a:ext>
          </a:extLst>
        </xdr:cNvPr>
        <xdr:cNvSpPr>
          <a:spLocks noChangeShapeType="1"/>
        </xdr:cNvSpPr>
      </xdr:nvSpPr>
      <xdr:spPr bwMode="auto">
        <a:xfrm>
          <a:off x="2952750" y="6943725"/>
          <a:ext cx="371475" cy="2667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1813560</xdr:colOff>
      <xdr:row>36</xdr:row>
      <xdr:rowOff>45720</xdr:rowOff>
    </xdr:from>
    <xdr:to>
      <xdr:col>0</xdr:col>
      <xdr:colOff>2948940</xdr:colOff>
      <xdr:row>39</xdr:row>
      <xdr:rowOff>91440</xdr:rowOff>
    </xdr:to>
    <xdr:sp macro="" textlink="">
      <xdr:nvSpPr>
        <xdr:cNvPr id="5" name="Text Box 5">
          <a:extLst>
            <a:ext uri="{FF2B5EF4-FFF2-40B4-BE49-F238E27FC236}">
              <a16:creationId xmlns:a16="http://schemas.microsoft.com/office/drawing/2014/main" id="{9979FA38-C1AA-4530-8748-79A757FA5546}"/>
            </a:ext>
          </a:extLst>
        </xdr:cNvPr>
        <xdr:cNvSpPr txBox="1">
          <a:spLocks noChangeArrowheads="1"/>
        </xdr:cNvSpPr>
      </xdr:nvSpPr>
      <xdr:spPr bwMode="auto">
        <a:xfrm>
          <a:off x="1809750" y="6524625"/>
          <a:ext cx="1143000" cy="5619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Initial (year 0) debt/equity ratio: =B36/(B37+B38)</a:t>
          </a:r>
        </a:p>
      </xdr:txBody>
    </xdr:sp>
    <xdr:clientData/>
  </xdr:twoCellAnchor>
  <xdr:twoCellAnchor>
    <xdr:from>
      <xdr:col>0</xdr:col>
      <xdr:colOff>2948940</xdr:colOff>
      <xdr:row>38</xdr:row>
      <xdr:rowOff>121920</xdr:rowOff>
    </xdr:from>
    <xdr:to>
      <xdr:col>1</xdr:col>
      <xdr:colOff>266700</xdr:colOff>
      <xdr:row>40</xdr:row>
      <xdr:rowOff>45720</xdr:rowOff>
    </xdr:to>
    <xdr:sp macro="" textlink="">
      <xdr:nvSpPr>
        <xdr:cNvPr id="6" name="Line 6">
          <a:extLst>
            <a:ext uri="{FF2B5EF4-FFF2-40B4-BE49-F238E27FC236}">
              <a16:creationId xmlns:a16="http://schemas.microsoft.com/office/drawing/2014/main" id="{911F83A8-679E-46E4-8251-7B56CF0F20BE}"/>
            </a:ext>
          </a:extLst>
        </xdr:cNvPr>
        <xdr:cNvSpPr>
          <a:spLocks noChangeShapeType="1"/>
        </xdr:cNvSpPr>
      </xdr:nvSpPr>
      <xdr:spPr bwMode="auto">
        <a:xfrm>
          <a:off x="2952750" y="6943725"/>
          <a:ext cx="371475" cy="2667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H116"/>
  <sheetViews>
    <sheetView tabSelected="1" workbookViewId="0">
      <selection activeCell="L39" sqref="L39"/>
    </sheetView>
  </sheetViews>
  <sheetFormatPr defaultRowHeight="13.8" x14ac:dyDescent="0.25"/>
  <cols>
    <col min="1" max="1" width="44.5546875" style="3" customWidth="1"/>
    <col min="2" max="2" width="9.6640625" style="3" bestFit="1" customWidth="1"/>
    <col min="3" max="7" width="9.33203125" style="3" bestFit="1" customWidth="1"/>
    <col min="8" max="8" width="20.6640625" style="3" bestFit="1" customWidth="1"/>
  </cols>
  <sheetData>
    <row r="1" spans="1:8" ht="17.399999999999999" x14ac:dyDescent="0.25">
      <c r="A1" s="1" t="s">
        <v>0</v>
      </c>
      <c r="B1" s="2"/>
      <c r="C1" s="2"/>
      <c r="D1" s="2"/>
      <c r="E1" s="2"/>
      <c r="F1" s="2"/>
      <c r="G1" s="2"/>
      <c r="H1" s="2"/>
    </row>
    <row r="2" spans="1:8" x14ac:dyDescent="0.25">
      <c r="A2" s="3" t="s">
        <v>1</v>
      </c>
      <c r="B2" s="4">
        <v>0.1</v>
      </c>
    </row>
    <row r="3" spans="1:8" x14ac:dyDescent="0.25">
      <c r="A3" s="3" t="s">
        <v>2</v>
      </c>
      <c r="B3" s="4">
        <v>0.15</v>
      </c>
    </row>
    <row r="4" spans="1:8" x14ac:dyDescent="0.25">
      <c r="A4" s="3" t="s">
        <v>3</v>
      </c>
      <c r="B4" s="4">
        <v>0.08</v>
      </c>
    </row>
    <row r="5" spans="1:8" x14ac:dyDescent="0.25">
      <c r="A5" s="3" t="s">
        <v>4</v>
      </c>
      <c r="B5" s="4">
        <v>0.77</v>
      </c>
    </row>
    <row r="6" spans="1:8" x14ac:dyDescent="0.25">
      <c r="A6" s="3" t="s">
        <v>5</v>
      </c>
      <c r="B6" s="4">
        <v>0.5</v>
      </c>
    </row>
    <row r="7" spans="1:8" x14ac:dyDescent="0.25">
      <c r="A7" s="3" t="s">
        <v>6</v>
      </c>
      <c r="B7" s="4">
        <v>0.1</v>
      </c>
    </row>
    <row r="8" spans="1:8" x14ac:dyDescent="0.25">
      <c r="A8" s="3" t="s">
        <v>7</v>
      </c>
      <c r="B8" s="5">
        <v>0.1</v>
      </c>
    </row>
    <row r="9" spans="1:8" x14ac:dyDescent="0.25">
      <c r="A9" s="3" t="s">
        <v>8</v>
      </c>
      <c r="B9" s="5">
        <v>0.08</v>
      </c>
    </row>
    <row r="10" spans="1:8" x14ac:dyDescent="0.25">
      <c r="A10" s="3" t="s">
        <v>9</v>
      </c>
      <c r="B10" s="4">
        <v>0.4</v>
      </c>
    </row>
    <row r="11" spans="1:8" x14ac:dyDescent="0.25">
      <c r="A11" s="3" t="s">
        <v>10</v>
      </c>
      <c r="B11" s="4">
        <v>0.6</v>
      </c>
    </row>
    <row r="13" spans="1:8" x14ac:dyDescent="0.25">
      <c r="A13" s="6" t="s">
        <v>11</v>
      </c>
      <c r="B13" s="7">
        <v>0</v>
      </c>
      <c r="C13" s="7">
        <v>1</v>
      </c>
      <c r="D13" s="7">
        <v>2</v>
      </c>
      <c r="E13" s="7">
        <v>3</v>
      </c>
      <c r="F13" s="7">
        <v>4</v>
      </c>
      <c r="G13" s="7">
        <v>5</v>
      </c>
      <c r="H13" s="6"/>
    </row>
    <row r="14" spans="1:8" x14ac:dyDescent="0.25">
      <c r="A14" s="6" t="s">
        <v>12</v>
      </c>
    </row>
    <row r="15" spans="1:8" x14ac:dyDescent="0.25">
      <c r="A15" s="3" t="s">
        <v>13</v>
      </c>
      <c r="B15" s="8">
        <f>1000</f>
        <v>1000</v>
      </c>
      <c r="C15" s="8">
        <f>B15*(1+$B$2)</f>
        <v>1100</v>
      </c>
      <c r="D15" s="8">
        <f>C15*(1+$B$2)</f>
        <v>1210</v>
      </c>
      <c r="E15" s="8">
        <f>D15*(1+$B$2)</f>
        <v>1331</v>
      </c>
      <c r="F15" s="8">
        <f>E15*(1+$B$2)</f>
        <v>1464.1000000000001</v>
      </c>
      <c r="G15" s="8">
        <f>F15*(1+$B$2)</f>
        <v>1610.5100000000002</v>
      </c>
    </row>
    <row r="16" spans="1:8" x14ac:dyDescent="0.25">
      <c r="A16" s="3" t="s">
        <v>14</v>
      </c>
      <c r="B16" s="8">
        <f t="shared" ref="B16:G16" si="0">-B15*$B$6</f>
        <v>-500</v>
      </c>
      <c r="C16" s="8">
        <f t="shared" si="0"/>
        <v>-550</v>
      </c>
      <c r="D16" s="8">
        <f t="shared" si="0"/>
        <v>-605</v>
      </c>
      <c r="E16" s="8">
        <f t="shared" si="0"/>
        <v>-665.5</v>
      </c>
      <c r="F16" s="8">
        <f t="shared" si="0"/>
        <v>-732.05000000000007</v>
      </c>
      <c r="G16" s="8">
        <f t="shared" si="0"/>
        <v>-805.25500000000011</v>
      </c>
    </row>
    <row r="17" spans="1:7" x14ac:dyDescent="0.25">
      <c r="A17" s="3" t="s">
        <v>15</v>
      </c>
      <c r="B17" s="8">
        <f>-$B$8*B36</f>
        <v>-32</v>
      </c>
      <c r="C17" s="8">
        <f ca="1">-$B$8*(B36+C36)/2</f>
        <v>-30.342857142857145</v>
      </c>
      <c r="D17" s="8">
        <f ca="1">-$B$8*(C36+D36)/2</f>
        <v>-28.555449735449738</v>
      </c>
      <c r="E17" s="8">
        <f ca="1">-$B$8*(D36+E36)/2</f>
        <v>-28.036131054131058</v>
      </c>
      <c r="F17" s="8">
        <f ca="1">-$B$8*(E36+F36)/2</f>
        <v>-28.937123076923083</v>
      </c>
      <c r="G17" s="8">
        <f ca="1">-$B$8*(F36+G36)/2</f>
        <v>-31.646220000000007</v>
      </c>
    </row>
    <row r="18" spans="1:7" x14ac:dyDescent="0.25">
      <c r="A18" s="3" t="s">
        <v>16</v>
      </c>
      <c r="B18" s="8">
        <f>$B$9*B27</f>
        <v>6.4</v>
      </c>
      <c r="C18" s="8">
        <f>$B$9*(B27+C27)/2</f>
        <v>6.4</v>
      </c>
      <c r="D18" s="8">
        <f>$B$9*(C27+D27)/2</f>
        <v>6.4</v>
      </c>
      <c r="E18" s="8">
        <f>$B$9*(D27+E27)/2</f>
        <v>6.4</v>
      </c>
      <c r="F18" s="8">
        <f>$B$9*(E27+F27)/2</f>
        <v>6.4</v>
      </c>
      <c r="G18" s="8">
        <f>$B$9*(F27+G27)/2</f>
        <v>6.4</v>
      </c>
    </row>
    <row r="19" spans="1:7" x14ac:dyDescent="0.25">
      <c r="A19" s="3" t="s">
        <v>17</v>
      </c>
      <c r="B19" s="8">
        <v>-100</v>
      </c>
      <c r="C19" s="8">
        <f ca="1">-$B$7*(C30+B30)/2</f>
        <v>-116.68421052631579</v>
      </c>
      <c r="D19" s="8">
        <f ca="1">-$B$7*(D30+C30)/2</f>
        <v>-137.47728531855955</v>
      </c>
      <c r="E19" s="8">
        <f ca="1">-$B$7*(E30+D30)/2</f>
        <v>-161.31015745735533</v>
      </c>
      <c r="F19" s="8">
        <f ca="1">-$B$7*(F30+E30)/2</f>
        <v>-188.58791087391907</v>
      </c>
      <c r="G19" s="8">
        <f ca="1">-$B$7*(G30+F30)/2</f>
        <v>-219.76678043959475</v>
      </c>
    </row>
    <row r="20" spans="1:7" x14ac:dyDescent="0.25">
      <c r="A20" s="3" t="s">
        <v>18</v>
      </c>
      <c r="B20" s="8">
        <f t="shared" ref="B20:G20" si="1">SUM(B15:B19)</f>
        <v>374.4</v>
      </c>
      <c r="C20" s="8">
        <f t="shared" ca="1" si="1"/>
        <v>409.37293233082704</v>
      </c>
      <c r="D20" s="8">
        <f t="shared" ca="1" si="1"/>
        <v>445.36726494599066</v>
      </c>
      <c r="E20" s="8">
        <f t="shared" ca="1" si="1"/>
        <v>482.55371148851361</v>
      </c>
      <c r="F20" s="8">
        <f t="shared" ca="1" si="1"/>
        <v>520.92496604915789</v>
      </c>
      <c r="G20" s="8">
        <f t="shared" ca="1" si="1"/>
        <v>560.24199956040536</v>
      </c>
    </row>
    <row r="21" spans="1:7" x14ac:dyDescent="0.25">
      <c r="A21" s="3" t="s">
        <v>19</v>
      </c>
      <c r="B21" s="8">
        <f t="shared" ref="B21:G21" si="2">-B20*$B$10</f>
        <v>-149.76</v>
      </c>
      <c r="C21" s="8">
        <f t="shared" ca="1" si="2"/>
        <v>-163.74917293233082</v>
      </c>
      <c r="D21" s="8">
        <f t="shared" ca="1" si="2"/>
        <v>-178.14690597839626</v>
      </c>
      <c r="E21" s="8">
        <f t="shared" ca="1" si="2"/>
        <v>-193.02148459540547</v>
      </c>
      <c r="F21" s="8">
        <f t="shared" ca="1" si="2"/>
        <v>-208.36998641966318</v>
      </c>
      <c r="G21" s="8">
        <f t="shared" ca="1" si="2"/>
        <v>-224.09679982416216</v>
      </c>
    </row>
    <row r="22" spans="1:7" x14ac:dyDescent="0.25">
      <c r="A22" s="3" t="s">
        <v>20</v>
      </c>
      <c r="B22" s="8">
        <f t="shared" ref="B22:G22" si="3">B21+B20</f>
        <v>224.64</v>
      </c>
      <c r="C22" s="8">
        <f t="shared" ca="1" si="3"/>
        <v>245.62375939849622</v>
      </c>
      <c r="D22" s="8">
        <f t="shared" ca="1" si="3"/>
        <v>267.22035896759439</v>
      </c>
      <c r="E22" s="8">
        <f t="shared" ca="1" si="3"/>
        <v>289.53222689310815</v>
      </c>
      <c r="F22" s="8">
        <f t="shared" ca="1" si="3"/>
        <v>312.55497962949471</v>
      </c>
      <c r="G22" s="8">
        <f t="shared" ca="1" si="3"/>
        <v>336.14519973624317</v>
      </c>
    </row>
    <row r="23" spans="1:7" x14ac:dyDescent="0.25">
      <c r="A23" s="3" t="s">
        <v>21</v>
      </c>
      <c r="B23" s="8">
        <f>-B22*$B$11</f>
        <v>-134.78399999999999</v>
      </c>
      <c r="C23" s="8">
        <f ca="1">-$B$11*C22</f>
        <v>-147.37425563909773</v>
      </c>
      <c r="D23" s="8">
        <f ca="1">-$B$11*D22</f>
        <v>-160.33221538055662</v>
      </c>
      <c r="E23" s="8">
        <f ca="1">-$B$11*E22</f>
        <v>-173.71933613586489</v>
      </c>
      <c r="F23" s="8">
        <f ca="1">-$B$11*F22</f>
        <v>-187.53298777769683</v>
      </c>
      <c r="G23" s="8">
        <f ca="1">-$B$11*G22</f>
        <v>-201.6871198417459</v>
      </c>
    </row>
    <row r="24" spans="1:7" x14ac:dyDescent="0.25">
      <c r="A24" s="3" t="s">
        <v>22</v>
      </c>
      <c r="B24" s="8">
        <f t="shared" ref="B24:G24" si="4">B23+B22</f>
        <v>89.855999999999995</v>
      </c>
      <c r="C24" s="8">
        <f t="shared" ca="1" si="4"/>
        <v>98.249503759398493</v>
      </c>
      <c r="D24" s="8">
        <f t="shared" ca="1" si="4"/>
        <v>106.88814358703777</v>
      </c>
      <c r="E24" s="8">
        <f t="shared" ca="1" si="4"/>
        <v>115.81289075724325</v>
      </c>
      <c r="F24" s="8">
        <f t="shared" ca="1" si="4"/>
        <v>125.02199185179788</v>
      </c>
      <c r="G24" s="8">
        <f t="shared" ca="1" si="4"/>
        <v>134.45807989449727</v>
      </c>
    </row>
    <row r="25" spans="1:7" x14ac:dyDescent="0.25">
      <c r="B25" s="8"/>
      <c r="C25" s="8"/>
      <c r="D25" s="8"/>
      <c r="E25" s="8"/>
      <c r="F25" s="8"/>
      <c r="G25" s="8"/>
    </row>
    <row r="26" spans="1:7" x14ac:dyDescent="0.25">
      <c r="A26" s="6" t="s">
        <v>23</v>
      </c>
      <c r="B26" s="8"/>
      <c r="C26" s="8"/>
      <c r="D26" s="8"/>
      <c r="E26" s="8"/>
      <c r="F26" s="8"/>
      <c r="G26" s="8"/>
    </row>
    <row r="27" spans="1:7" x14ac:dyDescent="0.25">
      <c r="A27" s="9" t="s">
        <v>24</v>
      </c>
      <c r="B27" s="8">
        <v>80</v>
      </c>
      <c r="C27" s="8">
        <f>B27</f>
        <v>80</v>
      </c>
      <c r="D27" s="8">
        <f>C27</f>
        <v>80</v>
      </c>
      <c r="E27" s="8">
        <f>D27</f>
        <v>80</v>
      </c>
      <c r="F27" s="8">
        <f>E27</f>
        <v>80</v>
      </c>
      <c r="G27" s="8">
        <f>F27</f>
        <v>80</v>
      </c>
    </row>
    <row r="28" spans="1:7" x14ac:dyDescent="0.25">
      <c r="A28" s="3" t="s">
        <v>25</v>
      </c>
      <c r="B28" s="8">
        <f>$B$3*B15</f>
        <v>150</v>
      </c>
      <c r="C28" s="8">
        <f>C15*$B$3</f>
        <v>165</v>
      </c>
      <c r="D28" s="8">
        <f>D15*$B$3</f>
        <v>181.5</v>
      </c>
      <c r="E28" s="8">
        <f>E15*$B$3</f>
        <v>199.65</v>
      </c>
      <c r="F28" s="8">
        <f>F15*$B$3</f>
        <v>219.61500000000001</v>
      </c>
      <c r="G28" s="8">
        <f>G15*$B$3</f>
        <v>241.57650000000001</v>
      </c>
    </row>
    <row r="29" spans="1:7" x14ac:dyDescent="0.25">
      <c r="A29" s="3" t="s">
        <v>26</v>
      </c>
      <c r="B29" s="8"/>
      <c r="C29" s="8"/>
      <c r="D29" s="8"/>
      <c r="E29" s="8"/>
      <c r="F29" s="8"/>
      <c r="G29" s="8"/>
    </row>
    <row r="30" spans="1:7" x14ac:dyDescent="0.25">
      <c r="A30" s="3" t="s">
        <v>27</v>
      </c>
      <c r="B30" s="8">
        <f t="shared" ref="B30:G30" si="5">B32-B31</f>
        <v>1070</v>
      </c>
      <c r="C30" s="8">
        <f t="shared" ca="1" si="5"/>
        <v>1263.6842105263158</v>
      </c>
      <c r="D30" s="8">
        <f t="shared" ca="1" si="5"/>
        <v>1485.8614958448754</v>
      </c>
      <c r="E30" s="8">
        <f t="shared" ca="1" si="5"/>
        <v>1740.341653302231</v>
      </c>
      <c r="F30" s="8">
        <f t="shared" ca="1" si="5"/>
        <v>2031.4165641761501</v>
      </c>
      <c r="G30" s="8">
        <f t="shared" ca="1" si="5"/>
        <v>2363.9190446157445</v>
      </c>
    </row>
    <row r="31" spans="1:7" x14ac:dyDescent="0.25">
      <c r="A31" s="3" t="s">
        <v>28</v>
      </c>
      <c r="B31" s="8">
        <v>-300</v>
      </c>
      <c r="C31" s="8">
        <f ca="1">B31-$B$7*(C30+B30)/2</f>
        <v>-416.68421052631578</v>
      </c>
      <c r="D31" s="8">
        <f ca="1">C31-$B$7*(D30+C30)/2</f>
        <v>-554.16149584487539</v>
      </c>
      <c r="E31" s="8">
        <f ca="1">D31-$B$7*(E30+D30)/2</f>
        <v>-715.47165330223072</v>
      </c>
      <c r="F31" s="8">
        <f ca="1">E31-$B$7*(F30+E30)/2</f>
        <v>-904.05956417614982</v>
      </c>
      <c r="G31" s="8">
        <f ca="1">F31-$B$7*(G30+F30)/2</f>
        <v>-1123.8263446157446</v>
      </c>
    </row>
    <row r="32" spans="1:7" x14ac:dyDescent="0.25">
      <c r="A32" s="3" t="s">
        <v>29</v>
      </c>
      <c r="B32" s="8">
        <f t="shared" ref="B32:G32" si="6">B15*$B$5</f>
        <v>770</v>
      </c>
      <c r="C32" s="8">
        <f t="shared" si="6"/>
        <v>847</v>
      </c>
      <c r="D32" s="8">
        <f t="shared" si="6"/>
        <v>931.7</v>
      </c>
      <c r="E32" s="8">
        <f t="shared" si="6"/>
        <v>1024.8700000000001</v>
      </c>
      <c r="F32" s="8">
        <f t="shared" si="6"/>
        <v>1127.3570000000002</v>
      </c>
      <c r="G32" s="8">
        <f t="shared" si="6"/>
        <v>1240.0927000000001</v>
      </c>
    </row>
    <row r="33" spans="1:8" x14ac:dyDescent="0.25">
      <c r="A33" s="6" t="s">
        <v>30</v>
      </c>
      <c r="B33" s="8">
        <f>B27+B28+B32</f>
        <v>1000</v>
      </c>
      <c r="C33" s="8">
        <f>C32+C28+C27</f>
        <v>1092</v>
      </c>
      <c r="D33" s="8">
        <f>D32+D28+D27</f>
        <v>1193.2</v>
      </c>
      <c r="E33" s="8">
        <f>E32+E28+E27</f>
        <v>1304.5200000000002</v>
      </c>
      <c r="F33" s="8">
        <f>F32+F28+F27</f>
        <v>1426.9720000000002</v>
      </c>
      <c r="G33" s="8">
        <f>G32+G28+G27</f>
        <v>1561.6692000000003</v>
      </c>
    </row>
    <row r="34" spans="1:8" x14ac:dyDescent="0.25">
      <c r="B34" s="8"/>
      <c r="C34" s="8"/>
      <c r="D34" s="8"/>
      <c r="E34" s="8"/>
      <c r="F34" s="8"/>
      <c r="G34" s="8"/>
    </row>
    <row r="35" spans="1:8" x14ac:dyDescent="0.25">
      <c r="A35" s="3" t="s">
        <v>31</v>
      </c>
      <c r="B35" s="8">
        <f t="shared" ref="B35:G35" si="7">B15*$B$4</f>
        <v>80</v>
      </c>
      <c r="C35" s="8">
        <f t="shared" si="7"/>
        <v>88</v>
      </c>
      <c r="D35" s="8">
        <f t="shared" si="7"/>
        <v>96.8</v>
      </c>
      <c r="E35" s="8">
        <f t="shared" si="7"/>
        <v>106.48</v>
      </c>
      <c r="F35" s="8">
        <f t="shared" si="7"/>
        <v>117.12800000000001</v>
      </c>
      <c r="G35" s="8">
        <f t="shared" si="7"/>
        <v>128.84080000000003</v>
      </c>
    </row>
    <row r="36" spans="1:8" x14ac:dyDescent="0.25">
      <c r="A36" s="3" t="s">
        <v>32</v>
      </c>
      <c r="B36" s="8">
        <f>B33-B35-B37-B38</f>
        <v>320</v>
      </c>
      <c r="C36" s="8">
        <f ca="1">C41*(C37+C38)</f>
        <v>286.85714285714283</v>
      </c>
      <c r="D36" s="8">
        <f ca="1">D41*(D37+D38)</f>
        <v>284.25185185185188</v>
      </c>
      <c r="E36" s="8">
        <f ca="1">E41*(E37+E38)</f>
        <v>276.47076923076924</v>
      </c>
      <c r="F36" s="8">
        <f ca="1">F41*(F37+F38)</f>
        <v>302.27169230769238</v>
      </c>
      <c r="G36" s="8">
        <f ca="1">G41*(G37+G38)</f>
        <v>330.65270769230773</v>
      </c>
      <c r="H36" s="3" t="str">
        <f ca="1">[1]!getformula(G36)</f>
        <v>&lt;--  =G41*(G37+G38)</v>
      </c>
    </row>
    <row r="37" spans="1:8" x14ac:dyDescent="0.25">
      <c r="A37" s="3" t="s">
        <v>33</v>
      </c>
      <c r="B37" s="8">
        <v>450</v>
      </c>
      <c r="C37" s="8">
        <f ca="1">C33-C35-C36-C38</f>
        <v>468.89335338345859</v>
      </c>
      <c r="D37" s="8">
        <f ca="1">D33-D35-D36-D38</f>
        <v>457.010500801712</v>
      </c>
      <c r="E37" s="8">
        <f ca="1">E33-E35-E36-E38</f>
        <v>450.61869266555141</v>
      </c>
      <c r="F37" s="8">
        <f ca="1">F33-F35-F36-F38</f>
        <v>411.59977773683056</v>
      </c>
      <c r="G37" s="8">
        <f ca="1">G33-G35-G36-G38</f>
        <v>371.7450824577179</v>
      </c>
      <c r="H37" s="3" t="str">
        <f ca="1">[1]!getformula(G37)</f>
        <v>&lt;--  =G33-G35-G36-G38</v>
      </c>
    </row>
    <row r="38" spans="1:8" x14ac:dyDescent="0.25">
      <c r="A38" s="3" t="s">
        <v>34</v>
      </c>
      <c r="B38" s="8">
        <v>150</v>
      </c>
      <c r="C38" s="8">
        <f ca="1">B38+C24</f>
        <v>248.24950375939849</v>
      </c>
      <c r="D38" s="8">
        <f ca="1">C38+D24</f>
        <v>355.13764734643627</v>
      </c>
      <c r="E38" s="8">
        <f ca="1">D38+E24</f>
        <v>470.95053810367949</v>
      </c>
      <c r="F38" s="8">
        <f ca="1">E38+F24</f>
        <v>595.9725299554774</v>
      </c>
      <c r="G38" s="8">
        <f ca="1">F38+G24</f>
        <v>730.43060984997464</v>
      </c>
    </row>
    <row r="39" spans="1:8" x14ac:dyDescent="0.25">
      <c r="A39" s="6" t="s">
        <v>35</v>
      </c>
      <c r="B39" s="8">
        <f t="shared" ref="B39:G39" si="8">SUM(B35:B38)</f>
        <v>1000</v>
      </c>
      <c r="C39" s="8">
        <f t="shared" ca="1" si="8"/>
        <v>1092</v>
      </c>
      <c r="D39" s="8">
        <f t="shared" ca="1" si="8"/>
        <v>1193.2000000000003</v>
      </c>
      <c r="E39" s="8">
        <f t="shared" ca="1" si="8"/>
        <v>1304.5200000000002</v>
      </c>
      <c r="F39" s="8">
        <f t="shared" ca="1" si="8"/>
        <v>1426.9720000000002</v>
      </c>
      <c r="G39" s="8">
        <f t="shared" ca="1" si="8"/>
        <v>1561.6692000000003</v>
      </c>
    </row>
    <row r="41" spans="1:8" x14ac:dyDescent="0.25">
      <c r="A41" s="6" t="s">
        <v>36</v>
      </c>
      <c r="B41" s="10">
        <f>B36/(B37+B38)</f>
        <v>0.53333333333333333</v>
      </c>
      <c r="C41" s="10">
        <v>0.4</v>
      </c>
      <c r="D41" s="10">
        <v>0.35</v>
      </c>
      <c r="E41" s="10">
        <v>0.3</v>
      </c>
      <c r="F41" s="10">
        <f>E41</f>
        <v>0.3</v>
      </c>
      <c r="G41" s="10">
        <f>F41</f>
        <v>0.3</v>
      </c>
    </row>
    <row r="43" spans="1:8" x14ac:dyDescent="0.25">
      <c r="A43" s="11" t="s">
        <v>11</v>
      </c>
      <c r="B43" s="12">
        <v>0</v>
      </c>
      <c r="C43" s="12">
        <v>1</v>
      </c>
      <c r="D43" s="12">
        <v>2</v>
      </c>
      <c r="E43" s="12">
        <v>3</v>
      </c>
      <c r="F43" s="12">
        <v>4</v>
      </c>
      <c r="G43" s="12">
        <v>5</v>
      </c>
      <c r="H43" s="6"/>
    </row>
    <row r="44" spans="1:8" x14ac:dyDescent="0.25">
      <c r="A44" s="11" t="s">
        <v>37</v>
      </c>
      <c r="B44" s="13"/>
      <c r="C44" s="13"/>
      <c r="D44" s="13"/>
      <c r="E44" s="13"/>
      <c r="F44" s="13"/>
      <c r="G44" s="13"/>
    </row>
    <row r="45" spans="1:8" x14ac:dyDescent="0.25">
      <c r="A45" s="13" t="s">
        <v>20</v>
      </c>
      <c r="B45" s="13"/>
      <c r="C45" s="13">
        <f ca="1">C22</f>
        <v>245.62375939849622</v>
      </c>
      <c r="D45" s="13">
        <f ca="1">D22</f>
        <v>267.22035896759439</v>
      </c>
      <c r="E45" s="13">
        <f ca="1">E22</f>
        <v>289.53222689310815</v>
      </c>
      <c r="F45" s="13">
        <f ca="1">F22</f>
        <v>312.55497962949471</v>
      </c>
      <c r="G45" s="13">
        <f ca="1">G22</f>
        <v>336.14519973624317</v>
      </c>
    </row>
    <row r="46" spans="1:8" x14ac:dyDescent="0.25">
      <c r="A46" s="13" t="s">
        <v>38</v>
      </c>
      <c r="B46" s="13"/>
      <c r="C46" s="13">
        <f ca="1">-C19</f>
        <v>116.68421052631579</v>
      </c>
      <c r="D46" s="13">
        <f ca="1">-D19</f>
        <v>137.47728531855955</v>
      </c>
      <c r="E46" s="13">
        <f ca="1">-E19</f>
        <v>161.31015745735533</v>
      </c>
      <c r="F46" s="13">
        <f ca="1">-F19</f>
        <v>188.58791087391907</v>
      </c>
      <c r="G46" s="13">
        <f ca="1">-G19</f>
        <v>219.76678043959475</v>
      </c>
    </row>
    <row r="47" spans="1:8" x14ac:dyDescent="0.25">
      <c r="A47" s="13" t="s">
        <v>39</v>
      </c>
      <c r="B47" s="13"/>
      <c r="C47" s="13">
        <f>-(C28-B28)</f>
        <v>-15</v>
      </c>
      <c r="D47" s="13">
        <f>-(D28-C28)</f>
        <v>-16.5</v>
      </c>
      <c r="E47" s="13">
        <f>-(E28-D28)</f>
        <v>-18.150000000000006</v>
      </c>
      <c r="F47" s="13">
        <f>-(F28-E28)</f>
        <v>-19.965000000000003</v>
      </c>
      <c r="G47" s="13">
        <f>-(G28-F28)</f>
        <v>-21.961500000000001</v>
      </c>
    </row>
    <row r="48" spans="1:8" x14ac:dyDescent="0.25">
      <c r="A48" s="13" t="s">
        <v>40</v>
      </c>
      <c r="B48" s="13"/>
      <c r="C48" s="13">
        <f>C35-B35</f>
        <v>8</v>
      </c>
      <c r="D48" s="13">
        <f>D35-C35</f>
        <v>8.7999999999999972</v>
      </c>
      <c r="E48" s="13">
        <f>E35-D35</f>
        <v>9.6800000000000068</v>
      </c>
      <c r="F48" s="13">
        <f>F35-E35</f>
        <v>10.64800000000001</v>
      </c>
      <c r="G48" s="13">
        <f>G35-F35</f>
        <v>11.712800000000016</v>
      </c>
    </row>
    <row r="49" spans="1:8" x14ac:dyDescent="0.25">
      <c r="A49" s="13" t="s">
        <v>41</v>
      </c>
      <c r="B49" s="13"/>
      <c r="C49" s="13">
        <f ca="1">-(C30-B30)</f>
        <v>-193.68421052631584</v>
      </c>
      <c r="D49" s="13">
        <f ca="1">-(D30-C30)</f>
        <v>-222.1772853185596</v>
      </c>
      <c r="E49" s="13">
        <f ca="1">-(E30-D30)</f>
        <v>-254.48015745735552</v>
      </c>
      <c r="F49" s="13">
        <f ca="1">-(F30-E30)</f>
        <v>-291.07491087391918</v>
      </c>
      <c r="G49" s="13">
        <f ca="1">-(G30-F30)</f>
        <v>-332.50248043959436</v>
      </c>
    </row>
    <row r="50" spans="1:8" x14ac:dyDescent="0.25">
      <c r="A50" s="13" t="s">
        <v>42</v>
      </c>
      <c r="B50" s="13"/>
      <c r="C50" s="13">
        <f t="shared" ref="C50:G51" ca="1" si="9">-(1-$B$10)*C17</f>
        <v>18.205714285714286</v>
      </c>
      <c r="D50" s="13">
        <f t="shared" ca="1" si="9"/>
        <v>17.133269841269843</v>
      </c>
      <c r="E50" s="13">
        <f t="shared" ca="1" si="9"/>
        <v>16.821678632478633</v>
      </c>
      <c r="F50" s="13">
        <f t="shared" ca="1" si="9"/>
        <v>17.362273846153848</v>
      </c>
      <c r="G50" s="13">
        <f t="shared" ca="1" si="9"/>
        <v>18.987732000000005</v>
      </c>
    </row>
    <row r="51" spans="1:8" x14ac:dyDescent="0.25">
      <c r="A51" s="13" t="s">
        <v>43</v>
      </c>
      <c r="B51" s="13"/>
      <c r="C51" s="13">
        <f t="shared" si="9"/>
        <v>-3.84</v>
      </c>
      <c r="D51" s="13">
        <f t="shared" si="9"/>
        <v>-3.84</v>
      </c>
      <c r="E51" s="13">
        <f t="shared" si="9"/>
        <v>-3.84</v>
      </c>
      <c r="F51" s="13">
        <f t="shared" si="9"/>
        <v>-3.84</v>
      </c>
      <c r="G51" s="13">
        <f t="shared" si="9"/>
        <v>-3.84</v>
      </c>
    </row>
    <row r="52" spans="1:8" x14ac:dyDescent="0.25">
      <c r="A52" s="11" t="s">
        <v>44</v>
      </c>
      <c r="B52" s="13"/>
      <c r="C52" s="13">
        <f ca="1">SUM(C45:C51)</f>
        <v>175.98947368421048</v>
      </c>
      <c r="D52" s="13">
        <f ca="1">SUM(D45:D51)</f>
        <v>188.11362880886421</v>
      </c>
      <c r="E52" s="13">
        <f ca="1">SUM(E45:E51)</f>
        <v>200.87390552558662</v>
      </c>
      <c r="F52" s="13">
        <f ca="1">SUM(F45:F51)</f>
        <v>214.27325347564846</v>
      </c>
      <c r="G52" s="13">
        <f ca="1">SUM(G45:G51)</f>
        <v>228.30853173624357</v>
      </c>
    </row>
    <row r="55" spans="1:8" ht="17.399999999999999" x14ac:dyDescent="0.3">
      <c r="A55" s="14"/>
    </row>
    <row r="56" spans="1:8" x14ac:dyDescent="0.25">
      <c r="A56" s="9"/>
      <c r="B56" s="15"/>
      <c r="C56" s="9"/>
      <c r="D56" s="9"/>
      <c r="E56" s="9"/>
      <c r="F56" s="9"/>
      <c r="G56" s="9"/>
      <c r="H56" s="9"/>
    </row>
    <row r="57" spans="1:8" x14ac:dyDescent="0.25">
      <c r="A57" s="9"/>
    </row>
    <row r="58" spans="1:8" x14ac:dyDescent="0.25">
      <c r="A58" s="11"/>
      <c r="B58" s="12"/>
      <c r="C58" s="12"/>
      <c r="D58" s="12"/>
      <c r="E58" s="12"/>
      <c r="F58" s="12"/>
      <c r="G58" s="12"/>
      <c r="H58" s="6"/>
    </row>
    <row r="59" spans="1:8" x14ac:dyDescent="0.25">
      <c r="C59" s="13"/>
      <c r="D59" s="13"/>
      <c r="E59" s="13"/>
      <c r="F59" s="13"/>
      <c r="G59" s="16"/>
    </row>
    <row r="60" spans="1:8" x14ac:dyDescent="0.25">
      <c r="G60" s="17"/>
    </row>
    <row r="61" spans="1:8" x14ac:dyDescent="0.25">
      <c r="C61" s="13"/>
      <c r="D61" s="13"/>
      <c r="E61" s="13"/>
      <c r="F61" s="13"/>
      <c r="G61" s="16"/>
    </row>
    <row r="63" spans="1:8" x14ac:dyDescent="0.25">
      <c r="B63" s="16"/>
    </row>
    <row r="64" spans="1:8" x14ac:dyDescent="0.25">
      <c r="B64" s="16"/>
    </row>
    <row r="65" spans="1:8" x14ac:dyDescent="0.25">
      <c r="B65" s="16"/>
    </row>
    <row r="66" spans="1:8" x14ac:dyDescent="0.25">
      <c r="B66" s="16"/>
    </row>
    <row r="67" spans="1:8" x14ac:dyDescent="0.25">
      <c r="B67" s="16"/>
    </row>
    <row r="68" spans="1:8" x14ac:dyDescent="0.25">
      <c r="B68" s="16"/>
    </row>
    <row r="69" spans="1:8" ht="17.399999999999999" x14ac:dyDescent="0.3">
      <c r="A69" s="14"/>
      <c r="B69" s="16"/>
    </row>
    <row r="70" spans="1:8" x14ac:dyDescent="0.25">
      <c r="B70" s="16"/>
    </row>
    <row r="71" spans="1:8" x14ac:dyDescent="0.25">
      <c r="B71" s="16"/>
    </row>
    <row r="72" spans="1:8" x14ac:dyDescent="0.25">
      <c r="B72" s="16"/>
    </row>
    <row r="73" spans="1:8" x14ac:dyDescent="0.25">
      <c r="B73" s="16"/>
    </row>
    <row r="75" spans="1:8" ht="17.399999999999999" x14ac:dyDescent="0.3">
      <c r="A75" s="14"/>
    </row>
    <row r="76" spans="1:8" x14ac:dyDescent="0.25">
      <c r="A76" s="9"/>
      <c r="B76" s="15"/>
      <c r="C76" s="9"/>
      <c r="D76" s="9"/>
      <c r="E76" s="9"/>
      <c r="F76" s="9"/>
      <c r="G76" s="9"/>
      <c r="H76" s="9"/>
    </row>
    <row r="77" spans="1:8" x14ac:dyDescent="0.25">
      <c r="A77" s="9"/>
    </row>
    <row r="78" spans="1:8" x14ac:dyDescent="0.25">
      <c r="A78" s="11"/>
      <c r="B78" s="12"/>
      <c r="C78" s="12"/>
      <c r="D78" s="12"/>
      <c r="E78" s="12"/>
      <c r="F78" s="12"/>
      <c r="G78" s="12"/>
      <c r="H78" s="6"/>
    </row>
    <row r="79" spans="1:8" x14ac:dyDescent="0.25">
      <c r="C79" s="13"/>
      <c r="D79" s="13"/>
      <c r="E79" s="13"/>
      <c r="F79" s="13"/>
      <c r="G79" s="13"/>
    </row>
    <row r="80" spans="1:8" x14ac:dyDescent="0.25">
      <c r="G80" s="17"/>
    </row>
    <row r="81" spans="2:7" x14ac:dyDescent="0.25">
      <c r="C81" s="13"/>
      <c r="D81" s="13"/>
      <c r="E81" s="13"/>
      <c r="F81" s="13"/>
      <c r="G81" s="16"/>
    </row>
    <row r="83" spans="2:7" x14ac:dyDescent="0.25">
      <c r="B83" s="16"/>
    </row>
    <row r="84" spans="2:7" x14ac:dyDescent="0.25">
      <c r="B84" s="16"/>
    </row>
    <row r="85" spans="2:7" x14ac:dyDescent="0.25">
      <c r="B85" s="16"/>
    </row>
    <row r="86" spans="2:7" x14ac:dyDescent="0.25">
      <c r="B86" s="16"/>
    </row>
    <row r="87" spans="2:7" x14ac:dyDescent="0.25">
      <c r="B87" s="16"/>
    </row>
    <row r="91" spans="2:7" x14ac:dyDescent="0.25">
      <c r="C91" s="16"/>
    </row>
    <row r="92" spans="2:7" x14ac:dyDescent="0.25">
      <c r="B92" s="4"/>
      <c r="C92" s="16"/>
    </row>
    <row r="93" spans="2:7" x14ac:dyDescent="0.25">
      <c r="B93" s="4"/>
      <c r="C93" s="16"/>
    </row>
    <row r="94" spans="2:7" x14ac:dyDescent="0.25">
      <c r="B94" s="4"/>
      <c r="C94" s="16"/>
    </row>
    <row r="95" spans="2:7" x14ac:dyDescent="0.25">
      <c r="B95" s="4"/>
      <c r="C95" s="16"/>
    </row>
    <row r="96" spans="2:7" x14ac:dyDescent="0.25">
      <c r="B96" s="4"/>
      <c r="C96" s="16"/>
    </row>
    <row r="97" spans="1:8" x14ac:dyDescent="0.25">
      <c r="B97" s="4"/>
      <c r="C97" s="16"/>
    </row>
    <row r="98" spans="1:8" x14ac:dyDescent="0.25">
      <c r="B98" s="4"/>
      <c r="C98" s="16"/>
    </row>
    <row r="99" spans="1:8" x14ac:dyDescent="0.25">
      <c r="B99" s="4"/>
      <c r="C99" s="16"/>
    </row>
    <row r="100" spans="1:8" x14ac:dyDescent="0.25">
      <c r="B100" s="4"/>
      <c r="C100" s="16"/>
    </row>
    <row r="106" spans="1:8" x14ac:dyDescent="0.25">
      <c r="C106" s="6"/>
    </row>
    <row r="107" spans="1:8" x14ac:dyDescent="0.25">
      <c r="B107" s="18"/>
      <c r="C107" s="19"/>
      <c r="D107" s="19"/>
      <c r="E107" s="19"/>
      <c r="F107" s="19"/>
      <c r="G107" s="19"/>
      <c r="H107" s="19"/>
    </row>
    <row r="108" spans="1:8" x14ac:dyDescent="0.25">
      <c r="B108" s="19"/>
      <c r="C108" s="18"/>
      <c r="D108" s="18"/>
      <c r="E108" s="18"/>
      <c r="F108" s="18"/>
      <c r="G108" s="18"/>
      <c r="H108" s="18"/>
    </row>
    <row r="109" spans="1:8" x14ac:dyDescent="0.25">
      <c r="A109" s="20"/>
      <c r="B109" s="19"/>
      <c r="C109" s="18"/>
      <c r="D109" s="18"/>
      <c r="E109" s="18"/>
      <c r="F109" s="18"/>
      <c r="G109" s="18"/>
      <c r="H109" s="18"/>
    </row>
    <row r="110" spans="1:8" x14ac:dyDescent="0.25">
      <c r="B110" s="19"/>
      <c r="C110" s="18"/>
      <c r="D110" s="18"/>
      <c r="E110" s="18"/>
      <c r="F110" s="18"/>
      <c r="G110" s="18"/>
      <c r="H110" s="18"/>
    </row>
    <row r="111" spans="1:8" x14ac:dyDescent="0.25">
      <c r="B111" s="19"/>
      <c r="C111" s="18"/>
      <c r="D111" s="18"/>
      <c r="E111" s="18"/>
      <c r="F111" s="18"/>
      <c r="G111" s="18"/>
      <c r="H111" s="18"/>
    </row>
    <row r="112" spans="1:8" x14ac:dyDescent="0.25">
      <c r="B112" s="19"/>
      <c r="C112" s="18"/>
      <c r="D112" s="18"/>
      <c r="E112" s="18"/>
      <c r="F112" s="18"/>
      <c r="G112" s="18"/>
      <c r="H112" s="18"/>
    </row>
    <row r="113" spans="2:8" x14ac:dyDescent="0.25">
      <c r="B113" s="19"/>
      <c r="C113" s="18"/>
      <c r="D113" s="18"/>
      <c r="E113" s="18"/>
      <c r="F113" s="18"/>
      <c r="G113" s="18"/>
      <c r="H113" s="18"/>
    </row>
    <row r="114" spans="2:8" x14ac:dyDescent="0.25">
      <c r="B114" s="19"/>
      <c r="C114" s="18"/>
      <c r="D114" s="18"/>
      <c r="E114" s="18"/>
      <c r="F114" s="18"/>
      <c r="G114" s="18"/>
      <c r="H114" s="18"/>
    </row>
    <row r="115" spans="2:8" x14ac:dyDescent="0.25">
      <c r="B115" s="19"/>
      <c r="C115" s="18"/>
      <c r="D115" s="18"/>
      <c r="E115" s="18"/>
      <c r="F115" s="18"/>
      <c r="G115" s="18"/>
      <c r="H115" s="18"/>
    </row>
    <row r="116" spans="2:8" x14ac:dyDescent="0.25">
      <c r="B116" s="19"/>
      <c r="C116" s="18"/>
      <c r="D116" s="18"/>
      <c r="E116" s="18"/>
      <c r="F116" s="18"/>
      <c r="G116" s="18"/>
      <c r="H116" s="18"/>
    </row>
  </sheetData>
  <mergeCells count="1">
    <mergeCell ref="A1:H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2024-10-12T07:48:13Z</dcterms:modified>
</cp:coreProperties>
</file>