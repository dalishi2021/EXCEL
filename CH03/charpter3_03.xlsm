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"/>
    </mc:Choice>
  </mc:AlternateContent>
  <xr:revisionPtr revIDLastSave="0" documentId="13_ncr:1_{91167287-D730-45CB-BBFB-6CFDE96617C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" l="1"/>
  <c r="D37" i="1" s="1"/>
  <c r="E37" i="1" s="1"/>
  <c r="F37" i="1" s="1"/>
  <c r="G37" i="1" s="1"/>
  <c r="B18" i="1"/>
  <c r="B16" i="1"/>
  <c r="B15" i="1"/>
  <c r="B32" i="1" s="1"/>
  <c r="B30" i="1" s="1"/>
  <c r="H36" i="1"/>
  <c r="H27" i="1"/>
  <c r="B35" i="1" l="1"/>
  <c r="C15" i="1"/>
  <c r="B28" i="1"/>
  <c r="B33" i="1" s="1"/>
  <c r="B36" i="1" s="1"/>
  <c r="B17" i="1" l="1"/>
  <c r="B20" i="1" s="1"/>
  <c r="B21" i="1" s="1"/>
  <c r="B22" i="1" s="1"/>
  <c r="B23" i="1" s="1"/>
  <c r="B24" i="1" s="1"/>
  <c r="C28" i="1"/>
  <c r="D15" i="1"/>
  <c r="C35" i="1"/>
  <c r="C32" i="1"/>
  <c r="C16" i="1"/>
  <c r="B39" i="1"/>
  <c r="C46" i="1" l="1"/>
  <c r="C45" i="1"/>
  <c r="D35" i="1"/>
  <c r="D16" i="1"/>
  <c r="D32" i="1"/>
  <c r="D28" i="1"/>
  <c r="E15" i="1"/>
  <c r="D45" i="1" l="1"/>
  <c r="D46" i="1"/>
  <c r="E16" i="1"/>
  <c r="E35" i="1"/>
  <c r="E32" i="1"/>
  <c r="E28" i="1"/>
  <c r="F15" i="1"/>
  <c r="E46" i="1" l="1"/>
  <c r="E45" i="1"/>
  <c r="F35" i="1"/>
  <c r="F28" i="1"/>
  <c r="F32" i="1"/>
  <c r="G15" i="1"/>
  <c r="F16" i="1"/>
  <c r="F45" i="1" l="1"/>
  <c r="F46" i="1"/>
  <c r="G28" i="1"/>
  <c r="G32" i="1"/>
  <c r="G16" i="1"/>
  <c r="G35" i="1"/>
  <c r="G46" i="1" l="1"/>
  <c r="G45" i="1"/>
  <c r="C17" i="1" l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7" i="1"/>
  <c r="D27" i="1"/>
  <c r="E27" i="1"/>
  <c r="F27" i="1"/>
  <c r="G27" i="1"/>
  <c r="C30" i="1"/>
  <c r="D30" i="1"/>
  <c r="E30" i="1"/>
  <c r="F30" i="1"/>
  <c r="G30" i="1"/>
  <c r="C31" i="1"/>
  <c r="D31" i="1"/>
  <c r="E31" i="1"/>
  <c r="F31" i="1"/>
  <c r="G31" i="1"/>
  <c r="C33" i="1"/>
  <c r="D33" i="1"/>
  <c r="E33" i="1"/>
  <c r="F33" i="1"/>
  <c r="G33" i="1"/>
  <c r="C36" i="1"/>
  <c r="D36" i="1"/>
  <c r="E36" i="1"/>
  <c r="F36" i="1"/>
  <c r="G36" i="1"/>
  <c r="C38" i="1"/>
  <c r="D38" i="1"/>
  <c r="E38" i="1"/>
  <c r="F38" i="1"/>
  <c r="G38" i="1"/>
  <c r="C39" i="1"/>
  <c r="D39" i="1"/>
  <c r="E39" i="1"/>
  <c r="F39" i="1"/>
  <c r="G39" i="1"/>
  <c r="C43" i="1"/>
  <c r="D43" i="1"/>
  <c r="E43" i="1"/>
  <c r="F43" i="1"/>
  <c r="G43" i="1"/>
  <c r="C44" i="1"/>
  <c r="D44" i="1"/>
  <c r="E44" i="1"/>
  <c r="F44" i="1"/>
  <c r="G44" i="1"/>
  <c r="C47" i="1"/>
  <c r="D47" i="1"/>
  <c r="E47" i="1"/>
  <c r="F47" i="1"/>
  <c r="G47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</calcChain>
</file>

<file path=xl/sharedStrings.xml><?xml version="1.0" encoding="utf-8"?>
<sst xmlns="http://schemas.openxmlformats.org/spreadsheetml/2006/main" count="50" uniqueCount="48">
  <si>
    <t>NO NEGATIVE CASH BALANCES</t>
  </si>
  <si>
    <t>Sales growth</t>
  </si>
  <si>
    <t>&lt;-- Increased from 10%</t>
  </si>
  <si>
    <t>Current assets/Sales</t>
  </si>
  <si>
    <t>&lt;-- Increased from 15%</t>
  </si>
  <si>
    <t>Current liabilities/Sales</t>
  </si>
  <si>
    <t>Net fixed assets/Sales</t>
  </si>
  <si>
    <t>&lt;-- Increased from 77%</t>
  </si>
  <si>
    <t>Costs of goods sold/Sales</t>
  </si>
  <si>
    <t>Depreciation rate</t>
  </si>
  <si>
    <t>Interest rate on debt</t>
  </si>
  <si>
    <t>Interest paid on cash and marketable securities</t>
  </si>
  <si>
    <t>Tax rate</t>
  </si>
  <si>
    <t>Dividend payout ratio</t>
  </si>
  <si>
    <t>&lt;-- Increased from 40%</t>
  </si>
  <si>
    <t>Year</t>
  </si>
  <si>
    <t>Income statement</t>
  </si>
  <si>
    <t>Sales</t>
  </si>
  <si>
    <t>Costs of goods sold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</si>
  <si>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</si>
  <si>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</si>
  <si>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</si>
  <si>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</si>
  <si>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</si>
  <si>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</si>
  <si>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</si>
  <si>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</si>
  <si>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</si>
  <si>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</si>
  <si>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</si>
  <si>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</si>
  <si>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</si>
  <si>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</si>
  <si>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</si>
  <si>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</si>
  <si>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</si>
  <si>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</si>
  <si>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</si>
  <si>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</si>
  <si>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</si>
  <si>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</si>
  <si>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</si>
  <si>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</si>
  <si>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</si>
  <si>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</si>
  <si>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</si>
  <si>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and mkt. securities</t>
  </si>
  <si>
    <t>Free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</si>
</sst>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0_);\(0\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7" fontId="2" fillId="0" borderId="0" xfId="1" applyNumberFormat="1" applyAlignment="1"/>
    <xf numFmtId="0" fontId="5" fillId="0" borderId="0" xfId="0" applyFont="1" applyAlignment="1"/>
    <xf numFmtId="1" fontId="2" fillId="0" borderId="0" xfId="1" applyNumberFormat="1" applyAlignment="1"/>
    <xf numFmtId="177" fontId="5" fillId="0" borderId="0" xfId="1" applyNumberFormat="1" applyFont="1" applyAlignment="1"/>
    <xf numFmtId="178" fontId="4" fillId="0" borderId="0" xfId="0" applyNumberFormat="1" applyFont="1" applyAlignment="1"/>
    <xf numFmtId="178" fontId="4" fillId="0" borderId="0" xfId="0" applyNumberFormat="1" applyFont="1" applyAlignment="1">
      <alignment horizontal="center"/>
    </xf>
    <xf numFmtId="178" fontId="0" fillId="0" borderId="0" xfId="0" applyNumberFormat="1" applyAlignment="1"/>
    <xf numFmtId="177" fontId="2" fillId="2" borderId="0" xfId="1" applyNumberFormat="1" applyFill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0"/>
  <sheetViews>
    <sheetView tabSelected="1" workbookViewId="0">
      <selection activeCell="X21" sqref="X20:X21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7" width="9.33203125" style="2" bestFit="1" customWidth="1"/>
    <col min="8" max="8" width="35.6640625" style="2" bestFit="1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  <c r="B2" s="3">
        <v>0.2</v>
      </c>
      <c r="C2" s="2" t="s">
        <v>2</v>
      </c>
    </row>
    <row r="3" spans="1:8" x14ac:dyDescent="0.25">
      <c r="A3" s="2" t="s">
        <v>3</v>
      </c>
      <c r="B3" s="3">
        <v>0.2</v>
      </c>
      <c r="C3" s="2" t="s">
        <v>4</v>
      </c>
    </row>
    <row r="4" spans="1:8" x14ac:dyDescent="0.25">
      <c r="A4" s="2" t="s">
        <v>5</v>
      </c>
      <c r="B4" s="3">
        <v>0.08</v>
      </c>
    </row>
    <row r="5" spans="1:8" x14ac:dyDescent="0.25">
      <c r="A5" s="2" t="s">
        <v>6</v>
      </c>
      <c r="B5" s="3">
        <v>0.8</v>
      </c>
      <c r="C5" s="2" t="s">
        <v>7</v>
      </c>
    </row>
    <row r="6" spans="1:8" x14ac:dyDescent="0.25">
      <c r="A6" s="2" t="s">
        <v>8</v>
      </c>
      <c r="B6" s="3">
        <v>0.5</v>
      </c>
    </row>
    <row r="7" spans="1:8" x14ac:dyDescent="0.25">
      <c r="A7" s="2" t="s">
        <v>9</v>
      </c>
      <c r="B7" s="3">
        <v>0.1</v>
      </c>
    </row>
    <row r="8" spans="1:8" x14ac:dyDescent="0.25">
      <c r="A8" s="2" t="s">
        <v>10</v>
      </c>
      <c r="B8" s="4">
        <v>0.1</v>
      </c>
    </row>
    <row r="9" spans="1:8" x14ac:dyDescent="0.25">
      <c r="A9" s="2" t="s">
        <v>11</v>
      </c>
      <c r="B9" s="4">
        <v>0.08</v>
      </c>
    </row>
    <row r="10" spans="1:8" x14ac:dyDescent="0.25">
      <c r="A10" s="2" t="s">
        <v>12</v>
      </c>
      <c r="B10" s="3">
        <v>0.4</v>
      </c>
    </row>
    <row r="11" spans="1:8" x14ac:dyDescent="0.25">
      <c r="A11" s="2" t="s">
        <v>13</v>
      </c>
      <c r="B11" s="3">
        <v>0.5</v>
      </c>
      <c r="C11" s="2" t="s">
        <v>14</v>
      </c>
    </row>
    <row r="13" spans="1:8" x14ac:dyDescent="0.25">
      <c r="A13" s="5" t="s">
        <v>15</v>
      </c>
      <c r="B13" s="6">
        <v>0</v>
      </c>
      <c r="C13" s="6">
        <v>1</v>
      </c>
      <c r="D13" s="6">
        <v>2</v>
      </c>
      <c r="E13" s="6">
        <v>3</v>
      </c>
      <c r="F13" s="6">
        <v>4</v>
      </c>
      <c r="G13" s="6">
        <v>5</v>
      </c>
      <c r="H13" s="5"/>
    </row>
    <row r="14" spans="1:8" x14ac:dyDescent="0.25">
      <c r="A14" s="5" t="s">
        <v>16</v>
      </c>
    </row>
    <row r="15" spans="1:8" x14ac:dyDescent="0.25">
      <c r="A15" s="2" t="s">
        <v>17</v>
      </c>
      <c r="B15" s="7">
        <f>1000</f>
        <v>1000</v>
      </c>
      <c r="C15" s="7">
        <f>B15*(1+$B$2)</f>
        <v>1200</v>
      </c>
      <c r="D15" s="7">
        <f>C15*(1+$B$2)</f>
        <v>1440</v>
      </c>
      <c r="E15" s="7">
        <f>D15*(1+$B$2)</f>
        <v>1728</v>
      </c>
      <c r="F15" s="7">
        <f>E15*(1+$B$2)</f>
        <v>2073.6</v>
      </c>
      <c r="G15" s="7">
        <f>F15*(1+$B$2)</f>
        <v>2488.3199999999997</v>
      </c>
    </row>
    <row r="16" spans="1:8" x14ac:dyDescent="0.25">
      <c r="A16" s="2" t="s">
        <v>18</v>
      </c>
      <c r="B16" s="7">
        <f t="shared" ref="B16:G16" si="0">-B15*$B$6</f>
        <v>-500</v>
      </c>
      <c r="C16" s="7">
        <f t="shared" si="0"/>
        <v>-600</v>
      </c>
      <c r="D16" s="7">
        <f t="shared" si="0"/>
        <v>-720</v>
      </c>
      <c r="E16" s="7">
        <f t="shared" si="0"/>
        <v>-864</v>
      </c>
      <c r="F16" s="7">
        <f t="shared" si="0"/>
        <v>-1036.8</v>
      </c>
      <c r="G16" s="7">
        <f t="shared" si="0"/>
        <v>-1244.1599999999999</v>
      </c>
    </row>
    <row r="17" spans="1:8" x14ac:dyDescent="0.25">
      <c r="A17" s="2" t="s">
        <v>19</v>
      </c>
      <c r="B17" s="7">
        <f>-$B$8*B36</f>
        <v>-40</v>
      </c>
      <c r="C17" s="7">
        <f ca="1">-$B$8*(B36+C36)/2</f>
        <v>-40</v>
      </c>
      <c r="D17" s="7">
        <f ca="1">-$B$8*(C36+D36)/2</f>
        <v>-41.785474640381352</v>
      </c>
      <c r="E17" s="7">
        <f ca="1">-$B$8*(D36+E36)/2</f>
        <v>-47.487934873333465</v>
      </c>
      <c r="F17" s="7">
        <f ca="1">-$B$8*(E36+F36)/2</f>
        <v>-56.217637553356511</v>
      </c>
      <c r="G17" s="7">
        <f ca="1">-$B$8*(F36+G36)/2</f>
        <v>-66.934606528589697</v>
      </c>
    </row>
    <row r="18" spans="1:8" x14ac:dyDescent="0.25">
      <c r="A18" s="2" t="s">
        <v>20</v>
      </c>
      <c r="B18" s="7">
        <f>$B$9*B27</f>
        <v>6.4</v>
      </c>
      <c r="C18" s="7">
        <f ca="1">$B$9*(B27+C27)/2</f>
        <v>4.3213296398891909</v>
      </c>
      <c r="D18" s="7">
        <f ca="1">$B$9*(C27+D27)/2</f>
        <v>1.1213296398891908</v>
      </c>
      <c r="E18" s="7">
        <f ca="1">$B$9*(D27+E27)/2</f>
        <v>0</v>
      </c>
      <c r="F18" s="7">
        <f ca="1">$B$9*(E27+F27)/2</f>
        <v>0</v>
      </c>
      <c r="G18" s="7">
        <f ca="1">$B$9*(F27+G27)/2</f>
        <v>0</v>
      </c>
    </row>
    <row r="19" spans="1:8" x14ac:dyDescent="0.25">
      <c r="A19" s="2" t="s">
        <v>21</v>
      </c>
      <c r="B19" s="7">
        <v>-100</v>
      </c>
      <c r="C19" s="7">
        <f ca="1">-$B$7*(C30+B30)/2</f>
        <v>-124.21052631578948</v>
      </c>
      <c r="D19" s="7">
        <f ca="1">-$B$7*(D30+C30)/2</f>
        <v>-155.81163434903047</v>
      </c>
      <c r="E19" s="7">
        <f ca="1">-$B$7*(E30+D30)/2</f>
        <v>-194.44443796471788</v>
      </c>
      <c r="F19" s="7">
        <f ca="1">-$B$7*(F30+E30)/2</f>
        <v>-241.59016827679343</v>
      </c>
      <c r="G19" s="7">
        <f ca="1">-$B$7*(G30+F30)/2</f>
        <v>-299.03418599014014</v>
      </c>
    </row>
    <row r="20" spans="1:8" x14ac:dyDescent="0.25">
      <c r="A20" s="2" t="s">
        <v>22</v>
      </c>
      <c r="B20" s="7">
        <f t="shared" ref="B20:G20" si="1">SUM(B15:B19)</f>
        <v>366.4</v>
      </c>
      <c r="C20" s="7">
        <f t="shared" ca="1" si="1"/>
        <v>440.11080332409972</v>
      </c>
      <c r="D20" s="7">
        <f t="shared" ca="1" si="1"/>
        <v>523.52422065047733</v>
      </c>
      <c r="E20" s="7">
        <f t="shared" ca="1" si="1"/>
        <v>622.06762716194874</v>
      </c>
      <c r="F20" s="7">
        <f t="shared" ca="1" si="1"/>
        <v>738.99219416984999</v>
      </c>
      <c r="G20" s="7">
        <f t="shared" ca="1" si="1"/>
        <v>878.19120748127</v>
      </c>
    </row>
    <row r="21" spans="1:8" x14ac:dyDescent="0.25">
      <c r="A21" s="2" t="s">
        <v>23</v>
      </c>
      <c r="B21" s="7">
        <f t="shared" ref="B21:G21" si="2">-B20*$B$10</f>
        <v>-146.56</v>
      </c>
      <c r="C21" s="7">
        <f t="shared" ca="1" si="2"/>
        <v>-176.0443213296399</v>
      </c>
      <c r="D21" s="7">
        <f t="shared" ca="1" si="2"/>
        <v>-209.40968826019093</v>
      </c>
      <c r="E21" s="7">
        <f t="shared" ca="1" si="2"/>
        <v>-248.82705086477949</v>
      </c>
      <c r="F21" s="7">
        <f t="shared" ca="1" si="2"/>
        <v>-295.59687766794002</v>
      </c>
      <c r="G21" s="7">
        <f t="shared" ca="1" si="2"/>
        <v>-351.27648299250802</v>
      </c>
    </row>
    <row r="22" spans="1:8" x14ac:dyDescent="0.25">
      <c r="A22" s="2" t="s">
        <v>24</v>
      </c>
      <c r="B22" s="7">
        <f t="shared" ref="B22:G22" si="3">B21+B20</f>
        <v>219.83999999999997</v>
      </c>
      <c r="C22" s="7">
        <f t="shared" ca="1" si="3"/>
        <v>264.06648199445982</v>
      </c>
      <c r="D22" s="7">
        <f t="shared" ca="1" si="3"/>
        <v>314.1145323902864</v>
      </c>
      <c r="E22" s="7">
        <f t="shared" ca="1" si="3"/>
        <v>373.24057629716924</v>
      </c>
      <c r="F22" s="7">
        <f t="shared" ca="1" si="3"/>
        <v>443.39531650190997</v>
      </c>
      <c r="G22" s="7">
        <f t="shared" ca="1" si="3"/>
        <v>526.91472448876198</v>
      </c>
    </row>
    <row r="23" spans="1:8" x14ac:dyDescent="0.25">
      <c r="A23" s="2" t="s">
        <v>25</v>
      </c>
      <c r="B23" s="7">
        <f>-B22*$B$11</f>
        <v>-109.91999999999999</v>
      </c>
      <c r="C23" s="7">
        <f ca="1">-$B$11*C22</f>
        <v>-132.03324099722991</v>
      </c>
      <c r="D23" s="7">
        <f ca="1">-$B$11*D22</f>
        <v>-157.0572661951432</v>
      </c>
      <c r="E23" s="7">
        <f ca="1">-$B$11*E22</f>
        <v>-186.62028814858462</v>
      </c>
      <c r="F23" s="7">
        <f ca="1">-$B$11*F22</f>
        <v>-221.69765825095499</v>
      </c>
      <c r="G23" s="7">
        <f ca="1">-$B$11*G22</f>
        <v>-263.45736224438099</v>
      </c>
    </row>
    <row r="24" spans="1:8" x14ac:dyDescent="0.25">
      <c r="A24" s="2" t="s">
        <v>26</v>
      </c>
      <c r="B24" s="7">
        <f t="shared" ref="B24:G24" si="4">B23+B22</f>
        <v>109.91999999999999</v>
      </c>
      <c r="C24" s="7">
        <f t="shared" ca="1" si="4"/>
        <v>132.03324099722991</v>
      </c>
      <c r="D24" s="7">
        <f t="shared" ca="1" si="4"/>
        <v>157.0572661951432</v>
      </c>
      <c r="E24" s="7">
        <f t="shared" ca="1" si="4"/>
        <v>186.62028814858462</v>
      </c>
      <c r="F24" s="7">
        <f t="shared" ca="1" si="4"/>
        <v>221.69765825095499</v>
      </c>
      <c r="G24" s="7">
        <f t="shared" ca="1" si="4"/>
        <v>263.45736224438099</v>
      </c>
    </row>
    <row r="25" spans="1:8" x14ac:dyDescent="0.25">
      <c r="B25" s="7"/>
      <c r="C25" s="7"/>
      <c r="D25" s="7"/>
      <c r="E25" s="7"/>
      <c r="F25" s="7"/>
      <c r="G25" s="7"/>
    </row>
    <row r="26" spans="1:8" x14ac:dyDescent="0.25">
      <c r="A26" s="5" t="s">
        <v>27</v>
      </c>
      <c r="B26" s="7"/>
      <c r="C26" s="7"/>
      <c r="D26" s="7"/>
      <c r="E26" s="7"/>
      <c r="F26" s="7"/>
      <c r="G26" s="7"/>
    </row>
    <row r="27" spans="1:8" x14ac:dyDescent="0.25">
      <c r="A27" s="8" t="s">
        <v>28</v>
      </c>
      <c r="B27" s="7">
        <v>80</v>
      </c>
      <c r="C27" s="7">
        <f ca="1">C39-C28-C32</f>
        <v>28.033240997229768</v>
      </c>
      <c r="D27" s="9">
        <f ca="1">D39-D28-D32</f>
        <v>0</v>
      </c>
      <c r="E27" s="9">
        <f ca="1">E39-E28-E32</f>
        <v>0</v>
      </c>
      <c r="F27" s="9">
        <f ca="1">F39-F28-F32</f>
        <v>0</v>
      </c>
      <c r="G27" s="9">
        <f ca="1">G39-G28-G32</f>
        <v>0</v>
      </c>
      <c r="H27" s="7" t="str">
        <f ca="1">[1]!getformula(G27)</f>
        <v>&lt;--  =G39-G28-G32</v>
      </c>
    </row>
    <row r="28" spans="1:8" x14ac:dyDescent="0.25">
      <c r="A28" s="2" t="s">
        <v>29</v>
      </c>
      <c r="B28" s="7">
        <f>$B$3*B15</f>
        <v>200</v>
      </c>
      <c r="C28" s="7">
        <f>C15*$B$3</f>
        <v>240</v>
      </c>
      <c r="D28" s="7">
        <f>D15*$B$3</f>
        <v>288</v>
      </c>
      <c r="E28" s="7">
        <f>E15*$B$3</f>
        <v>345.6</v>
      </c>
      <c r="F28" s="7">
        <f>F15*$B$3</f>
        <v>414.72</v>
      </c>
      <c r="G28" s="7">
        <f>G15*$B$3</f>
        <v>497.66399999999999</v>
      </c>
    </row>
    <row r="29" spans="1:8" x14ac:dyDescent="0.25">
      <c r="A29" s="2" t="s">
        <v>30</v>
      </c>
      <c r="B29" s="7"/>
      <c r="C29" s="7"/>
      <c r="D29" s="7"/>
      <c r="E29" s="7"/>
      <c r="F29" s="7"/>
      <c r="G29" s="7"/>
    </row>
    <row r="30" spans="1:8" x14ac:dyDescent="0.25">
      <c r="A30" s="2" t="s">
        <v>31</v>
      </c>
      <c r="B30" s="7">
        <f t="shared" ref="B30:G30" si="5">B32-B31</f>
        <v>1100</v>
      </c>
      <c r="C30" s="7">
        <f t="shared" ca="1" si="5"/>
        <v>1384.2105263157896</v>
      </c>
      <c r="D30" s="7">
        <f t="shared" ca="1" si="5"/>
        <v>1732.0221606648199</v>
      </c>
      <c r="E30" s="7">
        <f t="shared" ca="1" si="5"/>
        <v>2156.8665986295377</v>
      </c>
      <c r="F30" s="7">
        <f t="shared" ca="1" si="5"/>
        <v>2674.9367669063313</v>
      </c>
      <c r="G30" s="7">
        <f t="shared" ca="1" si="5"/>
        <v>3305.7469528964712</v>
      </c>
    </row>
    <row r="31" spans="1:8" x14ac:dyDescent="0.25">
      <c r="A31" s="2" t="s">
        <v>32</v>
      </c>
      <c r="B31" s="7">
        <v>-300</v>
      </c>
      <c r="C31" s="7">
        <f ca="1">B31+C19</f>
        <v>-424.21052631578948</v>
      </c>
      <c r="D31" s="7">
        <f ca="1">C31+D19</f>
        <v>-580.02216066481992</v>
      </c>
      <c r="E31" s="7">
        <f ca="1">D31+E19</f>
        <v>-774.46659862953777</v>
      </c>
      <c r="F31" s="7">
        <f ca="1">E31+F19</f>
        <v>-1016.0567669063312</v>
      </c>
      <c r="G31" s="7">
        <f ca="1">F31+G19</f>
        <v>-1315.0909528964712</v>
      </c>
    </row>
    <row r="32" spans="1:8" x14ac:dyDescent="0.25">
      <c r="A32" s="2" t="s">
        <v>33</v>
      </c>
      <c r="B32" s="7">
        <f t="shared" ref="B32:G32" si="6">B15*$B$5</f>
        <v>800</v>
      </c>
      <c r="C32" s="7">
        <f t="shared" si="6"/>
        <v>960</v>
      </c>
      <c r="D32" s="7">
        <f t="shared" si="6"/>
        <v>1152</v>
      </c>
      <c r="E32" s="7">
        <f t="shared" si="6"/>
        <v>1382.4</v>
      </c>
      <c r="F32" s="7">
        <f t="shared" si="6"/>
        <v>1658.88</v>
      </c>
      <c r="G32" s="7">
        <f t="shared" si="6"/>
        <v>1990.6559999999999</v>
      </c>
    </row>
    <row r="33" spans="1:8" x14ac:dyDescent="0.25">
      <c r="A33" s="5" t="s">
        <v>34</v>
      </c>
      <c r="B33" s="7">
        <f>B27+B28+B32</f>
        <v>1080</v>
      </c>
      <c r="C33" s="7">
        <f ca="1">C32+C28+C27</f>
        <v>1228.0332409972298</v>
      </c>
      <c r="D33" s="7">
        <f ca="1">D32+D28+D27</f>
        <v>1440</v>
      </c>
      <c r="E33" s="7">
        <f ca="1">E32+E28+E27</f>
        <v>1728</v>
      </c>
      <c r="F33" s="7">
        <f ca="1">F32+F28+F27</f>
        <v>2073.6000000000004</v>
      </c>
      <c r="G33" s="7">
        <f ca="1">G32+G28+G27</f>
        <v>2488.3199999999997</v>
      </c>
    </row>
    <row r="34" spans="1:8" x14ac:dyDescent="0.25">
      <c r="B34" s="7"/>
      <c r="C34" s="7"/>
      <c r="D34" s="7"/>
      <c r="E34" s="7"/>
      <c r="F34" s="7"/>
      <c r="G34" s="7"/>
    </row>
    <row r="35" spans="1:8" x14ac:dyDescent="0.25">
      <c r="A35" s="2" t="s">
        <v>35</v>
      </c>
      <c r="B35" s="7">
        <f t="shared" ref="B35:G35" si="7">B15*$B$4</f>
        <v>80</v>
      </c>
      <c r="C35" s="7">
        <f t="shared" si="7"/>
        <v>96</v>
      </c>
      <c r="D35" s="7">
        <f t="shared" si="7"/>
        <v>115.2</v>
      </c>
      <c r="E35" s="7">
        <f t="shared" si="7"/>
        <v>138.24</v>
      </c>
      <c r="F35" s="7">
        <f t="shared" si="7"/>
        <v>165.88800000000001</v>
      </c>
      <c r="G35" s="7">
        <f t="shared" si="7"/>
        <v>199.06559999999999</v>
      </c>
    </row>
    <row r="36" spans="1:8" x14ac:dyDescent="0.25">
      <c r="A36" s="2" t="s">
        <v>36</v>
      </c>
      <c r="B36" s="7">
        <f>B33-B35-B37-B38</f>
        <v>400</v>
      </c>
      <c r="C36" s="7">
        <f ca="1">MAX(C28+C32-C35-C37-C38,B36)</f>
        <v>400</v>
      </c>
      <c r="D36" s="14">
        <f ca="1">MAX(D28+D32-D35-D37-D38,C36)</f>
        <v>435.70949280762687</v>
      </c>
      <c r="E36" s="14">
        <f ca="1">MAX(E28+E32-E35-E37-E38,D36)</f>
        <v>514.04920465904229</v>
      </c>
      <c r="F36" s="14">
        <f ca="1">MAX(F28+F32-F35-F37-F38,E36)</f>
        <v>610.30354640808775</v>
      </c>
      <c r="G36" s="14">
        <f ca="1">MAX(G28+G32-G35-G37-G38,F36)</f>
        <v>728.38858416370613</v>
      </c>
      <c r="H36" s="7" t="str">
        <f ca="1">[1]!getformula(G36)</f>
        <v>&lt;--  =MAX(G28+G32-G35-G37-G38,F36)</v>
      </c>
    </row>
    <row r="37" spans="1:8" x14ac:dyDescent="0.25">
      <c r="A37" s="2" t="s">
        <v>37</v>
      </c>
      <c r="B37" s="7">
        <v>450</v>
      </c>
      <c r="C37" s="7">
        <f>B37</f>
        <v>450</v>
      </c>
      <c r="D37" s="7">
        <f>C37</f>
        <v>450</v>
      </c>
      <c r="E37" s="7">
        <f>D37</f>
        <v>450</v>
      </c>
      <c r="F37" s="7">
        <f>E37</f>
        <v>450</v>
      </c>
      <c r="G37" s="7">
        <f>F37</f>
        <v>450</v>
      </c>
    </row>
    <row r="38" spans="1:8" x14ac:dyDescent="0.25">
      <c r="A38" s="2" t="s">
        <v>38</v>
      </c>
      <c r="B38" s="7">
        <v>150</v>
      </c>
      <c r="C38" s="7">
        <f ca="1">B38+C24</f>
        <v>282.03324099722988</v>
      </c>
      <c r="D38" s="7">
        <f ca="1">C38+D24</f>
        <v>439.09050719237308</v>
      </c>
      <c r="E38" s="7">
        <f ca="1">D38+E24</f>
        <v>625.7107953409577</v>
      </c>
      <c r="F38" s="7">
        <f ca="1">E38+F24</f>
        <v>847.40845359191269</v>
      </c>
      <c r="G38" s="7">
        <f ca="1">F38+G24</f>
        <v>1110.8658158362937</v>
      </c>
    </row>
    <row r="39" spans="1:8" x14ac:dyDescent="0.25">
      <c r="A39" s="5" t="s">
        <v>39</v>
      </c>
      <c r="B39" s="7">
        <f t="shared" ref="B39:G39" si="8">SUM(B35:B38)</f>
        <v>1080</v>
      </c>
      <c r="C39" s="7">
        <f t="shared" ca="1" si="8"/>
        <v>1228.0332409972298</v>
      </c>
      <c r="D39" s="7">
        <f t="shared" ca="1" si="8"/>
        <v>1440</v>
      </c>
      <c r="E39" s="7">
        <f t="shared" ca="1" si="8"/>
        <v>1728</v>
      </c>
      <c r="F39" s="7">
        <f t="shared" ca="1" si="8"/>
        <v>2073.6000000000004</v>
      </c>
      <c r="G39" s="7">
        <f t="shared" ca="1" si="8"/>
        <v>2488.3199999999997</v>
      </c>
    </row>
    <row r="40" spans="1:8" x14ac:dyDescent="0.25">
      <c r="A40" s="8"/>
      <c r="B40" s="10"/>
      <c r="C40" s="10"/>
      <c r="D40" s="10"/>
      <c r="E40" s="10"/>
      <c r="F40" s="10"/>
      <c r="G40" s="10"/>
      <c r="H40" s="8"/>
    </row>
    <row r="41" spans="1:8" x14ac:dyDescent="0.25">
      <c r="A41" s="11" t="s">
        <v>15</v>
      </c>
      <c r="B41" s="12">
        <v>0</v>
      </c>
      <c r="C41" s="12">
        <v>1</v>
      </c>
      <c r="D41" s="12">
        <v>2</v>
      </c>
      <c r="E41" s="12">
        <v>3</v>
      </c>
      <c r="F41" s="12">
        <v>4</v>
      </c>
      <c r="G41" s="12">
        <v>5</v>
      </c>
      <c r="H41" s="5"/>
    </row>
    <row r="42" spans="1:8" x14ac:dyDescent="0.25">
      <c r="A42" s="11" t="s">
        <v>40</v>
      </c>
      <c r="B42" s="12"/>
      <c r="C42" s="12"/>
      <c r="D42" s="12"/>
      <c r="E42" s="12"/>
      <c r="F42" s="12"/>
      <c r="G42" s="12"/>
      <c r="H42" s="5"/>
    </row>
    <row r="43" spans="1:8" x14ac:dyDescent="0.25">
      <c r="A43" s="13" t="s">
        <v>24</v>
      </c>
      <c r="B43" s="13"/>
      <c r="C43" s="13">
        <f ca="1">C22</f>
        <v>264.06648199445982</v>
      </c>
      <c r="D43" s="13">
        <f ca="1">D22</f>
        <v>314.1145323902864</v>
      </c>
      <c r="E43" s="13">
        <f ca="1">E22</f>
        <v>373.24057629716924</v>
      </c>
      <c r="F43" s="13">
        <f ca="1">F22</f>
        <v>443.39531650190997</v>
      </c>
      <c r="G43" s="13">
        <f ca="1">G22</f>
        <v>526.91472448876198</v>
      </c>
    </row>
    <row r="44" spans="1:8" x14ac:dyDescent="0.25">
      <c r="A44" s="13" t="s">
        <v>41</v>
      </c>
      <c r="B44" s="13"/>
      <c r="C44" s="13">
        <f ca="1">-C19</f>
        <v>124.21052631578948</v>
      </c>
      <c r="D44" s="13">
        <f ca="1">-D19</f>
        <v>155.81163434903047</v>
      </c>
      <c r="E44" s="13">
        <f ca="1">-E19</f>
        <v>194.44443796471788</v>
      </c>
      <c r="F44" s="13">
        <f ca="1">-F19</f>
        <v>241.59016827679343</v>
      </c>
      <c r="G44" s="13">
        <f ca="1">-G19</f>
        <v>299.03418599014014</v>
      </c>
    </row>
    <row r="45" spans="1:8" x14ac:dyDescent="0.25">
      <c r="A45" s="13" t="s">
        <v>42</v>
      </c>
      <c r="B45" s="13"/>
      <c r="C45" s="13">
        <f>-(C28-B28)</f>
        <v>-40</v>
      </c>
      <c r="D45" s="13">
        <f>-(D28-C28)</f>
        <v>-48</v>
      </c>
      <c r="E45" s="13">
        <f>-(E28-D28)</f>
        <v>-57.600000000000023</v>
      </c>
      <c r="F45" s="13">
        <f>-(F28-E28)</f>
        <v>-69.12</v>
      </c>
      <c r="G45" s="13">
        <f>-(G28-F28)</f>
        <v>-82.94399999999996</v>
      </c>
    </row>
    <row r="46" spans="1:8" x14ac:dyDescent="0.25">
      <c r="A46" s="13" t="s">
        <v>43</v>
      </c>
      <c r="B46" s="13"/>
      <c r="C46" s="13">
        <f>C35-B35</f>
        <v>16</v>
      </c>
      <c r="D46" s="13">
        <f>D35-C35</f>
        <v>19.200000000000003</v>
      </c>
      <c r="E46" s="13">
        <f>E35-D35</f>
        <v>23.040000000000006</v>
      </c>
      <c r="F46" s="13">
        <f>F35-E35</f>
        <v>27.647999999999996</v>
      </c>
      <c r="G46" s="13">
        <f>G35-F35</f>
        <v>33.177599999999984</v>
      </c>
    </row>
    <row r="47" spans="1:8" x14ac:dyDescent="0.25">
      <c r="A47" s="13" t="s">
        <v>44</v>
      </c>
      <c r="B47" s="13"/>
      <c r="C47" s="13">
        <f ca="1">-(C30-B30)</f>
        <v>-284.21052631578959</v>
      </c>
      <c r="D47" s="13">
        <f ca="1">-(D30-C30)</f>
        <v>-347.81163434903033</v>
      </c>
      <c r="E47" s="13">
        <f ca="1">-(E30-D30)</f>
        <v>-424.84443796471783</v>
      </c>
      <c r="F47" s="13">
        <f ca="1">-(F30-E30)</f>
        <v>-518.07016827679354</v>
      </c>
      <c r="G47" s="13">
        <f ca="1">-(G30-F30)</f>
        <v>-630.81018599013987</v>
      </c>
    </row>
    <row r="48" spans="1:8" x14ac:dyDescent="0.25">
      <c r="A48" s="13" t="s">
        <v>45</v>
      </c>
      <c r="B48" s="13"/>
      <c r="C48" s="13">
        <f t="shared" ref="C48:G49" ca="1" si="9">-(1-$B$10)*C17</f>
        <v>24</v>
      </c>
      <c r="D48" s="13">
        <f t="shared" ca="1" si="9"/>
        <v>25.071284784228812</v>
      </c>
      <c r="E48" s="13">
        <f t="shared" ca="1" si="9"/>
        <v>28.492760924000077</v>
      </c>
      <c r="F48" s="13">
        <f t="shared" ca="1" si="9"/>
        <v>33.730582532013905</v>
      </c>
      <c r="G48" s="13">
        <f t="shared" ca="1" si="9"/>
        <v>40.160763917153815</v>
      </c>
    </row>
    <row r="49" spans="1:7" x14ac:dyDescent="0.25">
      <c r="A49" s="13" t="s">
        <v>46</v>
      </c>
      <c r="B49" s="13"/>
      <c r="C49" s="13">
        <f t="shared" ca="1" si="9"/>
        <v>-2.5927977839335146</v>
      </c>
      <c r="D49" s="13">
        <f t="shared" ca="1" si="9"/>
        <v>-0.67279778393351442</v>
      </c>
      <c r="E49" s="13">
        <f t="shared" ca="1" si="9"/>
        <v>0</v>
      </c>
      <c r="F49" s="13">
        <f t="shared" ca="1" si="9"/>
        <v>0</v>
      </c>
      <c r="G49" s="13">
        <f t="shared" ca="1" si="9"/>
        <v>0</v>
      </c>
    </row>
    <row r="50" spans="1:7" x14ac:dyDescent="0.25">
      <c r="A50" s="11" t="s">
        <v>47</v>
      </c>
      <c r="B50" s="13"/>
      <c r="C50" s="13">
        <f ca="1">SUM(C43:C49)</f>
        <v>101.47368421052619</v>
      </c>
      <c r="D50" s="13">
        <f ca="1">SUM(D43:D49)</f>
        <v>117.71301939058179</v>
      </c>
      <c r="E50" s="13">
        <f ca="1">SUM(E43:E49)</f>
        <v>136.77333722116927</v>
      </c>
      <c r="F50" s="13">
        <f ca="1">SUM(F43:F49)</f>
        <v>159.17389903392376</v>
      </c>
      <c r="G50" s="13">
        <f ca="1">SUM(G43:G49)</f>
        <v>185.53308840591609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2024-10-12T07:40:44Z</dcterms:modified>
</cp:coreProperties>
</file>