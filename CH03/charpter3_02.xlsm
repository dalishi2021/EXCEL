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1DEAFAEA-B9E2-40B8-BE3E-AB65DB7264B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D37" i="1" s="1"/>
  <c r="E37" i="1" s="1"/>
  <c r="F37" i="1" s="1"/>
  <c r="G37" i="1" s="1"/>
  <c r="B32" i="1"/>
  <c r="B30" i="1" s="1"/>
  <c r="B18" i="1"/>
  <c r="B16" i="1"/>
  <c r="C15" i="1"/>
  <c r="C35" i="1" s="1"/>
  <c r="B15" i="1"/>
  <c r="B28" i="1" s="1"/>
  <c r="B33" i="1" s="1"/>
  <c r="C28" i="1" l="1"/>
  <c r="C45" i="1" s="1"/>
  <c r="D15" i="1"/>
  <c r="C32" i="1"/>
  <c r="C16" i="1"/>
  <c r="B35" i="1"/>
  <c r="D35" i="1" l="1"/>
  <c r="D16" i="1"/>
  <c r="D32" i="1"/>
  <c r="E15" i="1"/>
  <c r="D28" i="1"/>
  <c r="D45" i="1" s="1"/>
  <c r="C46" i="1"/>
  <c r="B36" i="1"/>
  <c r="E35" i="1" l="1"/>
  <c r="E16" i="1"/>
  <c r="E32" i="1"/>
  <c r="F15" i="1"/>
  <c r="E28" i="1"/>
  <c r="E45" i="1" s="1"/>
  <c r="B17" i="1"/>
  <c r="B20" i="1" s="1"/>
  <c r="B21" i="1" s="1"/>
  <c r="B22" i="1" s="1"/>
  <c r="B23" i="1" s="1"/>
  <c r="B24" i="1" s="1"/>
  <c r="C36" i="1"/>
  <c r="D46" i="1"/>
  <c r="B39" i="1"/>
  <c r="D36" i="1" l="1"/>
  <c r="C17" i="1"/>
  <c r="F32" i="1"/>
  <c r="F16" i="1"/>
  <c r="G15" i="1"/>
  <c r="F28" i="1"/>
  <c r="F45" i="1" s="1"/>
  <c r="F35" i="1"/>
  <c r="E46" i="1"/>
  <c r="F46" i="1" l="1"/>
  <c r="E36" i="1"/>
  <c r="G28" i="1"/>
  <c r="G45" i="1" s="1"/>
  <c r="G16" i="1"/>
  <c r="G32" i="1"/>
  <c r="G35" i="1"/>
  <c r="C48" i="1"/>
  <c r="D17" i="1"/>
  <c r="D48" i="1" l="1"/>
  <c r="G46" i="1"/>
  <c r="F36" i="1"/>
  <c r="E17" i="1"/>
  <c r="E48" i="1" l="1"/>
  <c r="G36" i="1"/>
  <c r="G17" i="1"/>
  <c r="F17" i="1"/>
  <c r="G48" i="1" l="1"/>
  <c r="F48" i="1"/>
  <c r="C18" i="1" l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3" i="1"/>
  <c r="D43" i="1"/>
  <c r="E43" i="1"/>
  <c r="F43" i="1"/>
  <c r="G43" i="1"/>
  <c r="C44" i="1"/>
  <c r="D44" i="1"/>
  <c r="E44" i="1"/>
  <c r="F44" i="1"/>
  <c r="G44" i="1"/>
  <c r="C47" i="1"/>
  <c r="D47" i="1"/>
  <c r="E47" i="1"/>
  <c r="F47" i="1"/>
  <c r="G47" i="1"/>
  <c r="C49" i="1"/>
  <c r="D49" i="1"/>
  <c r="E49" i="1"/>
  <c r="F49" i="1"/>
  <c r="G49" i="1"/>
  <c r="C50" i="1"/>
  <c r="D50" i="1"/>
  <c r="E50" i="1"/>
  <c r="F50" i="1"/>
  <c r="G50" i="1"/>
</calcChain>
</file>

<file path=xl/sharedStrings.xml><?xml version="1.0" encoding="utf-8"?>
<sst xmlns="http://schemas.openxmlformats.org/spreadsheetml/2006/main" count="50" uniqueCount="48">
  <si>
    <t>NEGATIVE CASH BALANCES:  ILLUSTRATION</t>
  </si>
  <si>
    <t>Sales growth</t>
  </si>
  <si>
    <t>&lt;-- Increased from 10%</t>
  </si>
  <si>
    <t>Current assets/Sales</t>
  </si>
  <si>
    <t>&lt;-- Increased from 15%</t>
  </si>
  <si>
    <t>Current liabilities/Sales</t>
  </si>
  <si>
    <t>Net fixed assets/Sales</t>
  </si>
  <si>
    <t>&lt;-- Increased from 77%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</si>
  <si>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</si>
  <si>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</si>
  <si>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</si>
  <si>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</si>
  <si>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</si>
  <si>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</si>
  <si>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&lt;-- Increased from 40%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</si>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</sst>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_);_(* \(#,##0\);_(* &quot;-&quot;??_);_(@_)"/>
    <numFmt numFmtId="177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176" fontId="2" fillId="0" borderId="0" xfId="1" applyNumberFormat="1" applyAlignment="1"/>
    <xf numFmtId="0" fontId="6" fillId="0" borderId="0" xfId="0" applyFont="1" applyAlignment="1"/>
    <xf numFmtId="176" fontId="6" fillId="0" borderId="0" xfId="1" applyNumberFormat="1" applyFont="1" applyAlignment="1"/>
    <xf numFmtId="177" fontId="5" fillId="0" borderId="0" xfId="0" applyNumberFormat="1" applyFont="1" applyAlignment="1"/>
    <xf numFmtId="177" fontId="5" fillId="0" borderId="0" xfId="0" applyNumberFormat="1" applyFont="1" applyAlignment="1">
      <alignment horizontal="center"/>
    </xf>
    <xf numFmtId="177" fontId="0" fillId="0" borderId="0" xfId="0" applyNumberFormat="1" applyAlignment="1"/>
    <xf numFmtId="0" fontId="0" fillId="2" borderId="0" xfId="0" applyFill="1" applyAlignment="1"/>
    <xf numFmtId="9" fontId="0" fillId="2" borderId="0" xfId="0" applyNumberFormat="1" applyFill="1" applyAlignment="1"/>
    <xf numFmtId="176" fontId="3" fillId="0" borderId="0" xfId="1" applyNumberFormat="1" applyFont="1" applyAlignment="1"/>
    <xf numFmtId="0" fontId="4" fillId="0" borderId="0" xfId="0" applyFont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50"/>
  <sheetViews>
    <sheetView tabSelected="1" workbookViewId="0">
      <selection activeCell="K30" sqref="K30"/>
    </sheetView>
  </sheetViews>
  <sheetFormatPr defaultRowHeight="13.8" x14ac:dyDescent="0.25"/>
  <cols>
    <col min="1" max="1" width="44.5546875" style="1" customWidth="1"/>
    <col min="2" max="2" width="9.6640625" style="1" bestFit="1" customWidth="1"/>
    <col min="3" max="7" width="9.33203125" style="1" bestFit="1" customWidth="1"/>
  </cols>
  <sheetData>
    <row r="1" spans="1:7" ht="17.399999999999999" x14ac:dyDescent="0.3">
      <c r="A1" s="15" t="s">
        <v>0</v>
      </c>
      <c r="B1" s="15"/>
      <c r="C1" s="15"/>
      <c r="D1" s="15"/>
      <c r="E1" s="15"/>
      <c r="F1" s="15"/>
      <c r="G1" s="15"/>
    </row>
    <row r="2" spans="1:7" x14ac:dyDescent="0.25">
      <c r="A2" s="1" t="s">
        <v>1</v>
      </c>
      <c r="B2" s="2">
        <v>0.2</v>
      </c>
      <c r="C2" s="1" t="s">
        <v>2</v>
      </c>
    </row>
    <row r="3" spans="1:7" x14ac:dyDescent="0.25">
      <c r="A3" s="12" t="s">
        <v>3</v>
      </c>
      <c r="B3" s="13">
        <v>0.2</v>
      </c>
      <c r="C3" s="1" t="s">
        <v>4</v>
      </c>
    </row>
    <row r="4" spans="1:7" x14ac:dyDescent="0.25">
      <c r="A4" s="12" t="s">
        <v>5</v>
      </c>
      <c r="B4" s="13">
        <v>0.08</v>
      </c>
    </row>
    <row r="5" spans="1:7" x14ac:dyDescent="0.25">
      <c r="A5" s="12" t="s">
        <v>6</v>
      </c>
      <c r="B5" s="13">
        <v>0.8</v>
      </c>
      <c r="C5" s="1" t="s">
        <v>7</v>
      </c>
    </row>
    <row r="6" spans="1:7" x14ac:dyDescent="0.25">
      <c r="A6" s="12" t="s">
        <v>8</v>
      </c>
      <c r="B6" s="13">
        <v>0.5</v>
      </c>
    </row>
    <row r="7" spans="1:7" x14ac:dyDescent="0.25">
      <c r="A7" s="1" t="s">
        <v>9</v>
      </c>
      <c r="B7" s="2">
        <v>0.1</v>
      </c>
    </row>
    <row r="8" spans="1:7" x14ac:dyDescent="0.25">
      <c r="A8" s="1" t="s">
        <v>10</v>
      </c>
      <c r="B8" s="3">
        <v>0.1</v>
      </c>
    </row>
    <row r="9" spans="1:7" x14ac:dyDescent="0.25">
      <c r="A9" s="1" t="s">
        <v>11</v>
      </c>
      <c r="B9" s="3">
        <v>0.08</v>
      </c>
    </row>
    <row r="10" spans="1:7" x14ac:dyDescent="0.25">
      <c r="A10" s="1" t="s">
        <v>12</v>
      </c>
      <c r="B10" s="2">
        <v>0.4</v>
      </c>
    </row>
    <row r="11" spans="1:7" x14ac:dyDescent="0.25">
      <c r="A11" s="1" t="s">
        <v>13</v>
      </c>
      <c r="B11" s="2">
        <v>0.5</v>
      </c>
      <c r="C11" s="1" t="s">
        <v>14</v>
      </c>
    </row>
    <row r="13" spans="1:7" x14ac:dyDescent="0.25">
      <c r="A13" s="4" t="s">
        <v>15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</row>
    <row r="14" spans="1:7" x14ac:dyDescent="0.25">
      <c r="A14" s="4" t="s">
        <v>16</v>
      </c>
    </row>
    <row r="15" spans="1:7" x14ac:dyDescent="0.25">
      <c r="A15" s="1" t="s">
        <v>17</v>
      </c>
      <c r="B15" s="6">
        <f>1000</f>
        <v>1000</v>
      </c>
      <c r="C15" s="6">
        <f>B15*(1+$B$2)</f>
        <v>1200</v>
      </c>
      <c r="D15" s="6">
        <f>C15*(1+$B$2)</f>
        <v>1440</v>
      </c>
      <c r="E15" s="6">
        <f>D15*(1+$B$2)</f>
        <v>1728</v>
      </c>
      <c r="F15" s="6">
        <f>E15*(1+$B$2)</f>
        <v>2073.6</v>
      </c>
      <c r="G15" s="6">
        <f>F15*(1+$B$2)</f>
        <v>2488.3199999999997</v>
      </c>
    </row>
    <row r="16" spans="1:7" x14ac:dyDescent="0.25">
      <c r="A16" s="1" t="s">
        <v>18</v>
      </c>
      <c r="B16" s="6">
        <f t="shared" ref="B16:G16" si="0">-B15*$B$6</f>
        <v>-500</v>
      </c>
      <c r="C16" s="6">
        <f t="shared" si="0"/>
        <v>-600</v>
      </c>
      <c r="D16" s="6">
        <f t="shared" si="0"/>
        <v>-720</v>
      </c>
      <c r="E16" s="6">
        <f t="shared" si="0"/>
        <v>-864</v>
      </c>
      <c r="F16" s="6">
        <f t="shared" si="0"/>
        <v>-1036.8</v>
      </c>
      <c r="G16" s="6">
        <f t="shared" si="0"/>
        <v>-1244.1599999999999</v>
      </c>
    </row>
    <row r="17" spans="1:7" x14ac:dyDescent="0.25">
      <c r="A17" s="1" t="s">
        <v>19</v>
      </c>
      <c r="B17" s="6">
        <f>-$B$8*B36</f>
        <v>-40</v>
      </c>
      <c r="C17" s="6">
        <f>-$B$8*(B36+C36)/2</f>
        <v>-40</v>
      </c>
      <c r="D17" s="6">
        <f>-$B$8*(C36+D36)/2</f>
        <v>-40</v>
      </c>
      <c r="E17" s="6">
        <f>-$B$8*(D36+E36)/2</f>
        <v>-40</v>
      </c>
      <c r="F17" s="6">
        <f>-$B$8*(E36+F36)/2</f>
        <v>-40</v>
      </c>
      <c r="G17" s="6">
        <f>-$B$8*(F36+G36)/2</f>
        <v>-40</v>
      </c>
    </row>
    <row r="18" spans="1:7" x14ac:dyDescent="0.25">
      <c r="A18" s="1" t="s">
        <v>20</v>
      </c>
      <c r="B18" s="6">
        <f>$B$9*B27</f>
        <v>6.4</v>
      </c>
      <c r="C18" s="6">
        <f ca="1">$B$9*(B27+C27)/2</f>
        <v>4.3213296398891909</v>
      </c>
      <c r="D18" s="6">
        <f ca="1">$B$9*(C27+D27)/2</f>
        <v>-0.30271288705463123</v>
      </c>
      <c r="E18" s="6">
        <f ca="1">$B$9*(D27+E27)/2</f>
        <v>-5.9633788557330538</v>
      </c>
      <c r="F18" s="6">
        <f ca="1">$B$9*(E27+F27)/2</f>
        <v>-12.888901494838056</v>
      </c>
      <c r="G18" s="6">
        <f ca="1">$B$9*(F27+G27)/2</f>
        <v>-21.355583566780698</v>
      </c>
    </row>
    <row r="19" spans="1:7" x14ac:dyDescent="0.25">
      <c r="A19" s="1" t="s">
        <v>21</v>
      </c>
      <c r="B19" s="6">
        <v>-100</v>
      </c>
      <c r="C19" s="6">
        <f ca="1">-$B$7*(C30+B30)/2</f>
        <v>-124.21052631578948</v>
      </c>
      <c r="D19" s="6">
        <f ca="1">-$B$7*(D30+C30)/2</f>
        <v>-155.81163434903047</v>
      </c>
      <c r="E19" s="6">
        <f ca="1">-$B$7*(E30+D30)/2</f>
        <v>-194.44443796471788</v>
      </c>
      <c r="F19" s="6">
        <f ca="1">-$B$7*(F30+E30)/2</f>
        <v>-241.59016827679343</v>
      </c>
      <c r="G19" s="6">
        <f ca="1">-$B$7*(G30+F30)/2</f>
        <v>-299.03418599014014</v>
      </c>
    </row>
    <row r="20" spans="1:7" x14ac:dyDescent="0.25">
      <c r="A20" s="1" t="s">
        <v>22</v>
      </c>
      <c r="B20" s="6">
        <f t="shared" ref="B20:G20" si="1">SUM(B15:B19)</f>
        <v>366.4</v>
      </c>
      <c r="C20" s="6">
        <f t="shared" ca="1" si="1"/>
        <v>440.11080332409972</v>
      </c>
      <c r="D20" s="6">
        <f t="shared" ca="1" si="1"/>
        <v>523.88565276391489</v>
      </c>
      <c r="E20" s="6">
        <f t="shared" ca="1" si="1"/>
        <v>623.59218317954912</v>
      </c>
      <c r="F20" s="6">
        <f t="shared" ca="1" si="1"/>
        <v>742.32093022836852</v>
      </c>
      <c r="G20" s="6">
        <f t="shared" ca="1" si="1"/>
        <v>883.77023044307896</v>
      </c>
    </row>
    <row r="21" spans="1:7" x14ac:dyDescent="0.25">
      <c r="A21" s="1" t="s">
        <v>23</v>
      </c>
      <c r="B21" s="6">
        <f t="shared" ref="B21:G21" si="2">-B20*$B$10</f>
        <v>-146.56</v>
      </c>
      <c r="C21" s="6">
        <f t="shared" ca="1" si="2"/>
        <v>-176.0443213296399</v>
      </c>
      <c r="D21" s="6">
        <f t="shared" ca="1" si="2"/>
        <v>-209.55426110556596</v>
      </c>
      <c r="E21" s="6">
        <f t="shared" ca="1" si="2"/>
        <v>-249.43687327181965</v>
      </c>
      <c r="F21" s="6">
        <f t="shared" ca="1" si="2"/>
        <v>-296.9283720913474</v>
      </c>
      <c r="G21" s="6">
        <f t="shared" ca="1" si="2"/>
        <v>-353.50809217723162</v>
      </c>
    </row>
    <row r="22" spans="1:7" x14ac:dyDescent="0.25">
      <c r="A22" s="1" t="s">
        <v>24</v>
      </c>
      <c r="B22" s="6">
        <f t="shared" ref="B22:G22" si="3">B21+B20</f>
        <v>219.83999999999997</v>
      </c>
      <c r="C22" s="6">
        <f t="shared" ca="1" si="3"/>
        <v>264.06648199445982</v>
      </c>
      <c r="D22" s="6">
        <f t="shared" ca="1" si="3"/>
        <v>314.33139165834893</v>
      </c>
      <c r="E22" s="6">
        <f t="shared" ca="1" si="3"/>
        <v>374.15530990772947</v>
      </c>
      <c r="F22" s="6">
        <f t="shared" ca="1" si="3"/>
        <v>445.39255813702113</v>
      </c>
      <c r="G22" s="6">
        <f t="shared" ca="1" si="3"/>
        <v>530.2621382658474</v>
      </c>
    </row>
    <row r="23" spans="1:7" x14ac:dyDescent="0.25">
      <c r="A23" s="1" t="s">
        <v>25</v>
      </c>
      <c r="B23" s="6">
        <f>-B22*$B$11</f>
        <v>-109.91999999999999</v>
      </c>
      <c r="C23" s="6">
        <f ca="1">-$B$11*C22</f>
        <v>-132.03324099722991</v>
      </c>
      <c r="D23" s="6">
        <f ca="1">-$B$11*D22</f>
        <v>-157.16569582917447</v>
      </c>
      <c r="E23" s="6">
        <f ca="1">-$B$11*E22</f>
        <v>-187.07765495386474</v>
      </c>
      <c r="F23" s="6">
        <f ca="1">-$B$11*F22</f>
        <v>-222.69627906851056</v>
      </c>
      <c r="G23" s="6">
        <f ca="1">-$B$11*G22</f>
        <v>-265.1310691329237</v>
      </c>
    </row>
    <row r="24" spans="1:7" x14ac:dyDescent="0.25">
      <c r="A24" s="1" t="s">
        <v>26</v>
      </c>
      <c r="B24" s="6">
        <f t="shared" ref="B24:G24" si="4">B23+B22</f>
        <v>109.91999999999999</v>
      </c>
      <c r="C24" s="6">
        <f t="shared" ca="1" si="4"/>
        <v>132.03324099722991</v>
      </c>
      <c r="D24" s="6">
        <f t="shared" ca="1" si="4"/>
        <v>157.16569582917447</v>
      </c>
      <c r="E24" s="6">
        <f t="shared" ca="1" si="4"/>
        <v>187.07765495386474</v>
      </c>
      <c r="F24" s="6">
        <f t="shared" ca="1" si="4"/>
        <v>222.69627906851056</v>
      </c>
      <c r="G24" s="6">
        <f t="shared" ca="1" si="4"/>
        <v>265.1310691329237</v>
      </c>
    </row>
    <row r="25" spans="1:7" x14ac:dyDescent="0.25">
      <c r="B25" s="6"/>
      <c r="C25" s="6"/>
      <c r="D25" s="6"/>
      <c r="E25" s="6"/>
      <c r="F25" s="6"/>
      <c r="G25" s="6"/>
    </row>
    <row r="26" spans="1:7" x14ac:dyDescent="0.25">
      <c r="A26" s="4" t="s">
        <v>27</v>
      </c>
      <c r="B26" s="6"/>
      <c r="C26" s="6"/>
      <c r="D26" s="6"/>
      <c r="E26" s="6"/>
      <c r="F26" s="6"/>
      <c r="G26" s="6"/>
    </row>
    <row r="27" spans="1:7" x14ac:dyDescent="0.25">
      <c r="A27" s="7" t="s">
        <v>28</v>
      </c>
      <c r="B27" s="6">
        <v>80</v>
      </c>
      <c r="C27" s="6">
        <f ca="1">C39-C28-C32</f>
        <v>28.033240997229768</v>
      </c>
      <c r="D27" s="14">
        <f ca="1">D39-D28-D32</f>
        <v>-35.601063173595549</v>
      </c>
      <c r="E27" s="14">
        <f ca="1">E39-E28-E32</f>
        <v>-113.48340821973079</v>
      </c>
      <c r="F27" s="14">
        <f ca="1">F39-F28-F32</f>
        <v>-208.7391291512206</v>
      </c>
      <c r="G27" s="14">
        <f ca="1">G39-G28-G32</f>
        <v>-325.15046001829683</v>
      </c>
    </row>
    <row r="28" spans="1:7" x14ac:dyDescent="0.25">
      <c r="A28" s="1" t="s">
        <v>29</v>
      </c>
      <c r="B28" s="6">
        <f>$B$3*B15</f>
        <v>200</v>
      </c>
      <c r="C28" s="6">
        <f>C15*$B$3</f>
        <v>240</v>
      </c>
      <c r="D28" s="6">
        <f>D15*$B$3</f>
        <v>288</v>
      </c>
      <c r="E28" s="6">
        <f>E15*$B$3</f>
        <v>345.6</v>
      </c>
      <c r="F28" s="6">
        <f>F15*$B$3</f>
        <v>414.72</v>
      </c>
      <c r="G28" s="6">
        <f>G15*$B$3</f>
        <v>497.66399999999999</v>
      </c>
    </row>
    <row r="29" spans="1:7" x14ac:dyDescent="0.25">
      <c r="A29" s="1" t="s">
        <v>30</v>
      </c>
      <c r="B29" s="6"/>
      <c r="C29" s="6"/>
      <c r="D29" s="6"/>
      <c r="E29" s="6"/>
      <c r="F29" s="6"/>
      <c r="G29" s="6"/>
    </row>
    <row r="30" spans="1:7" x14ac:dyDescent="0.25">
      <c r="A30" s="1" t="s">
        <v>31</v>
      </c>
      <c r="B30" s="6">
        <f t="shared" ref="B30:G30" si="5">B32-B31</f>
        <v>1100</v>
      </c>
      <c r="C30" s="6">
        <f t="shared" ca="1" si="5"/>
        <v>1384.2105263157896</v>
      </c>
      <c r="D30" s="6">
        <f t="shared" ca="1" si="5"/>
        <v>1732.0221606648199</v>
      </c>
      <c r="E30" s="6">
        <f t="shared" ca="1" si="5"/>
        <v>2156.8665986295377</v>
      </c>
      <c r="F30" s="6">
        <f t="shared" ca="1" si="5"/>
        <v>2674.9367669063313</v>
      </c>
      <c r="G30" s="6">
        <f t="shared" ca="1" si="5"/>
        <v>3305.7469528964712</v>
      </c>
    </row>
    <row r="31" spans="1:7" x14ac:dyDescent="0.25">
      <c r="A31" s="1" t="s">
        <v>32</v>
      </c>
      <c r="B31" s="6">
        <v>-300</v>
      </c>
      <c r="C31" s="6">
        <f ca="1">B31+C19</f>
        <v>-424.21052631578948</v>
      </c>
      <c r="D31" s="6">
        <f ca="1">C31-$B$7*(D30+C30)/2</f>
        <v>-580.02216066481992</v>
      </c>
      <c r="E31" s="6">
        <f ca="1">D31-$B$7*(E30+D30)/2</f>
        <v>-774.46659862953777</v>
      </c>
      <c r="F31" s="6">
        <f ca="1">E31-$B$7*(F30+E30)/2</f>
        <v>-1016.0567669063312</v>
      </c>
      <c r="G31" s="6">
        <f ca="1">F31-$B$7*(G30+F30)/2</f>
        <v>-1315.0909528964712</v>
      </c>
    </row>
    <row r="32" spans="1:7" x14ac:dyDescent="0.25">
      <c r="A32" s="1" t="s">
        <v>33</v>
      </c>
      <c r="B32" s="6">
        <f t="shared" ref="B32:G32" si="6">B15*$B$5</f>
        <v>800</v>
      </c>
      <c r="C32" s="6">
        <f t="shared" si="6"/>
        <v>960</v>
      </c>
      <c r="D32" s="6">
        <f t="shared" si="6"/>
        <v>1152</v>
      </c>
      <c r="E32" s="6">
        <f t="shared" si="6"/>
        <v>1382.4</v>
      </c>
      <c r="F32" s="6">
        <f t="shared" si="6"/>
        <v>1658.88</v>
      </c>
      <c r="G32" s="6">
        <f t="shared" si="6"/>
        <v>1990.6559999999999</v>
      </c>
    </row>
    <row r="33" spans="1:7" x14ac:dyDescent="0.25">
      <c r="A33" s="4" t="s">
        <v>34</v>
      </c>
      <c r="B33" s="6">
        <f>B27+B28+B32</f>
        <v>1080</v>
      </c>
      <c r="C33" s="6">
        <f ca="1">C32+C28+C27</f>
        <v>1228.0332409972298</v>
      </c>
      <c r="D33" s="6">
        <f ca="1">D32+D28+D27</f>
        <v>1404.3989368264045</v>
      </c>
      <c r="E33" s="6">
        <f ca="1">E32+E28+E27</f>
        <v>1614.5165917802692</v>
      </c>
      <c r="F33" s="6">
        <f ca="1">F32+F28+F27</f>
        <v>1864.8608708487798</v>
      </c>
      <c r="G33" s="6">
        <f ca="1">G32+G28+G27</f>
        <v>2163.1695399817027</v>
      </c>
    </row>
    <row r="34" spans="1:7" x14ac:dyDescent="0.25">
      <c r="B34" s="6"/>
      <c r="C34" s="6"/>
      <c r="D34" s="6"/>
      <c r="E34" s="6"/>
      <c r="F34" s="6"/>
      <c r="G34" s="6"/>
    </row>
    <row r="35" spans="1:7" x14ac:dyDescent="0.25">
      <c r="A35" s="1" t="s">
        <v>35</v>
      </c>
      <c r="B35" s="6">
        <f t="shared" ref="B35:G35" si="7">B15*$B$4</f>
        <v>80</v>
      </c>
      <c r="C35" s="6">
        <f t="shared" si="7"/>
        <v>96</v>
      </c>
      <c r="D35" s="6">
        <f t="shared" si="7"/>
        <v>115.2</v>
      </c>
      <c r="E35" s="6">
        <f t="shared" si="7"/>
        <v>138.24</v>
      </c>
      <c r="F35" s="6">
        <f t="shared" si="7"/>
        <v>165.88800000000001</v>
      </c>
      <c r="G35" s="6">
        <f t="shared" si="7"/>
        <v>199.06559999999999</v>
      </c>
    </row>
    <row r="36" spans="1:7" x14ac:dyDescent="0.25">
      <c r="A36" s="1" t="s">
        <v>36</v>
      </c>
      <c r="B36" s="6">
        <f>B33-B35-B37-B38</f>
        <v>400</v>
      </c>
      <c r="C36" s="6">
        <f t="shared" ref="C36:G37" si="8">B36</f>
        <v>400</v>
      </c>
      <c r="D36" s="6">
        <f t="shared" si="8"/>
        <v>400</v>
      </c>
      <c r="E36" s="6">
        <f t="shared" si="8"/>
        <v>400</v>
      </c>
      <c r="F36" s="6">
        <f t="shared" si="8"/>
        <v>400</v>
      </c>
      <c r="G36" s="6">
        <f t="shared" si="8"/>
        <v>400</v>
      </c>
    </row>
    <row r="37" spans="1:7" x14ac:dyDescent="0.25">
      <c r="A37" s="1" t="s">
        <v>37</v>
      </c>
      <c r="B37" s="6">
        <v>450</v>
      </c>
      <c r="C37" s="6">
        <f t="shared" si="8"/>
        <v>450</v>
      </c>
      <c r="D37" s="6">
        <f t="shared" si="8"/>
        <v>450</v>
      </c>
      <c r="E37" s="6">
        <f t="shared" si="8"/>
        <v>450</v>
      </c>
      <c r="F37" s="6">
        <f t="shared" si="8"/>
        <v>450</v>
      </c>
      <c r="G37" s="6">
        <f t="shared" si="8"/>
        <v>450</v>
      </c>
    </row>
    <row r="38" spans="1:7" x14ac:dyDescent="0.25">
      <c r="A38" s="1" t="s">
        <v>38</v>
      </c>
      <c r="B38" s="6">
        <v>150</v>
      </c>
      <c r="C38" s="6">
        <f ca="1">B38+C24</f>
        <v>282.03324099722988</v>
      </c>
      <c r="D38" s="6">
        <f ca="1">C38+D24</f>
        <v>439.19893682640435</v>
      </c>
      <c r="E38" s="6">
        <f ca="1">D38+E24</f>
        <v>626.27659178026909</v>
      </c>
      <c r="F38" s="6">
        <f ca="1">E38+F24</f>
        <v>848.97287084877962</v>
      </c>
      <c r="G38" s="6">
        <f ca="1">F38+G24</f>
        <v>1114.1039399817032</v>
      </c>
    </row>
    <row r="39" spans="1:7" x14ac:dyDescent="0.25">
      <c r="A39" s="4" t="s">
        <v>39</v>
      </c>
      <c r="B39" s="6">
        <f t="shared" ref="B39:G39" si="9">SUM(B35:B38)</f>
        <v>1080</v>
      </c>
      <c r="C39" s="6">
        <f t="shared" ca="1" si="9"/>
        <v>1228.0332409972298</v>
      </c>
      <c r="D39" s="6">
        <f t="shared" ca="1" si="9"/>
        <v>1404.3989368264045</v>
      </c>
      <c r="E39" s="6">
        <f t="shared" ca="1" si="9"/>
        <v>1614.5165917802692</v>
      </c>
      <c r="F39" s="6">
        <f t="shared" ca="1" si="9"/>
        <v>1864.8608708487795</v>
      </c>
      <c r="G39" s="6">
        <f t="shared" ca="1" si="9"/>
        <v>2163.1695399817031</v>
      </c>
    </row>
    <row r="40" spans="1:7" x14ac:dyDescent="0.25">
      <c r="A40" s="7"/>
      <c r="B40" s="8"/>
      <c r="C40" s="8"/>
      <c r="D40" s="8"/>
      <c r="E40" s="8"/>
      <c r="F40" s="8"/>
      <c r="G40" s="8"/>
    </row>
    <row r="41" spans="1:7" x14ac:dyDescent="0.25">
      <c r="A41" s="9" t="s">
        <v>15</v>
      </c>
      <c r="B41" s="10">
        <v>0</v>
      </c>
      <c r="C41" s="10">
        <v>1</v>
      </c>
      <c r="D41" s="10">
        <v>2</v>
      </c>
      <c r="E41" s="10">
        <v>3</v>
      </c>
      <c r="F41" s="10">
        <v>4</v>
      </c>
      <c r="G41" s="10">
        <v>5</v>
      </c>
    </row>
    <row r="42" spans="1:7" x14ac:dyDescent="0.25">
      <c r="A42" s="9" t="s">
        <v>40</v>
      </c>
      <c r="B42" s="10"/>
      <c r="C42" s="10"/>
      <c r="D42" s="10"/>
      <c r="E42" s="10"/>
      <c r="F42" s="10"/>
      <c r="G42" s="10"/>
    </row>
    <row r="43" spans="1:7" x14ac:dyDescent="0.25">
      <c r="A43" s="11" t="s">
        <v>24</v>
      </c>
      <c r="B43" s="11"/>
      <c r="C43" s="11">
        <f ca="1">C22</f>
        <v>264.06648199445982</v>
      </c>
      <c r="D43" s="11">
        <f ca="1">D22</f>
        <v>314.33139165834893</v>
      </c>
      <c r="E43" s="11">
        <f ca="1">E22</f>
        <v>374.15530990772947</v>
      </c>
      <c r="F43" s="11">
        <f ca="1">F22</f>
        <v>445.39255813702113</v>
      </c>
      <c r="G43" s="11">
        <f ca="1">G22</f>
        <v>530.2621382658474</v>
      </c>
    </row>
    <row r="44" spans="1:7" x14ac:dyDescent="0.25">
      <c r="A44" s="11" t="s">
        <v>41</v>
      </c>
      <c r="B44" s="11"/>
      <c r="C44" s="11">
        <f ca="1">-C19</f>
        <v>124.21052631578948</v>
      </c>
      <c r="D44" s="11">
        <f ca="1">-D19</f>
        <v>155.81163434903047</v>
      </c>
      <c r="E44" s="11">
        <f ca="1">-E19</f>
        <v>194.44443796471788</v>
      </c>
      <c r="F44" s="11">
        <f ca="1">-F19</f>
        <v>241.59016827679343</v>
      </c>
      <c r="G44" s="11">
        <f ca="1">-G19</f>
        <v>299.03418599014014</v>
      </c>
    </row>
    <row r="45" spans="1:7" x14ac:dyDescent="0.25">
      <c r="A45" s="11" t="s">
        <v>42</v>
      </c>
      <c r="B45" s="11"/>
      <c r="C45" s="11">
        <f>-(C28-B28)</f>
        <v>-40</v>
      </c>
      <c r="D45" s="11">
        <f>-(D28-C28)</f>
        <v>-48</v>
      </c>
      <c r="E45" s="11">
        <f>-(E28-D28)</f>
        <v>-57.600000000000023</v>
      </c>
      <c r="F45" s="11">
        <f>-(F28-E28)</f>
        <v>-69.12</v>
      </c>
      <c r="G45" s="11">
        <f>-(G28-F28)</f>
        <v>-82.94399999999996</v>
      </c>
    </row>
    <row r="46" spans="1:7" x14ac:dyDescent="0.25">
      <c r="A46" s="11" t="s">
        <v>43</v>
      </c>
      <c r="B46" s="11"/>
      <c r="C46" s="11">
        <f>C35-B35</f>
        <v>16</v>
      </c>
      <c r="D46" s="11">
        <f>D35-C35</f>
        <v>19.200000000000003</v>
      </c>
      <c r="E46" s="11">
        <f>E35-D35</f>
        <v>23.040000000000006</v>
      </c>
      <c r="F46" s="11">
        <f>F35-E35</f>
        <v>27.647999999999996</v>
      </c>
      <c r="G46" s="11">
        <f>G35-F35</f>
        <v>33.177599999999984</v>
      </c>
    </row>
    <row r="47" spans="1:7" x14ac:dyDescent="0.25">
      <c r="A47" s="11" t="s">
        <v>44</v>
      </c>
      <c r="B47" s="11"/>
      <c r="C47" s="11">
        <f ca="1">-(C30-B30)</f>
        <v>-284.21052631578959</v>
      </c>
      <c r="D47" s="11">
        <f ca="1">-(D30-C30)</f>
        <v>-347.81163434903033</v>
      </c>
      <c r="E47" s="11">
        <f ca="1">-(E30-D30)</f>
        <v>-424.84443796471783</v>
      </c>
      <c r="F47" s="11">
        <f ca="1">-(F30-E30)</f>
        <v>-518.07016827679354</v>
      </c>
      <c r="G47" s="11">
        <f ca="1">-(G30-F30)</f>
        <v>-630.81018599013987</v>
      </c>
    </row>
    <row r="48" spans="1:7" x14ac:dyDescent="0.25">
      <c r="A48" s="11" t="s">
        <v>45</v>
      </c>
      <c r="B48" s="11"/>
      <c r="C48" s="11">
        <f t="shared" ref="C48:G49" si="10">-(1-$B$10)*C17</f>
        <v>24</v>
      </c>
      <c r="D48" s="11">
        <f t="shared" si="10"/>
        <v>24</v>
      </c>
      <c r="E48" s="11">
        <f t="shared" si="10"/>
        <v>24</v>
      </c>
      <c r="F48" s="11">
        <f t="shared" si="10"/>
        <v>24</v>
      </c>
      <c r="G48" s="11">
        <f t="shared" si="10"/>
        <v>24</v>
      </c>
    </row>
    <row r="49" spans="1:7" x14ac:dyDescent="0.25">
      <c r="A49" s="11" t="s">
        <v>46</v>
      </c>
      <c r="B49" s="11"/>
      <c r="C49" s="11">
        <f t="shared" ca="1" si="10"/>
        <v>-2.5927977839335146</v>
      </c>
      <c r="D49" s="11">
        <f t="shared" ca="1" si="10"/>
        <v>0.18162773223277873</v>
      </c>
      <c r="E49" s="11">
        <f t="shared" ca="1" si="10"/>
        <v>3.5780273134398324</v>
      </c>
      <c r="F49" s="11">
        <f t="shared" ca="1" si="10"/>
        <v>7.733340896902833</v>
      </c>
      <c r="G49" s="11">
        <f t="shared" ca="1" si="10"/>
        <v>12.813350140068419</v>
      </c>
    </row>
    <row r="50" spans="1:7" x14ac:dyDescent="0.25">
      <c r="A50" s="9" t="s">
        <v>47</v>
      </c>
      <c r="B50" s="11"/>
      <c r="C50" s="11">
        <f ca="1">SUM(C43:C49)</f>
        <v>101.47368421052619</v>
      </c>
      <c r="D50" s="11">
        <f ca="1">SUM(D43:D49)</f>
        <v>117.71301939058182</v>
      </c>
      <c r="E50" s="11">
        <f ca="1">SUM(E43:E49)</f>
        <v>136.77333722116927</v>
      </c>
      <c r="F50" s="11">
        <f ca="1">SUM(F43:F49)</f>
        <v>159.1738990339239</v>
      </c>
      <c r="G50" s="11">
        <f ca="1">SUM(G43:G49)</f>
        <v>185.53308840591612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2024-10-12T12:17:09Z</dcterms:modified>
</cp:coreProperties>
</file>