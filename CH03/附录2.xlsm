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A7EABA9F-25EC-4B95-B045-F97C1B9A36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" l="1"/>
  <c r="C80" i="1"/>
  <c r="C81" i="1" s="1"/>
  <c r="C82" i="1" s="1"/>
  <c r="C83" i="1" s="1"/>
  <c r="C84" i="1" s="1"/>
  <c r="C85" i="1" s="1"/>
  <c r="B56" i="1"/>
  <c r="B55" i="1"/>
  <c r="D37" i="1"/>
  <c r="E37" i="1" s="1"/>
  <c r="F37" i="1" s="1"/>
  <c r="G37" i="1" s="1"/>
  <c r="C37" i="1"/>
  <c r="B18" i="1"/>
  <c r="B15" i="1"/>
  <c r="B57" i="1" s="1"/>
  <c r="C87" i="1"/>
  <c r="H74" i="1"/>
  <c r="H38" i="1"/>
  <c r="H36" i="1"/>
  <c r="H32" i="1"/>
  <c r="H31" i="1"/>
  <c r="H62" i="1"/>
  <c r="H61" i="1"/>
  <c r="H60" i="1"/>
  <c r="H27" i="1"/>
  <c r="H30" i="1"/>
  <c r="C57" i="1" l="1"/>
  <c r="B62" i="1"/>
  <c r="C15" i="1"/>
  <c r="B28" i="1"/>
  <c r="B35" i="1"/>
  <c r="B16" i="1"/>
  <c r="C16" i="1" l="1"/>
  <c r="C35" i="1"/>
  <c r="C28" i="1"/>
  <c r="C46" i="1" s="1"/>
  <c r="D15" i="1"/>
  <c r="B32" i="1"/>
  <c r="B33" i="1" s="1"/>
  <c r="B36" i="1" s="1"/>
  <c r="B93" i="1"/>
  <c r="D57" i="1"/>
  <c r="C62" i="1"/>
  <c r="B17" i="1" l="1"/>
  <c r="B20" i="1" s="1"/>
  <c r="B21" i="1" s="1"/>
  <c r="B22" i="1" s="1"/>
  <c r="B23" i="1" s="1"/>
  <c r="B24" i="1" s="1"/>
  <c r="C36" i="1"/>
  <c r="C17" i="1" s="1"/>
  <c r="B39" i="1"/>
  <c r="C32" i="1"/>
  <c r="C93" i="1"/>
  <c r="D28" i="1"/>
  <c r="D46" i="1" s="1"/>
  <c r="E15" i="1"/>
  <c r="D16" i="1"/>
  <c r="D35" i="1"/>
  <c r="C47" i="1"/>
  <c r="D62" i="1"/>
  <c r="E57" i="1"/>
  <c r="C49" i="1" l="1"/>
  <c r="D32" i="1"/>
  <c r="D93" i="1"/>
  <c r="E62" i="1"/>
  <c r="F57" i="1"/>
  <c r="E16" i="1"/>
  <c r="E35" i="1"/>
  <c r="E28" i="1"/>
  <c r="E46" i="1" s="1"/>
  <c r="F15" i="1"/>
  <c r="D47" i="1"/>
  <c r="D36" i="1"/>
  <c r="D17" i="1"/>
  <c r="F16" i="1" l="1"/>
  <c r="F35" i="1"/>
  <c r="F28" i="1"/>
  <c r="F46" i="1" s="1"/>
  <c r="G15" i="1"/>
  <c r="F62" i="1"/>
  <c r="G57" i="1"/>
  <c r="G62" i="1" s="1"/>
  <c r="E47" i="1"/>
  <c r="E32" i="1"/>
  <c r="E93" i="1"/>
  <c r="D49" i="1"/>
  <c r="E36" i="1"/>
  <c r="E17" i="1"/>
  <c r="G32" i="1" l="1"/>
  <c r="G93" i="1"/>
  <c r="F32" i="1"/>
  <c r="F93" i="1"/>
  <c r="G16" i="1"/>
  <c r="G35" i="1"/>
  <c r="G28" i="1"/>
  <c r="G46" i="1" s="1"/>
  <c r="E49" i="1"/>
  <c r="F47" i="1"/>
  <c r="F36" i="1"/>
  <c r="G17" i="1" l="1"/>
  <c r="G36" i="1"/>
  <c r="G47" i="1"/>
  <c r="F17" i="1"/>
  <c r="F49" i="1" l="1"/>
  <c r="G49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B30" i="1"/>
  <c r="C30" i="1"/>
  <c r="D30" i="1"/>
  <c r="E30" i="1"/>
  <c r="F30" i="1"/>
  <c r="G30" i="1"/>
  <c r="B31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4" i="1"/>
  <c r="D44" i="1"/>
  <c r="E44" i="1"/>
  <c r="F44" i="1"/>
  <c r="G44" i="1"/>
  <c r="C45" i="1"/>
  <c r="D45" i="1"/>
  <c r="E45" i="1"/>
  <c r="F45" i="1"/>
  <c r="G45" i="1"/>
  <c r="C48" i="1"/>
  <c r="D48" i="1"/>
  <c r="E48" i="1"/>
  <c r="F48" i="1"/>
  <c r="G48" i="1"/>
  <c r="C50" i="1"/>
  <c r="D50" i="1"/>
  <c r="E50" i="1"/>
  <c r="F50" i="1"/>
  <c r="G50" i="1"/>
  <c r="C51" i="1"/>
  <c r="D51" i="1"/>
  <c r="E51" i="1"/>
  <c r="F51" i="1"/>
  <c r="G51" i="1"/>
  <c r="B60" i="1"/>
  <c r="C60" i="1"/>
  <c r="D60" i="1"/>
  <c r="E60" i="1"/>
  <c r="F60" i="1"/>
  <c r="G60" i="1"/>
  <c r="B61" i="1"/>
  <c r="C61" i="1"/>
  <c r="D61" i="1"/>
  <c r="E61" i="1"/>
  <c r="F61" i="1"/>
  <c r="G61" i="1"/>
  <c r="C64" i="1"/>
  <c r="D64" i="1"/>
  <c r="E64" i="1"/>
  <c r="F64" i="1"/>
  <c r="G64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D70" i="1"/>
  <c r="E70" i="1"/>
  <c r="F70" i="1"/>
  <c r="G70" i="1"/>
  <c r="E71" i="1"/>
  <c r="F71" i="1"/>
  <c r="G71" i="1"/>
  <c r="F72" i="1"/>
  <c r="G72" i="1"/>
  <c r="G73" i="1"/>
  <c r="B74" i="1"/>
  <c r="C74" i="1"/>
  <c r="D74" i="1"/>
  <c r="E74" i="1"/>
  <c r="F74" i="1"/>
  <c r="G74" i="1"/>
  <c r="B91" i="1"/>
  <c r="C91" i="1"/>
  <c r="D91" i="1"/>
  <c r="E91" i="1"/>
  <c r="F91" i="1"/>
  <c r="G91" i="1"/>
  <c r="B92" i="1"/>
  <c r="C92" i="1"/>
  <c r="D92" i="1"/>
  <c r="E92" i="1"/>
  <c r="F92" i="1"/>
  <c r="G92" i="1"/>
  <c r="C96" i="1"/>
  <c r="D96" i="1"/>
  <c r="E96" i="1"/>
  <c r="F96" i="1"/>
  <c r="G96" i="1"/>
  <c r="C97" i="1"/>
  <c r="D97" i="1"/>
  <c r="E97" i="1"/>
  <c r="F97" i="1"/>
  <c r="G97" i="1"/>
  <c r="C98" i="1"/>
  <c r="D98" i="1"/>
  <c r="E98" i="1"/>
  <c r="F98" i="1"/>
  <c r="G98" i="1"/>
  <c r="C102" i="1"/>
  <c r="D102" i="1"/>
  <c r="E102" i="1"/>
  <c r="F102" i="1"/>
  <c r="G102" i="1"/>
  <c r="C103" i="1"/>
  <c r="D103" i="1"/>
  <c r="E103" i="1"/>
  <c r="F103" i="1"/>
  <c r="G103" i="1"/>
</calcChain>
</file>

<file path=xl/sharedStrings.xml><?xml version="1.0" encoding="utf-8"?>
<sst xmlns="http://schemas.openxmlformats.org/spreadsheetml/2006/main" count="91" uniqueCount="79">
  <si>
    <t>ACCELERATED DEPRECIATION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</si>
  <si>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</si>
  <si>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</si>
  <si>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</si>
  <si>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</si>
  <si>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</si>
  <si>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</si>
  <si>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</si>
  <si>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</si>
  <si>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</si>
  <si>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</si>
  <si>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</si>
  <si>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</si>
  <si>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</si>
  <si>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</si>
  <si>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</si>
  <si>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</si>
  <si>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</si>
  <si>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</si>
  <si>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</si>
  <si>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</si>
  <si>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</si>
  <si>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</si>
  <si>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</si>
  <si>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</si>
  <si>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</si>
  <si>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</si>
  <si>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</si>
  <si>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</si>
  <si>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</si>
  <si>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</si>
  <si>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</si>
  <si>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</si>
  <si>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</si>
  <si>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</si>
  <si>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</si>
  <si>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</si>
  <si>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</si>
  <si>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</si>
  <si>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</si>
  <si>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</si>
  <si>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</si>
  <si>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</si>
  <si>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</si>
  <si>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DEPRECIATION CALCULATION--year 0 assets assumed 3 years old</t>
  </si>
  <si>
    <t xml:space="preserve">Fixed assets at cost, end of year </t>
  </si>
  <si>
    <t>Accumulated depreciation</t>
  </si>
  <si>
    <t>Net fixed assets required, end of year</t>
  </si>
  <si>
    <t>New assets acquired during year</t>
  </si>
  <si>
    <t>Accumulated depreciation calculation</t>
  </si>
  <si>
    <t xml:space="preserve">     Accumulated depreciation, end of previous year</t>
  </si>
  <si>
    <t xml:space="preserve">     Depreciation of year 0 assets</t>
  </si>
  <si>
    <t xml:space="preserve">     Depreciation of assets acquired year 1</t>
  </si>
  <si>
    <t xml:space="preserve">     Depreciation of assets acquired year 2</t>
  </si>
  <si>
    <t xml:space="preserve">     Depreciation of assets acquired year 3</t>
  </si>
  <si>
    <t xml:space="preserve">     Depreciation of assets acquired year 4</t>
  </si>
  <si>
    <t xml:space="preserve">     Depreciation of assets acquired year 5</t>
  </si>
  <si>
    <t xml:space="preserve">     Accumulated depreciation </t>
  </si>
  <si>
    <t>Depreciation table--5-year asset life</t>
  </si>
  <si>
    <t>Depr. 
rate</t>
  </si>
  <si>
    <t>Cum. depr.</t>
  </si>
  <si>
    <t xml:space="preserve">     Average depreciation over 6 years</t>
  </si>
  <si>
    <t>ALTERNATIVE:  Assume straight line depreciation</t>
  </si>
  <si>
    <t xml:space="preserve">Assets in place, end of year </t>
  </si>
  <si>
    <t xml:space="preserve">     Accumulated Depreciation, end of previous year</t>
  </si>
  <si>
    <t xml:space="preserve">     Depreciation of average assets in year, 20%</t>
  </si>
  <si>
    <t>Cash flow effect</t>
  </si>
  <si>
    <t xml:space="preserve">     Tax shield on accelerated depreciation</t>
  </si>
  <si>
    <t xml:space="preserve">     Tax shield on straight-line depreciation</t>
  </si>
  <si>
    <t>a</t>
    <phoneticPr fontId="1" type="noConversion"/>
  </si>
  <si>
    <t>-b</t>
    <phoneticPr fontId="1" type="noConversion"/>
  </si>
  <si>
    <t>a-b</t>
    <phoneticPr fontId="1" type="noConversion"/>
  </si>
  <si>
    <t>-b-c</t>
    <phoneticPr fontId="1" type="noConversion"/>
  </si>
  <si>
    <t>d</t>
    <phoneticPr fontId="1" type="noConversion"/>
  </si>
  <si>
    <t>d+b+c</t>
    <phoneticPr fontId="1" type="noConversion"/>
  </si>
  <si>
    <t>e</t>
    <phoneticPr fontId="1" type="noConversion"/>
  </si>
  <si>
    <t>f</t>
    <phoneticPr fontId="1" type="noConversion"/>
  </si>
  <si>
    <t>(a+b+c+d)/2*0.1</t>
    <phoneticPr fontId="1" type="noConversion"/>
  </si>
  <si>
    <t>(f-(a+b+c+d)/2*0.1)*0.4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</si>
</sst>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¥&quot;* #,##0.00_ ;_ &quot;¥&quot;* \-#,##0.00_ ;_ &quot;¥&quot;* &quot;-&quot;??_ ;_ @_ "/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37" fontId="0" fillId="0" borderId="0" xfId="1" applyNumberFormat="1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6" fillId="0" borderId="0" xfId="0" applyFont="1" applyAlignment="1"/>
    <xf numFmtId="177" fontId="0" fillId="0" borderId="0" xfId="0" applyNumberFormat="1" applyAlignment="1"/>
    <xf numFmtId="37" fontId="0" fillId="0" borderId="0" xfId="0" applyNumberFormat="1" applyAlignment="1"/>
    <xf numFmtId="3" fontId="0" fillId="0" borderId="0" xfId="0" applyNumberFormat="1" applyAlignme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7" fontId="0" fillId="2" borderId="0" xfId="1" applyNumberFormat="1" applyFont="1" applyFill="1" applyAlignment="1"/>
    <xf numFmtId="177" fontId="0" fillId="2" borderId="0" xfId="0" applyNumberFormat="1" applyFill="1" applyAlignment="1"/>
    <xf numFmtId="44" fontId="0" fillId="0" borderId="0" xfId="0" applyNumberFormat="1" applyAlignment="1"/>
    <xf numFmtId="0" fontId="7" fillId="0" borderId="0" xfId="0" applyFont="1" applyAlignment="1"/>
    <xf numFmtId="0" fontId="0" fillId="0" borderId="0" xfId="0" quotePrefix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2053590</xdr:colOff>
      <xdr:row>70</xdr:row>
      <xdr:rowOff>38100</xdr:rowOff>
    </xdr:from>
    <xdr:to>
      <xdr:col>3</xdr:col>
      <xdr:colOff>340963</xdr:colOff>
      <xdr:row>71</xdr:row>
      <xdr:rowOff>121920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76B26D5-6017-4F59-9B6D-3C7A8C115EEC}"/>
            </a:ext>
          </a:extLst>
        </xdr:cNvPr>
        <xdr:cNvSpPr txBox="1">
          <a:spLocks noChangeArrowheads="1"/>
        </xdr:cNvSpPr>
      </xdr:nvSpPr>
      <xdr:spPr bwMode="auto">
        <a:xfrm>
          <a:off x="2053590" y="12115800"/>
          <a:ext cx="2649823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=VLOOKUP(3+C$59,$A$80:$B$85,2)*$B$60</a:t>
          </a:r>
        </a:p>
      </xdr:txBody>
    </xdr:sp>
    <xdr:clientData/>
  </xdr:twoCellAnchor>
  <xdr:twoCellAnchor>
    <xdr:from>
      <xdr:col>1</xdr:col>
      <xdr:colOff>205740</xdr:colOff>
      <xdr:row>67</xdr:row>
      <xdr:rowOff>137160</xdr:rowOff>
    </xdr:from>
    <xdr:to>
      <xdr:col>2</xdr:col>
      <xdr:colOff>403860</xdr:colOff>
      <xdr:row>70</xdr:row>
      <xdr:rowOff>45720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7740DBC-2C7C-4881-B9DA-F1BF3A5EBEAB}"/>
            </a:ext>
          </a:extLst>
        </xdr:cNvPr>
        <xdr:cNvSpPr>
          <a:spLocks noChangeShapeType="1"/>
        </xdr:cNvSpPr>
      </xdr:nvSpPr>
      <xdr:spPr bwMode="auto">
        <a:xfrm flipV="1">
          <a:off x="3267075" y="11696700"/>
          <a:ext cx="857250" cy="428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75</xdr:row>
      <xdr:rowOff>9525</xdr:rowOff>
    </xdr:from>
    <xdr:to>
      <xdr:col>7</xdr:col>
      <xdr:colOff>66675</xdr:colOff>
      <xdr:row>76</xdr:row>
      <xdr:rowOff>38100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15BE589E-1331-4C74-B3C1-DD299711E08C}"/>
            </a:ext>
          </a:extLst>
        </xdr:cNvPr>
        <xdr:cNvSpPr txBox="1">
          <a:spLocks noChangeArrowheads="1"/>
        </xdr:cNvSpPr>
      </xdr:nvSpPr>
      <xdr:spPr bwMode="auto">
        <a:xfrm>
          <a:off x="4438650" y="12946380"/>
          <a:ext cx="2541270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=VLOOKUP(C$59,$A$80:$B$85,2)*$C$64</a:t>
          </a:r>
        </a:p>
      </xdr:txBody>
    </xdr:sp>
    <xdr:clientData/>
  </xdr:twoCellAnchor>
  <xdr:twoCellAnchor>
    <xdr:from>
      <xdr:col>2</xdr:col>
      <xdr:colOff>617220</xdr:colOff>
      <xdr:row>69</xdr:row>
      <xdr:rowOff>22860</xdr:rowOff>
    </xdr:from>
    <xdr:to>
      <xdr:col>4</xdr:col>
      <xdr:colOff>335280</xdr:colOff>
      <xdr:row>75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CA2A420-D9CC-4940-B052-2026D45DADD0}"/>
            </a:ext>
          </a:extLst>
        </xdr:cNvPr>
        <xdr:cNvSpPr>
          <a:spLocks noChangeShapeType="1"/>
        </xdr:cNvSpPr>
      </xdr:nvSpPr>
      <xdr:spPr bwMode="auto">
        <a:xfrm flipH="1" flipV="1">
          <a:off x="4343400" y="11925300"/>
          <a:ext cx="990600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255270</xdr:colOff>
      <xdr:row>77</xdr:row>
      <xdr:rowOff>125730</xdr:rowOff>
    </xdr:from>
    <xdr:to>
      <xdr:col>7</xdr:col>
      <xdr:colOff>1030654</xdr:colOff>
      <xdr:row>78</xdr:row>
      <xdr:rowOff>133350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D1AD7CFA-CC27-49D7-A797-24AF618AC593}"/>
            </a:ext>
          </a:extLst>
        </xdr:cNvPr>
        <xdr:cNvSpPr txBox="1">
          <a:spLocks noChangeArrowheads="1"/>
        </xdr:cNvSpPr>
      </xdr:nvSpPr>
      <xdr:spPr bwMode="auto">
        <a:xfrm>
          <a:off x="5253990" y="13407390"/>
          <a:ext cx="2691814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=VLOOKUP(D$59-1,$A$80:$B$85,2)*$D$64</a:t>
          </a:r>
        </a:p>
      </xdr:txBody>
    </xdr:sp>
    <xdr:clientData/>
  </xdr:twoCellAnchor>
  <xdr:twoCellAnchor>
    <xdr:from>
      <xdr:col>3</xdr:col>
      <xdr:colOff>594360</xdr:colOff>
      <xdr:row>69</xdr:row>
      <xdr:rowOff>144780</xdr:rowOff>
    </xdr:from>
    <xdr:to>
      <xdr:col>6</xdr:col>
      <xdr:colOff>7620</xdr:colOff>
      <xdr:row>77</xdr:row>
      <xdr:rowOff>144780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751F2C4-B0EC-4156-A49F-436246B70D9D}"/>
            </a:ext>
          </a:extLst>
        </xdr:cNvPr>
        <xdr:cNvSpPr>
          <a:spLocks noChangeShapeType="1"/>
        </xdr:cNvSpPr>
      </xdr:nvSpPr>
      <xdr:spPr bwMode="auto">
        <a:xfrm flipH="1" flipV="1">
          <a:off x="4953000" y="12049125"/>
          <a:ext cx="1333500" cy="1371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188595</xdr:colOff>
      <xdr:row>79</xdr:row>
      <xdr:rowOff>93345</xdr:rowOff>
    </xdr:from>
    <xdr:to>
      <xdr:col>8</xdr:col>
      <xdr:colOff>329576</xdr:colOff>
      <xdr:row>80</xdr:row>
      <xdr:rowOff>121920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34729220-FF48-4502-83F1-F4563951CF77}"/>
            </a:ext>
          </a:extLst>
        </xdr:cNvPr>
        <xdr:cNvSpPr txBox="1">
          <a:spLocks noChangeArrowheads="1"/>
        </xdr:cNvSpPr>
      </xdr:nvSpPr>
      <xdr:spPr bwMode="auto">
        <a:xfrm>
          <a:off x="5827395" y="13908405"/>
          <a:ext cx="2642246" cy="1981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=VLOOKUP(E$59-2,$A$80:$B$85,2)*$E$64</a:t>
          </a:r>
        </a:p>
      </xdr:txBody>
    </xdr:sp>
    <xdr:clientData/>
  </xdr:twoCellAnchor>
  <xdr:twoCellAnchor>
    <xdr:from>
      <xdr:col>5</xdr:col>
      <xdr:colOff>22860</xdr:colOff>
      <xdr:row>70</xdr:row>
      <xdr:rowOff>129540</xdr:rowOff>
    </xdr:from>
    <xdr:to>
      <xdr:col>8</xdr:col>
      <xdr:colOff>0</xdr:colOff>
      <xdr:row>79</xdr:row>
      <xdr:rowOff>99060</xdr:rowOff>
    </xdr:to>
    <xdr:sp macro="" textlink="">
      <xdr:nvSpPr>
        <xdr:cNvPr id="9" name="Line 13">
          <a:extLst>
            <a:ext uri="{FF2B5EF4-FFF2-40B4-BE49-F238E27FC236}">
              <a16:creationId xmlns:a16="http://schemas.microsoft.com/office/drawing/2014/main" id="{398AA639-7FC7-408D-A6B2-CAD1FF65C2F7}"/>
            </a:ext>
          </a:extLst>
        </xdr:cNvPr>
        <xdr:cNvSpPr>
          <a:spLocks noChangeShapeType="1"/>
        </xdr:cNvSpPr>
      </xdr:nvSpPr>
      <xdr:spPr bwMode="auto">
        <a:xfrm flipH="1" flipV="1">
          <a:off x="5657850" y="12211050"/>
          <a:ext cx="2486025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104, 107"/>
      <sheetName val="Pages 104, 107 (中文)"/>
      <sheetName val="Pages 111-113"/>
      <sheetName val="Pages 111-113 (中文)"/>
      <sheetName val="Pages 114-118"/>
      <sheetName val="Pages 114-118 (中文)"/>
      <sheetName val="Page 119"/>
      <sheetName val="Page 119 (中文)"/>
      <sheetName val="Page 120"/>
      <sheetName val="Page 120 (中文)"/>
      <sheetName val="Page 121 "/>
      <sheetName val="Page 121（中文）"/>
      <sheetName val="Pages 123-124"/>
      <sheetName val="Pages 123-124 (中文)"/>
      <sheetName val="Page 125"/>
      <sheetName val="Page 125 (中文)"/>
      <sheetName val="Pages 125-126"/>
      <sheetName val="Pages 125-126 (中文)"/>
      <sheetName val="Page 127"/>
      <sheetName val="Page 127 (中文)"/>
      <sheetName val="Pages 130-131"/>
      <sheetName val="Pages 130-131 (中文)"/>
      <sheetName val="Pages 131-132"/>
      <sheetName val="Pages 131-132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103"/>
  <sheetViews>
    <sheetView tabSelected="1" topLeftCell="A62" zoomScale="130" zoomScaleNormal="130" workbookViewId="0">
      <selection activeCell="I92" sqref="I92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17.88671875" style="2" bestFit="1" customWidth="1"/>
    <col min="9" max="9" width="9.33203125" style="2" customWidth="1"/>
    <col min="10" max="10" width="17.109375" style="2" bestFit="1" customWidth="1"/>
    <col min="11" max="11" width="12" style="2" customWidth="1"/>
    <col min="12" max="12" width="13.109375" style="2" customWidth="1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12" x14ac:dyDescent="0.25">
      <c r="A2" s="2" t="s">
        <v>1</v>
      </c>
      <c r="B2" s="3">
        <v>0.1</v>
      </c>
    </row>
    <row r="3" spans="1:12" x14ac:dyDescent="0.25">
      <c r="A3" s="2" t="s">
        <v>2</v>
      </c>
      <c r="B3" s="3">
        <v>0.15</v>
      </c>
    </row>
    <row r="4" spans="1:12" x14ac:dyDescent="0.25">
      <c r="A4" s="2" t="s">
        <v>3</v>
      </c>
      <c r="B4" s="3">
        <v>0.08</v>
      </c>
    </row>
    <row r="5" spans="1:12" x14ac:dyDescent="0.25">
      <c r="A5" s="2" t="s">
        <v>4</v>
      </c>
      <c r="B5" s="3">
        <v>0.77</v>
      </c>
    </row>
    <row r="6" spans="1:12" x14ac:dyDescent="0.25">
      <c r="A6" s="2" t="s">
        <v>5</v>
      </c>
      <c r="B6" s="3">
        <v>0.5</v>
      </c>
    </row>
    <row r="7" spans="1:12" x14ac:dyDescent="0.25">
      <c r="A7" s="2" t="s">
        <v>6</v>
      </c>
      <c r="B7" s="3">
        <v>0.1</v>
      </c>
    </row>
    <row r="8" spans="1:12" x14ac:dyDescent="0.25">
      <c r="A8" s="2" t="s">
        <v>7</v>
      </c>
      <c r="B8" s="4">
        <v>0.1</v>
      </c>
    </row>
    <row r="9" spans="1:12" x14ac:dyDescent="0.25">
      <c r="A9" s="2" t="s">
        <v>8</v>
      </c>
      <c r="B9" s="4">
        <v>0.08</v>
      </c>
    </row>
    <row r="10" spans="1:12" x14ac:dyDescent="0.25">
      <c r="A10" s="2" t="s">
        <v>9</v>
      </c>
      <c r="B10" s="3">
        <v>0.4</v>
      </c>
    </row>
    <row r="11" spans="1:12" x14ac:dyDescent="0.25">
      <c r="A11" s="2" t="s">
        <v>10</v>
      </c>
      <c r="B11" s="3">
        <v>0.4</v>
      </c>
    </row>
    <row r="13" spans="1:12" x14ac:dyDescent="0.25">
      <c r="A13" s="5" t="s">
        <v>11</v>
      </c>
      <c r="B13" s="6">
        <v>0</v>
      </c>
      <c r="C13" s="6">
        <v>1</v>
      </c>
      <c r="D13" s="6">
        <v>2</v>
      </c>
      <c r="E13" s="6">
        <v>3</v>
      </c>
      <c r="F13" s="6">
        <v>4</v>
      </c>
      <c r="G13" s="6">
        <v>5</v>
      </c>
      <c r="H13" s="5"/>
      <c r="I13" s="5"/>
      <c r="J13" s="5"/>
      <c r="K13" s="5"/>
      <c r="L13" s="5"/>
    </row>
    <row r="14" spans="1:12" x14ac:dyDescent="0.25">
      <c r="A14" s="5" t="s">
        <v>12</v>
      </c>
    </row>
    <row r="15" spans="1:12" x14ac:dyDescent="0.25">
      <c r="A15" s="2" t="s">
        <v>13</v>
      </c>
      <c r="B15" s="7">
        <f>1000</f>
        <v>1000</v>
      </c>
      <c r="C15" s="7">
        <f>B15*(1+$B$2)</f>
        <v>1100</v>
      </c>
      <c r="D15" s="7">
        <f>C15*(1+$B$2)</f>
        <v>1210</v>
      </c>
      <c r="E15" s="7">
        <f>D15*(1+$B$2)</f>
        <v>1331</v>
      </c>
      <c r="F15" s="7">
        <f>E15*(1+$B$2)</f>
        <v>1464.1000000000001</v>
      </c>
      <c r="G15" s="7">
        <f>F15*(1+$B$2)</f>
        <v>1610.5100000000002</v>
      </c>
    </row>
    <row r="16" spans="1:12" x14ac:dyDescent="0.25">
      <c r="A16" s="2" t="s">
        <v>14</v>
      </c>
      <c r="B16" s="7">
        <f t="shared" ref="B16:G16" si="0">-B15*$B$6</f>
        <v>-500</v>
      </c>
      <c r="C16" s="7">
        <f t="shared" si="0"/>
        <v>-550</v>
      </c>
      <c r="D16" s="7">
        <f t="shared" si="0"/>
        <v>-605</v>
      </c>
      <c r="E16" s="7">
        <f t="shared" si="0"/>
        <v>-665.5</v>
      </c>
      <c r="F16" s="7">
        <f t="shared" si="0"/>
        <v>-732.05000000000007</v>
      </c>
      <c r="G16" s="7">
        <f t="shared" si="0"/>
        <v>-805.25500000000011</v>
      </c>
    </row>
    <row r="17" spans="1:10" x14ac:dyDescent="0.25">
      <c r="A17" s="2" t="s">
        <v>15</v>
      </c>
      <c r="B17" s="7">
        <f>-$B$8*B36</f>
        <v>-32</v>
      </c>
      <c r="C17" s="7">
        <f>-$B$8*(B36+C36)/2</f>
        <v>-32</v>
      </c>
      <c r="D17" s="7">
        <f>-$B$8*(C36+D36)/2</f>
        <v>-32</v>
      </c>
      <c r="E17" s="7">
        <f>-$B$8*(D36+E36)/2</f>
        <v>-32</v>
      </c>
      <c r="F17" s="7">
        <f>-$B$8*(E36+F36)/2</f>
        <v>-32</v>
      </c>
      <c r="G17" s="7">
        <f>-$B$8*(F36+G36)/2</f>
        <v>-32</v>
      </c>
    </row>
    <row r="18" spans="1:10" x14ac:dyDescent="0.25">
      <c r="A18" s="2" t="s">
        <v>16</v>
      </c>
      <c r="B18" s="7">
        <f>$B$9*B27</f>
        <v>6.4</v>
      </c>
      <c r="C18" s="7">
        <f ca="1">$B$9*(B27+C27)/2</f>
        <v>6.3947849025974026</v>
      </c>
      <c r="D18" s="7">
        <f ca="1">$B$9*(C27+D27)/2</f>
        <v>5.9960834062447246</v>
      </c>
      <c r="E18" s="7">
        <f ca="1">$B$9*(D27+E27)/2</f>
        <v>4.6975568255830424</v>
      </c>
      <c r="F18" s="7">
        <f ca="1">$B$9*(E27+F27)/2</f>
        <v>2.1951395952190613</v>
      </c>
      <c r="G18" s="7">
        <f ca="1">$B$9*(F27+G27)/2</f>
        <v>-1.6746366136104827</v>
      </c>
      <c r="J18" s="2" t="s">
        <v>76</v>
      </c>
    </row>
    <row r="19" spans="1:10" x14ac:dyDescent="0.25">
      <c r="A19" s="2" t="s">
        <v>17</v>
      </c>
      <c r="B19" s="20">
        <v>-100</v>
      </c>
      <c r="C19" s="20">
        <f ca="1">-$B$7*(C30+B30)/2</f>
        <v>-291.42361111111103</v>
      </c>
      <c r="D19" s="20">
        <f ca="1">-$B$7*(D30+C30)/2</f>
        <v>-349.65486111111107</v>
      </c>
      <c r="E19" s="20">
        <f ca="1">-$B$7*(E30+D30)/2</f>
        <v>-418.71423611111106</v>
      </c>
      <c r="F19" s="20">
        <f ca="1">-$B$7*(F30+E30)/2</f>
        <v>-502.60743464052285</v>
      </c>
      <c r="G19" s="20">
        <f ca="1">-$B$7*(G30+F30)/2</f>
        <v>-587.76252728758175</v>
      </c>
      <c r="I19" s="2" t="s">
        <v>75</v>
      </c>
      <c r="J19" s="24" t="s">
        <v>77</v>
      </c>
    </row>
    <row r="20" spans="1:10" x14ac:dyDescent="0.25">
      <c r="A20" s="2" t="s">
        <v>18</v>
      </c>
      <c r="B20" s="7">
        <f t="shared" ref="B20:G20" si="1">SUM(B15:B19)</f>
        <v>374.4</v>
      </c>
      <c r="C20" s="7">
        <f t="shared" ca="1" si="1"/>
        <v>232.97117379148636</v>
      </c>
      <c r="D20" s="7">
        <f t="shared" ca="1" si="1"/>
        <v>229.3412222951336</v>
      </c>
      <c r="E20" s="7">
        <f t="shared" ca="1" si="1"/>
        <v>219.48332071447203</v>
      </c>
      <c r="F20" s="7">
        <f t="shared" ca="1" si="1"/>
        <v>199.63770495469629</v>
      </c>
      <c r="G20" s="7">
        <f t="shared" ca="1" si="1"/>
        <v>183.8178360988079</v>
      </c>
      <c r="J20" s="24" t="s">
        <v>78</v>
      </c>
    </row>
    <row r="21" spans="1:10" x14ac:dyDescent="0.25">
      <c r="A21" s="2" t="s">
        <v>19</v>
      </c>
      <c r="B21" s="7">
        <f t="shared" ref="B21:G21" si="2">-B20*$B$10</f>
        <v>-149.76</v>
      </c>
      <c r="C21" s="7">
        <f t="shared" ca="1" si="2"/>
        <v>-93.188469516594552</v>
      </c>
      <c r="D21" s="7">
        <f t="shared" ca="1" si="2"/>
        <v>-91.736488918053453</v>
      </c>
      <c r="E21" s="7">
        <f t="shared" ca="1" si="2"/>
        <v>-87.793328285788817</v>
      </c>
      <c r="F21" s="7">
        <f t="shared" ca="1" si="2"/>
        <v>-79.855081981878527</v>
      </c>
      <c r="G21" s="7">
        <f t="shared" ca="1" si="2"/>
        <v>-73.527134439523167</v>
      </c>
    </row>
    <row r="22" spans="1:10" x14ac:dyDescent="0.25">
      <c r="A22" s="2" t="s">
        <v>20</v>
      </c>
      <c r="B22" s="7">
        <f t="shared" ref="B22:G22" si="3">B21+B20</f>
        <v>224.64</v>
      </c>
      <c r="C22" s="7">
        <f t="shared" ca="1" si="3"/>
        <v>139.78270427489181</v>
      </c>
      <c r="D22" s="7">
        <f t="shared" ca="1" si="3"/>
        <v>137.60473337708015</v>
      </c>
      <c r="E22" s="7">
        <f t="shared" ca="1" si="3"/>
        <v>131.68999242868321</v>
      </c>
      <c r="F22" s="7">
        <f t="shared" ca="1" si="3"/>
        <v>119.78262297281776</v>
      </c>
      <c r="G22" s="7">
        <f t="shared" ca="1" si="3"/>
        <v>110.29070165928474</v>
      </c>
    </row>
    <row r="23" spans="1:10" x14ac:dyDescent="0.25">
      <c r="A23" s="2" t="s">
        <v>21</v>
      </c>
      <c r="B23" s="7">
        <f>-B22*$B$11</f>
        <v>-89.855999999999995</v>
      </c>
      <c r="C23" s="7">
        <f ca="1">-$B$11*C22</f>
        <v>-55.913081709956728</v>
      </c>
      <c r="D23" s="7">
        <f ca="1">-$B$11*D22</f>
        <v>-55.041893350832062</v>
      </c>
      <c r="E23" s="7">
        <f ca="1">-$B$11*E22</f>
        <v>-52.675996971473289</v>
      </c>
      <c r="F23" s="7">
        <f ca="1">-$B$11*F22</f>
        <v>-47.913049189127108</v>
      </c>
      <c r="G23" s="7">
        <f ca="1">-$B$11*G22</f>
        <v>-44.116280663713894</v>
      </c>
    </row>
    <row r="24" spans="1:10" x14ac:dyDescent="0.25">
      <c r="A24" s="2" t="s">
        <v>22</v>
      </c>
      <c r="B24" s="7">
        <f t="shared" ref="B24:G24" si="4">B23+B22</f>
        <v>134.78399999999999</v>
      </c>
      <c r="C24" s="7">
        <f t="shared" ca="1" si="4"/>
        <v>83.869622564935085</v>
      </c>
      <c r="D24" s="7">
        <f t="shared" ca="1" si="4"/>
        <v>82.562840026248097</v>
      </c>
      <c r="E24" s="7">
        <f t="shared" ca="1" si="4"/>
        <v>79.013995457209916</v>
      </c>
      <c r="F24" s="7">
        <f t="shared" ca="1" si="4"/>
        <v>71.869573783690655</v>
      </c>
      <c r="G24" s="7">
        <f t="shared" ca="1" si="4"/>
        <v>66.174420995570841</v>
      </c>
    </row>
    <row r="25" spans="1:10" x14ac:dyDescent="0.25">
      <c r="B25" s="7"/>
      <c r="C25" s="7"/>
      <c r="D25" s="7"/>
      <c r="E25" s="7"/>
      <c r="F25" s="7"/>
      <c r="G25" s="7"/>
    </row>
    <row r="26" spans="1:10" x14ac:dyDescent="0.25">
      <c r="A26" s="5" t="s">
        <v>23</v>
      </c>
      <c r="B26" s="7"/>
      <c r="C26" s="7"/>
      <c r="D26" s="7"/>
      <c r="E26" s="7"/>
      <c r="F26" s="7"/>
      <c r="G26" s="7"/>
    </row>
    <row r="27" spans="1:10" x14ac:dyDescent="0.25">
      <c r="A27" s="8" t="s">
        <v>24</v>
      </c>
      <c r="B27" s="7">
        <v>80</v>
      </c>
      <c r="C27" s="7">
        <f ca="1">C39-C28-C32</f>
        <v>79.869622564935071</v>
      </c>
      <c r="D27" s="7">
        <f ca="1">D39-D28-D32</f>
        <v>70.032462591183048</v>
      </c>
      <c r="E27" s="7">
        <f ca="1">E39-E28-E32</f>
        <v>47.406458048393006</v>
      </c>
      <c r="F27" s="7">
        <f ca="1">F39-F28-F32</f>
        <v>7.4720318320835304</v>
      </c>
      <c r="G27" s="7">
        <f ca="1">G39-G28-G32</f>
        <v>-49.337947172345594</v>
      </c>
      <c r="H27" s="7" t="str">
        <f ca="1">[2]!getformula(G27)</f>
        <v>&lt;--  =G39-G28-G32</v>
      </c>
    </row>
    <row r="28" spans="1:10" x14ac:dyDescent="0.25">
      <c r="A28" s="2" t="s">
        <v>25</v>
      </c>
      <c r="B28" s="7">
        <f>$B$3*B15</f>
        <v>150</v>
      </c>
      <c r="C28" s="7">
        <f>C15*$B$3</f>
        <v>165</v>
      </c>
      <c r="D28" s="7">
        <f>D15*$B$3</f>
        <v>181.5</v>
      </c>
      <c r="E28" s="7">
        <f>E15*$B$3</f>
        <v>199.65</v>
      </c>
      <c r="F28" s="7">
        <f>F15*$B$3</f>
        <v>219.61500000000001</v>
      </c>
      <c r="G28" s="7">
        <f>G15*$B$3</f>
        <v>241.57650000000001</v>
      </c>
    </row>
    <row r="29" spans="1:10" x14ac:dyDescent="0.25">
      <c r="A29" s="2" t="s">
        <v>26</v>
      </c>
      <c r="B29" s="7"/>
      <c r="C29" s="7"/>
      <c r="D29" s="7"/>
      <c r="E29" s="7"/>
      <c r="F29" s="7"/>
      <c r="G29" s="7"/>
    </row>
    <row r="30" spans="1:10" x14ac:dyDescent="0.25">
      <c r="A30" s="2" t="s">
        <v>27</v>
      </c>
      <c r="B30" s="20">
        <f t="shared" ref="B30:G32" ca="1" si="5">B60</f>
        <v>2673.6111111111104</v>
      </c>
      <c r="C30" s="20">
        <f t="shared" ca="1" si="5"/>
        <v>3154.8611111111104</v>
      </c>
      <c r="D30" s="20">
        <f t="shared" ca="1" si="5"/>
        <v>3838.2361111111104</v>
      </c>
      <c r="E30" s="20">
        <f t="shared" ca="1" si="5"/>
        <v>4536.0486111111104</v>
      </c>
      <c r="F30" s="20">
        <f t="shared" ca="1" si="5"/>
        <v>5516.1000816993464</v>
      </c>
      <c r="G30" s="20">
        <f t="shared" ca="1" si="5"/>
        <v>6239.1504640522871</v>
      </c>
      <c r="H30" s="7" t="str">
        <f ca="1">[2]!getformula(G30)</f>
        <v>&lt;--  =G60</v>
      </c>
    </row>
    <row r="31" spans="1:10" x14ac:dyDescent="0.25">
      <c r="A31" s="2" t="s">
        <v>28</v>
      </c>
      <c r="B31" s="9">
        <f t="shared" ca="1" si="5"/>
        <v>-1903.6111111111104</v>
      </c>
      <c r="C31" s="9">
        <f t="shared" ca="1" si="5"/>
        <v>-2307.8611111111104</v>
      </c>
      <c r="D31" s="9">
        <f t="shared" ca="1" si="5"/>
        <v>-2906.5361111111106</v>
      </c>
      <c r="E31" s="9">
        <f t="shared" ca="1" si="5"/>
        <v>-3511.1786111111105</v>
      </c>
      <c r="F31" s="9">
        <f t="shared" ca="1" si="5"/>
        <v>-4388.7430816993465</v>
      </c>
      <c r="G31" s="9">
        <f t="shared" ca="1" si="5"/>
        <v>-4999.057764052287</v>
      </c>
      <c r="H31" s="7" t="str">
        <f ca="1">[2]!getformula(G31)</f>
        <v>&lt;--  =G61</v>
      </c>
    </row>
    <row r="32" spans="1:10" x14ac:dyDescent="0.25">
      <c r="A32" s="2" t="s">
        <v>29</v>
      </c>
      <c r="B32" s="7">
        <f t="shared" si="5"/>
        <v>770</v>
      </c>
      <c r="C32" s="7">
        <f t="shared" si="5"/>
        <v>847</v>
      </c>
      <c r="D32" s="7">
        <f t="shared" si="5"/>
        <v>931.7</v>
      </c>
      <c r="E32" s="7">
        <f t="shared" si="5"/>
        <v>1024.8700000000001</v>
      </c>
      <c r="F32" s="7">
        <f t="shared" si="5"/>
        <v>1127.3570000000002</v>
      </c>
      <c r="G32" s="7">
        <f t="shared" si="5"/>
        <v>1240.0927000000001</v>
      </c>
      <c r="H32" s="7" t="str">
        <f ca="1">[2]!getformula(G32)</f>
        <v>&lt;--  =G62</v>
      </c>
    </row>
    <row r="33" spans="1:12" x14ac:dyDescent="0.25">
      <c r="A33" s="5" t="s">
        <v>30</v>
      </c>
      <c r="B33" s="7">
        <f>B27+B28+B32</f>
        <v>1000</v>
      </c>
      <c r="C33" s="7">
        <f ca="1">C32+C28+C27</f>
        <v>1091.8696225649351</v>
      </c>
      <c r="D33" s="7">
        <f ca="1">D32+D28+D27</f>
        <v>1183.2324625911831</v>
      </c>
      <c r="E33" s="7">
        <f ca="1">E32+E28+E27</f>
        <v>1271.9264580483932</v>
      </c>
      <c r="F33" s="7">
        <f ca="1">F32+F28+F27</f>
        <v>1354.4440318320837</v>
      </c>
      <c r="G33" s="7">
        <f ca="1">G32+G28+G27</f>
        <v>1432.3312528276547</v>
      </c>
    </row>
    <row r="34" spans="1:12" x14ac:dyDescent="0.25">
      <c r="B34" s="7"/>
      <c r="C34" s="7"/>
      <c r="D34" s="7"/>
      <c r="E34" s="7"/>
      <c r="F34" s="7"/>
      <c r="G34" s="7"/>
    </row>
    <row r="35" spans="1:12" x14ac:dyDescent="0.25">
      <c r="A35" s="2" t="s">
        <v>31</v>
      </c>
      <c r="B35" s="7">
        <f t="shared" ref="B35:G35" si="6">B15*$B$4</f>
        <v>80</v>
      </c>
      <c r="C35" s="7">
        <f t="shared" si="6"/>
        <v>88</v>
      </c>
      <c r="D35" s="7">
        <f t="shared" si="6"/>
        <v>96.8</v>
      </c>
      <c r="E35" s="7">
        <f t="shared" si="6"/>
        <v>106.48</v>
      </c>
      <c r="F35" s="7">
        <f t="shared" si="6"/>
        <v>117.12800000000001</v>
      </c>
      <c r="G35" s="7">
        <f t="shared" si="6"/>
        <v>128.84080000000003</v>
      </c>
    </row>
    <row r="36" spans="1:12" x14ac:dyDescent="0.25">
      <c r="A36" s="2" t="s">
        <v>32</v>
      </c>
      <c r="B36" s="7">
        <f>B33-B35-B37-B38</f>
        <v>320</v>
      </c>
      <c r="C36" s="7">
        <f t="shared" ref="C36:G37" si="7">B36</f>
        <v>320</v>
      </c>
      <c r="D36" s="7">
        <f t="shared" si="7"/>
        <v>320</v>
      </c>
      <c r="E36" s="7">
        <f t="shared" si="7"/>
        <v>320</v>
      </c>
      <c r="F36" s="7">
        <f t="shared" si="7"/>
        <v>320</v>
      </c>
      <c r="G36" s="7">
        <f t="shared" si="7"/>
        <v>320</v>
      </c>
      <c r="H36" s="7" t="str">
        <f ca="1">[2]!getformula(G36)</f>
        <v>&lt;--  =F36</v>
      </c>
    </row>
    <row r="37" spans="1:12" x14ac:dyDescent="0.25">
      <c r="A37" s="2" t="s">
        <v>33</v>
      </c>
      <c r="B37" s="7">
        <v>450</v>
      </c>
      <c r="C37" s="7">
        <f t="shared" si="7"/>
        <v>450</v>
      </c>
      <c r="D37" s="7">
        <f t="shared" si="7"/>
        <v>450</v>
      </c>
      <c r="E37" s="7">
        <f t="shared" si="7"/>
        <v>450</v>
      </c>
      <c r="F37" s="7">
        <f t="shared" si="7"/>
        <v>450</v>
      </c>
      <c r="G37" s="7">
        <f t="shared" si="7"/>
        <v>450</v>
      </c>
    </row>
    <row r="38" spans="1:12" x14ac:dyDescent="0.25">
      <c r="A38" s="2" t="s">
        <v>34</v>
      </c>
      <c r="B38" s="7">
        <v>150</v>
      </c>
      <c r="C38" s="7">
        <f ca="1">B38+C24</f>
        <v>233.86962256493507</v>
      </c>
      <c r="D38" s="7">
        <f ca="1">C38+D24</f>
        <v>316.43246259118314</v>
      </c>
      <c r="E38" s="7">
        <f ca="1">D38+E24</f>
        <v>395.44645804839308</v>
      </c>
      <c r="F38" s="7">
        <f ca="1">E38+F24</f>
        <v>467.31603183208375</v>
      </c>
      <c r="G38" s="7">
        <f ca="1">F38+G24</f>
        <v>533.49045282765462</v>
      </c>
      <c r="H38" s="7" t="str">
        <f ca="1">[2]!getformula(G38)</f>
        <v>&lt;--  =F38+G24</v>
      </c>
    </row>
    <row r="39" spans="1:12" x14ac:dyDescent="0.25">
      <c r="A39" s="5" t="s">
        <v>35</v>
      </c>
      <c r="B39" s="7">
        <f t="shared" ref="B39:G39" si="8">SUM(B35:B38)</f>
        <v>1000</v>
      </c>
      <c r="C39" s="7">
        <f t="shared" ca="1" si="8"/>
        <v>1091.8696225649351</v>
      </c>
      <c r="D39" s="7">
        <f t="shared" ca="1" si="8"/>
        <v>1183.2324625911831</v>
      </c>
      <c r="E39" s="7">
        <f t="shared" ca="1" si="8"/>
        <v>1271.9264580483932</v>
      </c>
      <c r="F39" s="7">
        <f t="shared" ca="1" si="8"/>
        <v>1354.4440318320837</v>
      </c>
      <c r="G39" s="7">
        <f t="shared" ca="1" si="8"/>
        <v>1432.3312528276547</v>
      </c>
    </row>
    <row r="42" spans="1:12" x14ac:dyDescent="0.25">
      <c r="A42" s="10" t="s">
        <v>11</v>
      </c>
      <c r="B42" s="11">
        <v>0</v>
      </c>
      <c r="C42" s="11">
        <v>1</v>
      </c>
      <c r="D42" s="11">
        <v>2</v>
      </c>
      <c r="E42" s="11">
        <v>3</v>
      </c>
      <c r="F42" s="11">
        <v>4</v>
      </c>
      <c r="G42" s="11">
        <v>5</v>
      </c>
      <c r="H42" s="5"/>
      <c r="I42" s="5"/>
      <c r="J42" s="5"/>
      <c r="K42" s="5"/>
      <c r="L42" s="5"/>
    </row>
    <row r="43" spans="1:12" x14ac:dyDescent="0.25">
      <c r="A43" s="10" t="s">
        <v>36</v>
      </c>
      <c r="B43" s="12"/>
      <c r="C43" s="12"/>
      <c r="D43" s="12"/>
      <c r="E43" s="12"/>
      <c r="F43" s="12"/>
      <c r="G43" s="12"/>
    </row>
    <row r="44" spans="1:12" x14ac:dyDescent="0.25">
      <c r="A44" s="12" t="s">
        <v>20</v>
      </c>
      <c r="B44" s="12"/>
      <c r="C44" s="12">
        <f ca="1">C22</f>
        <v>139.78270427489181</v>
      </c>
      <c r="D44" s="12">
        <f ca="1">D22</f>
        <v>137.60473337708015</v>
      </c>
      <c r="E44" s="12">
        <f ca="1">E22</f>
        <v>131.68999242868321</v>
      </c>
      <c r="F44" s="12">
        <f ca="1">F22</f>
        <v>119.78262297281776</v>
      </c>
      <c r="G44" s="12">
        <f ca="1">G22</f>
        <v>110.29070165928474</v>
      </c>
    </row>
    <row r="45" spans="1:12" x14ac:dyDescent="0.25">
      <c r="A45" s="12" t="s">
        <v>37</v>
      </c>
      <c r="B45" s="12"/>
      <c r="C45" s="12">
        <f ca="1">-C19</f>
        <v>291.42361111111103</v>
      </c>
      <c r="D45" s="12">
        <f ca="1">-D19</f>
        <v>349.65486111111107</v>
      </c>
      <c r="E45" s="12">
        <f ca="1">-E19</f>
        <v>418.71423611111106</v>
      </c>
      <c r="F45" s="12">
        <f ca="1">-F19</f>
        <v>502.60743464052285</v>
      </c>
      <c r="G45" s="12">
        <f ca="1">-G19</f>
        <v>587.76252728758175</v>
      </c>
    </row>
    <row r="46" spans="1:12" x14ac:dyDescent="0.25">
      <c r="A46" s="12" t="s">
        <v>38</v>
      </c>
      <c r="B46" s="12"/>
      <c r="C46" s="12">
        <f>-(C28-B28)</f>
        <v>-15</v>
      </c>
      <c r="D46" s="12">
        <f>-(D28-C28)</f>
        <v>-16.5</v>
      </c>
      <c r="E46" s="12">
        <f>-(E28-D28)</f>
        <v>-18.150000000000006</v>
      </c>
      <c r="F46" s="12">
        <f>-(F28-E28)</f>
        <v>-19.965000000000003</v>
      </c>
      <c r="G46" s="12">
        <f>-(G28-F28)</f>
        <v>-21.961500000000001</v>
      </c>
    </row>
    <row r="47" spans="1:12" x14ac:dyDescent="0.25">
      <c r="A47" s="12" t="s">
        <v>39</v>
      </c>
      <c r="B47" s="12"/>
      <c r="C47" s="12">
        <f>C35-B35</f>
        <v>8</v>
      </c>
      <c r="D47" s="12">
        <f>D35-C35</f>
        <v>8.7999999999999972</v>
      </c>
      <c r="E47" s="12">
        <f>E35-D35</f>
        <v>9.6800000000000068</v>
      </c>
      <c r="F47" s="12">
        <f>F35-E35</f>
        <v>10.64800000000001</v>
      </c>
      <c r="G47" s="12">
        <f>G35-F35</f>
        <v>11.712800000000016</v>
      </c>
    </row>
    <row r="48" spans="1:12" x14ac:dyDescent="0.25">
      <c r="A48" s="12" t="s">
        <v>40</v>
      </c>
      <c r="B48" s="12"/>
      <c r="C48" s="12">
        <f ca="1">-(C30-B30)</f>
        <v>-481.25</v>
      </c>
      <c r="D48" s="12">
        <f ca="1">-(D30-C30)</f>
        <v>-683.375</v>
      </c>
      <c r="E48" s="12">
        <f ca="1">-(E30-D30)</f>
        <v>-697.8125</v>
      </c>
      <c r="F48" s="12">
        <f ca="1">-(F30-E30)</f>
        <v>-980.05147058823604</v>
      </c>
      <c r="G48" s="12">
        <f ca="1">-(G30-F30)</f>
        <v>-723.05038235294069</v>
      </c>
    </row>
    <row r="49" spans="1:12" x14ac:dyDescent="0.25">
      <c r="A49" s="12" t="s">
        <v>41</v>
      </c>
      <c r="B49" s="12"/>
      <c r="C49" s="12">
        <f t="shared" ref="C49:G50" si="9">-(1-$B$10)*C17</f>
        <v>19.2</v>
      </c>
      <c r="D49" s="12">
        <f t="shared" si="9"/>
        <v>19.2</v>
      </c>
      <c r="E49" s="12">
        <f t="shared" si="9"/>
        <v>19.2</v>
      </c>
      <c r="F49" s="12">
        <f t="shared" si="9"/>
        <v>19.2</v>
      </c>
      <c r="G49" s="12">
        <f t="shared" si="9"/>
        <v>19.2</v>
      </c>
    </row>
    <row r="50" spans="1:12" x14ac:dyDescent="0.25">
      <c r="A50" s="12" t="s">
        <v>42</v>
      </c>
      <c r="B50" s="12"/>
      <c r="C50" s="12">
        <f t="shared" ca="1" si="9"/>
        <v>-3.8368709415584412</v>
      </c>
      <c r="D50" s="12">
        <f t="shared" ca="1" si="9"/>
        <v>-3.5976500437468344</v>
      </c>
      <c r="E50" s="12">
        <f t="shared" ca="1" si="9"/>
        <v>-2.8185340953498255</v>
      </c>
      <c r="F50" s="12">
        <f t="shared" ca="1" si="9"/>
        <v>-1.3170837571314367</v>
      </c>
      <c r="G50" s="12">
        <f t="shared" ca="1" si="9"/>
        <v>1.0047819681662895</v>
      </c>
    </row>
    <row r="51" spans="1:12" x14ac:dyDescent="0.25">
      <c r="A51" s="10" t="s">
        <v>43</v>
      </c>
      <c r="B51" s="12"/>
      <c r="C51" s="12">
        <f ca="1">SUM(C44:C50)</f>
        <v>-41.680555555555571</v>
      </c>
      <c r="D51" s="12">
        <f ca="1">SUM(D44:D50)</f>
        <v>-188.2130555555556</v>
      </c>
      <c r="E51" s="12">
        <f ca="1">SUM(E44:E50)</f>
        <v>-139.49680555555557</v>
      </c>
      <c r="F51" s="12">
        <f ca="1">SUM(F44:F50)</f>
        <v>-349.09549673202696</v>
      </c>
      <c r="G51" s="12">
        <f ca="1">SUM(G44:G50)</f>
        <v>-15.041071437907872</v>
      </c>
    </row>
    <row r="54" spans="1:12" ht="15.6" x14ac:dyDescent="0.3">
      <c r="A54" s="13" t="s">
        <v>44</v>
      </c>
    </row>
    <row r="55" spans="1:12" x14ac:dyDescent="0.25">
      <c r="A55" s="8" t="s">
        <v>1</v>
      </c>
      <c r="B55" s="3">
        <f>B2</f>
        <v>0.1</v>
      </c>
    </row>
    <row r="56" spans="1:12" x14ac:dyDescent="0.25">
      <c r="A56" s="2" t="s">
        <v>4</v>
      </c>
      <c r="B56" s="3">
        <f>B5</f>
        <v>0.77</v>
      </c>
    </row>
    <row r="57" spans="1:12" x14ac:dyDescent="0.25">
      <c r="A57" s="8" t="s">
        <v>13</v>
      </c>
      <c r="B57" s="14">
        <f>B15</f>
        <v>1000</v>
      </c>
      <c r="C57" s="14">
        <f>B57*(1+$B$55)</f>
        <v>1100</v>
      </c>
      <c r="D57" s="14">
        <f>C57*(1+$B$55)</f>
        <v>1210</v>
      </c>
      <c r="E57" s="14">
        <f>D57*(1+$B$55)</f>
        <v>1331</v>
      </c>
      <c r="F57" s="14">
        <f>E57*(1+$B$55)</f>
        <v>1464.1000000000001</v>
      </c>
      <c r="G57" s="14">
        <f>F57*(1+$B$55)</f>
        <v>1610.5100000000002</v>
      </c>
    </row>
    <row r="58" spans="1:12" x14ac:dyDescent="0.25">
      <c r="A58" s="5"/>
    </row>
    <row r="59" spans="1:12" x14ac:dyDescent="0.25">
      <c r="A59" s="5" t="s">
        <v>11</v>
      </c>
      <c r="B59" s="6">
        <v>0</v>
      </c>
      <c r="C59" s="6">
        <v>1</v>
      </c>
      <c r="D59" s="6">
        <v>2</v>
      </c>
      <c r="E59" s="6">
        <v>3</v>
      </c>
      <c r="F59" s="6">
        <v>4</v>
      </c>
      <c r="G59" s="6">
        <v>5</v>
      </c>
      <c r="H59" s="5"/>
      <c r="I59" s="5"/>
      <c r="J59" s="5"/>
      <c r="K59" s="5"/>
      <c r="L59" s="5"/>
    </row>
    <row r="60" spans="1:12" x14ac:dyDescent="0.25">
      <c r="A60" s="2" t="s">
        <v>45</v>
      </c>
      <c r="B60" s="21">
        <f t="shared" ref="B60:G60" ca="1" si="10">B62-B61</f>
        <v>2673.6111111111104</v>
      </c>
      <c r="C60" s="21">
        <f t="shared" ca="1" si="10"/>
        <v>3154.8611111111104</v>
      </c>
      <c r="D60" s="21">
        <f t="shared" ca="1" si="10"/>
        <v>3838.2361111111104</v>
      </c>
      <c r="E60" s="21">
        <f t="shared" ca="1" si="10"/>
        <v>4536.0486111111104</v>
      </c>
      <c r="F60" s="21">
        <f t="shared" ca="1" si="10"/>
        <v>5516.1000816993464</v>
      </c>
      <c r="G60" s="21">
        <f t="shared" ca="1" si="10"/>
        <v>6239.1504640522871</v>
      </c>
      <c r="H60" s="14" t="str">
        <f ca="1">[2]!getformula(G60)</f>
        <v>&lt;--  =G62-G61</v>
      </c>
      <c r="I60" s="2" t="s">
        <v>69</v>
      </c>
      <c r="J60" s="24" t="s">
        <v>74</v>
      </c>
    </row>
    <row r="61" spans="1:12" x14ac:dyDescent="0.25">
      <c r="A61" s="2" t="s">
        <v>46</v>
      </c>
      <c r="B61" s="15">
        <f t="shared" ref="B61:G61" ca="1" si="11">-B74</f>
        <v>-1903.6111111111104</v>
      </c>
      <c r="C61" s="14">
        <f t="shared" ca="1" si="11"/>
        <v>-2307.8611111111104</v>
      </c>
      <c r="D61" s="14">
        <f t="shared" ca="1" si="11"/>
        <v>-2906.5361111111106</v>
      </c>
      <c r="E61" s="14">
        <f t="shared" ca="1" si="11"/>
        <v>-3511.1786111111105</v>
      </c>
      <c r="F61" s="14">
        <f t="shared" ca="1" si="11"/>
        <v>-4388.7430816993465</v>
      </c>
      <c r="G61" s="14">
        <f t="shared" ca="1" si="11"/>
        <v>-4999.057764052287</v>
      </c>
      <c r="H61" s="14" t="str">
        <f ca="1">[2]!getformula(G61)</f>
        <v>&lt;--  =-G74</v>
      </c>
      <c r="I61" s="24" t="s">
        <v>70</v>
      </c>
      <c r="J61" s="24" t="s">
        <v>72</v>
      </c>
    </row>
    <row r="62" spans="1:12" x14ac:dyDescent="0.25">
      <c r="A62" s="2" t="s">
        <v>47</v>
      </c>
      <c r="B62" s="14">
        <f t="shared" ref="B62:G62" si="12">$B$5*B57</f>
        <v>770</v>
      </c>
      <c r="C62" s="14">
        <f t="shared" si="12"/>
        <v>847</v>
      </c>
      <c r="D62" s="14">
        <f t="shared" si="12"/>
        <v>931.7</v>
      </c>
      <c r="E62" s="14">
        <f t="shared" si="12"/>
        <v>1024.8700000000001</v>
      </c>
      <c r="F62" s="14">
        <f t="shared" si="12"/>
        <v>1127.3570000000002</v>
      </c>
      <c r="G62" s="14">
        <f t="shared" si="12"/>
        <v>1240.0927000000001</v>
      </c>
      <c r="H62" s="14" t="str">
        <f ca="1">[2]!getformula(G62)</f>
        <v>&lt;--  =$B$5*G57</v>
      </c>
      <c r="I62" s="24" t="s">
        <v>71</v>
      </c>
      <c r="J62" s="2" t="s">
        <v>73</v>
      </c>
    </row>
    <row r="63" spans="1:12" x14ac:dyDescent="0.25">
      <c r="B63" s="14"/>
      <c r="D63" s="14"/>
      <c r="E63" s="14"/>
      <c r="F63" s="14"/>
      <c r="G63" s="14"/>
    </row>
    <row r="64" spans="1:12" x14ac:dyDescent="0.25">
      <c r="A64" s="2" t="s">
        <v>48</v>
      </c>
      <c r="B64" s="14"/>
      <c r="C64" s="14">
        <f ca="1">C60-B60</f>
        <v>481.25</v>
      </c>
      <c r="D64" s="14">
        <f ca="1">D60-C60</f>
        <v>683.375</v>
      </c>
      <c r="E64" s="14">
        <f ca="1">E60-D60</f>
        <v>697.8125</v>
      </c>
      <c r="F64" s="14">
        <f ca="1">F60-E60</f>
        <v>980.05147058823604</v>
      </c>
      <c r="G64" s="14">
        <f ca="1">G60-F60</f>
        <v>723.05038235294069</v>
      </c>
    </row>
    <row r="65" spans="1:9" x14ac:dyDescent="0.25">
      <c r="C65" s="14"/>
      <c r="D65" s="14"/>
      <c r="E65" s="14"/>
      <c r="F65" s="14"/>
      <c r="G65" s="14"/>
    </row>
    <row r="66" spans="1:9" x14ac:dyDescent="0.25">
      <c r="A66" s="2" t="s">
        <v>49</v>
      </c>
      <c r="C66" s="22"/>
    </row>
    <row r="67" spans="1:9" x14ac:dyDescent="0.25">
      <c r="A67" s="2" t="s">
        <v>50</v>
      </c>
      <c r="C67" s="16">
        <f ca="1">-B61</f>
        <v>1903.6111111111104</v>
      </c>
      <c r="D67" s="16">
        <f ca="1">-C61</f>
        <v>2307.8611111111104</v>
      </c>
      <c r="E67" s="16">
        <f ca="1">-D61</f>
        <v>2906.5361111111106</v>
      </c>
      <c r="F67" s="16">
        <f ca="1">-E61</f>
        <v>3511.1786111111105</v>
      </c>
      <c r="G67" s="16">
        <f ca="1">-F61</f>
        <v>4388.7430816993465</v>
      </c>
      <c r="H67" s="16"/>
      <c r="I67" s="16"/>
    </row>
    <row r="68" spans="1:9" x14ac:dyDescent="0.25">
      <c r="A68" s="2" t="s">
        <v>51</v>
      </c>
      <c r="C68" s="16">
        <f ca="1">VLOOKUP(3+C$59,$A$80:$B$85,2)*$B$60</f>
        <v>307.99999999999989</v>
      </c>
      <c r="D68" s="16">
        <f ca="1">VLOOKUP(3+D$59,$A$80:$B$85,2)*$B$60</f>
        <v>307.99999999999989</v>
      </c>
      <c r="E68" s="16">
        <f ca="1">VLOOKUP(3+E$59,$A$80:$B$85,2)*$B$60</f>
        <v>153.99999999999994</v>
      </c>
      <c r="F68" s="16">
        <f ca="1">VLOOKUP(3+F$59,$A$80:$B$85,2)*$B$60</f>
        <v>153.99999999999994</v>
      </c>
      <c r="G68" s="16">
        <f ca="1">VLOOKUP(3+G$59,$A$80:$B$85,2)*$B$60</f>
        <v>153.99999999999994</v>
      </c>
      <c r="H68" s="16"/>
      <c r="I68" s="16"/>
    </row>
    <row r="69" spans="1:9" x14ac:dyDescent="0.25">
      <c r="A69" s="2" t="s">
        <v>52</v>
      </c>
      <c r="C69" s="16">
        <f ca="1">VLOOKUP(C$59,$A$80:$B$85,2)*$C$64</f>
        <v>96.25</v>
      </c>
      <c r="D69" s="16">
        <f ca="1">VLOOKUP(D$59,$A$80:$B$85,2)*$C$64</f>
        <v>154</v>
      </c>
      <c r="E69" s="16">
        <f ca="1">VLOOKUP(E$59,$A$80:$B$85,2)*$C$64</f>
        <v>92.4</v>
      </c>
      <c r="F69" s="16">
        <f ca="1">VLOOKUP(F$59,$A$80:$B$85,2)*$C$64</f>
        <v>55.44</v>
      </c>
      <c r="G69" s="16">
        <f ca="1">VLOOKUP(G$59,$A$80:$B$85,2)*$C$64</f>
        <v>55.44</v>
      </c>
      <c r="H69" s="16"/>
      <c r="I69" s="16"/>
    </row>
    <row r="70" spans="1:9" x14ac:dyDescent="0.25">
      <c r="A70" s="2" t="s">
        <v>53</v>
      </c>
      <c r="C70" s="16"/>
      <c r="D70" s="16">
        <f ca="1">VLOOKUP(D$59-1,$A$80:$B$85,2)*$D$64</f>
        <v>136.67500000000001</v>
      </c>
      <c r="E70" s="16">
        <f ca="1">VLOOKUP(E$59-1,$A$80:$B$85,2)*$D$64</f>
        <v>218.68</v>
      </c>
      <c r="F70" s="16">
        <f ca="1">VLOOKUP(F$59-1,$A$80:$B$85,2)*$D$64</f>
        <v>131.208</v>
      </c>
      <c r="G70" s="16">
        <f ca="1">VLOOKUP(G$59-1,$A$80:$B$85,2)*$D$64</f>
        <v>78.724800000000002</v>
      </c>
      <c r="H70" s="16"/>
      <c r="I70" s="16"/>
    </row>
    <row r="71" spans="1:9" x14ac:dyDescent="0.25">
      <c r="A71" s="2" t="s">
        <v>54</v>
      </c>
      <c r="C71" s="16"/>
      <c r="E71" s="16">
        <f ca="1">VLOOKUP(E$59-2,$A$80:$B$85,2)*$E$64</f>
        <v>139.5625</v>
      </c>
      <c r="F71" s="16">
        <f ca="1">VLOOKUP(F$59-2,$A$80:$B$85,2)*$E$64</f>
        <v>223.3</v>
      </c>
      <c r="G71" s="16">
        <f ca="1">VLOOKUP(G$59-2,$A$80:$B$85,2)*$E$64</f>
        <v>133.97999999999999</v>
      </c>
      <c r="H71" s="16"/>
      <c r="I71" s="16"/>
    </row>
    <row r="72" spans="1:9" x14ac:dyDescent="0.25">
      <c r="A72" s="2" t="s">
        <v>55</v>
      </c>
      <c r="C72" s="16"/>
      <c r="D72" s="16"/>
      <c r="F72" s="16">
        <f ca="1">VLOOKUP(F$59-2,$A$80:$B$85,2)*$F$64</f>
        <v>313.61647058823553</v>
      </c>
      <c r="G72" s="16">
        <f ca="1">VLOOKUP(G$59-2,$A$80:$B$85,2)*$F$64</f>
        <v>188.16988235294133</v>
      </c>
      <c r="H72" s="16"/>
      <c r="I72" s="16"/>
    </row>
    <row r="73" spans="1:9" x14ac:dyDescent="0.25">
      <c r="A73" s="2" t="s">
        <v>56</v>
      </c>
      <c r="C73" s="16"/>
      <c r="D73" s="16"/>
      <c r="F73" s="16"/>
      <c r="G73" s="16">
        <f ca="1">VLOOKUP(F$59-2,$A$80:$B$85,2)*$G$64</f>
        <v>231.37612235294102</v>
      </c>
      <c r="H73" s="16"/>
      <c r="I73" s="16"/>
    </row>
    <row r="74" spans="1:9" x14ac:dyDescent="0.25">
      <c r="A74" s="5" t="s">
        <v>57</v>
      </c>
      <c r="B74" s="16">
        <f ca="1">VLOOKUP(3,A80:C85,3)*B60</f>
        <v>1903.6111111111104</v>
      </c>
      <c r="C74" s="16">
        <f ca="1">SUM(C67:C73)</f>
        <v>2307.8611111111104</v>
      </c>
      <c r="D74" s="16">
        <f ca="1">SUM(D67:D73)</f>
        <v>2906.5361111111106</v>
      </c>
      <c r="E74" s="16">
        <f ca="1">SUM(E67:E72)</f>
        <v>3511.1786111111105</v>
      </c>
      <c r="F74" s="16">
        <f ca="1">SUM(F67:F72)</f>
        <v>4388.7430816993465</v>
      </c>
      <c r="G74" s="16">
        <f ca="1">SUM(G67:G72)</f>
        <v>4999.057764052287</v>
      </c>
      <c r="H74" s="2" t="str">
        <f ca="1">[2]!getformula(G74)</f>
        <v>&lt;--  =SUM(G67:G72)</v>
      </c>
      <c r="I74" s="16"/>
    </row>
    <row r="75" spans="1:9" x14ac:dyDescent="0.25">
      <c r="D75" s="16"/>
      <c r="E75" s="16"/>
      <c r="F75" s="16"/>
    </row>
    <row r="76" spans="1:9" x14ac:dyDescent="0.25">
      <c r="C76" s="16"/>
      <c r="D76" s="16"/>
      <c r="E76" s="16"/>
      <c r="F76" s="16"/>
      <c r="G76" s="16"/>
      <c r="H76" s="16"/>
      <c r="I76" s="16"/>
    </row>
    <row r="78" spans="1:9" ht="15.6" x14ac:dyDescent="0.3">
      <c r="A78" s="17" t="s">
        <v>58</v>
      </c>
      <c r="B78" s="17"/>
      <c r="C78" s="17"/>
    </row>
    <row r="79" spans="1:9" ht="26.4" x14ac:dyDescent="0.25">
      <c r="A79" s="6" t="s">
        <v>11</v>
      </c>
      <c r="B79" s="18" t="s">
        <v>59</v>
      </c>
      <c r="C79" s="18" t="s">
        <v>60</v>
      </c>
    </row>
    <row r="80" spans="1:9" x14ac:dyDescent="0.25">
      <c r="A80" s="19">
        <v>1</v>
      </c>
      <c r="B80" s="4">
        <v>0.2</v>
      </c>
      <c r="C80" s="3">
        <f>B80</f>
        <v>0.2</v>
      </c>
    </row>
    <row r="81" spans="1:12" x14ac:dyDescent="0.25">
      <c r="A81" s="19">
        <v>2</v>
      </c>
      <c r="B81" s="4">
        <v>0.32</v>
      </c>
      <c r="C81" s="3">
        <f>B81+C80</f>
        <v>0.52</v>
      </c>
    </row>
    <row r="82" spans="1:12" x14ac:dyDescent="0.25">
      <c r="A82" s="19">
        <v>3</v>
      </c>
      <c r="B82" s="4">
        <v>0.192</v>
      </c>
      <c r="C82" s="3">
        <f>B82+C81</f>
        <v>0.71199999999999997</v>
      </c>
    </row>
    <row r="83" spans="1:12" x14ac:dyDescent="0.25">
      <c r="A83" s="19">
        <v>4</v>
      </c>
      <c r="B83" s="4">
        <v>0.1152</v>
      </c>
      <c r="C83" s="3">
        <f>B83+C82</f>
        <v>0.82719999999999994</v>
      </c>
    </row>
    <row r="84" spans="1:12" x14ac:dyDescent="0.25">
      <c r="A84" s="19">
        <v>5</v>
      </c>
      <c r="B84" s="4">
        <v>0.1152</v>
      </c>
      <c r="C84" s="3">
        <f>B84+C83</f>
        <v>0.9423999999999999</v>
      </c>
    </row>
    <row r="85" spans="1:12" x14ac:dyDescent="0.25">
      <c r="A85" s="19">
        <v>6</v>
      </c>
      <c r="B85" s="4">
        <v>5.7599999999999998E-2</v>
      </c>
      <c r="C85" s="3">
        <f>B85+C84</f>
        <v>0.99999999999999989</v>
      </c>
    </row>
    <row r="87" spans="1:12" x14ac:dyDescent="0.25">
      <c r="A87" s="2" t="s">
        <v>61</v>
      </c>
      <c r="B87" s="4">
        <f>AVERAGE(B80:B85)</f>
        <v>0.16666666666666666</v>
      </c>
      <c r="C87" s="3" t="str">
        <f ca="1">[2]!getformula(B87)</f>
        <v>&lt;--  =AVERAGE(B80:B85)</v>
      </c>
    </row>
    <row r="89" spans="1:12" x14ac:dyDescent="0.25">
      <c r="A89" s="5" t="s">
        <v>62</v>
      </c>
    </row>
    <row r="90" spans="1:12" x14ac:dyDescent="0.25">
      <c r="A90" s="5" t="s">
        <v>11</v>
      </c>
      <c r="B90" s="5">
        <v>0</v>
      </c>
      <c r="C90" s="5">
        <v>1</v>
      </c>
      <c r="D90" s="5">
        <v>2</v>
      </c>
      <c r="E90" s="5">
        <v>3</v>
      </c>
      <c r="F90" s="5">
        <v>4</v>
      </c>
      <c r="G90" s="5">
        <v>5</v>
      </c>
      <c r="H90" s="5"/>
      <c r="I90" s="5"/>
      <c r="J90" s="5"/>
      <c r="K90" s="5"/>
      <c r="L90" s="5"/>
    </row>
    <row r="91" spans="1:12" x14ac:dyDescent="0.25">
      <c r="A91" s="2" t="s">
        <v>63</v>
      </c>
      <c r="B91" s="14">
        <f ca="1">B60</f>
        <v>2673.6111111111104</v>
      </c>
      <c r="C91" s="14">
        <f ca="1">C93-C92</f>
        <v>3243.7222222222213</v>
      </c>
      <c r="D91" s="14">
        <f ca="1">D93-D92</f>
        <v>3925.889898989898</v>
      </c>
      <c r="E91" s="14">
        <f ca="1">E93-E92</f>
        <v>4741.3280624426061</v>
      </c>
      <c r="F91" s="14">
        <f ca="1">F93-F92</f>
        <v>5715.1917101594436</v>
      </c>
      <c r="G91" s="14">
        <f ca="1">G93-G92</f>
        <v>6877.3018756429783</v>
      </c>
    </row>
    <row r="92" spans="1:12" x14ac:dyDescent="0.25">
      <c r="A92" s="2" t="s">
        <v>46</v>
      </c>
      <c r="B92" s="14">
        <f ca="1">B61</f>
        <v>-1903.6111111111104</v>
      </c>
      <c r="C92" s="15">
        <f ca="1">-C98</f>
        <v>-2396.7222222222213</v>
      </c>
      <c r="D92" s="15">
        <f ca="1">-D98</f>
        <v>-2994.1898989898978</v>
      </c>
      <c r="E92" s="15">
        <f ca="1">-E98</f>
        <v>-3716.4580624426062</v>
      </c>
      <c r="F92" s="15">
        <f ca="1">-F98</f>
        <v>-4587.8347101594436</v>
      </c>
      <c r="G92" s="15">
        <f ca="1">-G98</f>
        <v>-5637.2091756429782</v>
      </c>
    </row>
    <row r="93" spans="1:12" x14ac:dyDescent="0.25">
      <c r="A93" s="2" t="s">
        <v>47</v>
      </c>
      <c r="B93" s="14">
        <f>B62</f>
        <v>770</v>
      </c>
      <c r="C93" s="14">
        <f>C62</f>
        <v>847</v>
      </c>
      <c r="D93" s="14">
        <f>D62</f>
        <v>931.7</v>
      </c>
      <c r="E93" s="14">
        <f>E62</f>
        <v>1024.8700000000001</v>
      </c>
      <c r="F93" s="14">
        <f>F62</f>
        <v>1127.3570000000002</v>
      </c>
      <c r="G93" s="14">
        <f>G62</f>
        <v>1240.0927000000001</v>
      </c>
      <c r="H93" s="14"/>
    </row>
    <row r="95" spans="1:12" x14ac:dyDescent="0.25">
      <c r="A95" s="2" t="s">
        <v>49</v>
      </c>
    </row>
    <row r="96" spans="1:12" x14ac:dyDescent="0.25">
      <c r="A96" s="2" t="s">
        <v>64</v>
      </c>
      <c r="C96" s="16">
        <f ca="1">-B92</f>
        <v>1903.6111111111104</v>
      </c>
      <c r="D96" s="16">
        <f ca="1">-C92</f>
        <v>2396.7222222222213</v>
      </c>
      <c r="E96" s="16">
        <f ca="1">-D92</f>
        <v>2994.1898989898978</v>
      </c>
      <c r="F96" s="16">
        <f ca="1">-E92</f>
        <v>3716.4580624426062</v>
      </c>
      <c r="G96" s="16">
        <f ca="1">-F92</f>
        <v>4587.8347101594436</v>
      </c>
    </row>
    <row r="97" spans="1:7" x14ac:dyDescent="0.25">
      <c r="A97" s="2" t="s">
        <v>65</v>
      </c>
      <c r="C97" s="16">
        <f ca="1">$B$87*(C91+B91)/2</f>
        <v>493.11111111111097</v>
      </c>
      <c r="D97" s="16">
        <f ca="1">$B$87*(D91+C91)/2</f>
        <v>597.46767676767661</v>
      </c>
      <c r="E97" s="16">
        <f ca="1">$B$87*(E91+D91)/2</f>
        <v>722.26816345270856</v>
      </c>
      <c r="F97" s="16">
        <f ca="1">$B$87*(F91+E91)/2</f>
        <v>871.3766477168374</v>
      </c>
      <c r="G97" s="16">
        <f ca="1">$B$87*(G91+F91)/2</f>
        <v>1049.374465483535</v>
      </c>
    </row>
    <row r="98" spans="1:7" x14ac:dyDescent="0.25">
      <c r="A98" s="2" t="s">
        <v>57</v>
      </c>
      <c r="C98" s="16">
        <f ca="1">C97+C96</f>
        <v>2396.7222222222213</v>
      </c>
      <c r="D98" s="16">
        <f ca="1">D97+D96</f>
        <v>2994.1898989898978</v>
      </c>
      <c r="E98" s="16">
        <f ca="1">E97+E96</f>
        <v>3716.4580624426062</v>
      </c>
      <c r="F98" s="16">
        <f ca="1">F97+F96</f>
        <v>4587.8347101594436</v>
      </c>
      <c r="G98" s="16">
        <f ca="1">G97+G96</f>
        <v>5637.2091756429782</v>
      </c>
    </row>
    <row r="101" spans="1:7" x14ac:dyDescent="0.25">
      <c r="A101" s="2" t="s">
        <v>66</v>
      </c>
    </row>
    <row r="102" spans="1:7" x14ac:dyDescent="0.25">
      <c r="A102" s="23" t="s">
        <v>67</v>
      </c>
      <c r="C102" s="16">
        <f ca="1">$B$10*SUM(C68:C73)</f>
        <v>161.69999999999996</v>
      </c>
      <c r="D102" s="16">
        <f ca="1">$B$10*SUM(D68:D73)</f>
        <v>239.47</v>
      </c>
      <c r="E102" s="16">
        <f ca="1">$B$10*SUM(E68:E73)</f>
        <v>241.85699999999997</v>
      </c>
      <c r="F102" s="16">
        <f ca="1">$B$10*SUM(F68:F73)</f>
        <v>351.02578823529416</v>
      </c>
      <c r="G102" s="16">
        <f ca="1">$B$10*SUM(G68:G73)</f>
        <v>336.67632188235291</v>
      </c>
    </row>
    <row r="103" spans="1:7" x14ac:dyDescent="0.25">
      <c r="A103" s="2" t="s">
        <v>68</v>
      </c>
      <c r="C103" s="16">
        <f ca="1">$B$10*C97</f>
        <v>197.24444444444441</v>
      </c>
      <c r="D103" s="16">
        <f ca="1">$B$10*D97</f>
        <v>238.98707070707064</v>
      </c>
      <c r="E103" s="16">
        <f ca="1">$B$10*E97</f>
        <v>288.90726538108345</v>
      </c>
      <c r="F103" s="16">
        <f ca="1">$B$10*F97</f>
        <v>348.55065908673498</v>
      </c>
      <c r="G103" s="16">
        <f ca="1">$B$10*G97</f>
        <v>419.74978619341402</v>
      </c>
    </row>
  </sheetData>
  <mergeCells count="2">
    <mergeCell ref="A1:H1"/>
    <mergeCell ref="A78:C7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2024-10-15T02:06:46Z</dcterms:modified>
</cp:coreProperties>
</file>