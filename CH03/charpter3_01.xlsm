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"/>
    </mc:Choice>
  </mc:AlternateContent>
  <xr:revisionPtr revIDLastSave="0" documentId="13_ncr:1_{0945A50E-8EEB-4890-8464-94D8E8B50AB2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</externalReferenc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9" i="1" l="1"/>
  <c r="B125" i="1"/>
  <c r="B123" i="1"/>
  <c r="C109" i="1"/>
  <c r="C103" i="1"/>
  <c r="C101" i="1"/>
  <c r="A122" i="1"/>
  <c r="A108" i="1"/>
  <c r="A100" i="1"/>
  <c r="D51" i="1"/>
  <c r="E51" i="1"/>
  <c r="F51" i="1"/>
  <c r="G51" i="1"/>
  <c r="C51" i="1"/>
  <c r="C37" i="1"/>
  <c r="D37" i="1" s="1"/>
  <c r="B18" i="1"/>
  <c r="B15" i="1"/>
  <c r="B32" i="1" s="1"/>
  <c r="B30" i="1" s="1"/>
  <c r="E130" i="1"/>
  <c r="I122" i="1"/>
  <c r="I125" i="1"/>
  <c r="I123" i="1"/>
  <c r="I124" i="1"/>
  <c r="I126" i="1"/>
  <c r="I108" i="1"/>
  <c r="I109" i="1"/>
  <c r="I110" i="1"/>
  <c r="I100" i="1"/>
  <c r="I101" i="1"/>
  <c r="I102" i="1"/>
  <c r="I103" i="1"/>
  <c r="I104" i="1"/>
  <c r="I98" i="1"/>
  <c r="I97" i="1"/>
  <c r="I49" i="1"/>
  <c r="I50" i="1"/>
  <c r="I51" i="1"/>
  <c r="I52" i="1"/>
  <c r="I53" i="1"/>
  <c r="I48" i="1"/>
  <c r="I47" i="1"/>
  <c r="I46" i="1"/>
  <c r="I86" i="1"/>
  <c r="I85" i="1"/>
  <c r="I83" i="1"/>
  <c r="I82" i="1"/>
  <c r="I77" i="1"/>
  <c r="I74" i="1"/>
  <c r="I71" i="1"/>
  <c r="I70" i="1"/>
  <c r="I69" i="1"/>
  <c r="I67" i="1"/>
  <c r="I66" i="1"/>
  <c r="I39" i="1"/>
  <c r="I38" i="1"/>
  <c r="I37" i="1"/>
  <c r="I36" i="1"/>
  <c r="I35" i="1"/>
  <c r="I33" i="1"/>
  <c r="I32" i="1"/>
  <c r="I31" i="1"/>
  <c r="I30" i="1"/>
  <c r="I28" i="1"/>
  <c r="I27" i="1"/>
  <c r="I18" i="1"/>
  <c r="I19" i="1"/>
  <c r="I20" i="1"/>
  <c r="I21" i="1"/>
  <c r="I22" i="1"/>
  <c r="I23" i="1"/>
  <c r="I24" i="1"/>
  <c r="I17" i="1"/>
  <c r="I16" i="1"/>
  <c r="I15" i="1"/>
  <c r="C81" i="1" l="1"/>
  <c r="E37" i="1"/>
  <c r="D81" i="1"/>
  <c r="B35" i="1"/>
  <c r="C15" i="1"/>
  <c r="D15" i="1" s="1"/>
  <c r="B28" i="1"/>
  <c r="B16" i="1"/>
  <c r="B33" i="1" l="1"/>
  <c r="E15" i="1"/>
  <c r="D28" i="1"/>
  <c r="D32" i="1"/>
  <c r="D35" i="1"/>
  <c r="D16" i="1"/>
  <c r="F37" i="1"/>
  <c r="E81" i="1"/>
  <c r="B36" i="1"/>
  <c r="C36" i="1" s="1"/>
  <c r="C32" i="1"/>
  <c r="C28" i="1"/>
  <c r="C16" i="1"/>
  <c r="C35" i="1"/>
  <c r="D49" i="1" l="1"/>
  <c r="C70" i="1"/>
  <c r="C49" i="1"/>
  <c r="D48" i="1"/>
  <c r="C48" i="1"/>
  <c r="D69" i="1"/>
  <c r="C17" i="1"/>
  <c r="D36" i="1"/>
  <c r="C80" i="1"/>
  <c r="D17" i="1"/>
  <c r="G37" i="1"/>
  <c r="G81" i="1" s="1"/>
  <c r="F81" i="1"/>
  <c r="D70" i="1"/>
  <c r="F15" i="1"/>
  <c r="E32" i="1"/>
  <c r="E28" i="1"/>
  <c r="E35" i="1"/>
  <c r="E16" i="1"/>
  <c r="C69" i="1"/>
  <c r="B39" i="1"/>
  <c r="B17" i="1"/>
  <c r="B20" i="1" s="1"/>
  <c r="B21" i="1" s="1"/>
  <c r="B22" i="1" s="1"/>
  <c r="B23" i="1" s="1"/>
  <c r="B24" i="1" s="1"/>
  <c r="E70" i="1" l="1"/>
  <c r="E49" i="1"/>
  <c r="E48" i="1"/>
  <c r="F28" i="1"/>
  <c r="F69" i="1" s="1"/>
  <c r="F35" i="1"/>
  <c r="G15" i="1"/>
  <c r="F16" i="1"/>
  <c r="F32" i="1"/>
  <c r="E69" i="1"/>
  <c r="E36" i="1"/>
  <c r="D80" i="1"/>
  <c r="E17" i="1"/>
  <c r="F70" i="1" l="1"/>
  <c r="F49" i="1"/>
  <c r="F48" i="1"/>
  <c r="E80" i="1"/>
  <c r="F36" i="1"/>
  <c r="F17" i="1"/>
  <c r="G28" i="1"/>
  <c r="G48" i="1" s="1"/>
  <c r="G16" i="1"/>
  <c r="G32" i="1"/>
  <c r="G35" i="1"/>
  <c r="G69" i="1" l="1"/>
  <c r="G70" i="1"/>
  <c r="G49" i="1"/>
  <c r="F80" i="1"/>
  <c r="G36" i="1"/>
  <c r="G80" i="1" s="1"/>
  <c r="G17" i="1" l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4" i="1"/>
  <c r="D24" i="1"/>
  <c r="E24" i="1"/>
  <c r="F24" i="1"/>
  <c r="G24" i="1"/>
  <c r="C27" i="1"/>
  <c r="D27" i="1"/>
  <c r="E27" i="1"/>
  <c r="F27" i="1"/>
  <c r="G27" i="1"/>
  <c r="C30" i="1"/>
  <c r="D30" i="1"/>
  <c r="E30" i="1"/>
  <c r="F30" i="1"/>
  <c r="G30" i="1"/>
  <c r="C31" i="1"/>
  <c r="D31" i="1"/>
  <c r="E31" i="1"/>
  <c r="F31" i="1"/>
  <c r="G31" i="1"/>
  <c r="C33" i="1"/>
  <c r="D33" i="1"/>
  <c r="E33" i="1"/>
  <c r="F33" i="1"/>
  <c r="G33" i="1"/>
  <c r="C38" i="1"/>
  <c r="D38" i="1"/>
  <c r="E38" i="1"/>
  <c r="F38" i="1"/>
  <c r="G38" i="1"/>
  <c r="C39" i="1"/>
  <c r="D39" i="1"/>
  <c r="E39" i="1"/>
  <c r="F39" i="1"/>
  <c r="G39" i="1"/>
  <c r="C46" i="1"/>
  <c r="D46" i="1"/>
  <c r="E46" i="1"/>
  <c r="F46" i="1"/>
  <c r="G46" i="1"/>
  <c r="C47" i="1"/>
  <c r="D47" i="1"/>
  <c r="E47" i="1"/>
  <c r="F47" i="1"/>
  <c r="G47" i="1"/>
  <c r="C50" i="1"/>
  <c r="D50" i="1"/>
  <c r="E50" i="1"/>
  <c r="F50" i="1"/>
  <c r="G50" i="1"/>
  <c r="C52" i="1"/>
  <c r="D52" i="1"/>
  <c r="E52" i="1"/>
  <c r="F52" i="1"/>
  <c r="G52" i="1"/>
  <c r="C53" i="1"/>
  <c r="D53" i="1"/>
  <c r="E53" i="1"/>
  <c r="F53" i="1"/>
  <c r="G53" i="1"/>
  <c r="C66" i="1"/>
  <c r="D66" i="1"/>
  <c r="E66" i="1"/>
  <c r="F66" i="1"/>
  <c r="G66" i="1"/>
  <c r="C67" i="1"/>
  <c r="D67" i="1"/>
  <c r="E67" i="1"/>
  <c r="F67" i="1"/>
  <c r="G67" i="1"/>
  <c r="C71" i="1"/>
  <c r="D71" i="1"/>
  <c r="E71" i="1"/>
  <c r="F71" i="1"/>
  <c r="G71" i="1"/>
  <c r="C74" i="1"/>
  <c r="D74" i="1"/>
  <c r="E74" i="1"/>
  <c r="F74" i="1"/>
  <c r="G74" i="1"/>
  <c r="C77" i="1"/>
  <c r="D77" i="1"/>
  <c r="E77" i="1"/>
  <c r="F77" i="1"/>
  <c r="G77" i="1"/>
  <c r="C82" i="1"/>
  <c r="D82" i="1"/>
  <c r="E82" i="1"/>
  <c r="F82" i="1"/>
  <c r="G82" i="1"/>
  <c r="C83" i="1"/>
  <c r="D83" i="1"/>
  <c r="E83" i="1"/>
  <c r="F83" i="1"/>
  <c r="G83" i="1"/>
  <c r="C85" i="1"/>
  <c r="D85" i="1"/>
  <c r="E85" i="1"/>
  <c r="F85" i="1"/>
  <c r="G85" i="1"/>
  <c r="C86" i="1"/>
  <c r="D86" i="1"/>
  <c r="E86" i="1"/>
  <c r="F86" i="1"/>
  <c r="G86" i="1"/>
  <c r="C96" i="1"/>
  <c r="D96" i="1"/>
  <c r="E96" i="1"/>
  <c r="F96" i="1"/>
  <c r="G96" i="1"/>
  <c r="G97" i="1"/>
  <c r="C98" i="1"/>
  <c r="D98" i="1"/>
  <c r="E98" i="1"/>
  <c r="F98" i="1"/>
  <c r="G98" i="1"/>
  <c r="C100" i="1"/>
  <c r="C102" i="1"/>
  <c r="C104" i="1"/>
  <c r="C108" i="1"/>
  <c r="C110" i="1"/>
  <c r="C118" i="1"/>
  <c r="D118" i="1"/>
  <c r="E118" i="1"/>
  <c r="F118" i="1"/>
  <c r="G118" i="1"/>
  <c r="G119" i="1"/>
  <c r="C120" i="1"/>
  <c r="D120" i="1"/>
  <c r="E120" i="1"/>
  <c r="F120" i="1"/>
  <c r="G120" i="1"/>
  <c r="B122" i="1"/>
  <c r="B124" i="1"/>
  <c r="B126" i="1"/>
  <c r="D130" i="1"/>
  <c r="D151" i="1"/>
</calcChain>
</file>

<file path=xl/sharedStrings.xml><?xml version="1.0" encoding="utf-8"?>
<sst xmlns="http://schemas.openxmlformats.org/spreadsheetml/2006/main" count="106" uniqueCount="81">
  <si>
    <t>SETTING UP THE FINANCIAL STATEMENT MODEL</t>
  </si>
  <si>
    <t>Sales growth</t>
  </si>
  <si>
    <t>Current assets/Sales</t>
  </si>
  <si>
    <t>Current liabilities/Sales</t>
  </si>
  <si>
    <t>Net fixed assets/Sales</t>
  </si>
  <si>
    <t>Costs of goods sold/Sales</t>
  </si>
  <si>
    <t>Depreciation rate</t>
  </si>
  <si>
    <t>Interest rate on debt</t>
  </si>
  <si>
    <t>Interest paid on cash and marketable securities</t>
  </si>
  <si>
    <t>Tax rate</t>
  </si>
  <si>
    <t>Dividend payout ratio</t>
  </si>
  <si>
    <t>Year</t>
  </si>
  <si>
    <t>Income statement</t>
  </si>
  <si>
    <t>Sales</t>
  </si>
  <si>
    <t>Costs of goods sold</t>
  </si>
  <si>
    <t>Interest payments on debt</t>
  </si>
  <si>
    <t>Interest earned on cash and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</si>
  <si>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</si>
  <si>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</si>
  <si>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</si>
  <si>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</si>
  <si>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</si>
  <si>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</si>
  <si>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</si>
  <si>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</si>
  <si>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</si>
  <si>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</si>
  <si>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</si>
  <si>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</si>
  <si>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</si>
  <si>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</si>
  <si>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</si>
  <si>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</si>
  <si>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</si>
  <si>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</si>
  <si>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</si>
  <si>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average</t>
    <phoneticPr fontId="1" type="noConversion"/>
  </si>
  <si>
    <t>if</t>
    <phoneticPr fontId="1" type="noConversion"/>
  </si>
  <si>
    <t xml:space="preserve">     Cash flow from operating activities</t>
  </si>
  <si>
    <t>Add back depreciation</t>
  </si>
  <si>
    <t xml:space="preserve">     Subtract increase in current assets</t>
  </si>
  <si>
    <t xml:space="preserve">     Add back increase in current liabilities</t>
  </si>
  <si>
    <t>Net cash from operating activities</t>
  </si>
  <si>
    <t xml:space="preserve">     Cash flow from investing activities</t>
  </si>
  <si>
    <t>Aquisitions of fixed assets--capital expenditures</t>
  </si>
  <si>
    <t>Purchases of investment securities</t>
  </si>
  <si>
    <t>Proceeds from sales of investment securities</t>
  </si>
  <si>
    <t>Net cash used in investing activities</t>
  </si>
  <si>
    <t xml:space="preserve">     Cash flow from financing activities</t>
  </si>
  <si>
    <t>Net proceeds from borrowing activities</t>
  </si>
  <si>
    <t>Net proceeds from stock issues, repurchases</t>
  </si>
  <si>
    <t>Dividends paid</t>
  </si>
  <si>
    <t>Net cash from financing activities</t>
  </si>
  <si>
    <t>Net increase in cash and cash equivalents</t>
  </si>
  <si>
    <t>Check:  changes in cash and mkt. securities</t>
  </si>
  <si>
    <t>Adjust for changes in net working capital:</t>
    <phoneticPr fontId="1" type="noConversion"/>
  </si>
  <si>
    <t>CONSOLIDATED STATEMENT OF CASH FLOWS:  RECONCILING THE CASH BALANCES</t>
    <phoneticPr fontId="1" type="noConversion"/>
  </si>
  <si>
    <t>Free cash flow calculation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</si>
  <si>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</si>
  <si>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</si>
  <si>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</si>
  <si>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</si>
  <si>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and+A14 mkt. securities</t>
  </si>
  <si>
    <t>Free cash flow</t>
  </si>
  <si>
    <t>Valuing the firm</t>
  </si>
  <si>
    <t>Weighted average cost of capital</t>
  </si>
  <si>
    <t>Long-term free cash flow growth rate</t>
  </si>
  <si>
    <t>FCF</t>
  </si>
  <si>
    <t>Terminal value</t>
  </si>
  <si>
    <t>Total</t>
  </si>
  <si>
    <t>Add in initial (year 0) cash and mkt. securities</t>
  </si>
  <si>
    <t>Asset value in year 0</t>
  </si>
  <si>
    <t>Subtract out value of firm's debt today</t>
  </si>
  <si>
    <t>Equity value</t>
  </si>
  <si>
    <t>Cash and marketable securities as negative debt</t>
  </si>
  <si>
    <t>Net year 0 debt:  debt minus cash</t>
  </si>
  <si>
    <t>Valuing the firm--using mid-year discounting</t>
  </si>
  <si>
    <t>&lt;-- real growth  2% + inflation 3%?</t>
  </si>
  <si>
    <t>Growth</t>
  </si>
  <si>
    <r>
      <t xml:space="preserve">WACC </t>
    </r>
    <r>
      <rPr>
        <b/>
        <sz val="10"/>
        <rFont val="Symbol"/>
        <family val="1"/>
        <charset val="2"/>
      </rPr>
      <t>¯</t>
    </r>
  </si>
  <si>
    <t>Growth rate of FCF --&gt;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</si>
</sst>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¥&quot;#,##0.00;[Red]&quot;¥&quot;\-#,##0.00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* #,##0_);_(* \(#,##0\);_(* &quot;-&quot;??_);_(@_)"/>
    <numFmt numFmtId="177" formatCode="0_);\(0\)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等线"/>
      <family val="2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2"/>
      <name val="Arial"/>
      <family val="2"/>
    </font>
    <font>
      <b/>
      <sz val="10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/>
    <xf numFmtId="9" fontId="0" fillId="0" borderId="0" xfId="0" applyNumberFormat="1" applyAlignment="1"/>
    <xf numFmtId="10" fontId="0" fillId="0" borderId="0" xfId="0" applyNumberForma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76" fontId="0" fillId="0" borderId="0" xfId="1" applyNumberFormat="1" applyFont="1" applyAlignment="1"/>
    <xf numFmtId="0" fontId="5" fillId="0" borderId="0" xfId="0" applyFont="1" applyAlignment="1"/>
    <xf numFmtId="0" fontId="0" fillId="2" borderId="0" xfId="0" applyFill="1" applyAlignment="1"/>
    <xf numFmtId="176" fontId="0" fillId="2" borderId="0" xfId="1" applyNumberFormat="1" applyFont="1" applyFill="1" applyAlignment="1"/>
    <xf numFmtId="0" fontId="3" fillId="0" borderId="0" xfId="0" applyFont="1" applyAlignment="1">
      <alignment horizontal="center"/>
    </xf>
    <xf numFmtId="0" fontId="5" fillId="2" borderId="0" xfId="0" applyFont="1" applyFill="1" applyAlignment="1"/>
    <xf numFmtId="0" fontId="0" fillId="3" borderId="0" xfId="0" applyFill="1" applyAlignment="1"/>
    <xf numFmtId="9" fontId="7" fillId="0" borderId="0" xfId="0" applyNumberFormat="1" applyFont="1" applyAlignment="1"/>
    <xf numFmtId="0" fontId="0" fillId="0" borderId="0" xfId="0" applyAlignment="1">
      <alignment horizontal="center"/>
    </xf>
    <xf numFmtId="177" fontId="0" fillId="0" borderId="0" xfId="0" applyNumberFormat="1" applyAlignment="1"/>
    <xf numFmtId="0" fontId="0" fillId="4" borderId="0" xfId="0" applyFill="1" applyAlignment="1"/>
    <xf numFmtId="0" fontId="8" fillId="0" borderId="0" xfId="0" applyFont="1" applyAlignment="1">
      <alignment horizontal="center"/>
    </xf>
    <xf numFmtId="176" fontId="0" fillId="0" borderId="0" xfId="0" applyNumberFormat="1" applyAlignment="1"/>
    <xf numFmtId="0" fontId="0" fillId="5" borderId="0" xfId="0" applyFill="1" applyAlignment="1"/>
    <xf numFmtId="176" fontId="0" fillId="5" borderId="0" xfId="1" applyNumberFormat="1" applyFont="1" applyFill="1" applyAlignment="1"/>
    <xf numFmtId="176" fontId="0" fillId="5" borderId="0" xfId="0" applyNumberFormat="1" applyFill="1" applyAlignment="1"/>
    <xf numFmtId="177" fontId="4" fillId="0" borderId="0" xfId="0" applyNumberFormat="1" applyFont="1" applyAlignment="1"/>
    <xf numFmtId="177" fontId="4" fillId="0" borderId="0" xfId="0" applyNumberFormat="1" applyFont="1" applyAlignment="1">
      <alignment horizontal="center"/>
    </xf>
    <xf numFmtId="0" fontId="3" fillId="0" borderId="0" xfId="0" applyFont="1" applyAlignment="1"/>
    <xf numFmtId="44" fontId="0" fillId="0" borderId="0" xfId="0" applyNumberFormat="1" applyAlignment="1"/>
    <xf numFmtId="8" fontId="0" fillId="0" borderId="0" xfId="0" applyNumberFormat="1" applyAlignment="1"/>
    <xf numFmtId="176" fontId="6" fillId="0" borderId="0" xfId="0" applyNumberFormat="1" applyFont="1" applyAlignment="1"/>
    <xf numFmtId="0" fontId="6" fillId="0" borderId="0" xfId="0" applyFont="1" applyAlignment="1"/>
    <xf numFmtId="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Alignment="1">
      <alignment horizontal="center" vertic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>
                <a:solidFill>
                  <a:schemeClr val="tx1"/>
                </a:solidFill>
              </a:rPr>
              <a:t>Sales Growth and Equity Value</a:t>
            </a:r>
            <a:endParaRPr lang="zh-CN" alt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Sheet1!$C$131:$C$139</c:f>
              <c:numCache>
                <c:formatCode>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</c:numCache>
            </c:numRef>
          </c:xVal>
          <c:yVal>
            <c:numRef>
              <c:f>Sheet1!$D$131:$D$139</c:f>
              <c:numCache>
                <c:formatCode>General</c:formatCode>
                <c:ptCount val="9"/>
                <c:pt idx="0">
                  <c:v>1093.078879295015</c:v>
                </c:pt>
                <c:pt idx="1">
                  <c:v>1104.9406971058056</c:v>
                </c:pt>
                <c:pt idx="2">
                  <c:v>1112.916085109207</c:v>
                </c:pt>
                <c:pt idx="3">
                  <c:v>1116.5068023902504</c:v>
                </c:pt>
                <c:pt idx="4">
                  <c:v>1115.179632948104</c:v>
                </c:pt>
                <c:pt idx="5">
                  <c:v>1108.3718882655728</c:v>
                </c:pt>
                <c:pt idx="6">
                  <c:v>1095.489519963987</c:v>
                </c:pt>
                <c:pt idx="7">
                  <c:v>1075.9063566217387</c:v>
                </c:pt>
                <c:pt idx="8">
                  <c:v>1048.9633405928257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CF-42E7-B503-1DCDB24BB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2855272"/>
        <c:axId val="962857792"/>
      </c:scatterChart>
      <c:valAx>
        <c:axId val="962855272"/>
        <c:scaling>
          <c:orientation val="minMax"/>
          <c:max val="0.1600000000000000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Sales growth</a:t>
                </a:r>
                <a:endParaRPr lang="zh-CN" altLang="en-US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2857792"/>
        <c:crosses val="autoZero"/>
        <c:crossBetween val="midCat"/>
      </c:valAx>
      <c:valAx>
        <c:axId val="9628577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b="1">
                    <a:solidFill>
                      <a:schemeClr val="tx1"/>
                    </a:solidFill>
                  </a:rPr>
                  <a:t>Equity Value</a:t>
                </a:r>
                <a:endParaRPr lang="zh-CN" altLang="en-US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62855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294322</xdr:colOff>
      <xdr:row>130</xdr:row>
      <xdr:rowOff>73342</xdr:rowOff>
    </xdr:from>
    <xdr:to>
      <xdr:col>11</xdr:col>
      <xdr:colOff>114300</xdr:colOff>
      <xdr:row>148</xdr:row>
      <xdr:rowOff>152400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22D85087-EDE0-7A42-E9BB-1920787C87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2371725</xdr:colOff>
      <xdr:row>149</xdr:row>
      <xdr:rowOff>57150</xdr:rowOff>
    </xdr:from>
    <xdr:to>
      <xdr:col>2</xdr:col>
      <xdr:colOff>171513</xdr:colOff>
      <xdr:row>150</xdr:row>
      <xdr:rowOff>92320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id="{C6CF7724-EC29-4A90-ACA9-2CFD6E95EA8D}"/>
            </a:ext>
          </a:extLst>
        </xdr:cNvPr>
        <xdr:cNvSpPr txBox="1">
          <a:spLocks noChangeArrowheads="1"/>
        </xdr:cNvSpPr>
      </xdr:nvSpPr>
      <xdr:spPr bwMode="auto">
        <a:xfrm>
          <a:off x="2371725" y="25822275"/>
          <a:ext cx="1676463" cy="20662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=IF(B75&lt;=B76,"nmf",B87)</a:t>
          </a:r>
        </a:p>
      </xdr:txBody>
    </xdr:sp>
    <xdr:clientData/>
  </xdr:twoCellAnchor>
  <xdr:twoCellAnchor>
    <xdr:from>
      <xdr:col>2</xdr:col>
      <xdr:colOff>171450</xdr:colOff>
      <xdr:row>150</xdr:row>
      <xdr:rowOff>12310</xdr:rowOff>
    </xdr:from>
    <xdr:to>
      <xdr:col>2</xdr:col>
      <xdr:colOff>651217</xdr:colOff>
      <xdr:row>150</xdr:row>
      <xdr:rowOff>56125</xdr:rowOff>
    </xdr:to>
    <xdr:sp macro="" textlink="">
      <xdr:nvSpPr>
        <xdr:cNvPr id="6" name="Line 3">
          <a:extLst>
            <a:ext uri="{FF2B5EF4-FFF2-40B4-BE49-F238E27FC236}">
              <a16:creationId xmlns:a16="http://schemas.microsoft.com/office/drawing/2014/main" id="{CA7A31C8-B442-4461-BDCE-688FB1DFFD7E}"/>
            </a:ext>
          </a:extLst>
        </xdr:cNvPr>
        <xdr:cNvSpPr>
          <a:spLocks noChangeShapeType="1"/>
        </xdr:cNvSpPr>
      </xdr:nvSpPr>
      <xdr:spPr bwMode="auto">
        <a:xfrm>
          <a:off x="4048125" y="25948885"/>
          <a:ext cx="479767" cy="4381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M160"/>
  <sheetViews>
    <sheetView tabSelected="1" topLeftCell="B83" workbookViewId="0">
      <selection activeCell="K107" sqref="K107"/>
    </sheetView>
  </sheetViews>
  <sheetFormatPr defaultRowHeight="13.8" x14ac:dyDescent="0.25"/>
  <cols>
    <col min="1" max="1" width="46.77734375" style="1" bestFit="1" customWidth="1"/>
    <col min="2" max="3" width="9.6640625" style="1" bestFit="1" customWidth="1"/>
    <col min="4" max="6" width="8.88671875" style="1"/>
    <col min="7" max="7" width="11.33203125" style="1" bestFit="1" customWidth="1"/>
    <col min="8" max="8" width="8.88671875" style="1"/>
    <col min="9" max="9" width="26.33203125" style="1" bestFit="1" customWidth="1"/>
  </cols>
  <sheetData>
    <row r="1" spans="1:9" ht="17.399999999999999" x14ac:dyDescent="0.3">
      <c r="A1" s="10" t="s">
        <v>0</v>
      </c>
      <c r="B1" s="10"/>
      <c r="C1" s="10"/>
      <c r="D1" s="10"/>
      <c r="E1" s="10"/>
      <c r="F1" s="10"/>
      <c r="G1" s="10"/>
      <c r="H1" s="10"/>
      <c r="I1" s="10"/>
    </row>
    <row r="2" spans="1:9" x14ac:dyDescent="0.25">
      <c r="A2" s="1" t="s">
        <v>1</v>
      </c>
      <c r="B2" s="2">
        <v>0.1</v>
      </c>
      <c r="C2" s="14" t="s">
        <v>37</v>
      </c>
      <c r="D2" s="14"/>
      <c r="E2" s="14"/>
      <c r="F2" s="14"/>
      <c r="G2" s="14"/>
      <c r="H2" s="14"/>
    </row>
    <row r="3" spans="1:9" x14ac:dyDescent="0.25">
      <c r="A3" s="12" t="s">
        <v>2</v>
      </c>
      <c r="B3" s="2">
        <v>0.15</v>
      </c>
      <c r="C3" s="14" t="s">
        <v>37</v>
      </c>
      <c r="D3" s="14"/>
      <c r="E3" s="14"/>
      <c r="F3" s="14"/>
      <c r="G3" s="14"/>
      <c r="H3" s="14"/>
    </row>
    <row r="4" spans="1:9" x14ac:dyDescent="0.25">
      <c r="A4" s="12" t="s">
        <v>3</v>
      </c>
      <c r="B4" s="2">
        <v>0.08</v>
      </c>
      <c r="C4" s="14" t="s">
        <v>37</v>
      </c>
      <c r="D4" s="14"/>
      <c r="E4" s="14"/>
      <c r="F4" s="14"/>
      <c r="G4" s="14"/>
      <c r="H4" s="14"/>
    </row>
    <row r="5" spans="1:9" x14ac:dyDescent="0.25">
      <c r="A5" s="12" t="s">
        <v>4</v>
      </c>
      <c r="B5" s="2">
        <v>0.77</v>
      </c>
      <c r="C5" s="14" t="s">
        <v>37</v>
      </c>
      <c r="D5" s="14"/>
      <c r="E5" s="14"/>
      <c r="F5" s="14"/>
      <c r="G5" s="14"/>
      <c r="H5" s="14"/>
    </row>
    <row r="6" spans="1:9" x14ac:dyDescent="0.25">
      <c r="A6" s="12" t="s">
        <v>5</v>
      </c>
      <c r="B6" s="13">
        <v>0.5</v>
      </c>
      <c r="C6" s="14" t="s">
        <v>37</v>
      </c>
      <c r="D6" s="14"/>
      <c r="E6" s="14"/>
      <c r="F6" s="14"/>
      <c r="G6" s="14"/>
      <c r="H6" s="14"/>
    </row>
    <row r="7" spans="1:9" x14ac:dyDescent="0.25">
      <c r="A7" s="1" t="s">
        <v>6</v>
      </c>
      <c r="B7" s="2">
        <v>0.1</v>
      </c>
      <c r="C7" s="1" t="s">
        <v>36</v>
      </c>
    </row>
    <row r="8" spans="1:9" x14ac:dyDescent="0.25">
      <c r="A8" s="1" t="s">
        <v>7</v>
      </c>
      <c r="B8" s="3">
        <v>0.1</v>
      </c>
      <c r="C8" s="1" t="s">
        <v>36</v>
      </c>
    </row>
    <row r="9" spans="1:9" x14ac:dyDescent="0.25">
      <c r="A9" s="1" t="s">
        <v>8</v>
      </c>
      <c r="B9" s="3">
        <v>0.08</v>
      </c>
      <c r="C9" s="1" t="s">
        <v>36</v>
      </c>
    </row>
    <row r="10" spans="1:9" x14ac:dyDescent="0.25">
      <c r="A10" s="1" t="s">
        <v>9</v>
      </c>
      <c r="B10" s="2">
        <v>0.4</v>
      </c>
      <c r="C10" s="14" t="s">
        <v>37</v>
      </c>
      <c r="D10" s="14"/>
      <c r="E10" s="14"/>
      <c r="F10" s="14"/>
      <c r="G10" s="14"/>
      <c r="H10" s="14"/>
    </row>
    <row r="11" spans="1:9" x14ac:dyDescent="0.25">
      <c r="A11" s="1" t="s">
        <v>10</v>
      </c>
      <c r="B11" s="2">
        <v>0.4</v>
      </c>
      <c r="C11" s="14" t="s">
        <v>37</v>
      </c>
      <c r="D11" s="14"/>
      <c r="E11" s="14"/>
      <c r="F11" s="14"/>
      <c r="G11" s="14"/>
      <c r="H11" s="14"/>
    </row>
    <row r="13" spans="1:9" x14ac:dyDescent="0.25">
      <c r="A13" s="4" t="s">
        <v>11</v>
      </c>
      <c r="B13" s="5">
        <v>0</v>
      </c>
      <c r="C13" s="5">
        <v>1</v>
      </c>
      <c r="D13" s="5">
        <v>2</v>
      </c>
      <c r="E13" s="5">
        <v>3</v>
      </c>
      <c r="F13" s="5">
        <v>4</v>
      </c>
      <c r="G13" s="5">
        <v>5</v>
      </c>
      <c r="H13" s="5"/>
      <c r="I13" s="4"/>
    </row>
    <row r="14" spans="1:9" x14ac:dyDescent="0.25">
      <c r="A14" s="4" t="s">
        <v>12</v>
      </c>
    </row>
    <row r="15" spans="1:9" x14ac:dyDescent="0.25">
      <c r="A15" s="1" t="s">
        <v>13</v>
      </c>
      <c r="B15" s="6">
        <f>1000</f>
        <v>1000</v>
      </c>
      <c r="C15" s="6">
        <f>B15*(1+$B$2)</f>
        <v>1100</v>
      </c>
      <c r="D15" s="6">
        <f t="shared" ref="D15:G15" si="0">C15*(1+$B$2)</f>
        <v>1210</v>
      </c>
      <c r="E15" s="6">
        <f t="shared" si="0"/>
        <v>1331</v>
      </c>
      <c r="F15" s="6">
        <f t="shared" si="0"/>
        <v>1464.1000000000001</v>
      </c>
      <c r="G15" s="6">
        <f t="shared" si="0"/>
        <v>1610.5100000000002</v>
      </c>
      <c r="H15" s="6"/>
      <c r="I15" s="6" t="str">
        <f ca="1">_xlfn.FORMULATEXT(C15)</f>
        <v>=B15*(1+$B$2)</v>
      </c>
    </row>
    <row r="16" spans="1:9" x14ac:dyDescent="0.25">
      <c r="A16" s="1" t="s">
        <v>14</v>
      </c>
      <c r="B16" s="6">
        <f>-B15*$B$6</f>
        <v>-500</v>
      </c>
      <c r="C16" s="6">
        <f>-$B$6*C15</f>
        <v>-550</v>
      </c>
      <c r="D16" s="6">
        <f t="shared" ref="D16:G16" si="1">-$B$6*D15</f>
        <v>-605</v>
      </c>
      <c r="E16" s="6">
        <f t="shared" si="1"/>
        <v>-665.5</v>
      </c>
      <c r="F16" s="6">
        <f t="shared" si="1"/>
        <v>-732.05000000000007</v>
      </c>
      <c r="G16" s="6">
        <f t="shared" si="1"/>
        <v>-805.25500000000011</v>
      </c>
      <c r="H16" s="6"/>
      <c r="I16" s="6" t="str">
        <f ca="1">_xlfn.FORMULATEXT(C16)</f>
        <v>=-$B$6*C15</v>
      </c>
    </row>
    <row r="17" spans="1:9" x14ac:dyDescent="0.25">
      <c r="A17" s="1" t="s">
        <v>15</v>
      </c>
      <c r="B17" s="6">
        <f>-$B$8*B36</f>
        <v>-32</v>
      </c>
      <c r="C17" s="6">
        <f>-$B$8*(B36+C36)/2</f>
        <v>-32</v>
      </c>
      <c r="D17" s="6">
        <f t="shared" ref="D17:G17" si="2">-$B$8*(C36+D36)/2</f>
        <v>-32</v>
      </c>
      <c r="E17" s="6">
        <f t="shared" si="2"/>
        <v>-32</v>
      </c>
      <c r="F17" s="6">
        <f t="shared" si="2"/>
        <v>-32</v>
      </c>
      <c r="G17" s="6">
        <f t="shared" si="2"/>
        <v>-32</v>
      </c>
      <c r="H17" s="6"/>
      <c r="I17" s="6" t="str">
        <f ca="1">_xlfn.FORMULATEXT(C17)</f>
        <v>=-$B$8*(B36+C36)/2</v>
      </c>
    </row>
    <row r="18" spans="1:9" x14ac:dyDescent="0.25">
      <c r="A18" s="1" t="s">
        <v>16</v>
      </c>
      <c r="B18" s="6">
        <f>$B$9*B27</f>
        <v>6.4</v>
      </c>
      <c r="C18" s="6">
        <f ca="1">$B$9*(B27+C27)/2</f>
        <v>8.9477956254272062</v>
      </c>
      <c r="D18" s="6">
        <f t="shared" ref="D18:G18" ca="1" si="3">$B$9*(C27+D27)/2</f>
        <v>14.276702863501569</v>
      </c>
      <c r="E18" s="6">
        <f t="shared" ca="1" si="3"/>
        <v>20.080913361163557</v>
      </c>
      <c r="F18" s="6">
        <f t="shared" ca="1" si="3"/>
        <v>26.376731259734132</v>
      </c>
      <c r="G18" s="6">
        <f t="shared" ca="1" si="3"/>
        <v>33.178068826054897</v>
      </c>
      <c r="H18" s="6"/>
      <c r="I18" s="6" t="str">
        <f t="shared" ref="I18:I24" ca="1" si="4">_xlfn.FORMULATEXT(C18)</f>
        <v>=$B$9*(B27+C27)/2</v>
      </c>
    </row>
    <row r="19" spans="1:9" x14ac:dyDescent="0.25">
      <c r="A19" s="1" t="s">
        <v>17</v>
      </c>
      <c r="B19" s="6">
        <v>-100</v>
      </c>
      <c r="C19" s="6">
        <f ca="1">-$B$7*(B30+C30)/2</f>
        <v>-116.68421052631579</v>
      </c>
      <c r="D19" s="6">
        <f t="shared" ref="D19:G19" ca="1" si="5">-$B$7*(C30+D30)/2</f>
        <v>-137.47728531855955</v>
      </c>
      <c r="E19" s="6">
        <f t="shared" ca="1" si="5"/>
        <v>-161.31015745735533</v>
      </c>
      <c r="F19" s="6">
        <f t="shared" ca="1" si="5"/>
        <v>-188.58791087391907</v>
      </c>
      <c r="G19" s="6">
        <f t="shared" ca="1" si="5"/>
        <v>-219.76678043959475</v>
      </c>
      <c r="H19" s="6"/>
      <c r="I19" s="6" t="str">
        <f t="shared" ca="1" si="4"/>
        <v>=-$B$7*(B30+C30)/2</v>
      </c>
    </row>
    <row r="20" spans="1:9" x14ac:dyDescent="0.25">
      <c r="A20" s="8" t="s">
        <v>18</v>
      </c>
      <c r="B20" s="9">
        <f>SUM(B15:B19)</f>
        <v>374.4</v>
      </c>
      <c r="C20" s="9">
        <f ca="1">SUM(C15:C19)</f>
        <v>410.26358509911148</v>
      </c>
      <c r="D20" s="9">
        <f t="shared" ref="D20:G20" ca="1" si="6">SUM(D15:D19)</f>
        <v>449.799417544942</v>
      </c>
      <c r="E20" s="9">
        <f t="shared" ca="1" si="6"/>
        <v>492.27075590380821</v>
      </c>
      <c r="F20" s="9">
        <f t="shared" ca="1" si="6"/>
        <v>537.8388203858151</v>
      </c>
      <c r="G20" s="9">
        <f t="shared" ca="1" si="6"/>
        <v>586.66628838646022</v>
      </c>
      <c r="H20" s="9"/>
      <c r="I20" s="6" t="str">
        <f t="shared" ca="1" si="4"/>
        <v>=SUM(C15:C19)</v>
      </c>
    </row>
    <row r="21" spans="1:9" x14ac:dyDescent="0.25">
      <c r="A21" s="1" t="s">
        <v>19</v>
      </c>
      <c r="B21" s="6">
        <f>-B20*$B$10</f>
        <v>-149.76</v>
      </c>
      <c r="C21" s="6">
        <f ca="1">-C20*$B$10</f>
        <v>-164.10543403964459</v>
      </c>
      <c r="D21" s="6">
        <f t="shared" ref="D21:G21" ca="1" si="7">-D20*$B$10</f>
        <v>-179.91976701797682</v>
      </c>
      <c r="E21" s="6">
        <f t="shared" ca="1" si="7"/>
        <v>-196.90830236152328</v>
      </c>
      <c r="F21" s="6">
        <f t="shared" ca="1" si="7"/>
        <v>-215.13552815432604</v>
      </c>
      <c r="G21" s="6">
        <f t="shared" ca="1" si="7"/>
        <v>-234.66651535458411</v>
      </c>
      <c r="H21" s="6"/>
      <c r="I21" s="6" t="str">
        <f t="shared" ca="1" si="4"/>
        <v>=-C20*$B$10</v>
      </c>
    </row>
    <row r="22" spans="1:9" x14ac:dyDescent="0.25">
      <c r="A22" s="19" t="s">
        <v>20</v>
      </c>
      <c r="B22" s="20">
        <f>B21+B20</f>
        <v>224.64</v>
      </c>
      <c r="C22" s="20">
        <f ca="1">C21+C20</f>
        <v>246.15815105946689</v>
      </c>
      <c r="D22" s="20">
        <f t="shared" ref="D22:G22" ca="1" si="8">D21+D20</f>
        <v>269.87965052696518</v>
      </c>
      <c r="E22" s="20">
        <f t="shared" ca="1" si="8"/>
        <v>295.36245354228492</v>
      </c>
      <c r="F22" s="20">
        <f t="shared" ca="1" si="8"/>
        <v>322.70329223148906</v>
      </c>
      <c r="G22" s="20">
        <f t="shared" ca="1" si="8"/>
        <v>351.99977303187609</v>
      </c>
      <c r="H22" s="6"/>
      <c r="I22" s="6" t="str">
        <f t="shared" ca="1" si="4"/>
        <v>=C21+C20</v>
      </c>
    </row>
    <row r="23" spans="1:9" x14ac:dyDescent="0.25">
      <c r="A23" s="8" t="s">
        <v>21</v>
      </c>
      <c r="B23" s="9">
        <f>-B22*$B$11</f>
        <v>-89.855999999999995</v>
      </c>
      <c r="C23" s="9">
        <f ca="1">-C22*$B$11</f>
        <v>-98.463260423786764</v>
      </c>
      <c r="D23" s="9">
        <f t="shared" ref="D23:G23" ca="1" si="9">-D22*$B$11</f>
        <v>-107.95186021078608</v>
      </c>
      <c r="E23" s="9">
        <f t="shared" ca="1" si="9"/>
        <v>-118.14498141691398</v>
      </c>
      <c r="F23" s="9">
        <f t="shared" ca="1" si="9"/>
        <v>-129.08131689259562</v>
      </c>
      <c r="G23" s="9">
        <f t="shared" ca="1" si="9"/>
        <v>-140.79990921275044</v>
      </c>
      <c r="H23" s="9"/>
      <c r="I23" s="6" t="str">
        <f t="shared" ca="1" si="4"/>
        <v>=-C22*$B$11</v>
      </c>
    </row>
    <row r="24" spans="1:9" x14ac:dyDescent="0.25">
      <c r="A24" s="1" t="s">
        <v>22</v>
      </c>
      <c r="B24" s="6">
        <f>B23+B22</f>
        <v>134.78399999999999</v>
      </c>
      <c r="C24" s="6">
        <f ca="1">C23+C22</f>
        <v>147.69489063568011</v>
      </c>
      <c r="D24" s="6">
        <f t="shared" ref="D24:G24" ca="1" si="10">D23+D22</f>
        <v>161.92779031617908</v>
      </c>
      <c r="E24" s="6">
        <f t="shared" ca="1" si="10"/>
        <v>177.21747212537093</v>
      </c>
      <c r="F24" s="6">
        <f t="shared" ca="1" si="10"/>
        <v>193.62197533889344</v>
      </c>
      <c r="G24" s="6">
        <f t="shared" ca="1" si="10"/>
        <v>211.19986381912565</v>
      </c>
      <c r="H24" s="6"/>
      <c r="I24" s="6" t="str">
        <f t="shared" ca="1" si="4"/>
        <v>=C23+C22</v>
      </c>
    </row>
    <row r="25" spans="1:9" x14ac:dyDescent="0.25">
      <c r="B25" s="6"/>
      <c r="C25" s="6"/>
      <c r="D25" s="6"/>
      <c r="E25" s="6"/>
      <c r="F25" s="6"/>
      <c r="G25" s="6"/>
      <c r="H25" s="6"/>
      <c r="I25" s="6"/>
    </row>
    <row r="26" spans="1:9" x14ac:dyDescent="0.25">
      <c r="A26" s="4" t="s">
        <v>23</v>
      </c>
      <c r="B26" s="6"/>
      <c r="C26" s="6"/>
      <c r="D26" s="6"/>
      <c r="E26" s="6"/>
      <c r="F26" s="6"/>
      <c r="G26" s="6"/>
      <c r="H26" s="6"/>
      <c r="I26" s="6"/>
    </row>
    <row r="27" spans="1:9" x14ac:dyDescent="0.25">
      <c r="A27" s="11" t="s">
        <v>24</v>
      </c>
      <c r="B27" s="9">
        <v>80</v>
      </c>
      <c r="C27" s="9">
        <f ca="1">C39-C28-C32</f>
        <v>143.69489063568017</v>
      </c>
      <c r="D27" s="9">
        <f t="shared" ref="D27:G27" ca="1" si="11">D39-D28-D32</f>
        <v>213.22268095185905</v>
      </c>
      <c r="E27" s="9">
        <f t="shared" ca="1" si="11"/>
        <v>288.80015307722988</v>
      </c>
      <c r="F27" s="9">
        <f t="shared" ca="1" si="11"/>
        <v>370.61812841612345</v>
      </c>
      <c r="G27" s="9">
        <f t="shared" ca="1" si="11"/>
        <v>458.83359223524894</v>
      </c>
      <c r="H27" s="9"/>
      <c r="I27" s="6" t="str">
        <f t="shared" ref="I27:I28" ca="1" si="12">_xlfn.FORMULATEXT(C27)</f>
        <v>=C39-C28-C32</v>
      </c>
    </row>
    <row r="28" spans="1:9" x14ac:dyDescent="0.25">
      <c r="A28" s="1" t="s">
        <v>25</v>
      </c>
      <c r="B28" s="6">
        <f>$B$3*B15</f>
        <v>150</v>
      </c>
      <c r="C28" s="6">
        <f>C15*$B$3</f>
        <v>165</v>
      </c>
      <c r="D28" s="6">
        <f t="shared" ref="D28:G28" si="13">D15*$B$3</f>
        <v>181.5</v>
      </c>
      <c r="E28" s="6">
        <f t="shared" si="13"/>
        <v>199.65</v>
      </c>
      <c r="F28" s="6">
        <f t="shared" si="13"/>
        <v>219.61500000000001</v>
      </c>
      <c r="G28" s="6">
        <f t="shared" si="13"/>
        <v>241.57650000000001</v>
      </c>
      <c r="H28" s="6"/>
      <c r="I28" s="6" t="str">
        <f t="shared" ca="1" si="12"/>
        <v>=C15*$B$3</v>
      </c>
    </row>
    <row r="29" spans="1:9" x14ac:dyDescent="0.25">
      <c r="A29" s="1" t="s">
        <v>26</v>
      </c>
      <c r="B29" s="6"/>
      <c r="C29" s="6"/>
      <c r="D29" s="6"/>
      <c r="E29" s="6"/>
      <c r="F29" s="6"/>
      <c r="G29" s="6"/>
      <c r="H29" s="6"/>
      <c r="I29" s="6"/>
    </row>
    <row r="30" spans="1:9" x14ac:dyDescent="0.25">
      <c r="A30" s="1" t="s">
        <v>27</v>
      </c>
      <c r="B30" s="6">
        <f>B32-B31</f>
        <v>1070</v>
      </c>
      <c r="C30" s="6">
        <f ca="1">C32-C31</f>
        <v>1263.6842105263158</v>
      </c>
      <c r="D30" s="6">
        <f t="shared" ref="D30:G30" ca="1" si="14">D32-D31</f>
        <v>1485.8614958448754</v>
      </c>
      <c r="E30" s="6">
        <f t="shared" ca="1" si="14"/>
        <v>1740.341653302231</v>
      </c>
      <c r="F30" s="6">
        <f t="shared" ca="1" si="14"/>
        <v>2031.4165641761501</v>
      </c>
      <c r="G30" s="6">
        <f t="shared" ca="1" si="14"/>
        <v>2363.9190446157445</v>
      </c>
      <c r="H30" s="6"/>
      <c r="I30" s="6" t="str">
        <f t="shared" ref="I30:I39" ca="1" si="15">_xlfn.FORMULATEXT(C30)</f>
        <v>=C32-C31</v>
      </c>
    </row>
    <row r="31" spans="1:9" x14ac:dyDescent="0.25">
      <c r="A31" s="1" t="s">
        <v>28</v>
      </c>
      <c r="B31" s="6">
        <v>-300</v>
      </c>
      <c r="C31" s="6">
        <f ca="1">B31+C19</f>
        <v>-416.68421052631578</v>
      </c>
      <c r="D31" s="6">
        <f t="shared" ref="D31:G31" ca="1" si="16">C31+D19</f>
        <v>-554.16149584487539</v>
      </c>
      <c r="E31" s="6">
        <f t="shared" ca="1" si="16"/>
        <v>-715.47165330223072</v>
      </c>
      <c r="F31" s="6">
        <f t="shared" ca="1" si="16"/>
        <v>-904.05956417614982</v>
      </c>
      <c r="G31" s="6">
        <f t="shared" ca="1" si="16"/>
        <v>-1123.8263446157446</v>
      </c>
      <c r="H31" s="6"/>
      <c r="I31" s="6" t="str">
        <f t="shared" ca="1" si="15"/>
        <v>=B31+C19</v>
      </c>
    </row>
    <row r="32" spans="1:9" x14ac:dyDescent="0.25">
      <c r="A32" s="1" t="s">
        <v>29</v>
      </c>
      <c r="B32" s="6">
        <f>B15*$B$5</f>
        <v>770</v>
      </c>
      <c r="C32" s="6">
        <f>C15*$B$5</f>
        <v>847</v>
      </c>
      <c r="D32" s="6">
        <f t="shared" ref="D32:G32" si="17">D15*$B$5</f>
        <v>931.7</v>
      </c>
      <c r="E32" s="6">
        <f t="shared" si="17"/>
        <v>1024.8700000000001</v>
      </c>
      <c r="F32" s="6">
        <f t="shared" si="17"/>
        <v>1127.3570000000002</v>
      </c>
      <c r="G32" s="6">
        <f t="shared" si="17"/>
        <v>1240.0927000000001</v>
      </c>
      <c r="H32" s="6"/>
      <c r="I32" s="6" t="str">
        <f t="shared" ca="1" si="15"/>
        <v>=C15*$B$5</v>
      </c>
    </row>
    <row r="33" spans="1:9" x14ac:dyDescent="0.25">
      <c r="A33" s="4" t="s">
        <v>30</v>
      </c>
      <c r="B33" s="6">
        <f>B27+B28+B32</f>
        <v>1000</v>
      </c>
      <c r="C33" s="6">
        <f ca="1">C27+C28+C32</f>
        <v>1155.6948906356802</v>
      </c>
      <c r="D33" s="6">
        <f t="shared" ref="D33:G33" ca="1" si="18">D27+D28+D32</f>
        <v>1326.4226809518591</v>
      </c>
      <c r="E33" s="6">
        <f t="shared" ca="1" si="18"/>
        <v>1513.3201530772299</v>
      </c>
      <c r="F33" s="6">
        <f t="shared" ca="1" si="18"/>
        <v>1717.5901284161237</v>
      </c>
      <c r="G33" s="6">
        <f t="shared" ca="1" si="18"/>
        <v>1940.5027922352492</v>
      </c>
      <c r="H33" s="6"/>
      <c r="I33" s="6" t="str">
        <f t="shared" ca="1" si="15"/>
        <v>=C27+C28+C32</v>
      </c>
    </row>
    <row r="34" spans="1:9" x14ac:dyDescent="0.25">
      <c r="B34" s="6"/>
      <c r="C34" s="6"/>
      <c r="D34" s="6"/>
      <c r="E34" s="6"/>
      <c r="F34" s="6"/>
      <c r="G34" s="6"/>
      <c r="H34" s="6"/>
      <c r="I34" s="6"/>
    </row>
    <row r="35" spans="1:9" x14ac:dyDescent="0.25">
      <c r="A35" s="1" t="s">
        <v>31</v>
      </c>
      <c r="B35" s="6">
        <f>B15*$B$4</f>
        <v>80</v>
      </c>
      <c r="C35" s="6">
        <f>C15*$B$4</f>
        <v>88</v>
      </c>
      <c r="D35" s="6">
        <f t="shared" ref="D35:G35" si="19">D15*$B$4</f>
        <v>96.8</v>
      </c>
      <c r="E35" s="6">
        <f t="shared" si="19"/>
        <v>106.48</v>
      </c>
      <c r="F35" s="6">
        <f t="shared" si="19"/>
        <v>117.12800000000001</v>
      </c>
      <c r="G35" s="6">
        <f t="shared" si="19"/>
        <v>128.84080000000003</v>
      </c>
      <c r="H35" s="6"/>
      <c r="I35" s="6" t="str">
        <f t="shared" ca="1" si="15"/>
        <v>=C15*$B$4</v>
      </c>
    </row>
    <row r="36" spans="1:9" x14ac:dyDescent="0.25">
      <c r="A36" s="28" t="s">
        <v>32</v>
      </c>
      <c r="B36" s="6">
        <f>B33-B35-B37-B38</f>
        <v>320</v>
      </c>
      <c r="C36" s="6">
        <f>B36</f>
        <v>320</v>
      </c>
      <c r="D36" s="6">
        <f t="shared" ref="D36:G36" si="20">C36</f>
        <v>320</v>
      </c>
      <c r="E36" s="6">
        <f t="shared" si="20"/>
        <v>320</v>
      </c>
      <c r="F36" s="6">
        <f t="shared" si="20"/>
        <v>320</v>
      </c>
      <c r="G36" s="6">
        <f t="shared" si="20"/>
        <v>320</v>
      </c>
      <c r="H36" s="6"/>
      <c r="I36" s="6" t="str">
        <f t="shared" ca="1" si="15"/>
        <v>=B36</v>
      </c>
    </row>
    <row r="37" spans="1:9" x14ac:dyDescent="0.25">
      <c r="A37" s="1" t="s">
        <v>33</v>
      </c>
      <c r="B37" s="6">
        <v>450</v>
      </c>
      <c r="C37" s="6">
        <f>B37</f>
        <v>450</v>
      </c>
      <c r="D37" s="6">
        <f t="shared" ref="D37:G37" si="21">C37</f>
        <v>450</v>
      </c>
      <c r="E37" s="6">
        <f t="shared" si="21"/>
        <v>450</v>
      </c>
      <c r="F37" s="6">
        <f t="shared" si="21"/>
        <v>450</v>
      </c>
      <c r="G37" s="6">
        <f t="shared" si="21"/>
        <v>450</v>
      </c>
      <c r="H37" s="6"/>
      <c r="I37" s="6" t="str">
        <f t="shared" ca="1" si="15"/>
        <v>=B37</v>
      </c>
    </row>
    <row r="38" spans="1:9" x14ac:dyDescent="0.25">
      <c r="A38" s="1" t="s">
        <v>34</v>
      </c>
      <c r="B38" s="6">
        <v>150</v>
      </c>
      <c r="C38" s="6">
        <f ca="1">B38+C24</f>
        <v>297.69489063568011</v>
      </c>
      <c r="D38" s="6">
        <f t="shared" ref="D38:G38" ca="1" si="22">C38+D24</f>
        <v>459.62268095185919</v>
      </c>
      <c r="E38" s="6">
        <f t="shared" ca="1" si="22"/>
        <v>636.84015307723007</v>
      </c>
      <c r="F38" s="6">
        <f t="shared" ca="1" si="22"/>
        <v>830.46212841612351</v>
      </c>
      <c r="G38" s="6">
        <f t="shared" ca="1" si="22"/>
        <v>1041.6619922352493</v>
      </c>
      <c r="H38" s="6"/>
      <c r="I38" s="6" t="str">
        <f t="shared" ca="1" si="15"/>
        <v>=B38+C24</v>
      </c>
    </row>
    <row r="39" spans="1:9" x14ac:dyDescent="0.25">
      <c r="A39" s="4" t="s">
        <v>35</v>
      </c>
      <c r="B39" s="6">
        <f>SUM(B35:B38)</f>
        <v>1000</v>
      </c>
      <c r="C39" s="6">
        <f ca="1">SUM(C35:C38)</f>
        <v>1155.6948906356802</v>
      </c>
      <c r="D39" s="6">
        <f t="shared" ref="D39:G39" ca="1" si="23">SUM(D35:D38)</f>
        <v>1326.4226809518591</v>
      </c>
      <c r="E39" s="6">
        <f t="shared" ca="1" si="23"/>
        <v>1513.3201530772301</v>
      </c>
      <c r="F39" s="6">
        <f t="shared" ca="1" si="23"/>
        <v>1717.5901284161237</v>
      </c>
      <c r="G39" s="6">
        <f t="shared" ca="1" si="23"/>
        <v>1940.5027922352492</v>
      </c>
      <c r="H39" s="6"/>
      <c r="I39" s="6" t="str">
        <f t="shared" ca="1" si="15"/>
        <v>=SUM(C35:C38)</v>
      </c>
    </row>
    <row r="40" spans="1:9" x14ac:dyDescent="0.25">
      <c r="A40" s="4"/>
      <c r="B40" s="6"/>
      <c r="C40" s="6"/>
      <c r="D40" s="6"/>
      <c r="E40" s="6"/>
      <c r="F40" s="6"/>
      <c r="G40" s="6"/>
      <c r="H40" s="6"/>
      <c r="I40" s="6"/>
    </row>
    <row r="41" spans="1:9" x14ac:dyDescent="0.25">
      <c r="A41" s="4"/>
      <c r="B41" s="6"/>
      <c r="C41" s="6"/>
      <c r="D41" s="6"/>
      <c r="E41" s="6"/>
      <c r="F41" s="6"/>
      <c r="G41" s="6"/>
      <c r="H41" s="6"/>
      <c r="I41" s="6"/>
    </row>
    <row r="42" spans="1:9" x14ac:dyDescent="0.25">
      <c r="A42" s="4"/>
      <c r="B42" s="6"/>
      <c r="C42" s="6"/>
      <c r="D42" s="6"/>
      <c r="E42" s="6"/>
      <c r="F42" s="6"/>
      <c r="G42" s="6"/>
      <c r="H42" s="6"/>
      <c r="I42" s="6"/>
    </row>
    <row r="43" spans="1:9" x14ac:dyDescent="0.25">
      <c r="A43" s="4"/>
      <c r="B43" s="6"/>
      <c r="C43" s="6"/>
      <c r="D43" s="6"/>
      <c r="E43" s="6"/>
      <c r="F43" s="6"/>
      <c r="G43" s="6"/>
      <c r="H43" s="6"/>
      <c r="I43" s="6"/>
    </row>
    <row r="44" spans="1:9" x14ac:dyDescent="0.25">
      <c r="A44" s="22" t="s">
        <v>11</v>
      </c>
      <c r="B44" s="23">
        <v>0</v>
      </c>
      <c r="C44" s="23">
        <v>1</v>
      </c>
      <c r="D44" s="23">
        <v>2</v>
      </c>
      <c r="E44" s="23">
        <v>3</v>
      </c>
      <c r="F44" s="23">
        <v>4</v>
      </c>
      <c r="G44" s="23">
        <v>5</v>
      </c>
      <c r="H44" s="6"/>
      <c r="I44" s="6"/>
    </row>
    <row r="45" spans="1:9" x14ac:dyDescent="0.25">
      <c r="A45" s="22" t="s">
        <v>57</v>
      </c>
      <c r="B45" s="6"/>
      <c r="C45" s="6"/>
      <c r="D45" s="6"/>
      <c r="E45" s="6"/>
      <c r="F45" s="6"/>
      <c r="G45" s="6"/>
      <c r="H45" s="6"/>
      <c r="I45" s="6"/>
    </row>
    <row r="46" spans="1:9" x14ac:dyDescent="0.25">
      <c r="A46" s="15" t="s">
        <v>20</v>
      </c>
      <c r="B46" s="6"/>
      <c r="C46" s="6">
        <f t="shared" ref="C46:G46" ca="1" si="24">C22</f>
        <v>246.15815105946689</v>
      </c>
      <c r="D46" s="6">
        <f t="shared" ca="1" si="24"/>
        <v>269.87965052696518</v>
      </c>
      <c r="E46" s="6">
        <f t="shared" ca="1" si="24"/>
        <v>295.36245354228492</v>
      </c>
      <c r="F46" s="6">
        <f t="shared" ca="1" si="24"/>
        <v>322.70329223148906</v>
      </c>
      <c r="G46" s="6">
        <f t="shared" ca="1" si="24"/>
        <v>351.99977303187609</v>
      </c>
      <c r="H46" s="6"/>
      <c r="I46" s="6" t="str">
        <f t="shared" ref="I46:I53" ca="1" si="25">_xlfn.FORMULATEXT(C46)</f>
        <v>=C22</v>
      </c>
    </row>
    <row r="47" spans="1:9" x14ac:dyDescent="0.25">
      <c r="A47" s="15" t="s">
        <v>39</v>
      </c>
      <c r="B47" s="6"/>
      <c r="C47" s="6">
        <f t="shared" ref="C47:G48" ca="1" si="26">-C19</f>
        <v>116.68421052631579</v>
      </c>
      <c r="D47" s="6">
        <f t="shared" ca="1" si="26"/>
        <v>137.47728531855955</v>
      </c>
      <c r="E47" s="6">
        <f t="shared" ca="1" si="26"/>
        <v>161.31015745735533</v>
      </c>
      <c r="F47" s="6">
        <f t="shared" ca="1" si="26"/>
        <v>188.58791087391907</v>
      </c>
      <c r="G47" s="6">
        <f t="shared" ca="1" si="26"/>
        <v>219.76678043959475</v>
      </c>
      <c r="H47" s="6"/>
      <c r="I47" s="6" t="str">
        <f t="shared" ca="1" si="25"/>
        <v>=-C19</v>
      </c>
    </row>
    <row r="48" spans="1:9" x14ac:dyDescent="0.25">
      <c r="A48" s="15" t="s">
        <v>58</v>
      </c>
      <c r="B48" s="6"/>
      <c r="C48" s="6">
        <f>B28-C28</f>
        <v>-15</v>
      </c>
      <c r="D48" s="6">
        <f t="shared" ref="D48:G48" si="27">C28-D28</f>
        <v>-16.5</v>
      </c>
      <c r="E48" s="6">
        <f t="shared" si="27"/>
        <v>-18.150000000000006</v>
      </c>
      <c r="F48" s="6">
        <f t="shared" si="27"/>
        <v>-19.965000000000003</v>
      </c>
      <c r="G48" s="6">
        <f t="shared" si="27"/>
        <v>-21.961500000000001</v>
      </c>
      <c r="H48" s="6"/>
      <c r="I48" s="6" t="str">
        <f t="shared" ca="1" si="25"/>
        <v>=B28-C28</v>
      </c>
    </row>
    <row r="49" spans="1:9" x14ac:dyDescent="0.25">
      <c r="A49" s="15" t="s">
        <v>59</v>
      </c>
      <c r="B49" s="6"/>
      <c r="C49" s="6">
        <f>C35-B35</f>
        <v>8</v>
      </c>
      <c r="D49" s="6">
        <f t="shared" ref="D49:G49" si="28">D35-C35</f>
        <v>8.7999999999999972</v>
      </c>
      <c r="E49" s="6">
        <f t="shared" si="28"/>
        <v>9.6800000000000068</v>
      </c>
      <c r="F49" s="6">
        <f t="shared" si="28"/>
        <v>10.64800000000001</v>
      </c>
      <c r="G49" s="6">
        <f t="shared" si="28"/>
        <v>11.712800000000016</v>
      </c>
      <c r="H49" s="6"/>
      <c r="I49" s="6" t="str">
        <f t="shared" ca="1" si="25"/>
        <v>=C35-B35</v>
      </c>
    </row>
    <row r="50" spans="1:9" x14ac:dyDescent="0.25">
      <c r="A50" s="15" t="s">
        <v>60</v>
      </c>
      <c r="B50" s="6"/>
      <c r="C50" s="6">
        <f ca="1">B30-C30</f>
        <v>-193.68421052631584</v>
      </c>
      <c r="D50" s="6">
        <f t="shared" ref="D50:G50" ca="1" si="29">C30-D30</f>
        <v>-222.1772853185596</v>
      </c>
      <c r="E50" s="6">
        <f t="shared" ca="1" si="29"/>
        <v>-254.48015745735552</v>
      </c>
      <c r="F50" s="6">
        <f t="shared" ca="1" si="29"/>
        <v>-291.07491087391918</v>
      </c>
      <c r="G50" s="6">
        <f t="shared" ca="1" si="29"/>
        <v>-332.50248043959436</v>
      </c>
      <c r="H50" s="6"/>
      <c r="I50" s="6" t="str">
        <f t="shared" ca="1" si="25"/>
        <v>=B30-C30</v>
      </c>
    </row>
    <row r="51" spans="1:9" x14ac:dyDescent="0.25">
      <c r="A51" s="15" t="s">
        <v>61</v>
      </c>
      <c r="B51" s="6"/>
      <c r="C51" s="6">
        <f>-C17*0.6</f>
        <v>19.2</v>
      </c>
      <c r="D51" s="6">
        <f t="shared" ref="D51:G51" si="30">-D17*0.6</f>
        <v>19.2</v>
      </c>
      <c r="E51" s="6">
        <f t="shared" si="30"/>
        <v>19.2</v>
      </c>
      <c r="F51" s="6">
        <f t="shared" si="30"/>
        <v>19.2</v>
      </c>
      <c r="G51" s="6">
        <f t="shared" si="30"/>
        <v>19.2</v>
      </c>
      <c r="H51" s="6"/>
      <c r="I51" s="6" t="str">
        <f t="shared" ca="1" si="25"/>
        <v>=-C17*0.6</v>
      </c>
    </row>
    <row r="52" spans="1:9" x14ac:dyDescent="0.25">
      <c r="A52" s="15" t="s">
        <v>62</v>
      </c>
      <c r="B52" s="6"/>
      <c r="C52" s="6">
        <f ca="1">-C18*0.6</f>
        <v>-5.3686773752563237</v>
      </c>
      <c r="D52" s="6">
        <f t="shared" ref="D52:G52" ca="1" si="31">-D18*0.6</f>
        <v>-8.5660217181009415</v>
      </c>
      <c r="E52" s="6">
        <f t="shared" ca="1" si="31"/>
        <v>-12.048548016698133</v>
      </c>
      <c r="F52" s="6">
        <f t="shared" ca="1" si="31"/>
        <v>-15.826038755840479</v>
      </c>
      <c r="G52" s="6">
        <f t="shared" ca="1" si="31"/>
        <v>-19.906841295632937</v>
      </c>
      <c r="H52" s="6"/>
      <c r="I52" s="6" t="str">
        <f t="shared" ca="1" si="25"/>
        <v>=-C18*0.6</v>
      </c>
    </row>
    <row r="53" spans="1:9" x14ac:dyDescent="0.25">
      <c r="A53" s="22" t="s">
        <v>63</v>
      </c>
      <c r="B53" s="6"/>
      <c r="C53" s="6">
        <f ca="1">SUM(C46:C52)</f>
        <v>175.98947368421051</v>
      </c>
      <c r="D53" s="6">
        <f t="shared" ref="D53:G53" ca="1" si="32">SUM(D46:D52)</f>
        <v>188.11362880886418</v>
      </c>
      <c r="E53" s="6">
        <f t="shared" ca="1" si="32"/>
        <v>200.87390552558662</v>
      </c>
      <c r="F53" s="6">
        <f t="shared" ca="1" si="32"/>
        <v>214.27325347564849</v>
      </c>
      <c r="G53" s="6">
        <f t="shared" ca="1" si="32"/>
        <v>228.30853173624354</v>
      </c>
      <c r="H53" s="6"/>
      <c r="I53" s="6" t="str">
        <f t="shared" ca="1" si="25"/>
        <v>=SUM(C46:C52)</v>
      </c>
    </row>
    <row r="54" spans="1:9" x14ac:dyDescent="0.25">
      <c r="A54" s="4"/>
      <c r="B54" s="6"/>
      <c r="C54" s="6"/>
      <c r="D54" s="6"/>
      <c r="E54" s="6"/>
      <c r="F54" s="6"/>
      <c r="G54" s="6"/>
      <c r="H54" s="6"/>
      <c r="I54" s="6"/>
    </row>
    <row r="55" spans="1:9" x14ac:dyDescent="0.25">
      <c r="A55" s="4"/>
      <c r="B55" s="6"/>
      <c r="C55" s="6"/>
      <c r="D55" s="6"/>
      <c r="E55" s="6"/>
      <c r="F55" s="6"/>
      <c r="G55" s="6"/>
      <c r="H55" s="6"/>
      <c r="I55" s="6"/>
    </row>
    <row r="56" spans="1:9" x14ac:dyDescent="0.25">
      <c r="A56" s="4"/>
      <c r="B56" s="6"/>
      <c r="C56" s="6"/>
      <c r="D56" s="6"/>
      <c r="E56" s="6"/>
      <c r="F56" s="6"/>
      <c r="G56" s="6"/>
      <c r="H56" s="6"/>
      <c r="I56" s="6"/>
    </row>
    <row r="57" spans="1:9" x14ac:dyDescent="0.25">
      <c r="A57" s="4"/>
      <c r="B57" s="6"/>
      <c r="C57" s="6"/>
      <c r="D57" s="6"/>
      <c r="E57" s="6"/>
      <c r="F57" s="6"/>
      <c r="G57" s="6"/>
      <c r="H57" s="6"/>
      <c r="I57" s="6"/>
    </row>
    <row r="58" spans="1:9" x14ac:dyDescent="0.25">
      <c r="A58" s="4"/>
      <c r="B58" s="6"/>
      <c r="C58" s="6"/>
      <c r="D58" s="6"/>
      <c r="E58" s="6"/>
      <c r="F58" s="6"/>
      <c r="G58" s="6"/>
      <c r="H58" s="6"/>
      <c r="I58" s="6"/>
    </row>
    <row r="59" spans="1:9" x14ac:dyDescent="0.25">
      <c r="A59" s="4"/>
      <c r="B59" s="6"/>
      <c r="C59" s="6"/>
      <c r="D59" s="6"/>
      <c r="E59" s="6"/>
      <c r="F59" s="6"/>
      <c r="G59" s="6"/>
      <c r="H59" s="6"/>
      <c r="I59" s="6"/>
    </row>
    <row r="64" spans="1:9" ht="15.6" x14ac:dyDescent="0.3">
      <c r="A64" s="17" t="s">
        <v>56</v>
      </c>
      <c r="B64" s="17"/>
      <c r="C64" s="17"/>
      <c r="D64" s="17"/>
      <c r="E64" s="17"/>
      <c r="F64" s="17"/>
      <c r="G64" s="17"/>
      <c r="H64" s="17"/>
    </row>
    <row r="65" spans="1:9" x14ac:dyDescent="0.25">
      <c r="A65" s="4" t="s">
        <v>38</v>
      </c>
      <c r="B65" s="23">
        <v>0</v>
      </c>
      <c r="C65" s="23">
        <v>1</v>
      </c>
      <c r="D65" s="23">
        <v>2</v>
      </c>
      <c r="E65" s="23">
        <v>3</v>
      </c>
      <c r="F65" s="23">
        <v>4</v>
      </c>
      <c r="G65" s="23">
        <v>5</v>
      </c>
    </row>
    <row r="66" spans="1:9" x14ac:dyDescent="0.25">
      <c r="A66" s="19" t="s">
        <v>20</v>
      </c>
      <c r="B66" s="19"/>
      <c r="C66" s="21">
        <f ca="1">C22</f>
        <v>246.15815105946689</v>
      </c>
      <c r="D66" s="21">
        <f t="shared" ref="D66:G66" ca="1" si="33">D22</f>
        <v>269.87965052696518</v>
      </c>
      <c r="E66" s="21">
        <f t="shared" ca="1" si="33"/>
        <v>295.36245354228492</v>
      </c>
      <c r="F66" s="21">
        <f t="shared" ca="1" si="33"/>
        <v>322.70329223148906</v>
      </c>
      <c r="G66" s="21">
        <f t="shared" ca="1" si="33"/>
        <v>351.99977303187609</v>
      </c>
      <c r="I66" s="6" t="str">
        <f t="shared" ref="I66:I68" ca="1" si="34">_xlfn.FORMULATEXT(C66)</f>
        <v>=C22</v>
      </c>
    </row>
    <row r="67" spans="1:9" x14ac:dyDescent="0.25">
      <c r="A67" s="1" t="s">
        <v>39</v>
      </c>
      <c r="C67" s="18">
        <f t="shared" ref="C67:G67" ca="1" si="35">-C19</f>
        <v>116.68421052631579</v>
      </c>
      <c r="D67" s="18">
        <f t="shared" ca="1" si="35"/>
        <v>137.47728531855955</v>
      </c>
      <c r="E67" s="18">
        <f t="shared" ca="1" si="35"/>
        <v>161.31015745735533</v>
      </c>
      <c r="F67" s="18">
        <f t="shared" ca="1" si="35"/>
        <v>188.58791087391907</v>
      </c>
      <c r="G67" s="18">
        <f t="shared" ca="1" si="35"/>
        <v>219.76678043959475</v>
      </c>
      <c r="I67" s="6" t="str">
        <f t="shared" ca="1" si="34"/>
        <v>=-C19</v>
      </c>
    </row>
    <row r="68" spans="1:9" x14ac:dyDescent="0.25">
      <c r="A68" s="1" t="s">
        <v>55</v>
      </c>
    </row>
    <row r="69" spans="1:9" x14ac:dyDescent="0.25">
      <c r="A69" s="15" t="s">
        <v>40</v>
      </c>
      <c r="C69" s="18">
        <f>B28-C28</f>
        <v>-15</v>
      </c>
      <c r="D69" s="18">
        <f>C28-D28</f>
        <v>-16.5</v>
      </c>
      <c r="E69" s="18">
        <f>D28-E28</f>
        <v>-18.150000000000006</v>
      </c>
      <c r="F69" s="18">
        <f>E28-F28</f>
        <v>-19.965000000000003</v>
      </c>
      <c r="G69" s="18">
        <f>F28-G28</f>
        <v>-21.961500000000001</v>
      </c>
      <c r="I69" s="6" t="str">
        <f ca="1">_xlfn.FORMULATEXT(C69)</f>
        <v>=B28-C28</v>
      </c>
    </row>
    <row r="70" spans="1:9" x14ac:dyDescent="0.25">
      <c r="A70" s="15" t="s">
        <v>41</v>
      </c>
      <c r="C70" s="18">
        <f>C35-B35</f>
        <v>8</v>
      </c>
      <c r="D70" s="18">
        <f t="shared" ref="D70:G70" si="36">D35-C35</f>
        <v>8.7999999999999972</v>
      </c>
      <c r="E70" s="18">
        <f t="shared" si="36"/>
        <v>9.6800000000000068</v>
      </c>
      <c r="F70" s="18">
        <f t="shared" si="36"/>
        <v>10.64800000000001</v>
      </c>
      <c r="G70" s="18">
        <f t="shared" si="36"/>
        <v>11.712800000000016</v>
      </c>
      <c r="I70" s="6" t="str">
        <f ca="1">_xlfn.FORMULATEXT(C70)</f>
        <v>=C35-B35</v>
      </c>
    </row>
    <row r="71" spans="1:9" x14ac:dyDescent="0.25">
      <c r="A71" s="1" t="s">
        <v>42</v>
      </c>
      <c r="C71" s="18">
        <f ca="1">SUM(C66:C70)</f>
        <v>355.84236158578267</v>
      </c>
      <c r="D71" s="18">
        <f t="shared" ref="D71:G71" ca="1" si="37">SUM(D66:D70)</f>
        <v>399.65693584552474</v>
      </c>
      <c r="E71" s="18">
        <f t="shared" ca="1" si="37"/>
        <v>448.20261099964029</v>
      </c>
      <c r="F71" s="18">
        <f t="shared" ca="1" si="37"/>
        <v>501.97420310540815</v>
      </c>
      <c r="G71" s="18">
        <f t="shared" ca="1" si="37"/>
        <v>561.51785347147086</v>
      </c>
      <c r="I71" s="6" t="str">
        <f ca="1">_xlfn.FORMULATEXT(C71)</f>
        <v>=SUM(C66:C70)</v>
      </c>
    </row>
    <row r="73" spans="1:9" x14ac:dyDescent="0.25">
      <c r="A73" s="4" t="s">
        <v>43</v>
      </c>
    </row>
    <row r="74" spans="1:9" x14ac:dyDescent="0.25">
      <c r="A74" s="1" t="s">
        <v>44</v>
      </c>
      <c r="C74" s="18">
        <f ca="1">B30-C30</f>
        <v>-193.68421052631584</v>
      </c>
      <c r="D74" s="18">
        <f t="shared" ref="D74:G74" ca="1" si="38">C30-D30</f>
        <v>-222.1772853185596</v>
      </c>
      <c r="E74" s="18">
        <f t="shared" ca="1" si="38"/>
        <v>-254.48015745735552</v>
      </c>
      <c r="F74" s="18">
        <f t="shared" ca="1" si="38"/>
        <v>-291.07491087391918</v>
      </c>
      <c r="G74" s="18">
        <f t="shared" ca="1" si="38"/>
        <v>-332.50248043959436</v>
      </c>
      <c r="I74" s="6" t="str">
        <f ca="1">_xlfn.FORMULATEXT(C74)</f>
        <v>=B30-C30</v>
      </c>
    </row>
    <row r="75" spans="1:9" x14ac:dyDescent="0.25">
      <c r="A75" s="1" t="s">
        <v>45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I75" s="6"/>
    </row>
    <row r="76" spans="1:9" x14ac:dyDescent="0.25">
      <c r="A76" s="1" t="s">
        <v>46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I76" s="6"/>
    </row>
    <row r="77" spans="1:9" x14ac:dyDescent="0.25">
      <c r="A77" s="1" t="s">
        <v>47</v>
      </c>
      <c r="C77" s="18">
        <f t="shared" ref="C77:G77" ca="1" si="39">SUM(C74:C76)</f>
        <v>-193.68421052631584</v>
      </c>
      <c r="D77" s="18">
        <f t="shared" ca="1" si="39"/>
        <v>-222.1772853185596</v>
      </c>
      <c r="E77" s="18">
        <f t="shared" ca="1" si="39"/>
        <v>-254.48015745735552</v>
      </c>
      <c r="F77" s="18">
        <f t="shared" ca="1" si="39"/>
        <v>-291.07491087391918</v>
      </c>
      <c r="G77" s="18">
        <f t="shared" ca="1" si="39"/>
        <v>-332.50248043959436</v>
      </c>
      <c r="I77" s="6" t="str">
        <f t="shared" ref="I77" ca="1" si="40">_xlfn.FORMULATEXT(C77)</f>
        <v>=SUM(C74:C76)</v>
      </c>
    </row>
    <row r="79" spans="1:9" x14ac:dyDescent="0.25">
      <c r="A79" s="4" t="s">
        <v>48</v>
      </c>
    </row>
    <row r="80" spans="1:9" x14ac:dyDescent="0.25">
      <c r="A80" s="1" t="s">
        <v>49</v>
      </c>
      <c r="C80" s="18">
        <f>C36-B36</f>
        <v>0</v>
      </c>
      <c r="D80" s="18">
        <f>D36-C36</f>
        <v>0</v>
      </c>
      <c r="E80" s="18">
        <f>E36-D36</f>
        <v>0</v>
      </c>
      <c r="F80" s="18">
        <f>F36-E36</f>
        <v>0</v>
      </c>
      <c r="G80" s="18">
        <f>G36-F36</f>
        <v>0</v>
      </c>
    </row>
    <row r="81" spans="1:9" x14ac:dyDescent="0.25">
      <c r="A81" s="1" t="s">
        <v>50</v>
      </c>
      <c r="C81" s="18">
        <f>C37-B37</f>
        <v>0</v>
      </c>
      <c r="D81" s="18">
        <f>D37-C37</f>
        <v>0</v>
      </c>
      <c r="E81" s="18">
        <f>E37-D37</f>
        <v>0</v>
      </c>
      <c r="F81" s="18">
        <f>F37-E37</f>
        <v>0</v>
      </c>
      <c r="G81" s="18">
        <f>G37-F37</f>
        <v>0</v>
      </c>
    </row>
    <row r="82" spans="1:9" x14ac:dyDescent="0.25">
      <c r="A82" s="1" t="s">
        <v>51</v>
      </c>
      <c r="C82" s="18">
        <f ca="1">C23</f>
        <v>-98.463260423786764</v>
      </c>
      <c r="D82" s="18">
        <f t="shared" ref="D82:G82" ca="1" si="41">D23</f>
        <v>-107.95186021078608</v>
      </c>
      <c r="E82" s="18">
        <f t="shared" ca="1" si="41"/>
        <v>-118.14498141691398</v>
      </c>
      <c r="F82" s="18">
        <f t="shared" ca="1" si="41"/>
        <v>-129.08131689259562</v>
      </c>
      <c r="G82" s="18">
        <f t="shared" ca="1" si="41"/>
        <v>-140.79990921275044</v>
      </c>
      <c r="I82" s="6" t="str">
        <f t="shared" ref="I82:I86" ca="1" si="42">_xlfn.FORMULATEXT(C82)</f>
        <v>=C23</v>
      </c>
    </row>
    <row r="83" spans="1:9" x14ac:dyDescent="0.25">
      <c r="A83" s="1" t="s">
        <v>52</v>
      </c>
      <c r="C83" s="18">
        <f t="shared" ref="C83:G83" ca="1" si="43">SUM(C80:C82)</f>
        <v>-98.463260423786764</v>
      </c>
      <c r="D83" s="18">
        <f t="shared" ca="1" si="43"/>
        <v>-107.95186021078608</v>
      </c>
      <c r="E83" s="18">
        <f t="shared" ca="1" si="43"/>
        <v>-118.14498141691398</v>
      </c>
      <c r="F83" s="18">
        <f t="shared" ca="1" si="43"/>
        <v>-129.08131689259562</v>
      </c>
      <c r="G83" s="18">
        <f t="shared" ca="1" si="43"/>
        <v>-140.79990921275044</v>
      </c>
      <c r="I83" s="6" t="str">
        <f t="shared" ca="1" si="42"/>
        <v>=SUM(C80:C82)</v>
      </c>
    </row>
    <row r="85" spans="1:9" x14ac:dyDescent="0.25">
      <c r="A85" s="16" t="s">
        <v>53</v>
      </c>
      <c r="C85" s="18">
        <f ca="1">C71+C77+C83</f>
        <v>63.694890635680068</v>
      </c>
      <c r="D85" s="18">
        <f t="shared" ref="D85:G85" ca="1" si="44">D71+D77+D83</f>
        <v>69.527790316179065</v>
      </c>
      <c r="E85" s="18">
        <f t="shared" ca="1" si="44"/>
        <v>75.57747212537079</v>
      </c>
      <c r="F85" s="18">
        <f t="shared" ca="1" si="44"/>
        <v>81.817975338893348</v>
      </c>
      <c r="G85" s="18">
        <f t="shared" ca="1" si="44"/>
        <v>88.215463819126057</v>
      </c>
      <c r="I85" s="6" t="str">
        <f t="shared" ca="1" si="42"/>
        <v>=C71+C77+C83</v>
      </c>
    </row>
    <row r="86" spans="1:9" x14ac:dyDescent="0.25">
      <c r="A86" s="16" t="s">
        <v>54</v>
      </c>
      <c r="C86" s="18">
        <f ca="1">C27-B27</f>
        <v>63.694890635680167</v>
      </c>
      <c r="D86" s="18">
        <f t="shared" ref="D86:G86" ca="1" si="45">D27-C27</f>
        <v>69.52779031617888</v>
      </c>
      <c r="E86" s="18">
        <f t="shared" ca="1" si="45"/>
        <v>75.577472125370832</v>
      </c>
      <c r="F86" s="18">
        <f t="shared" ca="1" si="45"/>
        <v>81.817975338893575</v>
      </c>
      <c r="G86" s="18">
        <f t="shared" ca="1" si="45"/>
        <v>88.215463819125489</v>
      </c>
      <c r="I86" s="6" t="str">
        <f t="shared" ca="1" si="42"/>
        <v>=C27-B27</v>
      </c>
    </row>
    <row r="91" spans="1:9" ht="17.399999999999999" x14ac:dyDescent="0.3">
      <c r="A91" s="24" t="s">
        <v>64</v>
      </c>
    </row>
    <row r="92" spans="1:9" x14ac:dyDescent="0.25">
      <c r="A92" s="7" t="s">
        <v>65</v>
      </c>
      <c r="B92" s="2">
        <v>0.2</v>
      </c>
    </row>
    <row r="93" spans="1:9" x14ac:dyDescent="0.25">
      <c r="A93" s="7" t="s">
        <v>66</v>
      </c>
      <c r="B93" s="2">
        <v>0.05</v>
      </c>
      <c r="C93" s="7" t="s">
        <v>77</v>
      </c>
    </row>
    <row r="94" spans="1:9" x14ac:dyDescent="0.25">
      <c r="A94" s="7"/>
    </row>
    <row r="95" spans="1:9" x14ac:dyDescent="0.25">
      <c r="A95" s="22" t="s">
        <v>11</v>
      </c>
      <c r="B95" s="23">
        <v>0</v>
      </c>
      <c r="C95" s="23">
        <v>1</v>
      </c>
      <c r="D95" s="23">
        <v>2</v>
      </c>
      <c r="E95" s="23">
        <v>3</v>
      </c>
      <c r="F95" s="23">
        <v>4</v>
      </c>
      <c r="G95" s="23">
        <v>5</v>
      </c>
    </row>
    <row r="96" spans="1:9" x14ac:dyDescent="0.25">
      <c r="A96" s="1" t="s">
        <v>67</v>
      </c>
      <c r="C96" s="18">
        <f t="shared" ref="C96:G96" ca="1" si="46">C53</f>
        <v>175.98947368421051</v>
      </c>
      <c r="D96" s="18">
        <f t="shared" ca="1" si="46"/>
        <v>188.11362880886418</v>
      </c>
      <c r="E96" s="18">
        <f t="shared" ca="1" si="46"/>
        <v>200.87390552558662</v>
      </c>
      <c r="F96" s="18">
        <f t="shared" ca="1" si="46"/>
        <v>214.27325347564849</v>
      </c>
      <c r="G96" s="18">
        <f t="shared" ca="1" si="46"/>
        <v>228.30853173624354</v>
      </c>
    </row>
    <row r="97" spans="1:9" x14ac:dyDescent="0.25">
      <c r="A97" s="1" t="s">
        <v>68</v>
      </c>
      <c r="G97" s="25">
        <f ca="1">G96*(1+B93)/(B92-B93)</f>
        <v>1598.1597221537045</v>
      </c>
      <c r="I97" s="1" t="str">
        <f ca="1">[1]!getformula(G97)</f>
        <v>&lt;--  =G96*(1+B93)/(B92-B93)</v>
      </c>
    </row>
    <row r="98" spans="1:9" x14ac:dyDescent="0.25">
      <c r="A98" s="1" t="s">
        <v>69</v>
      </c>
      <c r="C98" s="18">
        <f ca="1">SUM(C96:C97)</f>
        <v>175.98947368421051</v>
      </c>
      <c r="D98" s="18">
        <f t="shared" ref="D98:G98" ca="1" si="47">SUM(D96:D97)</f>
        <v>188.11362880886418</v>
      </c>
      <c r="E98" s="18">
        <f t="shared" ca="1" si="47"/>
        <v>200.87390552558662</v>
      </c>
      <c r="F98" s="18">
        <f t="shared" ca="1" si="47"/>
        <v>214.27325347564849</v>
      </c>
      <c r="G98" s="18">
        <f t="shared" ca="1" si="47"/>
        <v>1826.4682538899481</v>
      </c>
      <c r="I98" s="1" t="str">
        <f ca="1">[1]!getformula(G98)</f>
        <v>&lt;--  =SUM(G96:G97)</v>
      </c>
    </row>
    <row r="100" spans="1:9" x14ac:dyDescent="0.25">
      <c r="A100" s="1" t="str">
        <f>"Enterprise value, present value of row "&amp;ROW(A98)</f>
        <v>Enterprise value, present value of row 98</v>
      </c>
      <c r="C100" s="26">
        <f ca="1">NPV(B92,C98:G98)</f>
        <v>1230.8893973567979</v>
      </c>
      <c r="I100" s="1" t="str">
        <f ca="1">[1]!getformula(C100)</f>
        <v>&lt;--  =NPV(B92,C98:G98)</v>
      </c>
    </row>
    <row r="101" spans="1:9" x14ac:dyDescent="0.25">
      <c r="A101" s="1" t="s">
        <v>70</v>
      </c>
      <c r="C101" s="18">
        <f>B27</f>
        <v>80</v>
      </c>
      <c r="I101" s="1" t="str">
        <f ca="1">[1]!getformula(C101)</f>
        <v>&lt;--  =B27</v>
      </c>
    </row>
    <row r="102" spans="1:9" x14ac:dyDescent="0.25">
      <c r="A102" s="1" t="s">
        <v>71</v>
      </c>
      <c r="C102" s="26">
        <f ca="1">SUM(C100:C101)</f>
        <v>1310.8893973567979</v>
      </c>
      <c r="I102" s="1" t="str">
        <f ca="1">[1]!getformula(C102)</f>
        <v>&lt;--  =SUM(C100:C101)</v>
      </c>
    </row>
    <row r="103" spans="1:9" x14ac:dyDescent="0.25">
      <c r="A103" s="1" t="s">
        <v>72</v>
      </c>
      <c r="C103" s="27">
        <f>-B36</f>
        <v>-320</v>
      </c>
      <c r="I103" s="1" t="str">
        <f ca="1">[1]!getformula(C103)</f>
        <v>&lt;--  =-B36</v>
      </c>
    </row>
    <row r="104" spans="1:9" x14ac:dyDescent="0.25">
      <c r="A104" s="1" t="s">
        <v>73</v>
      </c>
      <c r="C104" s="1">
        <f ca="1">SUM(C102:C103)</f>
        <v>990.88939735679787</v>
      </c>
      <c r="I104" s="1" t="str">
        <f ca="1">[1]!getformula(C104)</f>
        <v>&lt;--  =SUM(C102:C103)</v>
      </c>
    </row>
    <row r="107" spans="1:9" ht="17.399999999999999" x14ac:dyDescent="0.3">
      <c r="A107" s="24" t="s">
        <v>74</v>
      </c>
    </row>
    <row r="108" spans="1:9" x14ac:dyDescent="0.25">
      <c r="A108" s="1" t="str">
        <f>"NPV of row "&amp;ROW(A99)&amp;" = enterprise value"</f>
        <v>NPV of row 99 = enterprise value</v>
      </c>
      <c r="C108" s="26">
        <f ca="1">C100</f>
        <v>1230.8893973567979</v>
      </c>
      <c r="I108" s="1" t="str">
        <f ca="1">[1]!getformula(C108)</f>
        <v>&lt;--  =C100</v>
      </c>
    </row>
    <row r="109" spans="1:9" x14ac:dyDescent="0.25">
      <c r="A109" s="1" t="s">
        <v>75</v>
      </c>
      <c r="C109" s="18">
        <f>-B36+B27</f>
        <v>-240</v>
      </c>
      <c r="I109" s="1" t="str">
        <f ca="1">[1]!getformula(C109)</f>
        <v>&lt;--  =-B36+B27</v>
      </c>
    </row>
    <row r="110" spans="1:9" x14ac:dyDescent="0.25">
      <c r="A110" s="1" t="s">
        <v>73</v>
      </c>
      <c r="C110" s="26">
        <f ca="1">SUM(C108:C109)</f>
        <v>990.88939735679787</v>
      </c>
      <c r="I110" s="1" t="str">
        <f ca="1">[1]!getformula(C110)</f>
        <v>&lt;--  =SUM(C108:C109)</v>
      </c>
    </row>
    <row r="113" spans="1:9" ht="17.399999999999999" x14ac:dyDescent="0.3">
      <c r="A113" s="24" t="s">
        <v>76</v>
      </c>
    </row>
    <row r="114" spans="1:9" x14ac:dyDescent="0.25">
      <c r="A114" s="7" t="s">
        <v>65</v>
      </c>
      <c r="C114" s="2">
        <v>0.2</v>
      </c>
    </row>
    <row r="115" spans="1:9" x14ac:dyDescent="0.25">
      <c r="A115" s="7" t="s">
        <v>66</v>
      </c>
      <c r="C115" s="2">
        <v>0.05</v>
      </c>
      <c r="D115" s="7" t="s">
        <v>77</v>
      </c>
    </row>
    <row r="116" spans="1:9" x14ac:dyDescent="0.25">
      <c r="A116" s="7"/>
    </row>
    <row r="117" spans="1:9" x14ac:dyDescent="0.25">
      <c r="A117" s="22" t="s">
        <v>11</v>
      </c>
      <c r="B117" s="23">
        <v>0</v>
      </c>
      <c r="C117" s="23">
        <v>1</v>
      </c>
      <c r="D117" s="23">
        <v>2</v>
      </c>
      <c r="E117" s="23">
        <v>3</v>
      </c>
      <c r="F117" s="23">
        <v>4</v>
      </c>
      <c r="G117" s="23">
        <v>5</v>
      </c>
    </row>
    <row r="118" spans="1:9" x14ac:dyDescent="0.25">
      <c r="A118" s="1" t="s">
        <v>67</v>
      </c>
      <c r="C118" s="18">
        <f t="shared" ref="C118:G118" ca="1" si="48">C96</f>
        <v>175.98947368421051</v>
      </c>
      <c r="D118" s="18">
        <f t="shared" ca="1" si="48"/>
        <v>188.11362880886418</v>
      </c>
      <c r="E118" s="18">
        <f t="shared" ca="1" si="48"/>
        <v>200.87390552558662</v>
      </c>
      <c r="F118" s="18">
        <f t="shared" ca="1" si="48"/>
        <v>214.27325347564849</v>
      </c>
      <c r="G118" s="18">
        <f t="shared" ca="1" si="48"/>
        <v>228.30853173624354</v>
      </c>
    </row>
    <row r="119" spans="1:9" x14ac:dyDescent="0.25">
      <c r="A119" s="1" t="s">
        <v>68</v>
      </c>
      <c r="G119" s="25">
        <f ca="1">G118*(1+C115)/(C114-C115)</f>
        <v>1598.1597221537045</v>
      </c>
    </row>
    <row r="120" spans="1:9" x14ac:dyDescent="0.25">
      <c r="A120" s="1" t="s">
        <v>69</v>
      </c>
      <c r="C120" s="18">
        <f ca="1">SUM(C118:C119)</f>
        <v>175.98947368421051</v>
      </c>
      <c r="D120" s="18">
        <f t="shared" ref="D120" ca="1" si="49">SUM(D118:D119)</f>
        <v>188.11362880886418</v>
      </c>
      <c r="E120" s="18">
        <f t="shared" ref="E120" ca="1" si="50">SUM(E118:E119)</f>
        <v>200.87390552558662</v>
      </c>
      <c r="F120" s="18">
        <f t="shared" ref="F120" ca="1" si="51">SUM(F118:F119)</f>
        <v>214.27325347564849</v>
      </c>
      <c r="G120" s="18">
        <f ca="1">SUM(G118:G119)</f>
        <v>1826.4682538899481</v>
      </c>
    </row>
    <row r="122" spans="1:9" x14ac:dyDescent="0.25">
      <c r="A122" s="1" t="str">
        <f>"Enterprise value, NPV of row "&amp;ROW(A120)</f>
        <v>Enterprise value, NPV of row 120</v>
      </c>
      <c r="B122" s="26">
        <f ca="1">NPV(C114,C120:G120)*(1+C114)^0.5</f>
        <v>1348.371777452516</v>
      </c>
      <c r="I122" s="1" t="str">
        <f ca="1">[1]!getformula(B122)</f>
        <v>&lt;--  =NPV(C114,C120:G120)*(1+C114)^0.5</v>
      </c>
    </row>
    <row r="123" spans="1:9" x14ac:dyDescent="0.25">
      <c r="A123" s="1" t="s">
        <v>70</v>
      </c>
      <c r="B123" s="18">
        <f>C101</f>
        <v>80</v>
      </c>
      <c r="I123" s="1" t="str">
        <f ca="1">[1]!getformula(B123)</f>
        <v>&lt;--  =C101</v>
      </c>
    </row>
    <row r="124" spans="1:9" x14ac:dyDescent="0.25">
      <c r="A124" s="1" t="s">
        <v>71</v>
      </c>
      <c r="B124" s="26">
        <f ca="1">SUM(B122:B123)</f>
        <v>1428.371777452516</v>
      </c>
      <c r="I124" s="1" t="str">
        <f ca="1">[1]!getformula(B124)</f>
        <v>&lt;--  =SUM(B122:B123)</v>
      </c>
    </row>
    <row r="125" spans="1:9" x14ac:dyDescent="0.25">
      <c r="A125" s="1" t="s">
        <v>72</v>
      </c>
      <c r="B125" s="18">
        <f>C103</f>
        <v>-320</v>
      </c>
      <c r="I125" s="1" t="str">
        <f ca="1">[1]!getformula(B125)</f>
        <v>&lt;--  =C103</v>
      </c>
    </row>
    <row r="126" spans="1:9" x14ac:dyDescent="0.25">
      <c r="A126" s="1" t="s">
        <v>73</v>
      </c>
      <c r="B126" s="1">
        <f ca="1">SUM(B124:B125)</f>
        <v>1108.371777452516</v>
      </c>
      <c r="I126" s="1" t="str">
        <f ca="1">[1]!getformula(B126)</f>
        <v>&lt;--  =SUM(B124:B125)</v>
      </c>
    </row>
    <row r="129" spans="1:5" x14ac:dyDescent="0.25">
      <c r="A129" s="4" t="str">
        <f>"Data table:  The effect of sales growth (cell "&amp;CHAR(COLUMN(B2)+64)&amp;ROW(B2)&amp;") on equity valuation"</f>
        <v>Data table:  The effect of sales growth (cell B2) on equity valuation</v>
      </c>
    </row>
    <row r="130" spans="1:5" x14ac:dyDescent="0.25">
      <c r="C130" s="1" t="s">
        <v>78</v>
      </c>
      <c r="D130" s="1">
        <f ca="1">B126</f>
        <v>1108.371777452516</v>
      </c>
      <c r="E130" s="1" t="str">
        <f ca="1">[1]!getformula(D130)</f>
        <v>&lt;--  =B126</v>
      </c>
    </row>
    <row r="131" spans="1:5" x14ac:dyDescent="0.25">
      <c r="C131" s="2">
        <v>0</v>
      </c>
      <c r="D131" s="1">
        <f t="dataTable" ref="D131:D139" dt2D="0" dtr="0" r1="B2" ca="1"/>
        <v>1093.078879295015</v>
      </c>
    </row>
    <row r="132" spans="1:5" x14ac:dyDescent="0.25">
      <c r="C132" s="2">
        <v>0.02</v>
      </c>
      <c r="D132" s="1">
        <v>1104.9406971058056</v>
      </c>
    </row>
    <row r="133" spans="1:5" x14ac:dyDescent="0.25">
      <c r="C133" s="2">
        <v>0.04</v>
      </c>
      <c r="D133" s="1">
        <v>1112.916085109207</v>
      </c>
    </row>
    <row r="134" spans="1:5" x14ac:dyDescent="0.25">
      <c r="C134" s="2">
        <v>0.06</v>
      </c>
      <c r="D134" s="1">
        <v>1116.5068023902504</v>
      </c>
    </row>
    <row r="135" spans="1:5" x14ac:dyDescent="0.25">
      <c r="C135" s="2">
        <v>0.08</v>
      </c>
      <c r="D135" s="1">
        <v>1115.179632948104</v>
      </c>
    </row>
    <row r="136" spans="1:5" x14ac:dyDescent="0.25">
      <c r="C136" s="2">
        <v>0.1</v>
      </c>
      <c r="D136" s="1">
        <v>1108.3718882655728</v>
      </c>
    </row>
    <row r="137" spans="1:5" x14ac:dyDescent="0.25">
      <c r="C137" s="2">
        <v>0.12</v>
      </c>
      <c r="D137" s="1">
        <v>1095.489519963987</v>
      </c>
    </row>
    <row r="138" spans="1:5" x14ac:dyDescent="0.25">
      <c r="C138" s="2">
        <v>0.14000000000000001</v>
      </c>
      <c r="D138" s="1">
        <v>1075.9063566217387</v>
      </c>
    </row>
    <row r="139" spans="1:5" x14ac:dyDescent="0.25">
      <c r="C139" s="2">
        <v>0.16</v>
      </c>
      <c r="D139" s="1">
        <v>1048.9633405928257</v>
      </c>
    </row>
    <row r="150" spans="3:13" x14ac:dyDescent="0.25">
      <c r="E150" s="4" t="s">
        <v>79</v>
      </c>
    </row>
    <row r="151" spans="3:13" x14ac:dyDescent="0.25">
      <c r="D151" s="14">
        <f ca="1">IF(C114&lt;=C115,"nmf",B126)</f>
        <v>1108.371777452516</v>
      </c>
      <c r="E151" s="29">
        <v>0.1</v>
      </c>
      <c r="F151" s="29">
        <v>0.12000000000000001</v>
      </c>
      <c r="G151" s="29">
        <v>0.14000000000000001</v>
      </c>
      <c r="H151" s="29">
        <v>0.16</v>
      </c>
      <c r="I151" s="29">
        <v>0.18</v>
      </c>
      <c r="J151" s="29">
        <v>0.2</v>
      </c>
      <c r="K151" s="29">
        <v>0.22</v>
      </c>
      <c r="L151" s="29">
        <v>0.24000000000000002</v>
      </c>
      <c r="M151" s="29">
        <v>0.26</v>
      </c>
    </row>
    <row r="152" spans="3:13" x14ac:dyDescent="0.25">
      <c r="D152" s="29">
        <v>0</v>
      </c>
      <c r="E152" s="14">
        <f t="dataTable" ref="E152:M160" dt2D="1" dtr="1" r1="C114" r2="C115" ca="1"/>
        <v>2038.123187098709</v>
      </c>
      <c r="F152" s="14">
        <v>1660.0382835878436</v>
      </c>
      <c r="G152" s="14">
        <v>1390.5233559397109</v>
      </c>
      <c r="H152" s="14">
        <v>1188.8205362536639</v>
      </c>
      <c r="I152" s="14">
        <v>1032.2905563424911</v>
      </c>
      <c r="J152" s="31">
        <v>907.35304529130167</v>
      </c>
      <c r="K152" s="31">
        <v>805.36851734081483</v>
      </c>
      <c r="L152" s="31">
        <v>720.57940413013011</v>
      </c>
      <c r="M152" s="31">
        <v>649.00141081969855</v>
      </c>
    </row>
    <row r="153" spans="3:13" x14ac:dyDescent="0.25">
      <c r="C153" s="30" t="s">
        <v>80</v>
      </c>
      <c r="D153" s="29">
        <v>0.02</v>
      </c>
      <c r="E153" s="14">
        <v>2446.9956004757996</v>
      </c>
      <c r="F153" s="14">
        <v>1915.9603990064097</v>
      </c>
      <c r="G153" s="14">
        <v>1562.3442109531318</v>
      </c>
      <c r="H153" s="14">
        <v>1310.0759551120079</v>
      </c>
      <c r="I153" s="14">
        <v>1121.1232074714453</v>
      </c>
      <c r="J153" s="31">
        <v>974.35928934506501</v>
      </c>
      <c r="K153" s="31">
        <v>857.11014101049204</v>
      </c>
      <c r="L153" s="31">
        <v>761.31202136449406</v>
      </c>
      <c r="M153" s="31">
        <v>681.5903811718141</v>
      </c>
    </row>
    <row r="154" spans="3:13" x14ac:dyDescent="0.25">
      <c r="D154" s="29">
        <v>0.04</v>
      </c>
      <c r="E154" s="14">
        <v>3128.4495317808901</v>
      </c>
      <c r="F154" s="14">
        <v>2299.8435672239252</v>
      </c>
      <c r="G154" s="14">
        <v>1802.893407700145</v>
      </c>
      <c r="H154" s="14">
        <v>1471.7498469079621</v>
      </c>
      <c r="I154" s="14">
        <v>1235.3366160649675</v>
      </c>
      <c r="J154" s="31">
        <v>1058.1170944122221</v>
      </c>
      <c r="K154" s="31">
        <v>920.34990327342757</v>
      </c>
      <c r="L154" s="31">
        <v>810.19116204573038</v>
      </c>
      <c r="M154" s="31">
        <v>720.10461886067833</v>
      </c>
    </row>
    <row r="155" spans="3:13" x14ac:dyDescent="0.25">
      <c r="D155" s="29">
        <v>0.06</v>
      </c>
      <c r="E155" s="14">
        <v>4491.3573943910706</v>
      </c>
      <c r="F155" s="14">
        <v>2939.6488475864512</v>
      </c>
      <c r="G155" s="14">
        <v>2163.7172028206651</v>
      </c>
      <c r="H155" s="14">
        <v>1698.0932954222985</v>
      </c>
      <c r="I155" s="14">
        <v>1387.6211608563301</v>
      </c>
      <c r="J155" s="31">
        <v>1165.8057009271381</v>
      </c>
      <c r="K155" s="31">
        <v>999.3996061020971</v>
      </c>
      <c r="L155" s="31">
        <v>869.93233398946381</v>
      </c>
      <c r="M155" s="31">
        <v>766.32170408731531</v>
      </c>
    </row>
    <row r="156" spans="3:13" x14ac:dyDescent="0.25">
      <c r="D156" s="29">
        <v>0.08</v>
      </c>
      <c r="E156" s="14">
        <v>8580.0809822216142</v>
      </c>
      <c r="F156" s="14">
        <v>4219.2594083115046</v>
      </c>
      <c r="G156" s="14">
        <v>2765.0901946881995</v>
      </c>
      <c r="H156" s="14">
        <v>2037.6084681938023</v>
      </c>
      <c r="I156" s="14">
        <v>1600.8195235642381</v>
      </c>
      <c r="J156" s="31">
        <v>1309.3905096136925</v>
      </c>
      <c r="K156" s="31">
        <v>1101.0349383103862</v>
      </c>
      <c r="L156" s="31">
        <v>944.60879891913055</v>
      </c>
      <c r="M156" s="31">
        <v>822.8092526976493</v>
      </c>
    </row>
    <row r="157" spans="3:13" x14ac:dyDescent="0.25">
      <c r="D157" s="29">
        <v>0.1</v>
      </c>
      <c r="E157" s="14" t="str">
        <v>nmf</v>
      </c>
      <c r="F157" s="14">
        <v>8058.0910904866614</v>
      </c>
      <c r="G157" s="14">
        <v>3967.8361784232675</v>
      </c>
      <c r="H157" s="14">
        <v>2603.4670894796418</v>
      </c>
      <c r="I157" s="14">
        <v>1920.6170676260999</v>
      </c>
      <c r="J157" s="31">
        <v>1510.4092417748691</v>
      </c>
      <c r="K157" s="31">
        <v>1236.5487145881052</v>
      </c>
      <c r="L157" s="31">
        <v>1040.621396685845</v>
      </c>
      <c r="M157" s="31">
        <v>893.41868846056695</v>
      </c>
    </row>
    <row r="158" spans="3:13" x14ac:dyDescent="0.25">
      <c r="D158" s="29">
        <v>0.12</v>
      </c>
      <c r="E158" s="14" t="str">
        <v>nmf</v>
      </c>
      <c r="F158" s="14" t="str">
        <v>nmf</v>
      </c>
      <c r="G158" s="14">
        <v>7576.0741296284659</v>
      </c>
      <c r="H158" s="14">
        <v>3735.1843320513199</v>
      </c>
      <c r="I158" s="14">
        <v>2453.6129743958704</v>
      </c>
      <c r="J158" s="31">
        <v>1811.9373400166337</v>
      </c>
      <c r="K158" s="31">
        <v>1426.2680013769113</v>
      </c>
      <c r="L158" s="31">
        <v>1168.6381937081305</v>
      </c>
      <c r="M158" s="31">
        <v>984.20224872717517</v>
      </c>
    </row>
    <row r="159" spans="3:13" x14ac:dyDescent="0.25">
      <c r="D159" s="29">
        <v>0.14000000000000001</v>
      </c>
      <c r="E159" s="14" t="str">
        <v>nmf</v>
      </c>
      <c r="F159" s="14" t="str">
        <v>nmf</v>
      </c>
      <c r="G159" s="14" t="str">
        <v>nmf</v>
      </c>
      <c r="H159" s="14">
        <v>7130.3360597663632</v>
      </c>
      <c r="I159" s="14">
        <v>3519.6047879354119</v>
      </c>
      <c r="J159" s="31">
        <v>2314.4841704195755</v>
      </c>
      <c r="K159" s="31">
        <v>1710.8469315601214</v>
      </c>
      <c r="L159" s="31">
        <v>1347.8617095393308</v>
      </c>
      <c r="M159" s="31">
        <v>1105.2469957493197</v>
      </c>
    </row>
    <row r="160" spans="3:13" x14ac:dyDescent="0.25">
      <c r="D160" s="29">
        <v>0.16</v>
      </c>
      <c r="E160" s="14" t="str">
        <v>nmf</v>
      </c>
      <c r="F160" s="14" t="str">
        <v>nmf</v>
      </c>
      <c r="G160" s="14" t="str">
        <v>nmf</v>
      </c>
      <c r="H160" s="14" t="str">
        <v>nmf</v>
      </c>
      <c r="I160" s="14">
        <v>6717.5802285540312</v>
      </c>
      <c r="J160" s="31">
        <v>3319.577831225457</v>
      </c>
      <c r="K160" s="31">
        <v>2185.1451485321372</v>
      </c>
      <c r="L160" s="31">
        <v>1616.6969832861307</v>
      </c>
      <c r="M160" s="31">
        <v>1274.7096415803214</v>
      </c>
    </row>
  </sheetData>
  <mergeCells count="2">
    <mergeCell ref="A1:I1"/>
    <mergeCell ref="A64:H64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2024-10-12T06:30:04Z</dcterms:modified>
</cp:coreProperties>
</file>