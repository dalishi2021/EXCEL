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923BFF51-B673-4F47-A88F-F34514DC133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Sheet1!$C$22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Sheet1!$C$38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1253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1" l="1"/>
  <c r="D55" i="1"/>
  <c r="E55" i="1"/>
  <c r="F55" i="1"/>
  <c r="G55" i="1"/>
  <c r="C54" i="1"/>
  <c r="D54" i="1"/>
  <c r="E54" i="1"/>
  <c r="F54" i="1"/>
  <c r="G54" i="1"/>
  <c r="C52" i="1"/>
  <c r="D52" i="1"/>
  <c r="E52" i="1"/>
  <c r="F52" i="1"/>
  <c r="G52" i="1"/>
  <c r="C51" i="1"/>
  <c r="D51" i="1"/>
  <c r="E51" i="1"/>
  <c r="F51" i="1"/>
  <c r="G51" i="1"/>
  <c r="D23" i="1"/>
  <c r="E23" i="1"/>
  <c r="F23" i="1"/>
  <c r="G23" i="1"/>
  <c r="C23" i="1"/>
  <c r="D37" i="1"/>
  <c r="E37" i="1"/>
  <c r="F37" i="1"/>
  <c r="G37" i="1"/>
  <c r="C37" i="1"/>
  <c r="D34" i="1"/>
  <c r="E34" i="1"/>
  <c r="F34" i="1"/>
  <c r="G34" i="1"/>
  <c r="D27" i="1"/>
  <c r="E27" i="1"/>
  <c r="F27" i="1"/>
  <c r="G27" i="1"/>
  <c r="D31" i="1"/>
  <c r="D32" i="1" s="1"/>
  <c r="E31" i="1"/>
  <c r="E32" i="1" s="1"/>
  <c r="F31" i="1"/>
  <c r="F32" i="1" s="1"/>
  <c r="G31" i="1"/>
  <c r="G32" i="1" s="1"/>
  <c r="D14" i="1"/>
  <c r="E14" i="1" s="1"/>
  <c r="D16" i="1"/>
  <c r="E16" i="1"/>
  <c r="F16" i="1"/>
  <c r="G16" i="1"/>
  <c r="D17" i="1"/>
  <c r="E17" i="1"/>
  <c r="F17" i="1"/>
  <c r="G17" i="1"/>
  <c r="C34" i="1"/>
  <c r="C32" i="1"/>
  <c r="C31" i="1"/>
  <c r="C27" i="1"/>
  <c r="C17" i="1"/>
  <c r="C16" i="1"/>
  <c r="C15" i="1"/>
  <c r="C14" i="1"/>
  <c r="C36" i="1"/>
  <c r="D36" i="1" s="1"/>
  <c r="E36" i="1" s="1"/>
  <c r="F36" i="1" s="1"/>
  <c r="G36" i="1" s="1"/>
  <c r="B34" i="1"/>
  <c r="B31" i="1"/>
  <c r="B29" i="1"/>
  <c r="C26" i="1"/>
  <c r="D26" i="1" s="1"/>
  <c r="E26" i="1" s="1"/>
  <c r="F26" i="1" s="1"/>
  <c r="G26" i="1" s="1"/>
  <c r="B17" i="1"/>
  <c r="B15" i="1"/>
  <c r="B14" i="1"/>
  <c r="B27" i="1" s="1"/>
  <c r="B32" i="1" s="1"/>
  <c r="B35" i="1" s="1"/>
  <c r="F14" i="1" l="1"/>
  <c r="E15" i="1"/>
  <c r="D15" i="1"/>
  <c r="C35" i="1"/>
  <c r="D35" i="1" s="1"/>
  <c r="E35" i="1" s="1"/>
  <c r="F35" i="1" s="1"/>
  <c r="G35" i="1" s="1"/>
  <c r="B16" i="1"/>
  <c r="B38" i="1"/>
  <c r="B19" i="1"/>
  <c r="B20" i="1" s="1"/>
  <c r="B21" i="1" s="1"/>
  <c r="B23" i="1" s="1"/>
  <c r="G14" i="1" l="1"/>
  <c r="F15" i="1"/>
  <c r="G15" i="1" l="1"/>
  <c r="C38" i="1"/>
  <c r="D38" i="1"/>
  <c r="E38" i="1"/>
  <c r="F38" i="1"/>
  <c r="G38" i="1"/>
  <c r="C44" i="1"/>
  <c r="D44" i="1"/>
  <c r="E44" i="1"/>
  <c r="F44" i="1"/>
  <c r="G44" i="1"/>
  <c r="C18" i="1" l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9" i="1"/>
  <c r="D29" i="1"/>
  <c r="E29" i="1"/>
  <c r="F29" i="1"/>
  <c r="G29" i="1"/>
  <c r="C30" i="1"/>
  <c r="D30" i="1"/>
  <c r="E30" i="1"/>
  <c r="F30" i="1"/>
  <c r="G30" i="1"/>
  <c r="C43" i="1"/>
  <c r="D43" i="1"/>
  <c r="E43" i="1"/>
  <c r="F43" i="1"/>
  <c r="G43" i="1"/>
  <c r="C45" i="1"/>
  <c r="D45" i="1"/>
  <c r="E45" i="1"/>
  <c r="F45" i="1"/>
  <c r="G45" i="1"/>
  <c r="C49" i="1"/>
  <c r="D49" i="1"/>
  <c r="E49" i="1"/>
  <c r="F49" i="1"/>
  <c r="G49" i="1"/>
  <c r="C50" i="1"/>
  <c r="D50" i="1"/>
  <c r="E50" i="1"/>
  <c r="F50" i="1"/>
  <c r="G50" i="1"/>
  <c r="C53" i="1"/>
  <c r="D53" i="1"/>
  <c r="E53" i="1"/>
  <c r="F53" i="1"/>
  <c r="G53" i="1"/>
  <c r="C56" i="1"/>
  <c r="D56" i="1"/>
  <c r="E56" i="1"/>
  <c r="F56" i="1"/>
  <c r="G56" i="1"/>
</calcChain>
</file>

<file path=xl/sharedStrings.xml><?xml version="1.0" encoding="utf-8"?>
<sst xmlns="http://schemas.openxmlformats.org/spreadsheetml/2006/main" count="64" uniqueCount="54">
  <si>
    <t>SUSTAINABLE DIVIDENDS--Template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</si>
  <si>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</si>
  <si>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</si>
  <si>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</si>
  <si>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</si>
  <si>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</si>
  <si>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</si>
  <si>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</si>
  <si>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</si>
  <si>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</si>
  <si>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</si>
  <si>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</si>
  <si>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</si>
  <si>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</si>
  <si>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</si>
  <si>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</si>
  <si>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</si>
  <si>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</si>
  <si>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</si>
  <si>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</si>
  <si>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</si>
  <si>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</si>
  <si>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</si>
  <si>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</si>
  <si>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</si>
  <si>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</si>
  <si>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</si>
  <si>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</si>
  <si>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</si>
  <si>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</si>
  <si>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</si>
  <si>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</si>
  <si>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</si>
  <si>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</si>
  <si>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</si>
  <si>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if</t>
    <phoneticPr fontId="1" type="noConversion"/>
  </si>
  <si>
    <t>ave</t>
    <phoneticPr fontId="1" type="noConversion"/>
  </si>
  <si>
    <t>CALCULATION OF MAXIMUM SUSTAINABLE DIVIDEND</t>
  </si>
  <si>
    <t xml:space="preserve">    Profit after tax</t>
  </si>
  <si>
    <t xml:space="preserve">    - increase in retained earnings</t>
  </si>
  <si>
    <t xml:space="preserve">   ==&gt; maximum sustainable dividend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</si>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</sst>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  <numFmt numFmtId="178" formatCode="0_);\(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177" fontId="0" fillId="0" borderId="0" xfId="0" applyNumberForma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43" fontId="0" fillId="0" borderId="0" xfId="1" applyFont="1" applyAlignment="1"/>
    <xf numFmtId="9" fontId="4" fillId="0" borderId="0" xfId="0" applyNumberFormat="1" applyFont="1" applyAlignment="1"/>
    <xf numFmtId="0" fontId="4" fillId="0" borderId="0" xfId="0" applyFont="1" applyAlignment="1">
      <alignment horizontal="right"/>
    </xf>
    <xf numFmtId="177" fontId="0" fillId="2" borderId="0" xfId="1" applyNumberFormat="1" applyFont="1" applyFill="1" applyAlignment="1"/>
    <xf numFmtId="0" fontId="0" fillId="3" borderId="0" xfId="0" applyFill="1" applyAlignment="1"/>
    <xf numFmtId="9" fontId="0" fillId="3" borderId="0" xfId="0" applyNumberFormat="1" applyFill="1" applyAlignment="1"/>
    <xf numFmtId="0" fontId="0" fillId="2" borderId="0" xfId="0" applyFill="1" applyAlignment="1"/>
    <xf numFmtId="9" fontId="0" fillId="2" borderId="0" xfId="0" applyNumberFormat="1" applyFill="1" applyAlignment="1"/>
    <xf numFmtId="10" fontId="0" fillId="2" borderId="0" xfId="0" applyNumberFormat="1" applyFill="1" applyAlignment="1"/>
    <xf numFmtId="178" fontId="0" fillId="2" borderId="0" xfId="0" applyNumberFormat="1" applyFill="1" applyAlignment="1"/>
    <xf numFmtId="177" fontId="0" fillId="2" borderId="0" xfId="0" applyNumberFormat="1" applyFill="1" applyAlignment="1"/>
    <xf numFmtId="176" fontId="0" fillId="0" borderId="0" xfId="1" applyNumberFormat="1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l 1 for reference"/>
      <sheetName val="Model 1 for reference (中文)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  <sheetName val="Exercise 8"/>
      <sheetName val="Exercise 8 (中文)"/>
      <sheetName val="Exercise 9"/>
      <sheetName val="Exercise 9 (中文)"/>
      <sheetName val="Exercise 9, version 2"/>
      <sheetName val="Exercise 9, version 2 (中文)"/>
      <sheetName val="Exercise 10--setup"/>
      <sheetName val="Exercise 10--setup (中文)"/>
      <sheetName val="Exercise 10--solu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8"/>
  <sheetViews>
    <sheetView tabSelected="1" topLeftCell="A9" zoomScale="160" zoomScaleNormal="160" workbookViewId="0">
      <selection activeCell="G26" sqref="G26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8" x14ac:dyDescent="0.25">
      <c r="A2" s="20" t="s">
        <v>1</v>
      </c>
      <c r="B2" s="21">
        <v>0.1</v>
      </c>
      <c r="C2" s="2" t="s">
        <v>35</v>
      </c>
    </row>
    <row r="3" spans="1:8" x14ac:dyDescent="0.25">
      <c r="A3" s="20" t="s">
        <v>2</v>
      </c>
      <c r="B3" s="21">
        <v>0.15</v>
      </c>
      <c r="C3" s="2" t="s">
        <v>35</v>
      </c>
    </row>
    <row r="4" spans="1:8" x14ac:dyDescent="0.25">
      <c r="A4" s="20" t="s">
        <v>3</v>
      </c>
      <c r="B4" s="21">
        <v>0.08</v>
      </c>
      <c r="C4" s="2" t="s">
        <v>35</v>
      </c>
    </row>
    <row r="5" spans="1:8" x14ac:dyDescent="0.25">
      <c r="A5" s="20" t="s">
        <v>4</v>
      </c>
      <c r="B5" s="21">
        <v>0.77</v>
      </c>
      <c r="C5" s="2" t="s">
        <v>35</v>
      </c>
    </row>
    <row r="6" spans="1:8" x14ac:dyDescent="0.25">
      <c r="A6" s="20" t="s">
        <v>5</v>
      </c>
      <c r="B6" s="21">
        <v>0.5</v>
      </c>
      <c r="C6" s="2" t="s">
        <v>35</v>
      </c>
    </row>
    <row r="7" spans="1:8" x14ac:dyDescent="0.25">
      <c r="A7" s="22" t="s">
        <v>6</v>
      </c>
      <c r="B7" s="23">
        <v>0.1</v>
      </c>
      <c r="C7" s="2" t="s">
        <v>36</v>
      </c>
    </row>
    <row r="8" spans="1:8" x14ac:dyDescent="0.25">
      <c r="A8" s="22" t="s">
        <v>7</v>
      </c>
      <c r="B8" s="24">
        <v>0.1</v>
      </c>
      <c r="C8" s="2" t="s">
        <v>36</v>
      </c>
    </row>
    <row r="9" spans="1:8" x14ac:dyDescent="0.25">
      <c r="A9" s="22" t="s">
        <v>8</v>
      </c>
      <c r="B9" s="24">
        <v>0.08</v>
      </c>
      <c r="C9" s="2" t="s">
        <v>36</v>
      </c>
    </row>
    <row r="10" spans="1:8" x14ac:dyDescent="0.25">
      <c r="A10" s="20" t="s">
        <v>9</v>
      </c>
      <c r="B10" s="21">
        <v>0.4</v>
      </c>
      <c r="C10" s="2" t="s">
        <v>35</v>
      </c>
    </row>
    <row r="12" spans="1:8" x14ac:dyDescent="0.25">
      <c r="A12" s="4" t="s">
        <v>10</v>
      </c>
      <c r="B12" s="5">
        <v>0</v>
      </c>
      <c r="C12" s="5">
        <v>1</v>
      </c>
      <c r="D12" s="5">
        <v>2</v>
      </c>
      <c r="E12" s="5">
        <v>3</v>
      </c>
      <c r="F12" s="5">
        <v>4</v>
      </c>
      <c r="G12" s="5">
        <v>5</v>
      </c>
    </row>
    <row r="13" spans="1:8" x14ac:dyDescent="0.25">
      <c r="A13" s="4" t="s">
        <v>11</v>
      </c>
    </row>
    <row r="14" spans="1:8" x14ac:dyDescent="0.25">
      <c r="A14" s="2" t="s">
        <v>12</v>
      </c>
      <c r="B14" s="6">
        <f>1000</f>
        <v>1000</v>
      </c>
      <c r="C14" s="6">
        <f>B14*(1+$B$2)</f>
        <v>1100</v>
      </c>
      <c r="D14" s="6">
        <f t="shared" ref="D14:G14" si="0">C14*(1+$B$2)</f>
        <v>1210</v>
      </c>
      <c r="E14" s="6">
        <f t="shared" si="0"/>
        <v>1331</v>
      </c>
      <c r="F14" s="6">
        <f t="shared" si="0"/>
        <v>1464.1000000000001</v>
      </c>
      <c r="G14" s="6">
        <f t="shared" si="0"/>
        <v>1610.5100000000002</v>
      </c>
      <c r="H14" t="s">
        <v>49</v>
      </c>
    </row>
    <row r="15" spans="1:8" x14ac:dyDescent="0.25">
      <c r="A15" s="2" t="s">
        <v>13</v>
      </c>
      <c r="B15" s="6">
        <f>-B14*$B$6</f>
        <v>-500</v>
      </c>
      <c r="C15" s="6">
        <f>-C14*$B$6</f>
        <v>-550</v>
      </c>
      <c r="D15" s="6">
        <f t="shared" ref="D15:G15" si="1">-D14*$B$6</f>
        <v>-605</v>
      </c>
      <c r="E15" s="6">
        <f t="shared" si="1"/>
        <v>-665.5</v>
      </c>
      <c r="F15" s="6">
        <f t="shared" si="1"/>
        <v>-732.05000000000007</v>
      </c>
      <c r="G15" s="6">
        <f t="shared" si="1"/>
        <v>-805.25500000000011</v>
      </c>
      <c r="H15" t="s">
        <v>50</v>
      </c>
    </row>
    <row r="16" spans="1:8" x14ac:dyDescent="0.25">
      <c r="A16" s="2" t="s">
        <v>14</v>
      </c>
      <c r="B16" s="6">
        <f>-$B$8*B35</f>
        <v>-32</v>
      </c>
      <c r="C16" s="6">
        <f>-$B$8*(B35+C35)/2</f>
        <v>-32</v>
      </c>
      <c r="D16" s="6">
        <f t="shared" ref="D16:G16" si="2">-$B$8*(C35+D35)/2</f>
        <v>-32</v>
      </c>
      <c r="E16" s="6">
        <f t="shared" si="2"/>
        <v>-32</v>
      </c>
      <c r="F16" s="6">
        <f t="shared" si="2"/>
        <v>-32</v>
      </c>
      <c r="G16" s="6">
        <f t="shared" si="2"/>
        <v>-32</v>
      </c>
      <c r="H16" t="s">
        <v>51</v>
      </c>
    </row>
    <row r="17" spans="1:8" x14ac:dyDescent="0.25">
      <c r="A17" s="2" t="s">
        <v>15</v>
      </c>
      <c r="B17" s="6">
        <f>$B$9*B26</f>
        <v>6.4</v>
      </c>
      <c r="C17" s="6">
        <f>$B$9*(B26+C26)/2</f>
        <v>6.4</v>
      </c>
      <c r="D17" s="6">
        <f t="shared" ref="D17:G17" si="3">$B$9*(C26+D26)/2</f>
        <v>6.4</v>
      </c>
      <c r="E17" s="6">
        <f t="shared" si="3"/>
        <v>6.4</v>
      </c>
      <c r="F17" s="6">
        <f t="shared" si="3"/>
        <v>6.4</v>
      </c>
      <c r="G17" s="6">
        <f t="shared" si="3"/>
        <v>6.4</v>
      </c>
      <c r="H17" t="s">
        <v>52</v>
      </c>
    </row>
    <row r="18" spans="1:8" x14ac:dyDescent="0.25">
      <c r="A18" s="2" t="s">
        <v>16</v>
      </c>
      <c r="B18" s="6">
        <v>-100</v>
      </c>
      <c r="C18" s="6">
        <f ca="1">-$B$7*(B29+C29)/2</f>
        <v>-116.68421052631579</v>
      </c>
      <c r="D18" s="6">
        <f t="shared" ref="D18:G18" ca="1" si="4">-$B$7*(C29+D29)/2</f>
        <v>-137.47728531855955</v>
      </c>
      <c r="E18" s="6">
        <f t="shared" ca="1" si="4"/>
        <v>-161.31015745735533</v>
      </c>
      <c r="F18" s="6">
        <f t="shared" ca="1" si="4"/>
        <v>-188.58791087391907</v>
      </c>
      <c r="G18" s="6">
        <f t="shared" ca="1" si="4"/>
        <v>-219.76678043959475</v>
      </c>
      <c r="H18" t="s">
        <v>53</v>
      </c>
    </row>
    <row r="19" spans="1:8" x14ac:dyDescent="0.25">
      <c r="A19" s="2" t="s">
        <v>17</v>
      </c>
      <c r="B19" s="6">
        <f>SUM(B14:B18)</f>
        <v>374.4</v>
      </c>
      <c r="C19" s="6">
        <f ca="1">SUM(C14:C18)</f>
        <v>407.7157894736842</v>
      </c>
      <c r="D19" s="6">
        <f t="shared" ref="D19:G19" ca="1" si="5">SUM(D14:D18)</f>
        <v>441.92271468144043</v>
      </c>
      <c r="E19" s="6">
        <f t="shared" ca="1" si="5"/>
        <v>478.58984254264465</v>
      </c>
      <c r="F19" s="6">
        <f t="shared" ca="1" si="5"/>
        <v>517.86208912608095</v>
      </c>
      <c r="G19" s="6">
        <f t="shared" ca="1" si="5"/>
        <v>559.88821956040533</v>
      </c>
    </row>
    <row r="20" spans="1:8" x14ac:dyDescent="0.25">
      <c r="A20" s="2" t="s">
        <v>18</v>
      </c>
      <c r="B20" s="6">
        <f>-B19*$B$10</f>
        <v>-149.76</v>
      </c>
      <c r="C20" s="6">
        <f ca="1">-C19*$B$10</f>
        <v>-163.0863157894737</v>
      </c>
      <c r="D20" s="6">
        <f t="shared" ref="D20:G20" ca="1" si="6">-D19*$B$10</f>
        <v>-176.76908587257617</v>
      </c>
      <c r="E20" s="6">
        <f t="shared" ca="1" si="6"/>
        <v>-191.43593701705788</v>
      </c>
      <c r="F20" s="6">
        <f t="shared" ca="1" si="6"/>
        <v>-207.14483565043238</v>
      </c>
      <c r="G20" s="6">
        <f t="shared" ca="1" si="6"/>
        <v>-223.95528782416216</v>
      </c>
    </row>
    <row r="21" spans="1:8" x14ac:dyDescent="0.25">
      <c r="A21" s="2" t="s">
        <v>19</v>
      </c>
      <c r="B21" s="6">
        <f>B20+B19</f>
        <v>224.64</v>
      </c>
      <c r="C21" s="6">
        <f ca="1">C20+C19</f>
        <v>244.6294736842105</v>
      </c>
      <c r="D21" s="6">
        <f t="shared" ref="D21:G21" ca="1" si="7">D20+D19</f>
        <v>265.15362880886426</v>
      </c>
      <c r="E21" s="6">
        <f t="shared" ca="1" si="7"/>
        <v>287.15390552558677</v>
      </c>
      <c r="F21" s="6">
        <f t="shared" ca="1" si="7"/>
        <v>310.71725347564859</v>
      </c>
      <c r="G21" s="6">
        <f t="shared" ca="1" si="7"/>
        <v>335.93293173624318</v>
      </c>
      <c r="H21" s="27"/>
    </row>
    <row r="22" spans="1:8" x14ac:dyDescent="0.25">
      <c r="A22" s="2" t="s">
        <v>20</v>
      </c>
      <c r="B22" s="19">
        <v>-90</v>
      </c>
      <c r="C22" s="19">
        <f ca="1">C23-C21</f>
        <v>-160.6294736842105</v>
      </c>
      <c r="D22" s="19">
        <f t="shared" ref="D22:G22" ca="1" si="8">D23-D21</f>
        <v>-172.75362880886416</v>
      </c>
      <c r="E22" s="19">
        <f t="shared" ca="1" si="8"/>
        <v>-185.51390552558689</v>
      </c>
      <c r="F22" s="19">
        <f t="shared" ca="1" si="8"/>
        <v>-198.91325347564828</v>
      </c>
      <c r="G22" s="19">
        <f t="shared" ca="1" si="8"/>
        <v>-212.94853173624313</v>
      </c>
    </row>
    <row r="23" spans="1:8" x14ac:dyDescent="0.25">
      <c r="A23" s="2" t="s">
        <v>21</v>
      </c>
      <c r="B23" s="6">
        <f>B21+B22</f>
        <v>134.63999999999999</v>
      </c>
      <c r="C23" s="6">
        <f>C37-B37</f>
        <v>84</v>
      </c>
      <c r="D23" s="6">
        <f t="shared" ref="D23:G23" si="9">D37-C37</f>
        <v>92.400000000000091</v>
      </c>
      <c r="E23" s="6">
        <f t="shared" si="9"/>
        <v>101.63999999999987</v>
      </c>
      <c r="F23" s="6">
        <f t="shared" si="9"/>
        <v>111.80400000000031</v>
      </c>
      <c r="G23" s="6">
        <f t="shared" si="9"/>
        <v>122.98440000000005</v>
      </c>
    </row>
    <row r="24" spans="1:8" x14ac:dyDescent="0.25">
      <c r="B24" s="6"/>
      <c r="C24" s="6"/>
      <c r="D24" s="6"/>
      <c r="E24" s="6"/>
      <c r="F24" s="6"/>
      <c r="G24" s="6"/>
    </row>
    <row r="25" spans="1:8" x14ac:dyDescent="0.25">
      <c r="A25" s="4" t="s">
        <v>22</v>
      </c>
      <c r="B25" s="6"/>
      <c r="C25" s="6"/>
      <c r="D25" s="6"/>
      <c r="E25" s="6"/>
      <c r="F25" s="6"/>
      <c r="G25" s="6"/>
    </row>
    <row r="26" spans="1:8" x14ac:dyDescent="0.25">
      <c r="A26" s="7" t="s">
        <v>23</v>
      </c>
      <c r="B26" s="6">
        <v>80</v>
      </c>
      <c r="C26" s="6">
        <f>B26</f>
        <v>80</v>
      </c>
      <c r="D26" s="6">
        <f>C26</f>
        <v>80</v>
      </c>
      <c r="E26" s="6">
        <f>D26</f>
        <v>80</v>
      </c>
      <c r="F26" s="6">
        <f>E26</f>
        <v>80</v>
      </c>
      <c r="G26" s="6">
        <f>F26</f>
        <v>80</v>
      </c>
    </row>
    <row r="27" spans="1:8" x14ac:dyDescent="0.25">
      <c r="A27" s="2" t="s">
        <v>24</v>
      </c>
      <c r="B27" s="6">
        <f>$B$3*B14</f>
        <v>150</v>
      </c>
      <c r="C27" s="6">
        <f>$B$3*C14</f>
        <v>165</v>
      </c>
      <c r="D27" s="6">
        <f t="shared" ref="D27:G27" si="10">$B$3*D14</f>
        <v>181.5</v>
      </c>
      <c r="E27" s="6">
        <f t="shared" si="10"/>
        <v>199.65</v>
      </c>
      <c r="F27" s="6">
        <f t="shared" si="10"/>
        <v>219.61500000000001</v>
      </c>
      <c r="G27" s="6">
        <f t="shared" si="10"/>
        <v>241.57650000000001</v>
      </c>
    </row>
    <row r="28" spans="1:8" x14ac:dyDescent="0.25">
      <c r="A28" s="2" t="s">
        <v>25</v>
      </c>
      <c r="B28" s="6"/>
      <c r="C28" s="6"/>
      <c r="D28" s="6"/>
      <c r="E28" s="6"/>
      <c r="F28" s="6"/>
      <c r="G28" s="6"/>
    </row>
    <row r="29" spans="1:8" x14ac:dyDescent="0.25">
      <c r="A29" s="2" t="s">
        <v>26</v>
      </c>
      <c r="B29" s="6">
        <f>B31-B30</f>
        <v>1070</v>
      </c>
      <c r="C29" s="6">
        <f ca="1">C31-C30</f>
        <v>1263.6842105263158</v>
      </c>
      <c r="D29" s="6">
        <f t="shared" ref="D29:G29" ca="1" si="11">D31-D30</f>
        <v>1485.8614958448754</v>
      </c>
      <c r="E29" s="6">
        <f t="shared" ca="1" si="11"/>
        <v>1740.341653302231</v>
      </c>
      <c r="F29" s="6">
        <f t="shared" ca="1" si="11"/>
        <v>2031.4165641761501</v>
      </c>
      <c r="G29" s="6">
        <f t="shared" ca="1" si="11"/>
        <v>2363.9190446157445</v>
      </c>
    </row>
    <row r="30" spans="1:8" x14ac:dyDescent="0.25">
      <c r="A30" s="2" t="s">
        <v>27</v>
      </c>
      <c r="B30" s="6">
        <v>-300</v>
      </c>
      <c r="C30" s="6">
        <f ca="1">B30+C18</f>
        <v>-416.68421052631578</v>
      </c>
      <c r="D30" s="6">
        <f t="shared" ref="D30:G30" ca="1" si="12">C30+D18</f>
        <v>-554.16149584487539</v>
      </c>
      <c r="E30" s="6">
        <f t="shared" ca="1" si="12"/>
        <v>-715.47165330223072</v>
      </c>
      <c r="F30" s="6">
        <f t="shared" ca="1" si="12"/>
        <v>-904.05956417614982</v>
      </c>
      <c r="G30" s="6">
        <f t="shared" ca="1" si="12"/>
        <v>-1123.8263446157446</v>
      </c>
    </row>
    <row r="31" spans="1:8" x14ac:dyDescent="0.25">
      <c r="A31" s="2" t="s">
        <v>28</v>
      </c>
      <c r="B31" s="6">
        <f>B14*$B$5</f>
        <v>770</v>
      </c>
      <c r="C31" s="6">
        <f>$B$5*C14</f>
        <v>847</v>
      </c>
      <c r="D31" s="6">
        <f t="shared" ref="D31:G31" si="13">$B$5*D14</f>
        <v>931.7</v>
      </c>
      <c r="E31" s="6">
        <f t="shared" si="13"/>
        <v>1024.8700000000001</v>
      </c>
      <c r="F31" s="6">
        <f t="shared" si="13"/>
        <v>1127.3570000000002</v>
      </c>
      <c r="G31" s="6">
        <f t="shared" si="13"/>
        <v>1240.0927000000001</v>
      </c>
    </row>
    <row r="32" spans="1:8" x14ac:dyDescent="0.25">
      <c r="A32" s="4" t="s">
        <v>29</v>
      </c>
      <c r="B32" s="6">
        <f>B26+B27+B31</f>
        <v>1000</v>
      </c>
      <c r="C32" s="6">
        <f>C26+C27+C31</f>
        <v>1092</v>
      </c>
      <c r="D32" s="6">
        <f t="shared" ref="D32:G32" si="14">D26+D27+D31</f>
        <v>1193.2</v>
      </c>
      <c r="E32" s="6">
        <f t="shared" si="14"/>
        <v>1304.52</v>
      </c>
      <c r="F32" s="6">
        <f t="shared" si="14"/>
        <v>1426.9720000000002</v>
      </c>
      <c r="G32" s="6">
        <f t="shared" si="14"/>
        <v>1561.6692000000003</v>
      </c>
    </row>
    <row r="33" spans="1:7" x14ac:dyDescent="0.25">
      <c r="B33" s="6"/>
      <c r="C33" s="6"/>
      <c r="D33" s="6"/>
      <c r="E33" s="6"/>
      <c r="F33" s="6"/>
      <c r="G33" s="6"/>
    </row>
    <row r="34" spans="1:7" x14ac:dyDescent="0.25">
      <c r="A34" s="2" t="s">
        <v>30</v>
      </c>
      <c r="B34" s="6">
        <f>B14*$B$4</f>
        <v>80</v>
      </c>
      <c r="C34" s="6">
        <f>$B$4*C14</f>
        <v>88</v>
      </c>
      <c r="D34" s="6">
        <f t="shared" ref="D34:G34" si="15">$B$4*D14</f>
        <v>96.8</v>
      </c>
      <c r="E34" s="6">
        <f t="shared" si="15"/>
        <v>106.48</v>
      </c>
      <c r="F34" s="6">
        <f t="shared" si="15"/>
        <v>117.12800000000001</v>
      </c>
      <c r="G34" s="6">
        <f t="shared" si="15"/>
        <v>128.84080000000003</v>
      </c>
    </row>
    <row r="35" spans="1:7" x14ac:dyDescent="0.25">
      <c r="A35" s="2" t="s">
        <v>31</v>
      </c>
      <c r="B35" s="6">
        <f>B32-B34-B36-B37</f>
        <v>320</v>
      </c>
      <c r="C35" s="6">
        <f t="shared" ref="C35:G36" si="16">B35</f>
        <v>320</v>
      </c>
      <c r="D35" s="6">
        <f t="shared" si="16"/>
        <v>320</v>
      </c>
      <c r="E35" s="6">
        <f t="shared" si="16"/>
        <v>320</v>
      </c>
      <c r="F35" s="6">
        <f t="shared" si="16"/>
        <v>320</v>
      </c>
      <c r="G35" s="6">
        <f t="shared" si="16"/>
        <v>320</v>
      </c>
    </row>
    <row r="36" spans="1:7" x14ac:dyDescent="0.25">
      <c r="A36" s="2" t="s">
        <v>32</v>
      </c>
      <c r="B36" s="6">
        <v>450</v>
      </c>
      <c r="C36" s="6">
        <f t="shared" si="16"/>
        <v>450</v>
      </c>
      <c r="D36" s="6">
        <f t="shared" si="16"/>
        <v>450</v>
      </c>
      <c r="E36" s="6">
        <f t="shared" si="16"/>
        <v>450</v>
      </c>
      <c r="F36" s="6">
        <f t="shared" si="16"/>
        <v>450</v>
      </c>
      <c r="G36" s="6">
        <f t="shared" si="16"/>
        <v>450</v>
      </c>
    </row>
    <row r="37" spans="1:7" x14ac:dyDescent="0.25">
      <c r="A37" s="2" t="s">
        <v>33</v>
      </c>
      <c r="B37" s="6">
        <v>150</v>
      </c>
      <c r="C37" s="6">
        <f>C32-C34-C35-C36</f>
        <v>234</v>
      </c>
      <c r="D37" s="6">
        <f t="shared" ref="D37:G37" si="17">D32-D34-D35-D36</f>
        <v>326.40000000000009</v>
      </c>
      <c r="E37" s="6">
        <f t="shared" si="17"/>
        <v>428.03999999999996</v>
      </c>
      <c r="F37" s="6">
        <f t="shared" si="17"/>
        <v>539.84400000000028</v>
      </c>
      <c r="G37" s="6">
        <f t="shared" si="17"/>
        <v>662.82840000000033</v>
      </c>
    </row>
    <row r="38" spans="1:7" x14ac:dyDescent="0.25">
      <c r="A38" s="4" t="s">
        <v>34</v>
      </c>
      <c r="B38" s="6">
        <f>SUM(B34:B37)</f>
        <v>1000</v>
      </c>
      <c r="C38" s="6">
        <f>SUM(C34:C37)</f>
        <v>1092</v>
      </c>
      <c r="D38" s="6">
        <f t="shared" ref="D38:G38" si="18">SUM(D34:D37)</f>
        <v>1193.2</v>
      </c>
      <c r="E38" s="6">
        <f t="shared" si="18"/>
        <v>1304.52</v>
      </c>
      <c r="F38" s="6">
        <f t="shared" si="18"/>
        <v>1426.9720000000002</v>
      </c>
      <c r="G38" s="6">
        <f t="shared" si="18"/>
        <v>1561.6692000000003</v>
      </c>
    </row>
    <row r="41" spans="1:7" x14ac:dyDescent="0.25">
      <c r="A41" s="4" t="s">
        <v>37</v>
      </c>
    </row>
    <row r="42" spans="1:7" x14ac:dyDescent="0.25">
      <c r="A42" s="2" t="s">
        <v>20</v>
      </c>
    </row>
    <row r="43" spans="1:7" x14ac:dyDescent="0.25">
      <c r="A43" s="2" t="s">
        <v>38</v>
      </c>
      <c r="C43" s="8">
        <f t="shared" ref="C43:G43" ca="1" si="19">C21</f>
        <v>244.6294736842105</v>
      </c>
      <c r="D43" s="8">
        <f ca="1">D21</f>
        <v>265.15362880886426</v>
      </c>
      <c r="E43" s="8">
        <f t="shared" ca="1" si="19"/>
        <v>287.15390552558677</v>
      </c>
      <c r="F43" s="8">
        <f t="shared" ca="1" si="19"/>
        <v>310.71725347564859</v>
      </c>
      <c r="G43" s="8">
        <f t="shared" ca="1" si="19"/>
        <v>335.93293173624318</v>
      </c>
    </row>
    <row r="44" spans="1:7" x14ac:dyDescent="0.25">
      <c r="A44" s="2" t="s">
        <v>39</v>
      </c>
      <c r="C44" s="8">
        <f t="shared" ref="C44:G44" si="20">C23</f>
        <v>84</v>
      </c>
      <c r="D44" s="8">
        <f t="shared" si="20"/>
        <v>92.400000000000091</v>
      </c>
      <c r="E44" s="8">
        <f t="shared" si="20"/>
        <v>101.63999999999987</v>
      </c>
      <c r="F44" s="8">
        <f t="shared" si="20"/>
        <v>111.80400000000031</v>
      </c>
      <c r="G44" s="8">
        <f t="shared" si="20"/>
        <v>122.98440000000005</v>
      </c>
    </row>
    <row r="45" spans="1:7" x14ac:dyDescent="0.25">
      <c r="A45" s="2" t="s">
        <v>40</v>
      </c>
      <c r="C45" s="26">
        <f ca="1">C43-C44</f>
        <v>160.6294736842105</v>
      </c>
      <c r="D45" s="26">
        <f ca="1">D43-D44</f>
        <v>172.75362880886416</v>
      </c>
      <c r="E45" s="26">
        <f ca="1">E43-E44</f>
        <v>185.51390552558689</v>
      </c>
      <c r="F45" s="26">
        <f ca="1">F43-F44</f>
        <v>198.91325347564828</v>
      </c>
      <c r="G45" s="26">
        <f ca="1">G43-G44</f>
        <v>212.94853173624313</v>
      </c>
    </row>
    <row r="47" spans="1:7" x14ac:dyDescent="0.25">
      <c r="A47" s="9" t="s">
        <v>10</v>
      </c>
      <c r="B47" s="10">
        <v>0</v>
      </c>
      <c r="C47" s="10">
        <v>1</v>
      </c>
      <c r="D47" s="10">
        <v>2</v>
      </c>
      <c r="E47" s="10">
        <v>3</v>
      </c>
      <c r="F47" s="10">
        <v>4</v>
      </c>
      <c r="G47" s="10">
        <v>5</v>
      </c>
    </row>
    <row r="48" spans="1:7" x14ac:dyDescent="0.25">
      <c r="A48" s="9" t="s">
        <v>41</v>
      </c>
      <c r="B48" s="11"/>
      <c r="C48" s="11"/>
      <c r="D48" s="11"/>
      <c r="E48" s="11"/>
      <c r="F48" s="11"/>
      <c r="G48" s="11"/>
    </row>
    <row r="49" spans="1:7" x14ac:dyDescent="0.25">
      <c r="A49" s="11" t="s">
        <v>19</v>
      </c>
      <c r="B49" s="11"/>
      <c r="C49" s="11">
        <f t="shared" ref="C49:G49" ca="1" si="21">C21</f>
        <v>244.6294736842105</v>
      </c>
      <c r="D49" s="11">
        <f t="shared" ca="1" si="21"/>
        <v>265.15362880886426</v>
      </c>
      <c r="E49" s="11">
        <f t="shared" ca="1" si="21"/>
        <v>287.15390552558677</v>
      </c>
      <c r="F49" s="11">
        <f t="shared" ca="1" si="21"/>
        <v>310.71725347564859</v>
      </c>
      <c r="G49" s="11">
        <f t="shared" ca="1" si="21"/>
        <v>335.93293173624318</v>
      </c>
    </row>
    <row r="50" spans="1:7" x14ac:dyDescent="0.25">
      <c r="A50" s="11" t="s">
        <v>42</v>
      </c>
      <c r="B50" s="11"/>
      <c r="C50" s="11">
        <f t="shared" ref="C50:G50" ca="1" si="22">-C18</f>
        <v>116.68421052631579</v>
      </c>
      <c r="D50" s="11">
        <f t="shared" ca="1" si="22"/>
        <v>137.47728531855955</v>
      </c>
      <c r="E50" s="11">
        <f t="shared" ca="1" si="22"/>
        <v>161.31015745735533</v>
      </c>
      <c r="F50" s="11">
        <f t="shared" ca="1" si="22"/>
        <v>188.58791087391907</v>
      </c>
      <c r="G50" s="11">
        <f t="shared" ca="1" si="22"/>
        <v>219.76678043959475</v>
      </c>
    </row>
    <row r="51" spans="1:7" x14ac:dyDescent="0.25">
      <c r="A51" s="11" t="s">
        <v>43</v>
      </c>
      <c r="B51" s="11"/>
      <c r="C51" s="11">
        <f t="shared" ref="C51:G51" si="23">-(C27-B27)</f>
        <v>-15</v>
      </c>
      <c r="D51" s="11">
        <f t="shared" si="23"/>
        <v>-16.5</v>
      </c>
      <c r="E51" s="11">
        <f t="shared" si="23"/>
        <v>-18.150000000000006</v>
      </c>
      <c r="F51" s="11">
        <f t="shared" si="23"/>
        <v>-19.965000000000003</v>
      </c>
      <c r="G51" s="11">
        <f t="shared" si="23"/>
        <v>-21.961500000000001</v>
      </c>
    </row>
    <row r="52" spans="1:7" x14ac:dyDescent="0.25">
      <c r="A52" s="11" t="s">
        <v>44</v>
      </c>
      <c r="B52" s="11"/>
      <c r="C52" s="11">
        <f t="shared" ref="C52:G52" si="24">C34-B34</f>
        <v>8</v>
      </c>
      <c r="D52" s="11">
        <f t="shared" si="24"/>
        <v>8.7999999999999972</v>
      </c>
      <c r="E52" s="11">
        <f t="shared" si="24"/>
        <v>9.6800000000000068</v>
      </c>
      <c r="F52" s="11">
        <f t="shared" si="24"/>
        <v>10.64800000000001</v>
      </c>
      <c r="G52" s="11">
        <f t="shared" si="24"/>
        <v>11.712800000000016</v>
      </c>
    </row>
    <row r="53" spans="1:7" x14ac:dyDescent="0.25">
      <c r="A53" s="11" t="s">
        <v>45</v>
      </c>
      <c r="B53" s="11"/>
      <c r="C53" s="11">
        <f t="shared" ref="C53:G53" ca="1" si="25">-(C29-B29)</f>
        <v>-193.68421052631584</v>
      </c>
      <c r="D53" s="11">
        <f t="shared" ca="1" si="25"/>
        <v>-222.1772853185596</v>
      </c>
      <c r="E53" s="11">
        <f t="shared" ca="1" si="25"/>
        <v>-254.48015745735552</v>
      </c>
      <c r="F53" s="11">
        <f t="shared" ca="1" si="25"/>
        <v>-291.07491087391918</v>
      </c>
      <c r="G53" s="11">
        <f t="shared" ca="1" si="25"/>
        <v>-332.50248043959436</v>
      </c>
    </row>
    <row r="54" spans="1:7" x14ac:dyDescent="0.25">
      <c r="A54" s="11" t="s">
        <v>46</v>
      </c>
      <c r="B54" s="11"/>
      <c r="C54" s="11">
        <f t="shared" ref="C54:G54" si="26">-C16*(1-$B$10)</f>
        <v>19.2</v>
      </c>
      <c r="D54" s="11">
        <f t="shared" si="26"/>
        <v>19.2</v>
      </c>
      <c r="E54" s="11">
        <f t="shared" si="26"/>
        <v>19.2</v>
      </c>
      <c r="F54" s="11">
        <f t="shared" si="26"/>
        <v>19.2</v>
      </c>
      <c r="G54" s="11">
        <f t="shared" si="26"/>
        <v>19.2</v>
      </c>
    </row>
    <row r="55" spans="1:7" x14ac:dyDescent="0.25">
      <c r="A55" s="11" t="s">
        <v>47</v>
      </c>
      <c r="B55" s="11"/>
      <c r="C55" s="11">
        <f t="shared" ref="C55:G55" si="27">-B17*(1-$B$10)</f>
        <v>-3.84</v>
      </c>
      <c r="D55" s="11">
        <f t="shared" si="27"/>
        <v>-3.84</v>
      </c>
      <c r="E55" s="11">
        <f t="shared" si="27"/>
        <v>-3.84</v>
      </c>
      <c r="F55" s="11">
        <f t="shared" si="27"/>
        <v>-3.84</v>
      </c>
      <c r="G55" s="11">
        <f t="shared" si="27"/>
        <v>-3.84</v>
      </c>
    </row>
    <row r="56" spans="1:7" x14ac:dyDescent="0.25">
      <c r="A56" s="9" t="s">
        <v>48</v>
      </c>
      <c r="B56" s="11"/>
      <c r="C56" s="25">
        <f ca="1">SUM(C49:C55)</f>
        <v>175.98947368421042</v>
      </c>
      <c r="D56" s="25">
        <f ca="1">SUM(D49:D55)</f>
        <v>188.11362880886421</v>
      </c>
      <c r="E56" s="25">
        <f ca="1">SUM(E49:E55)</f>
        <v>200.87390552558659</v>
      </c>
      <c r="F56" s="25">
        <f ca="1">SUM(F49:F55)</f>
        <v>214.27325347564849</v>
      </c>
      <c r="G56" s="25">
        <f ca="1">SUM(G49:G55)</f>
        <v>228.30853173624357</v>
      </c>
    </row>
    <row r="57" spans="1:7" ht="17.399999999999999" x14ac:dyDescent="0.3">
      <c r="A57" s="12"/>
    </row>
    <row r="58" spans="1:7" x14ac:dyDescent="0.25">
      <c r="A58" s="7"/>
      <c r="B58" s="13"/>
      <c r="C58" s="7"/>
      <c r="D58" s="7"/>
      <c r="E58" s="7"/>
      <c r="F58" s="7"/>
      <c r="G58" s="7"/>
    </row>
    <row r="59" spans="1:7" x14ac:dyDescent="0.25">
      <c r="A59" s="7"/>
    </row>
    <row r="60" spans="1:7" x14ac:dyDescent="0.25">
      <c r="A60" s="9"/>
      <c r="B60" s="10"/>
      <c r="C60" s="10"/>
      <c r="D60" s="10"/>
      <c r="E60" s="10"/>
      <c r="F60" s="10"/>
      <c r="G60" s="10"/>
    </row>
    <row r="61" spans="1:7" x14ac:dyDescent="0.25">
      <c r="C61" s="11"/>
      <c r="D61" s="11"/>
      <c r="E61" s="11"/>
      <c r="F61" s="11"/>
      <c r="G61" s="14"/>
    </row>
    <row r="62" spans="1:7" x14ac:dyDescent="0.25">
      <c r="G62" s="15"/>
    </row>
    <row r="63" spans="1:7" x14ac:dyDescent="0.25">
      <c r="C63" s="11"/>
      <c r="D63" s="11"/>
      <c r="E63" s="11"/>
      <c r="F63" s="11"/>
      <c r="G63" s="14"/>
    </row>
    <row r="65" spans="1:7" x14ac:dyDescent="0.25">
      <c r="B65" s="14"/>
    </row>
    <row r="66" spans="1:7" x14ac:dyDescent="0.25">
      <c r="B66" s="14"/>
    </row>
    <row r="67" spans="1:7" x14ac:dyDescent="0.25">
      <c r="B67" s="14"/>
    </row>
    <row r="68" spans="1:7" x14ac:dyDescent="0.25">
      <c r="B68" s="14"/>
    </row>
    <row r="69" spans="1:7" x14ac:dyDescent="0.25">
      <c r="B69" s="14"/>
    </row>
    <row r="70" spans="1:7" x14ac:dyDescent="0.25">
      <c r="B70" s="14"/>
    </row>
    <row r="71" spans="1:7" ht="17.399999999999999" x14ac:dyDescent="0.3">
      <c r="A71" s="12"/>
      <c r="B71" s="14"/>
    </row>
    <row r="72" spans="1:7" x14ac:dyDescent="0.25">
      <c r="B72" s="14"/>
    </row>
    <row r="73" spans="1:7" x14ac:dyDescent="0.25">
      <c r="B73" s="14"/>
    </row>
    <row r="74" spans="1:7" x14ac:dyDescent="0.25">
      <c r="B74" s="14"/>
    </row>
    <row r="75" spans="1:7" x14ac:dyDescent="0.25">
      <c r="B75" s="14"/>
    </row>
    <row r="77" spans="1:7" ht="17.399999999999999" x14ac:dyDescent="0.3">
      <c r="A77" s="12"/>
    </row>
    <row r="78" spans="1:7" x14ac:dyDescent="0.25">
      <c r="A78" s="7"/>
      <c r="B78" s="13"/>
      <c r="C78" s="7"/>
      <c r="D78" s="7"/>
      <c r="E78" s="7"/>
      <c r="F78" s="7"/>
      <c r="G78" s="7"/>
    </row>
    <row r="79" spans="1:7" x14ac:dyDescent="0.25">
      <c r="A79" s="7"/>
    </row>
    <row r="80" spans="1:7" x14ac:dyDescent="0.25">
      <c r="A80" s="9"/>
      <c r="B80" s="10"/>
      <c r="C80" s="10"/>
      <c r="D80" s="10"/>
      <c r="E80" s="10"/>
      <c r="F80" s="10"/>
      <c r="G80" s="10"/>
    </row>
    <row r="81" spans="2:7" x14ac:dyDescent="0.25">
      <c r="C81" s="11"/>
      <c r="D81" s="11"/>
      <c r="E81" s="11"/>
      <c r="F81" s="11"/>
      <c r="G81" s="11"/>
    </row>
    <row r="82" spans="2:7" x14ac:dyDescent="0.25">
      <c r="G82" s="15"/>
    </row>
    <row r="83" spans="2:7" x14ac:dyDescent="0.25">
      <c r="C83" s="11"/>
      <c r="D83" s="11"/>
      <c r="E83" s="11"/>
      <c r="F83" s="11"/>
      <c r="G83" s="14"/>
    </row>
    <row r="85" spans="2:7" x14ac:dyDescent="0.25">
      <c r="B85" s="14"/>
    </row>
    <row r="86" spans="2:7" x14ac:dyDescent="0.25">
      <c r="B86" s="14"/>
    </row>
    <row r="87" spans="2:7" x14ac:dyDescent="0.25">
      <c r="B87" s="14"/>
    </row>
    <row r="88" spans="2:7" x14ac:dyDescent="0.25">
      <c r="B88" s="14"/>
    </row>
    <row r="89" spans="2:7" x14ac:dyDescent="0.25">
      <c r="B89" s="14"/>
    </row>
    <row r="93" spans="2:7" x14ac:dyDescent="0.25">
      <c r="C93" s="14"/>
    </row>
    <row r="94" spans="2:7" x14ac:dyDescent="0.25">
      <c r="B94" s="3"/>
      <c r="C94" s="14"/>
    </row>
    <row r="95" spans="2:7" x14ac:dyDescent="0.25">
      <c r="B95" s="3"/>
      <c r="C95" s="14"/>
    </row>
    <row r="96" spans="2:7" x14ac:dyDescent="0.25">
      <c r="B96" s="3"/>
      <c r="C96" s="14"/>
    </row>
    <row r="97" spans="1:7" x14ac:dyDescent="0.25">
      <c r="B97" s="3"/>
      <c r="C97" s="14"/>
    </row>
    <row r="98" spans="1:7" x14ac:dyDescent="0.25">
      <c r="B98" s="3"/>
      <c r="C98" s="14"/>
    </row>
    <row r="99" spans="1:7" x14ac:dyDescent="0.25">
      <c r="B99" s="3"/>
      <c r="C99" s="14"/>
    </row>
    <row r="100" spans="1:7" x14ac:dyDescent="0.25">
      <c r="B100" s="3"/>
      <c r="C100" s="14"/>
    </row>
    <row r="101" spans="1:7" x14ac:dyDescent="0.25">
      <c r="B101" s="3"/>
      <c r="C101" s="14"/>
    </row>
    <row r="102" spans="1:7" x14ac:dyDescent="0.25">
      <c r="B102" s="3"/>
      <c r="C102" s="14"/>
    </row>
    <row r="108" spans="1:7" x14ac:dyDescent="0.25">
      <c r="C108" s="4"/>
    </row>
    <row r="109" spans="1:7" x14ac:dyDescent="0.25">
      <c r="B109" s="16"/>
      <c r="C109" s="17"/>
      <c r="D109" s="17"/>
      <c r="E109" s="17"/>
      <c r="F109" s="17"/>
      <c r="G109" s="17"/>
    </row>
    <row r="110" spans="1:7" x14ac:dyDescent="0.25">
      <c r="B110" s="17"/>
      <c r="C110" s="16"/>
      <c r="D110" s="16"/>
      <c r="E110" s="16"/>
      <c r="F110" s="16"/>
      <c r="G110" s="16"/>
    </row>
    <row r="111" spans="1:7" x14ac:dyDescent="0.25">
      <c r="A111" s="18"/>
      <c r="B111" s="17"/>
      <c r="C111" s="16"/>
      <c r="D111" s="16"/>
      <c r="E111" s="16"/>
      <c r="F111" s="16"/>
      <c r="G111" s="16"/>
    </row>
    <row r="112" spans="1:7" x14ac:dyDescent="0.25">
      <c r="B112" s="17"/>
      <c r="C112" s="16"/>
      <c r="D112" s="16"/>
      <c r="E112" s="16"/>
      <c r="F112" s="16"/>
      <c r="G112" s="16"/>
    </row>
    <row r="113" spans="2:7" x14ac:dyDescent="0.25">
      <c r="B113" s="17"/>
      <c r="C113" s="16"/>
      <c r="D113" s="16"/>
      <c r="E113" s="16"/>
      <c r="F113" s="16"/>
      <c r="G113" s="16"/>
    </row>
    <row r="114" spans="2:7" x14ac:dyDescent="0.25">
      <c r="B114" s="17"/>
      <c r="C114" s="16"/>
      <c r="D114" s="16"/>
      <c r="E114" s="16"/>
      <c r="F114" s="16"/>
      <c r="G114" s="16"/>
    </row>
    <row r="115" spans="2:7" x14ac:dyDescent="0.25">
      <c r="B115" s="17"/>
      <c r="C115" s="16"/>
      <c r="D115" s="16"/>
      <c r="E115" s="16"/>
      <c r="F115" s="16"/>
      <c r="G115" s="16"/>
    </row>
    <row r="116" spans="2:7" x14ac:dyDescent="0.25">
      <c r="B116" s="17"/>
      <c r="C116" s="16"/>
      <c r="D116" s="16"/>
      <c r="E116" s="16"/>
      <c r="F116" s="16"/>
      <c r="G116" s="16"/>
    </row>
    <row r="117" spans="2:7" x14ac:dyDescent="0.25">
      <c r="B117" s="17"/>
      <c r="C117" s="16"/>
      <c r="D117" s="16"/>
      <c r="E117" s="16"/>
      <c r="F117" s="16"/>
      <c r="G117" s="16"/>
    </row>
    <row r="118" spans="2:7" x14ac:dyDescent="0.25">
      <c r="B118" s="17"/>
      <c r="C118" s="16"/>
      <c r="D118" s="16"/>
      <c r="E118" s="16"/>
      <c r="F118" s="16"/>
      <c r="G118" s="16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2024-10-14T08:29:14Z</dcterms:modified>
</cp:coreProperties>
</file>