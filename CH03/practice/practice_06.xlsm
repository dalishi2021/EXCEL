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practice\"/>
    </mc:Choice>
  </mc:AlternateContent>
  <xr:revisionPtr revIDLastSave="0" documentId="13_ncr:1_{2EFAA6D0-63D1-4AC2-8295-4F936824E57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 l="1"/>
  <c r="D16" i="1" s="1"/>
  <c r="E15" i="1"/>
  <c r="F15" i="1" s="1"/>
  <c r="D28" i="1"/>
  <c r="D32" i="1"/>
  <c r="D35" i="1"/>
  <c r="E35" i="1"/>
  <c r="C35" i="1"/>
  <c r="C32" i="1"/>
  <c r="C28" i="1"/>
  <c r="C16" i="1"/>
  <c r="C15" i="1"/>
  <c r="B35" i="1"/>
  <c r="B18" i="1"/>
  <c r="B16" i="1"/>
  <c r="B15" i="1"/>
  <c r="B32" i="1" s="1"/>
  <c r="B30" i="1" s="1"/>
  <c r="H39" i="1"/>
  <c r="H38" i="1"/>
  <c r="H37" i="1"/>
  <c r="H50" i="1"/>
  <c r="H48" i="1"/>
  <c r="H49" i="1"/>
  <c r="H47" i="1"/>
  <c r="H46" i="1"/>
  <c r="H45" i="1"/>
  <c r="H44" i="1"/>
  <c r="H35" i="1"/>
  <c r="H33" i="1"/>
  <c r="H32" i="1"/>
  <c r="H31" i="1"/>
  <c r="H30" i="1"/>
  <c r="H28" i="1"/>
  <c r="H15" i="1"/>
  <c r="H17" i="1"/>
  <c r="H16" i="1"/>
  <c r="H18" i="1"/>
  <c r="H19" i="1"/>
  <c r="H20" i="1"/>
  <c r="H21" i="1"/>
  <c r="H22" i="1"/>
  <c r="H23" i="1"/>
  <c r="H24" i="1"/>
  <c r="H27" i="1"/>
  <c r="H36" i="1"/>
  <c r="F35" i="1" l="1"/>
  <c r="G15" i="1"/>
  <c r="F16" i="1"/>
  <c r="F32" i="1"/>
  <c r="F28" i="1"/>
  <c r="E28" i="1"/>
  <c r="E32" i="1"/>
  <c r="E16" i="1"/>
  <c r="B28" i="1"/>
  <c r="B33" i="1" s="1"/>
  <c r="B36" i="1" s="1"/>
  <c r="G35" i="1" l="1"/>
  <c r="G16" i="1"/>
  <c r="G32" i="1"/>
  <c r="G28" i="1"/>
  <c r="B17" i="1"/>
  <c r="B20" i="1" s="1"/>
  <c r="B21" i="1" s="1"/>
  <c r="B22" i="1" s="1"/>
  <c r="B23" i="1" s="1"/>
  <c r="B24" i="1" s="1"/>
  <c r="B39" i="1"/>
  <c r="C47" i="1" l="1"/>
  <c r="C46" i="1"/>
  <c r="D46" i="1" l="1"/>
  <c r="D47" i="1"/>
  <c r="E46" i="1" l="1"/>
  <c r="E47" i="1"/>
  <c r="F46" i="1" l="1"/>
  <c r="F47" i="1"/>
  <c r="G47" i="1" l="1"/>
  <c r="G46" i="1"/>
  <c r="C17" i="1"/>
  <c r="D17" i="1"/>
  <c r="E17" i="1"/>
  <c r="F17" i="1"/>
  <c r="G17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7" i="1"/>
  <c r="D27" i="1"/>
  <c r="E27" i="1"/>
  <c r="F27" i="1"/>
  <c r="G27" i="1"/>
  <c r="C30" i="1"/>
  <c r="D30" i="1"/>
  <c r="E30" i="1"/>
  <c r="F30" i="1"/>
  <c r="G30" i="1"/>
  <c r="C31" i="1"/>
  <c r="D31" i="1"/>
  <c r="E31" i="1"/>
  <c r="F31" i="1"/>
  <c r="G31" i="1"/>
  <c r="C33" i="1"/>
  <c r="D33" i="1"/>
  <c r="E33" i="1"/>
  <c r="F33" i="1"/>
  <c r="G33" i="1"/>
  <c r="C36" i="1"/>
  <c r="D36" i="1"/>
  <c r="E36" i="1"/>
  <c r="F36" i="1"/>
  <c r="G36" i="1"/>
  <c r="C38" i="1"/>
  <c r="D38" i="1"/>
  <c r="E38" i="1"/>
  <c r="F38" i="1"/>
  <c r="G38" i="1"/>
  <c r="C39" i="1"/>
  <c r="D39" i="1"/>
  <c r="E39" i="1"/>
  <c r="F39" i="1"/>
  <c r="G39" i="1"/>
  <c r="C44" i="1"/>
  <c r="D44" i="1"/>
  <c r="E44" i="1"/>
  <c r="F44" i="1"/>
  <c r="G44" i="1"/>
  <c r="C45" i="1"/>
  <c r="D45" i="1"/>
  <c r="E45" i="1"/>
  <c r="F45" i="1"/>
  <c r="G45" i="1"/>
  <c r="C48" i="1"/>
  <c r="D48" i="1"/>
  <c r="E48" i="1"/>
  <c r="F48" i="1"/>
  <c r="G48" i="1"/>
  <c r="C49" i="1"/>
  <c r="D49" i="1"/>
  <c r="E49" i="1"/>
  <c r="F49" i="1"/>
  <c r="G49" i="1"/>
  <c r="C50" i="1"/>
  <c r="D50" i="1"/>
  <c r="E50" i="1"/>
  <c r="F50" i="1"/>
  <c r="G50" i="1"/>
  <c r="C51" i="1"/>
  <c r="D51" i="1"/>
  <c r="E51" i="1"/>
  <c r="F51" i="1"/>
  <c r="G51" i="1"/>
</calcChain>
</file>

<file path=xl/sharedStrings.xml><?xml version="1.0" encoding="utf-8"?>
<sst xmlns="http://schemas.openxmlformats.org/spreadsheetml/2006/main" count="60" uniqueCount="50">
  <si>
    <t>EXERCISE 6--minimum cash balances</t>
  </si>
  <si>
    <t>Sales growth</t>
  </si>
  <si>
    <t>&lt;-- Increased from 10%</t>
  </si>
  <si>
    <t>Current assets/Sales</t>
  </si>
  <si>
    <t>&lt;-- Increased from 15%</t>
  </si>
  <si>
    <t>Current liabilities/Sales</t>
  </si>
  <si>
    <t>Net fixed assets/Sales</t>
  </si>
  <si>
    <t>&lt;-- Increased from 77%</t>
  </si>
  <si>
    <t>Costs of goods sold/Sales</t>
  </si>
  <si>
    <t>Depreciation rate</t>
  </si>
  <si>
    <t>Interest rate on debt</t>
  </si>
  <si>
    <t>Interest paid on cash &amp; marketable securities</t>
  </si>
  <si>
    <t>Tax rate</t>
  </si>
  <si>
    <t>Dividend payout ratio</t>
  </si>
  <si>
    <t>&lt;-- Increased from 40%</t>
  </si>
  <si>
    <t>Year</t>
  </si>
  <si>
    <t>Income statement</t>
  </si>
  <si>
    <t>Sales</t>
  </si>
  <si>
    <t>Costs of goods sold</t>
  </si>
  <si>
    <t>Interest payments on debt</t>
  </si>
  <si>
    <t>Interest earned on cash &amp;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</si>
  <si>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</si>
  <si>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</si>
  <si>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</si>
  <si>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</si>
  <si>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</si>
  <si>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</si>
  <si>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</si>
  <si>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</si>
  <si>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</si>
  <si>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</si>
  <si>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</si>
  <si>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</si>
  <si>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</si>
  <si>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</si>
  <si>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</si>
  <si>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</si>
  <si>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</si>
  <si>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</si>
  <si>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</si>
  <si>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</si>
  <si>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</si>
  <si>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</si>
  <si>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</si>
  <si>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</si>
  <si>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</si>
  <si>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&amp; mkt. securities</t>
  </si>
  <si>
    <t>Free cash flow</t>
  </si>
  <si>
    <t>if</t>
    <phoneticPr fontId="1" type="noConversion"/>
  </si>
  <si>
    <t>ave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</si>
</sst>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7" formatCode="_(* #,##0_);_(* \(#,##0\);_(* &quot;-&quot;??_);_(@_)"/>
    <numFmt numFmtId="178" formatCode="0_);\(0\)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77" fontId="0" fillId="0" borderId="0" xfId="1" applyNumberFormat="1" applyFont="1" applyAlignment="1"/>
    <xf numFmtId="0" fontId="5" fillId="0" borderId="0" xfId="0" applyFont="1" applyAlignment="1"/>
    <xf numFmtId="178" fontId="4" fillId="0" borderId="0" xfId="0" applyNumberFormat="1" applyFont="1" applyAlignment="1"/>
    <xf numFmtId="178" fontId="4" fillId="0" borderId="0" xfId="0" applyNumberFormat="1" applyFont="1" applyAlignment="1">
      <alignment horizontal="center"/>
    </xf>
    <xf numFmtId="178" fontId="0" fillId="0" borderId="0" xfId="0" applyNumberFormat="1" applyAlignment="1"/>
    <xf numFmtId="0" fontId="3" fillId="0" borderId="0" xfId="0" applyFont="1" applyAlignment="1"/>
    <xf numFmtId="9" fontId="5" fillId="0" borderId="0" xfId="0" applyNumberFormat="1" applyFont="1" applyAlignment="1"/>
    <xf numFmtId="3" fontId="0" fillId="0" borderId="0" xfId="0" applyNumberFormat="1" applyAlignment="1"/>
    <xf numFmtId="3" fontId="0" fillId="0" borderId="0" xfId="0" quotePrefix="1" applyNumberFormat="1" applyAlignment="1"/>
    <xf numFmtId="43" fontId="0" fillId="0" borderId="0" xfId="1" applyFont="1" applyAlignment="1"/>
    <xf numFmtId="9" fontId="4" fillId="0" borderId="0" xfId="0" applyNumberFormat="1" applyFont="1" applyAlignment="1"/>
    <xf numFmtId="0" fontId="4" fillId="0" borderId="0" xfId="0" applyFont="1" applyAlignment="1">
      <alignment horizontal="right"/>
    </xf>
    <xf numFmtId="0" fontId="0" fillId="2" borderId="0" xfId="0" applyFill="1" applyAlignment="1"/>
    <xf numFmtId="9" fontId="0" fillId="2" borderId="0" xfId="0" applyNumberFormat="1" applyFill="1" applyAlignment="1"/>
    <xf numFmtId="0" fontId="0" fillId="3" borderId="0" xfId="0" applyFill="1" applyAlignment="1"/>
    <xf numFmtId="9" fontId="0" fillId="3" borderId="0" xfId="0" applyNumberFormat="1" applyFill="1" applyAlignment="1"/>
    <xf numFmtId="10" fontId="0" fillId="3" borderId="0" xfId="0" applyNumberFormat="1" applyFill="1" applyAlignment="1"/>
    <xf numFmtId="177" fontId="0" fillId="3" borderId="0" xfId="1" applyNumberFormat="1" applyFont="1" applyFill="1" applyAlignment="1"/>
    <xf numFmtId="178" fontId="0" fillId="3" borderId="0" xfId="0" applyNumberFormat="1" applyFill="1" applyAlignment="1"/>
    <xf numFmtId="0" fontId="6" fillId="0" borderId="0" xfId="0" applyFont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115"/>
  <sheetViews>
    <sheetView tabSelected="1" topLeftCell="A37" zoomScale="160" zoomScaleNormal="160" workbookViewId="0">
      <selection activeCell="H25" sqref="H25"/>
    </sheetView>
  </sheetViews>
  <sheetFormatPr defaultRowHeight="13.8" x14ac:dyDescent="0.25"/>
  <cols>
    <col min="1" max="1" width="44.5546875" style="2" customWidth="1"/>
    <col min="2" max="2" width="9.6640625" style="2" bestFit="1" customWidth="1"/>
    <col min="3" max="7" width="9.33203125" style="2" bestFit="1" customWidth="1"/>
    <col min="8" max="8" width="38.44140625" style="2" bestFit="1" customWidth="1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8" x14ac:dyDescent="0.25">
      <c r="A2" s="18" t="s">
        <v>1</v>
      </c>
      <c r="B2" s="19">
        <v>0.2</v>
      </c>
      <c r="C2" s="2" t="s">
        <v>2</v>
      </c>
      <c r="F2" s="2" t="s">
        <v>48</v>
      </c>
    </row>
    <row r="3" spans="1:8" x14ac:dyDescent="0.25">
      <c r="A3" s="18" t="s">
        <v>3</v>
      </c>
      <c r="B3" s="19">
        <v>0.2</v>
      </c>
      <c r="C3" s="2" t="s">
        <v>4</v>
      </c>
      <c r="F3" s="2" t="s">
        <v>48</v>
      </c>
    </row>
    <row r="4" spans="1:8" x14ac:dyDescent="0.25">
      <c r="A4" s="18" t="s">
        <v>5</v>
      </c>
      <c r="B4" s="19">
        <v>0.08</v>
      </c>
      <c r="F4" s="2" t="s">
        <v>48</v>
      </c>
    </row>
    <row r="5" spans="1:8" x14ac:dyDescent="0.25">
      <c r="A5" s="18" t="s">
        <v>6</v>
      </c>
      <c r="B5" s="19">
        <v>0.8</v>
      </c>
      <c r="C5" s="2" t="s">
        <v>7</v>
      </c>
      <c r="F5" s="2" t="s">
        <v>48</v>
      </c>
    </row>
    <row r="6" spans="1:8" x14ac:dyDescent="0.25">
      <c r="A6" s="18" t="s">
        <v>8</v>
      </c>
      <c r="B6" s="19">
        <v>0.5</v>
      </c>
      <c r="F6" s="2" t="s">
        <v>48</v>
      </c>
    </row>
    <row r="7" spans="1:8" x14ac:dyDescent="0.25">
      <c r="A7" s="20" t="s">
        <v>9</v>
      </c>
      <c r="B7" s="21">
        <v>0.1</v>
      </c>
      <c r="F7" s="2" t="s">
        <v>49</v>
      </c>
    </row>
    <row r="8" spans="1:8" x14ac:dyDescent="0.25">
      <c r="A8" s="20" t="s">
        <v>10</v>
      </c>
      <c r="B8" s="22">
        <v>0.1</v>
      </c>
      <c r="F8" s="2" t="s">
        <v>49</v>
      </c>
    </row>
    <row r="9" spans="1:8" x14ac:dyDescent="0.25">
      <c r="A9" s="20" t="s">
        <v>11</v>
      </c>
      <c r="B9" s="22">
        <v>0.08</v>
      </c>
      <c r="F9" s="2" t="s">
        <v>49</v>
      </c>
    </row>
    <row r="10" spans="1:8" x14ac:dyDescent="0.25">
      <c r="A10" s="18" t="s">
        <v>12</v>
      </c>
      <c r="B10" s="19">
        <v>0.4</v>
      </c>
      <c r="F10" s="2" t="s">
        <v>48</v>
      </c>
    </row>
    <row r="11" spans="1:8" x14ac:dyDescent="0.25">
      <c r="A11" s="18" t="s">
        <v>13</v>
      </c>
      <c r="B11" s="19">
        <v>0.5</v>
      </c>
      <c r="C11" s="2" t="s">
        <v>14</v>
      </c>
      <c r="F11" s="2" t="s">
        <v>48</v>
      </c>
    </row>
    <row r="13" spans="1:8" x14ac:dyDescent="0.25">
      <c r="A13" s="4" t="s">
        <v>15</v>
      </c>
      <c r="B13" s="5">
        <v>0</v>
      </c>
      <c r="C13" s="5">
        <v>1</v>
      </c>
      <c r="D13" s="5">
        <v>2</v>
      </c>
      <c r="E13" s="5">
        <v>3</v>
      </c>
      <c r="F13" s="5">
        <v>4</v>
      </c>
      <c r="G13" s="5">
        <v>5</v>
      </c>
      <c r="H13" s="4"/>
    </row>
    <row r="14" spans="1:8" x14ac:dyDescent="0.25">
      <c r="A14" s="4" t="s">
        <v>16</v>
      </c>
    </row>
    <row r="15" spans="1:8" x14ac:dyDescent="0.25">
      <c r="A15" s="18" t="s">
        <v>17</v>
      </c>
      <c r="B15" s="6">
        <f>1000</f>
        <v>1000</v>
      </c>
      <c r="C15" s="6">
        <f>B15*(1+$B$2)</f>
        <v>1200</v>
      </c>
      <c r="D15" s="6">
        <f t="shared" ref="D15:G15" si="0">C15*(1+$B$2)</f>
        <v>1440</v>
      </c>
      <c r="E15" s="6">
        <f t="shared" si="0"/>
        <v>1728</v>
      </c>
      <c r="F15" s="6">
        <f t="shared" si="0"/>
        <v>2073.6</v>
      </c>
      <c r="G15" s="6">
        <f t="shared" si="0"/>
        <v>2488.3199999999997</v>
      </c>
      <c r="H15" s="2" t="str">
        <f ca="1">[1]!getformula(G15)</f>
        <v>&lt;--  =F15*(1+$B$2)</v>
      </c>
    </row>
    <row r="16" spans="1:8" x14ac:dyDescent="0.25">
      <c r="A16" s="18" t="s">
        <v>18</v>
      </c>
      <c r="B16" s="6">
        <f t="shared" ref="B16:G16" si="1">-B15*$B$6</f>
        <v>-500</v>
      </c>
      <c r="C16" s="6">
        <f>-C15*$B$6</f>
        <v>-600</v>
      </c>
      <c r="D16" s="6">
        <f t="shared" ref="D16:G16" si="2">-D15*$B$6</f>
        <v>-720</v>
      </c>
      <c r="E16" s="6">
        <f t="shared" si="2"/>
        <v>-864</v>
      </c>
      <c r="F16" s="6">
        <f t="shared" si="2"/>
        <v>-1036.8</v>
      </c>
      <c r="G16" s="6">
        <f t="shared" si="2"/>
        <v>-1244.1599999999999</v>
      </c>
      <c r="H16" s="2" t="str">
        <f ca="1">[1]!getformula(G16)</f>
        <v>&lt;--  =-G15*$B$6</v>
      </c>
    </row>
    <row r="17" spans="1:8" x14ac:dyDescent="0.25">
      <c r="A17" s="20" t="s">
        <v>19</v>
      </c>
      <c r="B17" s="6">
        <f>-$B$8*B36</f>
        <v>-40</v>
      </c>
      <c r="C17" s="6">
        <f ca="1">-$B$8*(B36+C36)/2</f>
        <v>-40</v>
      </c>
      <c r="D17" s="6">
        <f t="shared" ref="D17:G17" ca="1" si="3">-$B$8*(C36+D36)/2</f>
        <v>-43.039281746980329</v>
      </c>
      <c r="E17" s="6">
        <f t="shared" ca="1" si="3"/>
        <v>-50.003279252214647</v>
      </c>
      <c r="F17" s="6">
        <f t="shared" ca="1" si="3"/>
        <v>-58.748677700122407</v>
      </c>
      <c r="G17" s="6">
        <f t="shared" ca="1" si="3"/>
        <v>-69.481820486932222</v>
      </c>
      <c r="H17" s="2" t="str">
        <f ca="1">[1]!getformula(G17)</f>
        <v>&lt;--  =-$B$8*(F36+G36)/2</v>
      </c>
    </row>
    <row r="18" spans="1:8" x14ac:dyDescent="0.25">
      <c r="A18" s="20" t="s">
        <v>20</v>
      </c>
      <c r="B18" s="6">
        <f>$B$9*B27</f>
        <v>6.4</v>
      </c>
      <c r="C18" s="6">
        <f ca="1">$B$9*(B27+C27)/2</f>
        <v>4.3213296398891909</v>
      </c>
      <c r="D18" s="6">
        <f t="shared" ref="D18:G18" ca="1" si="4">$B$9*(C27+D27)/2</f>
        <v>2.1213296398891908</v>
      </c>
      <c r="E18" s="6">
        <f t="shared" ca="1" si="4"/>
        <v>2</v>
      </c>
      <c r="F18" s="6">
        <f t="shared" ca="1" si="4"/>
        <v>2.0000000000000093</v>
      </c>
      <c r="G18" s="6">
        <f t="shared" ca="1" si="4"/>
        <v>2</v>
      </c>
      <c r="H18" s="2" t="str">
        <f ca="1">[1]!getformula(G18)</f>
        <v>&lt;--  =$B$9*(F27+G27)/2</v>
      </c>
    </row>
    <row r="19" spans="1:8" x14ac:dyDescent="0.25">
      <c r="A19" s="20" t="s">
        <v>21</v>
      </c>
      <c r="B19" s="6">
        <v>-100</v>
      </c>
      <c r="C19" s="6">
        <f ca="1">-$B$7*(B30+C30)/2</f>
        <v>-124.21052631578948</v>
      </c>
      <c r="D19" s="6">
        <f t="shared" ref="D19:G19" ca="1" si="5">-$B$7*(C30+D30)/2</f>
        <v>-155.81163434903047</v>
      </c>
      <c r="E19" s="6">
        <f t="shared" ca="1" si="5"/>
        <v>-194.44443796471788</v>
      </c>
      <c r="F19" s="6">
        <f t="shared" ca="1" si="5"/>
        <v>-241.59016827679343</v>
      </c>
      <c r="G19" s="6">
        <f t="shared" ca="1" si="5"/>
        <v>-299.03418599014014</v>
      </c>
      <c r="H19" s="2" t="str">
        <f ca="1">[1]!getformula(G19)</f>
        <v>&lt;--  =-$B$7*(F30+G30)/2</v>
      </c>
    </row>
    <row r="20" spans="1:8" x14ac:dyDescent="0.25">
      <c r="A20" s="2" t="s">
        <v>22</v>
      </c>
      <c r="B20" s="6">
        <f t="shared" ref="B20:G20" si="6">SUM(B15:B19)</f>
        <v>366.4</v>
      </c>
      <c r="C20" s="6">
        <f t="shared" ca="1" si="6"/>
        <v>440.11080332409972</v>
      </c>
      <c r="D20" s="6">
        <f t="shared" ref="D20:G20" ca="1" si="7">SUM(D15:D19)</f>
        <v>523.27041354387836</v>
      </c>
      <c r="E20" s="6">
        <f t="shared" ca="1" si="7"/>
        <v>621.55228278306754</v>
      </c>
      <c r="F20" s="6">
        <f t="shared" ca="1" si="7"/>
        <v>738.46115402308419</v>
      </c>
      <c r="G20" s="6">
        <f t="shared" ca="1" si="7"/>
        <v>877.64399352292742</v>
      </c>
      <c r="H20" s="2" t="str">
        <f ca="1">[1]!getformula(G20)</f>
        <v>&lt;--  =SUM(G15:G19)</v>
      </c>
    </row>
    <row r="21" spans="1:8" x14ac:dyDescent="0.25">
      <c r="A21" s="2" t="s">
        <v>23</v>
      </c>
      <c r="B21" s="6">
        <f t="shared" ref="B21:G21" si="8">-B20*$B$10</f>
        <v>-146.56</v>
      </c>
      <c r="C21" s="6">
        <f t="shared" ca="1" si="8"/>
        <v>-176.0443213296399</v>
      </c>
      <c r="D21" s="6">
        <f t="shared" ref="D21:G21" ca="1" si="9">-D20*$B$10</f>
        <v>-209.30816541755135</v>
      </c>
      <c r="E21" s="6">
        <f t="shared" ca="1" si="9"/>
        <v>-248.62091311322703</v>
      </c>
      <c r="F21" s="6">
        <f t="shared" ca="1" si="9"/>
        <v>-295.38446160923371</v>
      </c>
      <c r="G21" s="6">
        <f t="shared" ca="1" si="9"/>
        <v>-351.05759740917097</v>
      </c>
      <c r="H21" s="2" t="str">
        <f ca="1">[1]!getformula(G21)</f>
        <v>&lt;--  =-G20*$B$10</v>
      </c>
    </row>
    <row r="22" spans="1:8" x14ac:dyDescent="0.25">
      <c r="A22" s="2" t="s">
        <v>24</v>
      </c>
      <c r="B22" s="23">
        <f t="shared" ref="B22:G22" si="10">B21+B20</f>
        <v>219.83999999999997</v>
      </c>
      <c r="C22" s="23">
        <f t="shared" ca="1" si="10"/>
        <v>264.06648199445982</v>
      </c>
      <c r="D22" s="23">
        <f t="shared" ref="D22:G22" ca="1" si="11">D21+D20</f>
        <v>313.96224812632704</v>
      </c>
      <c r="E22" s="23">
        <f t="shared" ca="1" si="11"/>
        <v>372.93136966984048</v>
      </c>
      <c r="F22" s="23">
        <f t="shared" ca="1" si="11"/>
        <v>443.07669241385048</v>
      </c>
      <c r="G22" s="23">
        <f t="shared" ca="1" si="11"/>
        <v>526.58639611375645</v>
      </c>
      <c r="H22" s="2" t="str">
        <f ca="1">[1]!getformula(G22)</f>
        <v>&lt;--  =G21+G20</v>
      </c>
    </row>
    <row r="23" spans="1:8" x14ac:dyDescent="0.25">
      <c r="A23" s="2" t="s">
        <v>25</v>
      </c>
      <c r="B23" s="6">
        <f>-B22*$B$11</f>
        <v>-109.91999999999999</v>
      </c>
      <c r="C23" s="6">
        <f ca="1">-C22*$B$11</f>
        <v>-132.03324099722991</v>
      </c>
      <c r="D23" s="6">
        <f t="shared" ref="D23:G23" ca="1" si="12">-D22*$B$11</f>
        <v>-156.98112406316352</v>
      </c>
      <c r="E23" s="6">
        <f t="shared" ca="1" si="12"/>
        <v>-186.46568483492024</v>
      </c>
      <c r="F23" s="6">
        <f t="shared" ca="1" si="12"/>
        <v>-221.53834620692524</v>
      </c>
      <c r="G23" s="6">
        <f t="shared" ca="1" si="12"/>
        <v>-263.29319805687823</v>
      </c>
      <c r="H23" s="2" t="str">
        <f ca="1">[1]!getformula(G23)</f>
        <v>&lt;--  =-G22*$B$11</v>
      </c>
    </row>
    <row r="24" spans="1:8" x14ac:dyDescent="0.25">
      <c r="A24" s="2" t="s">
        <v>26</v>
      </c>
      <c r="B24" s="6">
        <f t="shared" ref="B24:G24" si="13">B23+B22</f>
        <v>109.91999999999999</v>
      </c>
      <c r="C24" s="6">
        <f t="shared" ca="1" si="13"/>
        <v>132.03324099722991</v>
      </c>
      <c r="D24" s="6">
        <f t="shared" ref="D24:G24" ca="1" si="14">D23+D22</f>
        <v>156.98112406316352</v>
      </c>
      <c r="E24" s="6">
        <f t="shared" ca="1" si="14"/>
        <v>186.46568483492024</v>
      </c>
      <c r="F24" s="6">
        <f t="shared" ca="1" si="14"/>
        <v>221.53834620692524</v>
      </c>
      <c r="G24" s="6">
        <f t="shared" ca="1" si="14"/>
        <v>263.29319805687823</v>
      </c>
      <c r="H24" s="2" t="str">
        <f ca="1">[1]!getformula(G24)</f>
        <v>&lt;--  =G23+G22</v>
      </c>
    </row>
    <row r="25" spans="1:8" x14ac:dyDescent="0.25">
      <c r="B25" s="6"/>
      <c r="C25" s="6"/>
      <c r="D25" s="6"/>
      <c r="E25" s="6"/>
      <c r="F25" s="6"/>
      <c r="G25" s="6"/>
    </row>
    <row r="26" spans="1:8" x14ac:dyDescent="0.25">
      <c r="A26" s="4" t="s">
        <v>27</v>
      </c>
      <c r="B26" s="6"/>
      <c r="C26" s="6"/>
      <c r="D26" s="6"/>
      <c r="E26" s="6"/>
      <c r="F26" s="6"/>
      <c r="G26" s="6"/>
    </row>
    <row r="27" spans="1:8" x14ac:dyDescent="0.25">
      <c r="A27" s="7" t="s">
        <v>28</v>
      </c>
      <c r="B27" s="23">
        <v>80</v>
      </c>
      <c r="C27" s="23">
        <f ca="1">C39-C28-C32</f>
        <v>28.033240997229768</v>
      </c>
      <c r="D27" s="23">
        <f t="shared" ref="D27:G27" ca="1" si="15">D39-D28-D32</f>
        <v>25</v>
      </c>
      <c r="E27" s="23">
        <f t="shared" ca="1" si="15"/>
        <v>25</v>
      </c>
      <c r="F27" s="23">
        <f t="shared" ca="1" si="15"/>
        <v>25.000000000000227</v>
      </c>
      <c r="G27" s="23">
        <f t="shared" ca="1" si="15"/>
        <v>24.999999999999773</v>
      </c>
      <c r="H27" s="25" t="str">
        <f ca="1">[1]!getformula(G27)</f>
        <v>&lt;--  =G39-G28-G32</v>
      </c>
    </row>
    <row r="28" spans="1:8" x14ac:dyDescent="0.25">
      <c r="A28" s="18" t="s">
        <v>29</v>
      </c>
      <c r="B28" s="6">
        <f>$B$3*B15</f>
        <v>200</v>
      </c>
      <c r="C28" s="6">
        <f>C15*$B$3</f>
        <v>240</v>
      </c>
      <c r="D28" s="6">
        <f t="shared" ref="D28:G28" si="16">D15*$B$3</f>
        <v>288</v>
      </c>
      <c r="E28" s="6">
        <f t="shared" si="16"/>
        <v>345.6</v>
      </c>
      <c r="F28" s="6">
        <f t="shared" si="16"/>
        <v>414.72</v>
      </c>
      <c r="G28" s="6">
        <f t="shared" si="16"/>
        <v>497.66399999999999</v>
      </c>
      <c r="H28" s="2" t="str">
        <f ca="1">[1]!getformula(G28)</f>
        <v>&lt;--  =G15*$B$3</v>
      </c>
    </row>
    <row r="29" spans="1:8" x14ac:dyDescent="0.25">
      <c r="A29" s="2" t="s">
        <v>30</v>
      </c>
      <c r="B29" s="6"/>
      <c r="C29" s="6"/>
      <c r="D29" s="6"/>
      <c r="E29" s="6"/>
      <c r="F29" s="6"/>
      <c r="G29" s="6"/>
    </row>
    <row r="30" spans="1:8" x14ac:dyDescent="0.25">
      <c r="A30" s="2" t="s">
        <v>31</v>
      </c>
      <c r="B30" s="6">
        <f t="shared" ref="B30:G30" si="17">B32-B31</f>
        <v>1100</v>
      </c>
      <c r="C30" s="6">
        <f t="shared" ca="1" si="17"/>
        <v>1384.2105263157896</v>
      </c>
      <c r="D30" s="6">
        <f t="shared" ref="D30:G30" ca="1" si="18">D32-D31</f>
        <v>1732.0221606648199</v>
      </c>
      <c r="E30" s="6">
        <f t="shared" ca="1" si="18"/>
        <v>2156.8665986295377</v>
      </c>
      <c r="F30" s="6">
        <f t="shared" ca="1" si="18"/>
        <v>2674.9367669063313</v>
      </c>
      <c r="G30" s="6">
        <f t="shared" ca="1" si="18"/>
        <v>3305.7469528964712</v>
      </c>
      <c r="H30" s="2" t="str">
        <f ca="1">[1]!getformula(G30)</f>
        <v>&lt;--  =G32-G31</v>
      </c>
    </row>
    <row r="31" spans="1:8" x14ac:dyDescent="0.25">
      <c r="A31" s="2" t="s">
        <v>32</v>
      </c>
      <c r="B31" s="6">
        <v>-300</v>
      </c>
      <c r="C31" s="6">
        <f ca="1">B31+C19</f>
        <v>-424.21052631578948</v>
      </c>
      <c r="D31" s="6">
        <f t="shared" ref="D31:G31" ca="1" si="19">C31+D19</f>
        <v>-580.02216066481992</v>
      </c>
      <c r="E31" s="6">
        <f t="shared" ca="1" si="19"/>
        <v>-774.46659862953777</v>
      </c>
      <c r="F31" s="6">
        <f t="shared" ca="1" si="19"/>
        <v>-1016.0567669063312</v>
      </c>
      <c r="G31" s="6">
        <f t="shared" ca="1" si="19"/>
        <v>-1315.0909528964712</v>
      </c>
      <c r="H31" s="2" t="str">
        <f ca="1">[1]!getformula(G31)</f>
        <v>&lt;--  =F31+G19</v>
      </c>
    </row>
    <row r="32" spans="1:8" x14ac:dyDescent="0.25">
      <c r="A32" s="18" t="s">
        <v>33</v>
      </c>
      <c r="B32" s="6">
        <f t="shared" ref="B32:G32" si="20">B15*$B$5</f>
        <v>800</v>
      </c>
      <c r="C32" s="6">
        <f>C15*$B$5</f>
        <v>960</v>
      </c>
      <c r="D32" s="6">
        <f t="shared" ref="D32:G32" si="21">D15*$B$5</f>
        <v>1152</v>
      </c>
      <c r="E32" s="6">
        <f t="shared" si="21"/>
        <v>1382.4</v>
      </c>
      <c r="F32" s="6">
        <f t="shared" si="21"/>
        <v>1658.88</v>
      </c>
      <c r="G32" s="6">
        <f t="shared" si="21"/>
        <v>1990.6559999999999</v>
      </c>
      <c r="H32" s="2" t="str">
        <f ca="1">[1]!getformula(G32)</f>
        <v>&lt;--  =G15*$B$5</v>
      </c>
    </row>
    <row r="33" spans="1:8" x14ac:dyDescent="0.25">
      <c r="A33" s="4" t="s">
        <v>34</v>
      </c>
      <c r="B33" s="6">
        <f>B27+B28+B32</f>
        <v>1080</v>
      </c>
      <c r="C33" s="6">
        <f ca="1">C27+C28+C32</f>
        <v>1228.0332409972298</v>
      </c>
      <c r="D33" s="6">
        <f t="shared" ref="D33:G33" ca="1" si="22">D27+D28+D32</f>
        <v>1465</v>
      </c>
      <c r="E33" s="6">
        <f t="shared" ca="1" si="22"/>
        <v>1753</v>
      </c>
      <c r="F33" s="6">
        <f t="shared" ca="1" si="22"/>
        <v>2098.6000000000004</v>
      </c>
      <c r="G33" s="6">
        <f t="shared" ca="1" si="22"/>
        <v>2513.3199999999997</v>
      </c>
      <c r="H33" s="2" t="str">
        <f ca="1">[1]!getformula(G33)</f>
        <v>&lt;--  =G27+G28+G32</v>
      </c>
    </row>
    <row r="34" spans="1:8" x14ac:dyDescent="0.25">
      <c r="B34" s="6"/>
      <c r="C34" s="6"/>
      <c r="D34" s="6"/>
      <c r="E34" s="6"/>
      <c r="F34" s="6"/>
      <c r="G34" s="6"/>
    </row>
    <row r="35" spans="1:8" x14ac:dyDescent="0.25">
      <c r="A35" s="18" t="s">
        <v>35</v>
      </c>
      <c r="B35" s="6">
        <f t="shared" ref="B35:G35" si="23">B15*$B$4</f>
        <v>80</v>
      </c>
      <c r="C35" s="6">
        <f>C15*$B$4</f>
        <v>96</v>
      </c>
      <c r="D35" s="6">
        <f t="shared" ref="D35:G35" si="24">D15*$B$4</f>
        <v>115.2</v>
      </c>
      <c r="E35" s="6">
        <f t="shared" si="24"/>
        <v>138.24</v>
      </c>
      <c r="F35" s="6">
        <f t="shared" si="24"/>
        <v>165.88800000000001</v>
      </c>
      <c r="G35" s="6">
        <f t="shared" si="24"/>
        <v>199.06559999999999</v>
      </c>
      <c r="H35" s="2" t="str">
        <f ca="1">[1]!getformula(G35)</f>
        <v>&lt;--  =G15*$B$4</v>
      </c>
    </row>
    <row r="36" spans="1:8" x14ac:dyDescent="0.25">
      <c r="A36" s="2" t="s">
        <v>36</v>
      </c>
      <c r="B36" s="6">
        <f>B33-B35-B37-B38</f>
        <v>400</v>
      </c>
      <c r="C36" s="6">
        <f ca="1">MAX(C28+C32-C35-C37-C38+25,B36)</f>
        <v>400</v>
      </c>
      <c r="D36" s="6">
        <f t="shared" ref="D36:G36" ca="1" si="25">MAX(D28+D32-D35-D37-D38+25,C36)</f>
        <v>460.78563493960655</v>
      </c>
      <c r="E36" s="6">
        <f t="shared" ca="1" si="25"/>
        <v>539.27995010468635</v>
      </c>
      <c r="F36" s="6">
        <f t="shared" ca="1" si="25"/>
        <v>635.69360389776159</v>
      </c>
      <c r="G36" s="6">
        <f t="shared" ca="1" si="25"/>
        <v>753.94280584088278</v>
      </c>
      <c r="H36" s="25" t="str">
        <f ca="1">[1]!getformula(G36)</f>
        <v>&lt;--  =MAX(G28+G32-G35-G37-G38+25,F36)</v>
      </c>
    </row>
    <row r="37" spans="1:8" x14ac:dyDescent="0.25">
      <c r="A37" s="2" t="s">
        <v>37</v>
      </c>
      <c r="B37" s="6">
        <v>450</v>
      </c>
      <c r="C37" s="6">
        <v>450</v>
      </c>
      <c r="D37" s="6">
        <v>450</v>
      </c>
      <c r="E37" s="6">
        <v>450</v>
      </c>
      <c r="F37" s="6">
        <v>450</v>
      </c>
      <c r="G37" s="6">
        <v>450</v>
      </c>
      <c r="H37" s="2" t="str">
        <f ca="1">[1]!getformula(G37)</f>
        <v>&lt;--  450</v>
      </c>
    </row>
    <row r="38" spans="1:8" x14ac:dyDescent="0.25">
      <c r="A38" s="2" t="s">
        <v>38</v>
      </c>
      <c r="B38" s="6">
        <v>150</v>
      </c>
      <c r="C38" s="6">
        <f ca="1">B38+C24</f>
        <v>282.03324099722988</v>
      </c>
      <c r="D38" s="6">
        <f t="shared" ref="D38:G38" ca="1" si="26">C38+D24</f>
        <v>439.0143650603934</v>
      </c>
      <c r="E38" s="6">
        <f t="shared" ca="1" si="26"/>
        <v>625.48004989531364</v>
      </c>
      <c r="F38" s="6">
        <f t="shared" ca="1" si="26"/>
        <v>847.01839610223885</v>
      </c>
      <c r="G38" s="6">
        <f t="shared" ca="1" si="26"/>
        <v>1110.311594159117</v>
      </c>
      <c r="H38" s="2" t="str">
        <f ca="1">[1]!getformula(G38)</f>
        <v>&lt;--  =F38+G24</v>
      </c>
    </row>
    <row r="39" spans="1:8" x14ac:dyDescent="0.25">
      <c r="A39" s="4" t="s">
        <v>39</v>
      </c>
      <c r="B39" s="6">
        <f t="shared" ref="B39:G39" si="27">SUM(B35:B38)</f>
        <v>1080</v>
      </c>
      <c r="C39" s="6">
        <f t="shared" ca="1" si="27"/>
        <v>1228.0332409972298</v>
      </c>
      <c r="D39" s="6">
        <f t="shared" ref="D39:G39" ca="1" si="28">SUM(D35:D38)</f>
        <v>1465</v>
      </c>
      <c r="E39" s="6">
        <f t="shared" ca="1" si="28"/>
        <v>1753</v>
      </c>
      <c r="F39" s="6">
        <f t="shared" ca="1" si="28"/>
        <v>2098.6000000000004</v>
      </c>
      <c r="G39" s="6">
        <f t="shared" ca="1" si="28"/>
        <v>2513.3199999999997</v>
      </c>
      <c r="H39" s="2" t="str">
        <f ca="1">[1]!getformula(G39)</f>
        <v>&lt;--  =SUM(G35:G38)</v>
      </c>
    </row>
    <row r="42" spans="1:8" x14ac:dyDescent="0.25">
      <c r="A42" s="8" t="s">
        <v>15</v>
      </c>
      <c r="B42" s="9">
        <v>0</v>
      </c>
      <c r="C42" s="9">
        <v>1</v>
      </c>
      <c r="D42" s="9">
        <v>2</v>
      </c>
      <c r="E42" s="9">
        <v>3</v>
      </c>
      <c r="F42" s="9">
        <v>4</v>
      </c>
      <c r="G42" s="9">
        <v>5</v>
      </c>
      <c r="H42" s="4"/>
    </row>
    <row r="43" spans="1:8" x14ac:dyDescent="0.25">
      <c r="A43" s="8" t="s">
        <v>40</v>
      </c>
      <c r="B43" s="10"/>
      <c r="C43" s="10"/>
      <c r="D43" s="10"/>
      <c r="E43" s="10"/>
      <c r="F43" s="10"/>
      <c r="G43" s="10"/>
    </row>
    <row r="44" spans="1:8" x14ac:dyDescent="0.25">
      <c r="A44" s="10" t="s">
        <v>24</v>
      </c>
      <c r="B44" s="10"/>
      <c r="C44" s="24">
        <f ca="1">C22</f>
        <v>264.06648199445982</v>
      </c>
      <c r="D44" s="24">
        <f ca="1">D22</f>
        <v>313.96224812632704</v>
      </c>
      <c r="E44" s="24">
        <f ca="1">E22</f>
        <v>372.93136966984048</v>
      </c>
      <c r="F44" s="24">
        <f ca="1">F22</f>
        <v>443.07669241385048</v>
      </c>
      <c r="G44" s="24">
        <f ca="1">G22</f>
        <v>526.58639611375645</v>
      </c>
      <c r="H44" s="2" t="str">
        <f ca="1">[1]!getformula(G44)</f>
        <v>&lt;--  =G22</v>
      </c>
    </row>
    <row r="45" spans="1:8" x14ac:dyDescent="0.25">
      <c r="A45" s="10" t="s">
        <v>41</v>
      </c>
      <c r="B45" s="10"/>
      <c r="C45" s="10">
        <f ca="1">-C19</f>
        <v>124.21052631578948</v>
      </c>
      <c r="D45" s="10">
        <f ca="1">-D19</f>
        <v>155.81163434903047</v>
      </c>
      <c r="E45" s="10">
        <f ca="1">-E19</f>
        <v>194.44443796471788</v>
      </c>
      <c r="F45" s="10">
        <f ca="1">-F19</f>
        <v>241.59016827679343</v>
      </c>
      <c r="G45" s="10">
        <f ca="1">-G19</f>
        <v>299.03418599014014</v>
      </c>
      <c r="H45" s="2" t="str">
        <f ca="1">[1]!getformula(G45)</f>
        <v>&lt;--  =-G19</v>
      </c>
    </row>
    <row r="46" spans="1:8" x14ac:dyDescent="0.25">
      <c r="A46" s="10" t="s">
        <v>42</v>
      </c>
      <c r="B46" s="10"/>
      <c r="C46" s="10">
        <f>-(C28-B28)</f>
        <v>-40</v>
      </c>
      <c r="D46" s="10">
        <f>-(D28-C28)</f>
        <v>-48</v>
      </c>
      <c r="E46" s="10">
        <f>-(E28-D28)</f>
        <v>-57.600000000000023</v>
      </c>
      <c r="F46" s="10">
        <f>-(F28-E28)</f>
        <v>-69.12</v>
      </c>
      <c r="G46" s="10">
        <f>-(G28-F28)</f>
        <v>-82.94399999999996</v>
      </c>
      <c r="H46" s="2" t="str">
        <f ca="1">[1]!getformula(G46)</f>
        <v>&lt;--  =-(G28-F28)</v>
      </c>
    </row>
    <row r="47" spans="1:8" x14ac:dyDescent="0.25">
      <c r="A47" s="10" t="s">
        <v>43</v>
      </c>
      <c r="B47" s="10"/>
      <c r="C47" s="10">
        <f>C35-B35</f>
        <v>16</v>
      </c>
      <c r="D47" s="10">
        <f>D35-C35</f>
        <v>19.200000000000003</v>
      </c>
      <c r="E47" s="10">
        <f>E35-D35</f>
        <v>23.040000000000006</v>
      </c>
      <c r="F47" s="10">
        <f>F35-E35</f>
        <v>27.647999999999996</v>
      </c>
      <c r="G47" s="10">
        <f>G35-F35</f>
        <v>33.177599999999984</v>
      </c>
      <c r="H47" s="2" t="str">
        <f ca="1">[1]!getformula(G47)</f>
        <v>&lt;--  =G35-F35</v>
      </c>
    </row>
    <row r="48" spans="1:8" x14ac:dyDescent="0.25">
      <c r="A48" s="10" t="s">
        <v>44</v>
      </c>
      <c r="B48" s="10"/>
      <c r="C48" s="10">
        <f ca="1">-(C30-B30)</f>
        <v>-284.21052631578959</v>
      </c>
      <c r="D48" s="10">
        <f ca="1">-(D30-C30)</f>
        <v>-347.81163434903033</v>
      </c>
      <c r="E48" s="10">
        <f ca="1">-(E30-D30)</f>
        <v>-424.84443796471783</v>
      </c>
      <c r="F48" s="10">
        <f ca="1">-(F30-E30)</f>
        <v>-518.07016827679354</v>
      </c>
      <c r="G48" s="10">
        <f ca="1">-(G30-F30)</f>
        <v>-630.81018599013987</v>
      </c>
      <c r="H48" s="2" t="str">
        <f ca="1">[1]!getformula(G48)</f>
        <v>&lt;--  =-(G30-F30)</v>
      </c>
    </row>
    <row r="49" spans="1:8" x14ac:dyDescent="0.25">
      <c r="A49" s="10" t="s">
        <v>45</v>
      </c>
      <c r="B49" s="10"/>
      <c r="C49" s="10">
        <f ca="1">-(1-$B$10)*C17</f>
        <v>24</v>
      </c>
      <c r="D49" s="10">
        <f t="shared" ref="C49:G50" ca="1" si="29">-(1-$B$10)*D17</f>
        <v>25.823569048188197</v>
      </c>
      <c r="E49" s="10">
        <f t="shared" ca="1" si="29"/>
        <v>30.001967551328786</v>
      </c>
      <c r="F49" s="10">
        <f t="shared" ca="1" si="29"/>
        <v>35.249206620073444</v>
      </c>
      <c r="G49" s="10">
        <f t="shared" ca="1" si="29"/>
        <v>41.68909229215933</v>
      </c>
      <c r="H49" s="2" t="str">
        <f ca="1">[1]!getformula(G49)</f>
        <v>&lt;--  =-(1-$B$10)*G17</v>
      </c>
    </row>
    <row r="50" spans="1:8" x14ac:dyDescent="0.25">
      <c r="A50" s="10" t="s">
        <v>46</v>
      </c>
      <c r="B50" s="10"/>
      <c r="C50" s="10">
        <f t="shared" ca="1" si="29"/>
        <v>-2.5927977839335146</v>
      </c>
      <c r="D50" s="10">
        <f t="shared" ca="1" si="29"/>
        <v>-1.2727977839335145</v>
      </c>
      <c r="E50" s="10">
        <f t="shared" ca="1" si="29"/>
        <v>-1.2</v>
      </c>
      <c r="F50" s="10">
        <f t="shared" ca="1" si="29"/>
        <v>-1.2000000000000055</v>
      </c>
      <c r="G50" s="10">
        <f t="shared" ca="1" si="29"/>
        <v>-1.2</v>
      </c>
      <c r="H50" s="2" t="str">
        <f ca="1">[1]!getformula(G50)</f>
        <v>&lt;--  =-(1-$B$10)*G18</v>
      </c>
    </row>
    <row r="51" spans="1:8" x14ac:dyDescent="0.25">
      <c r="A51" s="8" t="s">
        <v>47</v>
      </c>
      <c r="B51" s="10"/>
      <c r="C51" s="24">
        <f ca="1">SUM(C44:C50)</f>
        <v>101.47368421052619</v>
      </c>
      <c r="D51" s="24">
        <f ca="1">SUM(D44:D50)</f>
        <v>117.71301939058183</v>
      </c>
      <c r="E51" s="24">
        <f ca="1">SUM(E44:E50)</f>
        <v>136.77333722116924</v>
      </c>
      <c r="F51" s="24">
        <f ca="1">SUM(F44:F50)</f>
        <v>159.17389903392385</v>
      </c>
      <c r="G51" s="24">
        <f ca="1">SUM(G44:G50)</f>
        <v>185.53308840591609</v>
      </c>
    </row>
    <row r="54" spans="1:8" ht="17.399999999999999" x14ac:dyDescent="0.3">
      <c r="A54" s="11"/>
    </row>
    <row r="55" spans="1:8" x14ac:dyDescent="0.25">
      <c r="A55" s="7"/>
      <c r="B55" s="12"/>
      <c r="C55" s="7"/>
      <c r="D55" s="7"/>
      <c r="E55" s="7"/>
      <c r="F55" s="7"/>
      <c r="G55" s="7"/>
      <c r="H55" s="7"/>
    </row>
    <row r="56" spans="1:8" x14ac:dyDescent="0.25">
      <c r="A56" s="7"/>
    </row>
    <row r="57" spans="1:8" x14ac:dyDescent="0.25">
      <c r="A57" s="8"/>
      <c r="B57" s="9"/>
      <c r="C57" s="9"/>
      <c r="D57" s="9"/>
      <c r="E57" s="9"/>
      <c r="F57" s="9"/>
      <c r="G57" s="9"/>
      <c r="H57" s="4"/>
    </row>
    <row r="58" spans="1:8" x14ac:dyDescent="0.25">
      <c r="C58" s="10"/>
      <c r="D58" s="10"/>
      <c r="E58" s="10"/>
      <c r="F58" s="10"/>
      <c r="G58" s="13"/>
    </row>
    <row r="59" spans="1:8" x14ac:dyDescent="0.25">
      <c r="G59" s="14"/>
    </row>
    <row r="60" spans="1:8" x14ac:dyDescent="0.25">
      <c r="C60" s="10"/>
      <c r="D60" s="10"/>
      <c r="E60" s="10"/>
      <c r="F60" s="10"/>
      <c r="G60" s="13"/>
    </row>
    <row r="62" spans="1:8" x14ac:dyDescent="0.25">
      <c r="B62" s="13"/>
    </row>
    <row r="63" spans="1:8" x14ac:dyDescent="0.25">
      <c r="B63" s="13"/>
    </row>
    <row r="64" spans="1:8" x14ac:dyDescent="0.25">
      <c r="B64" s="13"/>
    </row>
    <row r="65" spans="1:8" x14ac:dyDescent="0.25">
      <c r="B65" s="13"/>
    </row>
    <row r="66" spans="1:8" x14ac:dyDescent="0.25">
      <c r="B66" s="13"/>
    </row>
    <row r="67" spans="1:8" x14ac:dyDescent="0.25">
      <c r="B67" s="13"/>
    </row>
    <row r="68" spans="1:8" ht="17.399999999999999" x14ac:dyDescent="0.3">
      <c r="A68" s="11"/>
      <c r="B68" s="13"/>
    </row>
    <row r="69" spans="1:8" x14ac:dyDescent="0.25">
      <c r="B69" s="13"/>
    </row>
    <row r="70" spans="1:8" x14ac:dyDescent="0.25">
      <c r="B70" s="13"/>
    </row>
    <row r="71" spans="1:8" x14ac:dyDescent="0.25">
      <c r="B71" s="13"/>
    </row>
    <row r="72" spans="1:8" x14ac:dyDescent="0.25">
      <c r="B72" s="13"/>
    </row>
    <row r="74" spans="1:8" ht="17.399999999999999" x14ac:dyDescent="0.3">
      <c r="A74" s="11"/>
    </row>
    <row r="75" spans="1:8" x14ac:dyDescent="0.25">
      <c r="A75" s="7"/>
      <c r="B75" s="12"/>
      <c r="C75" s="7"/>
      <c r="D75" s="7"/>
      <c r="E75" s="7"/>
      <c r="F75" s="7"/>
      <c r="G75" s="7"/>
      <c r="H75" s="7"/>
    </row>
    <row r="76" spans="1:8" x14ac:dyDescent="0.25">
      <c r="A76" s="7"/>
    </row>
    <row r="77" spans="1:8" x14ac:dyDescent="0.25">
      <c r="A77" s="8"/>
      <c r="B77" s="9"/>
      <c r="C77" s="9"/>
      <c r="D77" s="9"/>
      <c r="E77" s="9"/>
      <c r="F77" s="9"/>
      <c r="G77" s="9"/>
      <c r="H77" s="4"/>
    </row>
    <row r="78" spans="1:8" x14ac:dyDescent="0.25">
      <c r="C78" s="10"/>
      <c r="D78" s="10"/>
      <c r="E78" s="10"/>
      <c r="F78" s="10"/>
      <c r="G78" s="10"/>
    </row>
    <row r="79" spans="1:8" x14ac:dyDescent="0.25">
      <c r="G79" s="14"/>
    </row>
    <row r="80" spans="1:8" x14ac:dyDescent="0.25">
      <c r="C80" s="10"/>
      <c r="D80" s="10"/>
      <c r="E80" s="10"/>
      <c r="F80" s="10"/>
      <c r="G80" s="13"/>
    </row>
    <row r="82" spans="2:3" x14ac:dyDescent="0.25">
      <c r="B82" s="13"/>
    </row>
    <row r="83" spans="2:3" x14ac:dyDescent="0.25">
      <c r="B83" s="13"/>
    </row>
    <row r="84" spans="2:3" x14ac:dyDescent="0.25">
      <c r="B84" s="13"/>
    </row>
    <row r="85" spans="2:3" x14ac:dyDescent="0.25">
      <c r="B85" s="13"/>
    </row>
    <row r="86" spans="2:3" x14ac:dyDescent="0.25">
      <c r="B86" s="13"/>
    </row>
    <row r="90" spans="2:3" x14ac:dyDescent="0.25">
      <c r="C90" s="13"/>
    </row>
    <row r="91" spans="2:3" x14ac:dyDescent="0.25">
      <c r="B91" s="3"/>
      <c r="C91" s="13"/>
    </row>
    <row r="92" spans="2:3" x14ac:dyDescent="0.25">
      <c r="B92" s="3"/>
      <c r="C92" s="13"/>
    </row>
    <row r="93" spans="2:3" x14ac:dyDescent="0.25">
      <c r="B93" s="3"/>
      <c r="C93" s="13"/>
    </row>
    <row r="94" spans="2:3" x14ac:dyDescent="0.25">
      <c r="B94" s="3"/>
      <c r="C94" s="13"/>
    </row>
    <row r="95" spans="2:3" x14ac:dyDescent="0.25">
      <c r="B95" s="3"/>
      <c r="C95" s="13"/>
    </row>
    <row r="96" spans="2:3" x14ac:dyDescent="0.25">
      <c r="B96" s="3"/>
      <c r="C96" s="13"/>
    </row>
    <row r="97" spans="1:8" x14ac:dyDescent="0.25">
      <c r="B97" s="3"/>
      <c r="C97" s="13"/>
    </row>
    <row r="98" spans="1:8" x14ac:dyDescent="0.25">
      <c r="B98" s="3"/>
      <c r="C98" s="13"/>
    </row>
    <row r="99" spans="1:8" x14ac:dyDescent="0.25">
      <c r="B99" s="3"/>
      <c r="C99" s="13"/>
    </row>
    <row r="105" spans="1:8" x14ac:dyDescent="0.25">
      <c r="C105" s="4"/>
    </row>
    <row r="106" spans="1:8" x14ac:dyDescent="0.25">
      <c r="B106" s="15"/>
      <c r="C106" s="16"/>
      <c r="D106" s="16"/>
      <c r="E106" s="16"/>
      <c r="F106" s="16"/>
      <c r="G106" s="16"/>
      <c r="H106" s="16"/>
    </row>
    <row r="107" spans="1:8" x14ac:dyDescent="0.25">
      <c r="B107" s="16"/>
      <c r="C107" s="15"/>
      <c r="D107" s="15"/>
      <c r="E107" s="15"/>
      <c r="F107" s="15"/>
      <c r="G107" s="15"/>
      <c r="H107" s="15"/>
    </row>
    <row r="108" spans="1:8" x14ac:dyDescent="0.25">
      <c r="A108" s="17"/>
      <c r="B108" s="16"/>
      <c r="C108" s="15"/>
      <c r="D108" s="15"/>
      <c r="E108" s="15"/>
      <c r="F108" s="15"/>
      <c r="G108" s="15"/>
      <c r="H108" s="15"/>
    </row>
    <row r="109" spans="1:8" x14ac:dyDescent="0.25">
      <c r="B109" s="16"/>
      <c r="C109" s="15"/>
      <c r="D109" s="15"/>
      <c r="E109" s="15"/>
      <c r="F109" s="15"/>
      <c r="G109" s="15"/>
      <c r="H109" s="15"/>
    </row>
    <row r="110" spans="1:8" x14ac:dyDescent="0.25">
      <c r="B110" s="16"/>
      <c r="C110" s="15"/>
      <c r="D110" s="15"/>
      <c r="E110" s="15"/>
      <c r="F110" s="15"/>
      <c r="G110" s="15"/>
      <c r="H110" s="15"/>
    </row>
    <row r="111" spans="1:8" x14ac:dyDescent="0.25">
      <c r="B111" s="16"/>
      <c r="C111" s="15"/>
      <c r="D111" s="15"/>
      <c r="E111" s="15"/>
      <c r="F111" s="15"/>
      <c r="G111" s="15"/>
      <c r="H111" s="15"/>
    </row>
    <row r="112" spans="1:8" x14ac:dyDescent="0.25">
      <c r="B112" s="16"/>
      <c r="C112" s="15"/>
      <c r="D112" s="15"/>
      <c r="E112" s="15"/>
      <c r="F112" s="15"/>
      <c r="G112" s="15"/>
      <c r="H112" s="15"/>
    </row>
    <row r="113" spans="2:8" x14ac:dyDescent="0.25">
      <c r="B113" s="16"/>
      <c r="C113" s="15"/>
      <c r="D113" s="15"/>
      <c r="E113" s="15"/>
      <c r="F113" s="15"/>
      <c r="G113" s="15"/>
      <c r="H113" s="15"/>
    </row>
    <row r="114" spans="2:8" x14ac:dyDescent="0.25">
      <c r="B114" s="16"/>
      <c r="C114" s="15"/>
      <c r="D114" s="15"/>
      <c r="E114" s="15"/>
      <c r="F114" s="15"/>
      <c r="G114" s="15"/>
      <c r="H114" s="15"/>
    </row>
    <row r="115" spans="2:8" x14ac:dyDescent="0.25">
      <c r="B115" s="16"/>
      <c r="C115" s="15"/>
      <c r="D115" s="15"/>
      <c r="E115" s="15"/>
      <c r="F115" s="15"/>
      <c r="G115" s="15"/>
      <c r="H115" s="15"/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2024-10-14T05:11:30Z</dcterms:modified>
</cp:coreProperties>
</file>