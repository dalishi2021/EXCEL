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/>
  <workbookPr defaultThemeVersion="166925"/>
  <mc:AlternateContent xmlns:mc="http://schemas.openxmlformats.org/markup-compatibility/2006">
    <mc:Choice Requires="x15">
      <x15ac:absPath xmlns:x15ac="http://schemas.microsoft.com/office/spreadsheetml/2010/11/ac" url="D:\lizhengdong\交易框架\5_工具箱\_书库\编程\Excel\CH03\practice\"/>
    </mc:Choice>
  </mc:AlternateContent>
  <xr:revisionPtr revIDLastSave="0" documentId="13_ncr:1_{712769F9-3B63-4F7A-9A1B-9207C002CAD7}" xr6:coauthVersionLast="47" xr6:coauthVersionMax="47" xr10:uidLastSave="{00000000-0000-0000-0000-000000000000}"/>
  <bookViews>
    <workbookView xWindow="-38520" yWindow="-120" windowWidth="38640" windowHeight="21120" xr2:uid="{EA6F33A8-FE0E-48B1-8C74-8B2321C6BA8B}"/>
  </bookViews>
  <sheets>
    <sheet name="Sheet1" sheetId="1" r:id="rId1"/>
  </sheets>
  <definedNames>
    <definedName name="_xlnm._FilterDatabase" localSheetId="0" hidden="1">Sheet1!$I$1:$I$114</definedName>
  </definedNames>
  <calcPr calcId="191029" iterate="1" iterateDelta="1.0000000000000001E-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48" i="1" l="1"/>
  <c r="D48" i="1"/>
  <c r="E48" i="1"/>
  <c r="F48" i="1"/>
  <c r="G48" i="1"/>
  <c r="C47" i="1"/>
  <c r="D47" i="1"/>
  <c r="E47" i="1"/>
  <c r="F47" i="1"/>
  <c r="G47" i="1"/>
  <c r="C46" i="1"/>
  <c r="D46" i="1"/>
  <c r="E46" i="1"/>
  <c r="F46" i="1"/>
  <c r="G46" i="1"/>
  <c r="C45" i="1"/>
  <c r="D45" i="1"/>
  <c r="E45" i="1"/>
  <c r="F45" i="1"/>
  <c r="G45" i="1"/>
  <c r="C44" i="1"/>
  <c r="D44" i="1"/>
  <c r="E44" i="1"/>
  <c r="F44" i="1"/>
  <c r="G44" i="1"/>
  <c r="D35" i="1"/>
  <c r="E35" i="1" s="1"/>
  <c r="D36" i="1"/>
  <c r="E36" i="1"/>
  <c r="F36" i="1" s="1"/>
  <c r="G36" i="1" s="1"/>
  <c r="D30" i="1"/>
  <c r="E30" i="1" s="1"/>
  <c r="D18" i="1"/>
  <c r="E18" i="1"/>
  <c r="F18" i="1"/>
  <c r="G18" i="1"/>
  <c r="C31" i="1"/>
  <c r="C30" i="1"/>
  <c r="C18" i="1"/>
  <c r="C16" i="1"/>
  <c r="C36" i="1"/>
  <c r="C14" i="1"/>
  <c r="C15" i="1" s="1"/>
  <c r="B82" i="1"/>
  <c r="B74" i="1"/>
  <c r="B62" i="1"/>
  <c r="B34" i="1"/>
  <c r="B31" i="1"/>
  <c r="B15" i="1"/>
  <c r="B14" i="1"/>
  <c r="I35" i="1"/>
  <c r="I38" i="1"/>
  <c r="I36" i="1"/>
  <c r="I37" i="1"/>
  <c r="I26" i="1"/>
  <c r="I30" i="1"/>
  <c r="I31" i="1"/>
  <c r="I32" i="1"/>
  <c r="I50" i="1"/>
  <c r="I49" i="1"/>
  <c r="I48" i="1"/>
  <c r="I47" i="1"/>
  <c r="I46" i="1"/>
  <c r="I45" i="1"/>
  <c r="I44" i="1"/>
  <c r="I43" i="1"/>
  <c r="I15" i="1"/>
  <c r="I16" i="1"/>
  <c r="I17" i="1"/>
  <c r="I18" i="1"/>
  <c r="I19" i="1"/>
  <c r="I20" i="1"/>
  <c r="I21" i="1"/>
  <c r="I22" i="1"/>
  <c r="I23" i="1"/>
  <c r="I34" i="1"/>
  <c r="I27" i="1"/>
  <c r="I29" i="1"/>
  <c r="I14" i="1"/>
  <c r="E16" i="1" l="1"/>
  <c r="F35" i="1"/>
  <c r="F16" i="1"/>
  <c r="D16" i="1"/>
  <c r="F30" i="1"/>
  <c r="E31" i="1"/>
  <c r="D31" i="1"/>
  <c r="C27" i="1"/>
  <c r="C34" i="1"/>
  <c r="D14" i="1"/>
  <c r="C29" i="1"/>
  <c r="B27" i="1"/>
  <c r="B32" i="1" s="1"/>
  <c r="B35" i="1" s="1"/>
  <c r="C35" i="1" s="1"/>
  <c r="G35" i="1" l="1"/>
  <c r="G30" i="1"/>
  <c r="G31" i="1" s="1"/>
  <c r="F31" i="1"/>
  <c r="E14" i="1"/>
  <c r="D15" i="1"/>
  <c r="D29" i="1"/>
  <c r="D27" i="1"/>
  <c r="D34" i="1"/>
  <c r="B69" i="1"/>
  <c r="B64" i="1"/>
  <c r="B84" i="1" s="1"/>
  <c r="B16" i="1"/>
  <c r="B19" i="1" s="1"/>
  <c r="B20" i="1" s="1"/>
  <c r="B21" i="1" s="1"/>
  <c r="B22" i="1" s="1"/>
  <c r="B23" i="1" s="1"/>
  <c r="B38" i="1"/>
  <c r="G16" i="1" l="1"/>
  <c r="F14" i="1"/>
  <c r="E29" i="1"/>
  <c r="E15" i="1"/>
  <c r="E27" i="1"/>
  <c r="E34" i="1"/>
  <c r="G14" i="1" l="1"/>
  <c r="F29" i="1"/>
  <c r="F15" i="1"/>
  <c r="F27" i="1"/>
  <c r="F34" i="1"/>
  <c r="G27" i="1" l="1"/>
  <c r="G29" i="1"/>
  <c r="G15" i="1"/>
  <c r="G34" i="1"/>
  <c r="C17" i="1"/>
  <c r="D17" i="1"/>
  <c r="E17" i="1"/>
  <c r="F17" i="1"/>
  <c r="G17" i="1"/>
  <c r="C19" i="1"/>
  <c r="D19" i="1"/>
  <c r="E19" i="1"/>
  <c r="F19" i="1"/>
  <c r="G19" i="1"/>
  <c r="C20" i="1"/>
  <c r="D20" i="1"/>
  <c r="E20" i="1"/>
  <c r="F20" i="1"/>
  <c r="G20" i="1"/>
  <c r="C21" i="1"/>
  <c r="D21" i="1"/>
  <c r="E21" i="1"/>
  <c r="F21" i="1"/>
  <c r="G21" i="1"/>
  <c r="C22" i="1"/>
  <c r="D22" i="1"/>
  <c r="E22" i="1"/>
  <c r="F22" i="1"/>
  <c r="G22" i="1"/>
  <c r="C23" i="1"/>
  <c r="D23" i="1"/>
  <c r="E23" i="1"/>
  <c r="F23" i="1"/>
  <c r="G23" i="1"/>
  <c r="C26" i="1"/>
  <c r="D26" i="1"/>
  <c r="E26" i="1"/>
  <c r="F26" i="1"/>
  <c r="G26" i="1"/>
  <c r="C32" i="1"/>
  <c r="D32" i="1"/>
  <c r="E32" i="1"/>
  <c r="F32" i="1"/>
  <c r="G32" i="1"/>
  <c r="C37" i="1"/>
  <c r="D37" i="1"/>
  <c r="E37" i="1"/>
  <c r="F37" i="1"/>
  <c r="G37" i="1"/>
  <c r="C38" i="1"/>
  <c r="D38" i="1"/>
  <c r="E38" i="1"/>
  <c r="F38" i="1"/>
  <c r="G38" i="1"/>
  <c r="C43" i="1"/>
  <c r="D43" i="1"/>
  <c r="E43" i="1"/>
  <c r="F43" i="1"/>
  <c r="G43" i="1"/>
  <c r="C49" i="1"/>
  <c r="D49" i="1"/>
  <c r="E49" i="1"/>
  <c r="F49" i="1"/>
  <c r="G49" i="1"/>
  <c r="C50" i="1"/>
  <c r="D50" i="1"/>
  <c r="E50" i="1"/>
  <c r="F50" i="1"/>
  <c r="G50" i="1"/>
  <c r="C57" i="1"/>
  <c r="D57" i="1"/>
  <c r="E57" i="1"/>
  <c r="F57" i="1"/>
  <c r="G57" i="1"/>
  <c r="G58" i="1"/>
  <c r="C59" i="1"/>
  <c r="D59" i="1"/>
  <c r="E59" i="1"/>
  <c r="F59" i="1"/>
  <c r="G59" i="1"/>
  <c r="B61" i="1"/>
  <c r="B63" i="1"/>
  <c r="B65" i="1"/>
  <c r="B68" i="1"/>
  <c r="B70" i="1"/>
  <c r="C77" i="1"/>
  <c r="D77" i="1"/>
  <c r="E77" i="1"/>
  <c r="F77" i="1"/>
  <c r="G77" i="1"/>
  <c r="G78" i="1"/>
  <c r="C79" i="1"/>
  <c r="D79" i="1"/>
  <c r="E79" i="1"/>
  <c r="F79" i="1"/>
  <c r="G79" i="1"/>
  <c r="B81" i="1"/>
  <c r="B83" i="1"/>
  <c r="B85" i="1"/>
</calcChain>
</file>

<file path=xl/sharedStrings.xml><?xml version="1.0" encoding="utf-8"?>
<sst xmlns="http://schemas.openxmlformats.org/spreadsheetml/2006/main" count="82" uniqueCount="65">
  <si>
    <t>EXERCISE 4--ASSETS AT COST GIVEN BY A STEP FUNCTION</t>
  </si>
  <si>
    <t>Sales growth</t>
  </si>
  <si>
    <t>Current assets/Sales</t>
  </si>
  <si>
    <t>Current liabilities/Sales</t>
  </si>
  <si>
    <t>Costs of goods sold/Sales</t>
  </si>
  <si>
    <t>Depreciation rate</t>
  </si>
  <si>
    <t>Interest rate on debt</t>
  </si>
  <si>
    <t>Interest paid on cash &amp; marketable securities</t>
  </si>
  <si>
    <t>Tax rate</t>
  </si>
  <si>
    <t>Dividend payout ratio</t>
  </si>
  <si>
    <t>Year</t>
  </si>
  <si>
    <t>Income statement</t>
  </si>
  <si>
    <t>Sales</t>
  </si>
  <si>
    <t>Costs of goods sold</t>
  </si>
  <si>
    <t>Interest payments on debt</t>
  </si>
  <si>
    <t>Interest earned on cash &amp; marketable securities</t>
  </si>
  <si>
    <t>Depreciation</t>
  </si>
  <si>
    <t>Profit before tax</t>
  </si>
  <si>
    <t>Taxes</t>
  </si>
  <si>
    <t>Profit after tax</t>
  </si>
  <si>
    <t>Dividends</t>
  </si>
  <si>
    <t>Retained earnings</t>
  </si>
  <si>
    <t>Balance sheet</t>
  </si>
  <si>
    <t>Cash and marketable securities</t>
  </si>
  <si>
    <t>Current assets</t>
  </si>
  <si>
    <t>Fixed assets</t>
  </si>
  <si>
    <t xml:space="preserve">     At cost</t>
  </si>
  <si>
    <t xml:space="preserve">     Depreciation</t>
  </si>
  <si>
    <t xml:space="preserve">     Net fixed assets</t>
  </si>
  <si>
    <t>Total assets</t>
  </si>
  <si>
    <t>Current liabilities</t>
  </si>
  <si>
    <t>Debt</t>
  </si>
  <si>
    <t>Stock</t>
  </si>
  <si>
    <t>Accumulated retained earnings</t>
  </si>
  <si>
    <t>Total liabilities and equity</t>
  </si>
  <si>
    <t>Free cash flow calculation</t>
  </si>
  <si>
    <t>Add back depreciation</t>
  </si>
  <si>
    <t>Subtract increase in current assets</t>
  </si>
  <si>
    <t>Add back increase in current liabilities</t>
  </si>
  <si>
    <t>Subtract increase in fixed assets at cost</t>
  </si>
  <si>
    <t>Add back after-tax interest on debt</t>
  </si>
  <si>
    <t>Subtract after-tax interest on cash &amp; mkt. securities</t>
  </si>
  <si>
    <t>Free cash flow</t>
  </si>
  <si>
    <t>Valuing the firm</t>
  </si>
  <si>
    <t>Weighted average cost of capital</t>
  </si>
  <si>
    <t>FCF</t>
  </si>
  <si>
    <t>Terminal value</t>
  </si>
  <si>
    <t>&lt;-- =G59*(1+B3)/(B56-B3)</t>
  </si>
  <si>
    <t>Total</t>
  </si>
  <si>
    <t>NPV of row 61</t>
  </si>
  <si>
    <t>&lt;-- =NPV(B56,C61:G61)</t>
  </si>
  <si>
    <t>Add in initial (year 0) cash and mkt. securities</t>
  </si>
  <si>
    <t>Enterprise value</t>
  </si>
  <si>
    <t>Subtract out value of firm's debt today</t>
  </si>
  <si>
    <t>Equity value</t>
  </si>
  <si>
    <t>Cash and marketable securities as negative debt</t>
  </si>
  <si>
    <t>NPV of row 61 = enterprise value</t>
  </si>
  <si>
    <t>Net year 0 debt</t>
  </si>
  <si>
    <t>&lt;-- =-B37+B28</t>
  </si>
  <si>
    <t>Valuing the firm--using half-year discounting</t>
  </si>
  <si>
    <t>&lt;-- =G72*(1+B3)/(B69-B3)</t>
  </si>
  <si>
    <t>NPV of row 81</t>
  </si>
  <si>
    <t>&lt;-- =NPV(B76,C81:G81)*(1+B76)</t>
  </si>
  <si>
    <t>if</t>
    <phoneticPr fontId="1" type="noConversion"/>
  </si>
  <si>
    <t>ave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</si>
</sst>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3" formatCode="_ * #,##0.00_ ;_ * \-#,##0.00_ ;_ * &quot;-&quot;??_ ;_ @_ "/>
    <numFmt numFmtId="177" formatCode="_(* #,##0_);_(* \(#,##0\);_(* &quot;-&quot;??_);_(@_)"/>
    <numFmt numFmtId="178" formatCode="0_);\(0\)"/>
  </numFmts>
  <fonts count="6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b/>
      <sz val="14"/>
      <name val="Arial"/>
      <family val="2"/>
    </font>
    <font>
      <b/>
      <sz val="10"/>
      <name val="Arial"/>
      <family val="2"/>
    </font>
    <font>
      <sz val="1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7" tint="0.59999389629810485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43" fontId="2" fillId="0" borderId="0" applyFont="0" applyFill="0" applyBorder="0" applyAlignment="0" applyProtection="0">
      <alignment vertical="center"/>
    </xf>
  </cellStyleXfs>
  <cellXfs count="34">
    <xf numFmtId="0" fontId="0" fillId="0" borderId="0" xfId="0">
      <alignment vertical="center"/>
    </xf>
    <xf numFmtId="0" fontId="3" fillId="0" borderId="0" xfId="0" applyFont="1" applyAlignment="1">
      <alignment horizontal="center"/>
    </xf>
    <xf numFmtId="0" fontId="0" fillId="0" borderId="0" xfId="0" applyAlignment="1"/>
    <xf numFmtId="9" fontId="0" fillId="0" borderId="0" xfId="0" applyNumberFormat="1" applyAlignment="1"/>
    <xf numFmtId="0" fontId="4" fillId="0" borderId="0" xfId="0" applyFont="1" applyAlignment="1"/>
    <xf numFmtId="177" fontId="0" fillId="0" borderId="0" xfId="1" applyNumberFormat="1" applyFont="1" applyAlignment="1"/>
    <xf numFmtId="0" fontId="5" fillId="0" borderId="0" xfId="0" applyFont="1" applyAlignment="1"/>
    <xf numFmtId="178" fontId="4" fillId="0" borderId="0" xfId="0" applyNumberFormat="1" applyFont="1" applyAlignment="1"/>
    <xf numFmtId="178" fontId="4" fillId="0" borderId="0" xfId="0" applyNumberFormat="1" applyFont="1" applyAlignment="1">
      <alignment horizontal="center"/>
    </xf>
    <xf numFmtId="178" fontId="0" fillId="0" borderId="0" xfId="0" applyNumberFormat="1" applyAlignment="1"/>
    <xf numFmtId="0" fontId="3" fillId="0" borderId="0" xfId="0" applyFont="1" applyAlignment="1"/>
    <xf numFmtId="9" fontId="5" fillId="0" borderId="0" xfId="0" applyNumberFormat="1" applyFont="1" applyAlignment="1"/>
    <xf numFmtId="3" fontId="0" fillId="0" borderId="0" xfId="0" applyNumberFormat="1" applyAlignment="1"/>
    <xf numFmtId="3" fontId="0" fillId="0" borderId="0" xfId="0" quotePrefix="1" applyNumberFormat="1" applyAlignment="1"/>
    <xf numFmtId="43" fontId="0" fillId="0" borderId="0" xfId="1" applyFont="1" applyAlignment="1"/>
    <xf numFmtId="9" fontId="4" fillId="0" borderId="0" xfId="0" applyNumberFormat="1" applyFont="1" applyAlignment="1"/>
    <xf numFmtId="0" fontId="4" fillId="0" borderId="0" xfId="0" applyFont="1" applyAlignment="1">
      <alignment horizontal="right"/>
    </xf>
    <xf numFmtId="0" fontId="0" fillId="2" borderId="0" xfId="0" applyFill="1" applyAlignment="1"/>
    <xf numFmtId="9" fontId="0" fillId="2" borderId="0" xfId="0" applyNumberFormat="1" applyFill="1" applyAlignment="1"/>
    <xf numFmtId="0" fontId="0" fillId="3" borderId="0" xfId="0" applyFill="1" applyAlignment="1"/>
    <xf numFmtId="9" fontId="0" fillId="3" borderId="0" xfId="0" applyNumberFormat="1" applyFill="1" applyAlignment="1"/>
    <xf numFmtId="10" fontId="0" fillId="3" borderId="0" xfId="0" applyNumberFormat="1" applyFill="1" applyAlignment="1"/>
    <xf numFmtId="0" fontId="4" fillId="4" borderId="0" xfId="0" applyFont="1" applyFill="1" applyAlignment="1"/>
    <xf numFmtId="0" fontId="4" fillId="4" borderId="0" xfId="0" applyFont="1" applyFill="1" applyAlignment="1">
      <alignment horizontal="center"/>
    </xf>
    <xf numFmtId="178" fontId="4" fillId="4" borderId="0" xfId="0" applyNumberFormat="1" applyFont="1" applyFill="1" applyAlignment="1"/>
    <xf numFmtId="178" fontId="4" fillId="4" borderId="0" xfId="0" applyNumberFormat="1" applyFont="1" applyFill="1" applyAlignment="1">
      <alignment horizontal="center"/>
    </xf>
    <xf numFmtId="0" fontId="0" fillId="0" borderId="0" xfId="0" applyAlignment="1">
      <alignment horizontal="center"/>
    </xf>
    <xf numFmtId="9" fontId="0" fillId="0" borderId="0" xfId="0" applyNumberFormat="1">
      <alignment vertical="center"/>
    </xf>
    <xf numFmtId="0" fontId="0" fillId="5" borderId="0" xfId="0" applyFill="1" applyAlignment="1"/>
    <xf numFmtId="177" fontId="0" fillId="5" borderId="0" xfId="1" applyNumberFormat="1" applyFont="1" applyFill="1" applyAlignment="1"/>
    <xf numFmtId="177" fontId="0" fillId="3" borderId="0" xfId="1" applyNumberFormat="1" applyFont="1" applyFill="1" applyAlignment="1"/>
    <xf numFmtId="178" fontId="4" fillId="3" borderId="0" xfId="0" applyNumberFormat="1" applyFont="1" applyFill="1" applyAlignment="1"/>
    <xf numFmtId="178" fontId="0" fillId="3" borderId="0" xfId="0" applyNumberFormat="1" applyFill="1" applyAlignment="1"/>
    <xf numFmtId="178" fontId="4" fillId="3" borderId="0" xfId="0" applyNumberFormat="1" applyFont="1" applyFill="1" applyAlignment="1">
      <alignment horizontal="center"/>
    </xf>
  </cellXfs>
  <cellStyles count="2">
    <cellStyle name="常规" xfId="0" builtinId="0"/>
    <cellStyle name="千位分隔" xfId="1" builtin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BB0C1-0DD8-4FB5-B5BC-87C496726FA1}">
  <dimension ref="A1:L114"/>
  <sheetViews>
    <sheetView tabSelected="1" zoomScale="175" zoomScaleNormal="175" workbookViewId="0">
      <selection activeCell="I71" sqref="I71"/>
    </sheetView>
  </sheetViews>
  <sheetFormatPr defaultRowHeight="13.8" x14ac:dyDescent="0.25"/>
  <cols>
    <col min="1" max="1" width="44.5546875" style="2" customWidth="1"/>
    <col min="2" max="2" width="9.6640625" style="2" bestFit="1" customWidth="1"/>
    <col min="3" max="7" width="9.33203125" style="2" bestFit="1" customWidth="1"/>
    <col min="8" max="8" width="16.21875" style="2" customWidth="1"/>
    <col min="9" max="9" width="11.77734375" bestFit="1" customWidth="1"/>
  </cols>
  <sheetData>
    <row r="1" spans="1:12" ht="17.399999999999999" x14ac:dyDescent="0.3">
      <c r="A1" s="1" t="s">
        <v>0</v>
      </c>
      <c r="B1" s="1"/>
      <c r="C1" s="1"/>
      <c r="D1" s="1"/>
      <c r="E1" s="1"/>
      <c r="F1" s="1"/>
      <c r="G1" s="1"/>
    </row>
    <row r="2" spans="1:12" x14ac:dyDescent="0.25">
      <c r="A2" s="2" t="s">
        <v>1</v>
      </c>
      <c r="B2" s="3">
        <v>0.1</v>
      </c>
    </row>
    <row r="3" spans="1:12" x14ac:dyDescent="0.25">
      <c r="A3" s="17" t="s">
        <v>2</v>
      </c>
      <c r="B3" s="18">
        <v>0.15</v>
      </c>
      <c r="C3" s="2" t="s">
        <v>63</v>
      </c>
    </row>
    <row r="4" spans="1:12" x14ac:dyDescent="0.25">
      <c r="A4" s="17" t="s">
        <v>3</v>
      </c>
      <c r="B4" s="18">
        <v>0.08</v>
      </c>
      <c r="C4" s="2" t="s">
        <v>63</v>
      </c>
      <c r="I4" s="2"/>
    </row>
    <row r="5" spans="1:12" x14ac:dyDescent="0.25">
      <c r="A5" s="17" t="s">
        <v>4</v>
      </c>
      <c r="B5" s="18">
        <v>0.5</v>
      </c>
      <c r="C5" s="2" t="s">
        <v>63</v>
      </c>
      <c r="J5" s="26"/>
    </row>
    <row r="6" spans="1:12" x14ac:dyDescent="0.25">
      <c r="A6" s="19" t="s">
        <v>5</v>
      </c>
      <c r="B6" s="20">
        <v>0.1</v>
      </c>
      <c r="C6" s="2" t="s">
        <v>64</v>
      </c>
    </row>
    <row r="7" spans="1:12" x14ac:dyDescent="0.25">
      <c r="A7" s="19" t="s">
        <v>6</v>
      </c>
      <c r="B7" s="21">
        <v>0.1</v>
      </c>
      <c r="C7" s="2" t="s">
        <v>64</v>
      </c>
    </row>
    <row r="8" spans="1:12" x14ac:dyDescent="0.25">
      <c r="A8" s="19" t="s">
        <v>7</v>
      </c>
      <c r="B8" s="21">
        <v>0.08</v>
      </c>
      <c r="C8" s="2" t="s">
        <v>64</v>
      </c>
    </row>
    <row r="9" spans="1:12" x14ac:dyDescent="0.25">
      <c r="A9" s="2" t="s">
        <v>8</v>
      </c>
      <c r="B9" s="3">
        <v>0.4</v>
      </c>
    </row>
    <row r="10" spans="1:12" x14ac:dyDescent="0.25">
      <c r="A10" s="2" t="s">
        <v>9</v>
      </c>
      <c r="B10" s="3">
        <v>0.4</v>
      </c>
      <c r="I10" s="2"/>
    </row>
    <row r="12" spans="1:12" x14ac:dyDescent="0.25">
      <c r="A12" s="22" t="s">
        <v>10</v>
      </c>
      <c r="B12" s="23">
        <v>0</v>
      </c>
      <c r="C12" s="23">
        <v>1</v>
      </c>
      <c r="D12" s="23">
        <v>2</v>
      </c>
      <c r="E12" s="23">
        <v>3</v>
      </c>
      <c r="F12" s="23">
        <v>4</v>
      </c>
      <c r="G12" s="23">
        <v>5</v>
      </c>
      <c r="H12" s="4"/>
      <c r="J12" s="27"/>
      <c r="K12" s="27"/>
      <c r="L12" s="27"/>
    </row>
    <row r="13" spans="1:12" x14ac:dyDescent="0.25">
      <c r="A13" s="4" t="s">
        <v>11</v>
      </c>
      <c r="J13" s="27"/>
    </row>
    <row r="14" spans="1:12" x14ac:dyDescent="0.25">
      <c r="A14" s="2" t="s">
        <v>12</v>
      </c>
      <c r="B14" s="5">
        <f>1000</f>
        <v>1000</v>
      </c>
      <c r="C14" s="5">
        <f>B14*(1+$B$2)</f>
        <v>1100</v>
      </c>
      <c r="D14" s="5">
        <f t="shared" ref="D14:G14" si="0">C14*(1+$B$2)</f>
        <v>1210</v>
      </c>
      <c r="E14" s="5">
        <f t="shared" si="0"/>
        <v>1331</v>
      </c>
      <c r="F14" s="5">
        <f t="shared" si="0"/>
        <v>1464.1000000000001</v>
      </c>
      <c r="G14" s="5">
        <f t="shared" si="0"/>
        <v>1610.5100000000002</v>
      </c>
      <c r="I14" t="str">
        <f ca="1">_xlfn.FORMULATEXT(G14)</f>
        <v>=F14*(1+$B$2)</v>
      </c>
      <c r="J14" s="27"/>
    </row>
    <row r="15" spans="1:12" x14ac:dyDescent="0.25">
      <c r="A15" s="17" t="s">
        <v>13</v>
      </c>
      <c r="B15" s="5">
        <f t="shared" ref="B15:G15" si="1">-B14*$B$5</f>
        <v>-500</v>
      </c>
      <c r="C15" s="5">
        <f t="shared" ref="C15:G15" si="2">-C14*$B$5</f>
        <v>-550</v>
      </c>
      <c r="D15" s="5">
        <f t="shared" si="2"/>
        <v>-605</v>
      </c>
      <c r="E15" s="5">
        <f t="shared" si="2"/>
        <v>-665.5</v>
      </c>
      <c r="F15" s="5">
        <f t="shared" si="2"/>
        <v>-732.05000000000007</v>
      </c>
      <c r="G15" s="5">
        <f t="shared" si="2"/>
        <v>-805.25500000000011</v>
      </c>
      <c r="I15" t="str">
        <f t="shared" ref="I15:I23" ca="1" si="3">_xlfn.FORMULATEXT(G15)</f>
        <v>=-G14*$B$5</v>
      </c>
    </row>
    <row r="16" spans="1:12" x14ac:dyDescent="0.25">
      <c r="A16" s="19" t="s">
        <v>14</v>
      </c>
      <c r="B16" s="5">
        <f>-$B$7*B35</f>
        <v>-32</v>
      </c>
      <c r="C16" s="5">
        <f>-$B$7*(B35+C35)/2</f>
        <v>-32</v>
      </c>
      <c r="D16" s="5">
        <f t="shared" ref="D16:G16" si="4">-$B$7*(C35+D35)/2</f>
        <v>-32</v>
      </c>
      <c r="E16" s="5">
        <f t="shared" si="4"/>
        <v>-32</v>
      </c>
      <c r="F16" s="5">
        <f t="shared" si="4"/>
        <v>-32</v>
      </c>
      <c r="G16" s="5">
        <f t="shared" si="4"/>
        <v>-32</v>
      </c>
      <c r="I16" t="str">
        <f t="shared" ca="1" si="3"/>
        <v>=-$B$7*(F35+G35)/2</v>
      </c>
    </row>
    <row r="17" spans="1:9" x14ac:dyDescent="0.25">
      <c r="A17" s="19" t="s">
        <v>15</v>
      </c>
      <c r="B17" s="5">
        <v>6</v>
      </c>
      <c r="C17" s="5">
        <f ca="1">$B$8*(B26+C26)/2</f>
        <v>15.378246753246749</v>
      </c>
      <c r="D17" s="5">
        <f t="shared" ref="D17:G17" ca="1" si="5">$B$8*(C26+D26)/2</f>
        <v>31.346604612919545</v>
      </c>
      <c r="E17" s="5">
        <f t="shared" ca="1" si="5"/>
        <v>46.670807345115243</v>
      </c>
      <c r="F17" s="5">
        <f t="shared" ca="1" si="5"/>
        <v>64.627322819485485</v>
      </c>
      <c r="G17" s="5">
        <f t="shared" ca="1" si="5"/>
        <v>85.332336960314606</v>
      </c>
      <c r="I17" t="str">
        <f t="shared" ca="1" si="3"/>
        <v>=$B$8*(F26+G26)/2</v>
      </c>
    </row>
    <row r="18" spans="1:9" x14ac:dyDescent="0.25">
      <c r="A18" s="19" t="s">
        <v>16</v>
      </c>
      <c r="B18" s="5">
        <v>-100</v>
      </c>
      <c r="C18" s="5">
        <f>-$B$6*(B29+C29)/2</f>
        <v>-108.5</v>
      </c>
      <c r="D18" s="5">
        <f t="shared" ref="D18:G18" si="6">-$B$6*(C29+D29)/2</f>
        <v>-115.45</v>
      </c>
      <c r="E18" s="5">
        <f t="shared" si="6"/>
        <v>-126.34500000000001</v>
      </c>
      <c r="F18" s="5">
        <f t="shared" si="6"/>
        <v>-137.45900000000003</v>
      </c>
      <c r="G18" s="5">
        <f t="shared" si="6"/>
        <v>-148.98440000000002</v>
      </c>
      <c r="I18" t="str">
        <f t="shared" ca="1" si="3"/>
        <v>=-$B$6*(F29+G29)/2</v>
      </c>
    </row>
    <row r="19" spans="1:9" x14ac:dyDescent="0.25">
      <c r="A19" s="2" t="s">
        <v>17</v>
      </c>
      <c r="B19" s="5">
        <f t="shared" ref="B19:G19" si="7">SUM(B14:B18)</f>
        <v>374</v>
      </c>
      <c r="C19" s="5">
        <f t="shared" ca="1" si="7"/>
        <v>424.8782467532468</v>
      </c>
      <c r="D19" s="5">
        <f t="shared" ref="D19:G19" ca="1" si="8">SUM(D14:D18)</f>
        <v>488.89660461291959</v>
      </c>
      <c r="E19" s="5">
        <f t="shared" ca="1" si="8"/>
        <v>553.82580734511521</v>
      </c>
      <c r="F19" s="5">
        <f t="shared" ca="1" si="8"/>
        <v>627.21832281948548</v>
      </c>
      <c r="G19" s="5">
        <f t="shared" ca="1" si="8"/>
        <v>709.60293696031465</v>
      </c>
      <c r="I19" t="str">
        <f t="shared" ca="1" si="3"/>
        <v>=SUM(G14:G18)</v>
      </c>
    </row>
    <row r="20" spans="1:9" x14ac:dyDescent="0.25">
      <c r="A20" s="2" t="s">
        <v>18</v>
      </c>
      <c r="B20" s="5">
        <f t="shared" ref="B20:G20" si="9">-B19*$B$9</f>
        <v>-149.6</v>
      </c>
      <c r="C20" s="5">
        <f t="shared" ca="1" si="9"/>
        <v>-169.95129870129873</v>
      </c>
      <c r="D20" s="5">
        <f t="shared" ref="D20:G20" ca="1" si="10">-D19*$B$9</f>
        <v>-195.55864184516784</v>
      </c>
      <c r="E20" s="5">
        <f t="shared" ca="1" si="10"/>
        <v>-221.53032293804608</v>
      </c>
      <c r="F20" s="5">
        <f t="shared" ca="1" si="10"/>
        <v>-250.8873291277942</v>
      </c>
      <c r="G20" s="5">
        <f t="shared" ca="1" si="10"/>
        <v>-283.84117478412588</v>
      </c>
      <c r="I20" t="str">
        <f t="shared" ca="1" si="3"/>
        <v>=-G19*$B$9</v>
      </c>
    </row>
    <row r="21" spans="1:9" x14ac:dyDescent="0.25">
      <c r="A21" s="19" t="s">
        <v>19</v>
      </c>
      <c r="B21" s="30">
        <f t="shared" ref="B21:G21" si="11">B20+B19</f>
        <v>224.4</v>
      </c>
      <c r="C21" s="30">
        <f t="shared" ca="1" si="11"/>
        <v>254.92694805194807</v>
      </c>
      <c r="D21" s="30">
        <f t="shared" ref="D21:G21" ca="1" si="12">D20+D19</f>
        <v>293.33796276775172</v>
      </c>
      <c r="E21" s="30">
        <f t="shared" ca="1" si="12"/>
        <v>332.29548440706913</v>
      </c>
      <c r="F21" s="30">
        <f t="shared" ca="1" si="12"/>
        <v>376.33099369169128</v>
      </c>
      <c r="G21" s="30">
        <f t="shared" ca="1" si="12"/>
        <v>425.76176217618877</v>
      </c>
      <c r="I21" t="str">
        <f t="shared" ca="1" si="3"/>
        <v>=G20+G19</v>
      </c>
    </row>
    <row r="22" spans="1:9" x14ac:dyDescent="0.25">
      <c r="A22" s="2" t="s">
        <v>20</v>
      </c>
      <c r="B22" s="5">
        <f>-B21*$B$10</f>
        <v>-89.76</v>
      </c>
      <c r="C22" s="5">
        <f ca="1">-C21*$B$10</f>
        <v>-101.97077922077924</v>
      </c>
      <c r="D22" s="5">
        <f t="shared" ref="D22:G22" ca="1" si="13">-D21*$B$10</f>
        <v>-117.3351851071007</v>
      </c>
      <c r="E22" s="5">
        <f t="shared" ca="1" si="13"/>
        <v>-132.91819376282766</v>
      </c>
      <c r="F22" s="5">
        <f t="shared" ca="1" si="13"/>
        <v>-150.53239747667652</v>
      </c>
      <c r="G22" s="5">
        <f t="shared" ca="1" si="13"/>
        <v>-170.30470487047552</v>
      </c>
      <c r="I22" t="str">
        <f t="shared" ca="1" si="3"/>
        <v>=-G21*$B$10</v>
      </c>
    </row>
    <row r="23" spans="1:9" x14ac:dyDescent="0.25">
      <c r="A23" s="2" t="s">
        <v>21</v>
      </c>
      <c r="B23" s="5">
        <f t="shared" ref="B23:G23" si="14">B22+B21</f>
        <v>134.63999999999999</v>
      </c>
      <c r="C23" s="5">
        <f t="shared" ca="1" si="14"/>
        <v>152.95616883116884</v>
      </c>
      <c r="D23" s="5">
        <f t="shared" ref="D23:G23" ca="1" si="15">D22+D21</f>
        <v>176.00277766065102</v>
      </c>
      <c r="E23" s="5">
        <f t="shared" ca="1" si="15"/>
        <v>199.37729064424147</v>
      </c>
      <c r="F23" s="5">
        <f t="shared" ca="1" si="15"/>
        <v>225.79859621501475</v>
      </c>
      <c r="G23" s="5">
        <f t="shared" ca="1" si="15"/>
        <v>255.45705730571325</v>
      </c>
      <c r="I23" t="str">
        <f t="shared" ca="1" si="3"/>
        <v>=G22+G21</v>
      </c>
    </row>
    <row r="24" spans="1:9" x14ac:dyDescent="0.25">
      <c r="B24" s="5"/>
      <c r="C24" s="5"/>
      <c r="D24" s="5"/>
      <c r="E24" s="5"/>
      <c r="F24" s="5"/>
      <c r="G24" s="5"/>
    </row>
    <row r="25" spans="1:9" x14ac:dyDescent="0.25">
      <c r="A25" s="4" t="s">
        <v>22</v>
      </c>
      <c r="B25" s="5"/>
      <c r="C25" s="5"/>
      <c r="D25" s="5"/>
      <c r="E25" s="5"/>
      <c r="F25" s="5"/>
      <c r="G25" s="5"/>
    </row>
    <row r="26" spans="1:9" x14ac:dyDescent="0.25">
      <c r="A26" s="6" t="s">
        <v>23</v>
      </c>
      <c r="B26" s="5">
        <v>80</v>
      </c>
      <c r="C26" s="5">
        <f ca="1">C38-C27-C31</f>
        <v>304.45616883116872</v>
      </c>
      <c r="D26" s="5">
        <f t="shared" ref="D26:G26" ca="1" si="16">D38-D27-D31</f>
        <v>479.20894649181992</v>
      </c>
      <c r="E26" s="5">
        <f t="shared" ca="1" si="16"/>
        <v>687.56123713606121</v>
      </c>
      <c r="F26" s="5">
        <f t="shared" ca="1" si="16"/>
        <v>928.12183335107602</v>
      </c>
      <c r="G26" s="5">
        <f t="shared" ca="1" si="16"/>
        <v>1205.1865906567893</v>
      </c>
      <c r="I26" t="str">
        <f t="shared" ref="I15:I38" ca="1" si="17">_xlfn.FORMULATEXT(G26)</f>
        <v>=G38-G27-G31</v>
      </c>
    </row>
    <row r="27" spans="1:9" x14ac:dyDescent="0.25">
      <c r="A27" s="17" t="s">
        <v>24</v>
      </c>
      <c r="B27" s="5">
        <f>$B$3*B14</f>
        <v>150</v>
      </c>
      <c r="C27" s="5">
        <f t="shared" ref="C27:G27" si="18">C14*$B$3</f>
        <v>165</v>
      </c>
      <c r="D27" s="5">
        <f t="shared" si="18"/>
        <v>181.5</v>
      </c>
      <c r="E27" s="5">
        <f t="shared" si="18"/>
        <v>199.65</v>
      </c>
      <c r="F27" s="5">
        <f t="shared" si="18"/>
        <v>219.61500000000001</v>
      </c>
      <c r="G27" s="5">
        <f t="shared" si="18"/>
        <v>241.57650000000001</v>
      </c>
      <c r="I27" t="str">
        <f t="shared" ca="1" si="17"/>
        <v>=G14*$B$3</v>
      </c>
    </row>
    <row r="28" spans="1:9" x14ac:dyDescent="0.25">
      <c r="A28" s="2" t="s">
        <v>25</v>
      </c>
      <c r="B28" s="5"/>
      <c r="C28" s="5"/>
      <c r="D28" s="5"/>
      <c r="E28" s="5"/>
      <c r="F28" s="5"/>
      <c r="G28" s="5"/>
    </row>
    <row r="29" spans="1:9" x14ac:dyDescent="0.25">
      <c r="A29" s="28" t="s">
        <v>26</v>
      </c>
      <c r="B29" s="29">
        <v>1070</v>
      </c>
      <c r="C29" s="29">
        <f>IF(C14&lt;=1200,C14,IF(C14&lt;=1400,90%*(C14-1200)+1200,80%*(C14-1400)+1380))</f>
        <v>1100</v>
      </c>
      <c r="D29" s="29">
        <f>IF(D14&lt;=1200,D14,IF(D14&lt;=1400,90%*(D14-1200)+1200,80%*(D14-1400)+1380))</f>
        <v>1209</v>
      </c>
      <c r="E29" s="29">
        <f t="shared" ref="E29:G29" si="19">IF(E14&lt;=1200,E14,IF(E14&lt;=1400,90%*(E14-1200)+1200,80%*(E14-1400)+1380))</f>
        <v>1317.9</v>
      </c>
      <c r="F29" s="29">
        <f t="shared" si="19"/>
        <v>1431.2800000000002</v>
      </c>
      <c r="G29" s="29">
        <f t="shared" si="19"/>
        <v>1548.4080000000001</v>
      </c>
      <c r="I29" t="str">
        <f t="shared" ca="1" si="17"/>
        <v>=IF(G14&lt;=1200,G14,IF(G14&lt;=1400,90%*(G14-1200)+1200,80%*(G14-1400)+1380))</v>
      </c>
    </row>
    <row r="30" spans="1:9" x14ac:dyDescent="0.25">
      <c r="A30" s="2" t="s">
        <v>27</v>
      </c>
      <c r="B30" s="5">
        <v>-300</v>
      </c>
      <c r="C30" s="5">
        <f>B30+C18</f>
        <v>-408.5</v>
      </c>
      <c r="D30" s="5">
        <f t="shared" ref="D30:G30" si="20">C30+D18</f>
        <v>-523.95000000000005</v>
      </c>
      <c r="E30" s="5">
        <f t="shared" si="20"/>
        <v>-650.29500000000007</v>
      </c>
      <c r="F30" s="5">
        <f t="shared" si="20"/>
        <v>-787.75400000000013</v>
      </c>
      <c r="G30" s="5">
        <f t="shared" si="20"/>
        <v>-936.73840000000018</v>
      </c>
      <c r="I30" t="str">
        <f t="shared" ca="1" si="17"/>
        <v>=F30+G18</v>
      </c>
    </row>
    <row r="31" spans="1:9" x14ac:dyDescent="0.25">
      <c r="A31" s="2" t="s">
        <v>28</v>
      </c>
      <c r="B31" s="5">
        <f t="shared" ref="B31:G31" si="21">B29+B30</f>
        <v>770</v>
      </c>
      <c r="C31" s="5">
        <f>SUM(C29:C30)</f>
        <v>691.5</v>
      </c>
      <c r="D31" s="5">
        <f t="shared" ref="D31:G31" si="22">SUM(D29:D30)</f>
        <v>685.05</v>
      </c>
      <c r="E31" s="5">
        <f t="shared" si="22"/>
        <v>667.60500000000002</v>
      </c>
      <c r="F31" s="5">
        <f t="shared" si="22"/>
        <v>643.52600000000007</v>
      </c>
      <c r="G31" s="5">
        <f t="shared" si="22"/>
        <v>611.66959999999995</v>
      </c>
      <c r="I31" t="str">
        <f t="shared" ca="1" si="17"/>
        <v>=SUM(G29:G30)</v>
      </c>
    </row>
    <row r="32" spans="1:9" x14ac:dyDescent="0.25">
      <c r="A32" s="4" t="s">
        <v>29</v>
      </c>
      <c r="B32" s="5">
        <f t="shared" ref="B32:G32" si="23">B26+B27+B31</f>
        <v>1000</v>
      </c>
      <c r="C32" s="5">
        <f t="shared" ca="1" si="23"/>
        <v>1160.9561688311687</v>
      </c>
      <c r="D32" s="5">
        <f t="shared" ref="D32:G32" ca="1" si="24">D26+D27+D31</f>
        <v>1345.7589464918199</v>
      </c>
      <c r="E32" s="5">
        <f t="shared" ca="1" si="24"/>
        <v>1554.8162371360613</v>
      </c>
      <c r="F32" s="5">
        <f t="shared" ca="1" si="24"/>
        <v>1791.2628333510761</v>
      </c>
      <c r="G32" s="5">
        <f t="shared" ca="1" si="24"/>
        <v>2058.4326906567894</v>
      </c>
      <c r="I32" t="str">
        <f t="shared" ca="1" si="17"/>
        <v>=G26+G27+G31</v>
      </c>
    </row>
    <row r="33" spans="1:9" x14ac:dyDescent="0.25">
      <c r="B33" s="5"/>
      <c r="C33" s="5"/>
      <c r="D33" s="5"/>
      <c r="E33" s="5"/>
      <c r="F33" s="5"/>
      <c r="G33" s="5"/>
    </row>
    <row r="34" spans="1:9" x14ac:dyDescent="0.25">
      <c r="A34" s="17" t="s">
        <v>30</v>
      </c>
      <c r="B34" s="5">
        <f t="shared" ref="B34:G34" si="25">B14*$B$4</f>
        <v>80</v>
      </c>
      <c r="C34" s="5">
        <f t="shared" ref="C34:G34" si="26">C14*$B$4</f>
        <v>88</v>
      </c>
      <c r="D34" s="5">
        <f t="shared" si="26"/>
        <v>96.8</v>
      </c>
      <c r="E34" s="5">
        <f t="shared" si="26"/>
        <v>106.48</v>
      </c>
      <c r="F34" s="5">
        <f t="shared" si="26"/>
        <v>117.12800000000001</v>
      </c>
      <c r="G34" s="5">
        <f t="shared" si="26"/>
        <v>128.84080000000003</v>
      </c>
      <c r="I34" t="str">
        <f t="shared" ca="1" si="17"/>
        <v>=G14*$B$4</v>
      </c>
    </row>
    <row r="35" spans="1:9" x14ac:dyDescent="0.25">
      <c r="A35" s="2" t="s">
        <v>31</v>
      </c>
      <c r="B35" s="5">
        <f>B32-B34-B36-B37</f>
        <v>320</v>
      </c>
      <c r="C35" s="5">
        <f t="shared" ref="C35:G36" si="27">B35</f>
        <v>320</v>
      </c>
      <c r="D35" s="5">
        <f t="shared" si="27"/>
        <v>320</v>
      </c>
      <c r="E35" s="5">
        <f t="shared" si="27"/>
        <v>320</v>
      </c>
      <c r="F35" s="5">
        <f t="shared" si="27"/>
        <v>320</v>
      </c>
      <c r="G35" s="5">
        <f t="shared" si="27"/>
        <v>320</v>
      </c>
      <c r="I35" t="str">
        <f t="shared" ca="1" si="17"/>
        <v>=F35</v>
      </c>
    </row>
    <row r="36" spans="1:9" x14ac:dyDescent="0.25">
      <c r="A36" s="2" t="s">
        <v>32</v>
      </c>
      <c r="B36" s="5">
        <v>450</v>
      </c>
      <c r="C36" s="5">
        <f t="shared" si="27"/>
        <v>450</v>
      </c>
      <c r="D36" s="5">
        <f t="shared" si="27"/>
        <v>450</v>
      </c>
      <c r="E36" s="5">
        <f t="shared" si="27"/>
        <v>450</v>
      </c>
      <c r="F36" s="5">
        <f t="shared" si="27"/>
        <v>450</v>
      </c>
      <c r="G36" s="5">
        <f t="shared" si="27"/>
        <v>450</v>
      </c>
      <c r="I36" t="str">
        <f t="shared" ca="1" si="17"/>
        <v>=F36</v>
      </c>
    </row>
    <row r="37" spans="1:9" x14ac:dyDescent="0.25">
      <c r="A37" s="2" t="s">
        <v>33</v>
      </c>
      <c r="B37" s="5">
        <v>150</v>
      </c>
      <c r="C37" s="5">
        <f ca="1">B37+C23</f>
        <v>302.95616883116884</v>
      </c>
      <c r="D37" s="5">
        <f t="shared" ref="D37:G37" ca="1" si="28">C37+D23</f>
        <v>478.95894649181986</v>
      </c>
      <c r="E37" s="5">
        <f t="shared" ca="1" si="28"/>
        <v>678.3362371360613</v>
      </c>
      <c r="F37" s="5">
        <f t="shared" ca="1" si="28"/>
        <v>904.13483335107605</v>
      </c>
      <c r="G37" s="5">
        <f t="shared" ca="1" si="28"/>
        <v>1159.5918906567892</v>
      </c>
      <c r="I37" t="str">
        <f t="shared" ca="1" si="17"/>
        <v>=F37+G23</v>
      </c>
    </row>
    <row r="38" spans="1:9" x14ac:dyDescent="0.25">
      <c r="A38" s="4" t="s">
        <v>34</v>
      </c>
      <c r="B38" s="5">
        <f t="shared" ref="B38:G38" si="29">SUM(B34:B37)</f>
        <v>1000</v>
      </c>
      <c r="C38" s="5">
        <f t="shared" ca="1" si="29"/>
        <v>1160.9561688311687</v>
      </c>
      <c r="D38" s="5">
        <f t="shared" ref="D38:G38" ca="1" si="30">SUM(D34:D37)</f>
        <v>1345.7589464918199</v>
      </c>
      <c r="E38" s="5">
        <f t="shared" ca="1" si="30"/>
        <v>1554.8162371360613</v>
      </c>
      <c r="F38" s="5">
        <f t="shared" ca="1" si="30"/>
        <v>1791.2628333510761</v>
      </c>
      <c r="G38" s="5">
        <f t="shared" ca="1" si="30"/>
        <v>2058.4326906567894</v>
      </c>
      <c r="I38" t="str">
        <f t="shared" ca="1" si="17"/>
        <v>=SUM(G34:G37)</v>
      </c>
    </row>
    <row r="41" spans="1:9" x14ac:dyDescent="0.25">
      <c r="A41" s="24" t="s">
        <v>10</v>
      </c>
      <c r="B41" s="25">
        <v>0</v>
      </c>
      <c r="C41" s="25">
        <v>1</v>
      </c>
      <c r="D41" s="25">
        <v>2</v>
      </c>
      <c r="E41" s="25">
        <v>3</v>
      </c>
      <c r="F41" s="25">
        <v>4</v>
      </c>
      <c r="G41" s="25">
        <v>5</v>
      </c>
      <c r="H41" s="4"/>
    </row>
    <row r="42" spans="1:9" x14ac:dyDescent="0.25">
      <c r="A42" s="7" t="s">
        <v>35</v>
      </c>
      <c r="B42" s="9"/>
      <c r="C42" s="9"/>
      <c r="D42" s="9"/>
      <c r="E42" s="9"/>
      <c r="F42" s="9"/>
      <c r="G42" s="9"/>
    </row>
    <row r="43" spans="1:9" x14ac:dyDescent="0.25">
      <c r="A43" s="9" t="s">
        <v>19</v>
      </c>
      <c r="B43" s="9"/>
      <c r="C43" s="9">
        <f t="shared" ref="C43:G43" ca="1" si="31">C21</f>
        <v>254.92694805194807</v>
      </c>
      <c r="D43" s="9">
        <f t="shared" ca="1" si="31"/>
        <v>293.33796276775172</v>
      </c>
      <c r="E43" s="9">
        <f t="shared" ca="1" si="31"/>
        <v>332.29548440706913</v>
      </c>
      <c r="F43" s="9">
        <f t="shared" ca="1" si="31"/>
        <v>376.33099369169128</v>
      </c>
      <c r="G43" s="9">
        <f t="shared" ca="1" si="31"/>
        <v>425.76176217618877</v>
      </c>
      <c r="I43" t="str">
        <f t="shared" ref="I43:I50" ca="1" si="32">_xlfn.FORMULATEXT(G43)</f>
        <v>=G21</v>
      </c>
    </row>
    <row r="44" spans="1:9" x14ac:dyDescent="0.25">
      <c r="A44" s="9" t="s">
        <v>36</v>
      </c>
      <c r="B44" s="9"/>
      <c r="C44" s="9">
        <f t="shared" ref="C44:G44" si="33">-C18</f>
        <v>108.5</v>
      </c>
      <c r="D44" s="9">
        <f t="shared" si="33"/>
        <v>115.45</v>
      </c>
      <c r="E44" s="9">
        <f t="shared" si="33"/>
        <v>126.34500000000001</v>
      </c>
      <c r="F44" s="9">
        <f t="shared" si="33"/>
        <v>137.45900000000003</v>
      </c>
      <c r="G44" s="9">
        <f t="shared" si="33"/>
        <v>148.98440000000002</v>
      </c>
      <c r="I44" t="str">
        <f t="shared" ca="1" si="32"/>
        <v>=-G18</v>
      </c>
    </row>
    <row r="45" spans="1:9" x14ac:dyDescent="0.25">
      <c r="A45" s="9" t="s">
        <v>37</v>
      </c>
      <c r="B45" s="9"/>
      <c r="C45" s="9">
        <f t="shared" ref="C45:G45" si="34">-(C27-B27)</f>
        <v>-15</v>
      </c>
      <c r="D45" s="9">
        <f t="shared" si="34"/>
        <v>-16.5</v>
      </c>
      <c r="E45" s="9">
        <f t="shared" si="34"/>
        <v>-18.150000000000006</v>
      </c>
      <c r="F45" s="9">
        <f t="shared" si="34"/>
        <v>-19.965000000000003</v>
      </c>
      <c r="G45" s="9">
        <f t="shared" si="34"/>
        <v>-21.961500000000001</v>
      </c>
      <c r="I45" t="str">
        <f t="shared" ca="1" si="32"/>
        <v>=-(G27-F27)</v>
      </c>
    </row>
    <row r="46" spans="1:9" x14ac:dyDescent="0.25">
      <c r="A46" s="9" t="s">
        <v>38</v>
      </c>
      <c r="B46" s="9"/>
      <c r="C46" s="9">
        <f t="shared" ref="C46:G46" si="35">C34-B34</f>
        <v>8</v>
      </c>
      <c r="D46" s="9">
        <f t="shared" si="35"/>
        <v>8.7999999999999972</v>
      </c>
      <c r="E46" s="9">
        <f t="shared" si="35"/>
        <v>9.6800000000000068</v>
      </c>
      <c r="F46" s="9">
        <f t="shared" si="35"/>
        <v>10.64800000000001</v>
      </c>
      <c r="G46" s="9">
        <f t="shared" si="35"/>
        <v>11.712800000000016</v>
      </c>
      <c r="I46" t="str">
        <f t="shared" ca="1" si="32"/>
        <v>=G34-F34</v>
      </c>
    </row>
    <row r="47" spans="1:9" x14ac:dyDescent="0.25">
      <c r="A47" s="9" t="s">
        <v>39</v>
      </c>
      <c r="B47" s="9"/>
      <c r="C47" s="9">
        <f t="shared" ref="C47:G47" si="36">-(C29-B29)</f>
        <v>-30</v>
      </c>
      <c r="D47" s="9">
        <f t="shared" si="36"/>
        <v>-109</v>
      </c>
      <c r="E47" s="9">
        <f t="shared" si="36"/>
        <v>-108.90000000000009</v>
      </c>
      <c r="F47" s="9">
        <f t="shared" si="36"/>
        <v>-113.38000000000011</v>
      </c>
      <c r="G47" s="9">
        <f t="shared" si="36"/>
        <v>-117.12799999999993</v>
      </c>
      <c r="I47" t="str">
        <f t="shared" ca="1" si="32"/>
        <v>=-(G29-F29)</v>
      </c>
    </row>
    <row r="48" spans="1:9" x14ac:dyDescent="0.25">
      <c r="A48" s="9" t="s">
        <v>40</v>
      </c>
      <c r="B48" s="9"/>
      <c r="C48" s="9">
        <f t="shared" ref="C48:G48" si="37">-C16*(1-$B$9)</f>
        <v>19.2</v>
      </c>
      <c r="D48" s="9">
        <f t="shared" si="37"/>
        <v>19.2</v>
      </c>
      <c r="E48" s="9">
        <f t="shared" si="37"/>
        <v>19.2</v>
      </c>
      <c r="F48" s="9">
        <f t="shared" si="37"/>
        <v>19.2</v>
      </c>
      <c r="G48" s="9">
        <f t="shared" si="37"/>
        <v>19.2</v>
      </c>
      <c r="I48" t="str">
        <f t="shared" ca="1" si="32"/>
        <v>=-G16*(1-$B$9)</v>
      </c>
    </row>
    <row r="49" spans="1:9" x14ac:dyDescent="0.25">
      <c r="A49" s="9" t="s">
        <v>41</v>
      </c>
      <c r="B49" s="9"/>
      <c r="C49" s="9">
        <f t="shared" ref="C49:G49" ca="1" si="38">-C17*(1-$B$9)</f>
        <v>-9.2269480519480496</v>
      </c>
      <c r="D49" s="9">
        <f t="shared" ca="1" si="38"/>
        <v>-18.807962767751725</v>
      </c>
      <c r="E49" s="9">
        <f t="shared" ca="1" si="38"/>
        <v>-28.002484407069144</v>
      </c>
      <c r="F49" s="9">
        <f t="shared" ca="1" si="38"/>
        <v>-38.77639369169129</v>
      </c>
      <c r="G49" s="9">
        <f t="shared" ca="1" si="38"/>
        <v>-51.199402176188762</v>
      </c>
      <c r="I49" t="str">
        <f t="shared" ca="1" si="32"/>
        <v>=-G17*(1-$B$9)</v>
      </c>
    </row>
    <row r="50" spans="1:9" x14ac:dyDescent="0.25">
      <c r="A50" s="31" t="s">
        <v>42</v>
      </c>
      <c r="B50" s="32"/>
      <c r="C50" s="32">
        <f t="shared" ref="C50:G50" ca="1" si="39">SUM(C43:C49)</f>
        <v>336.40000000000003</v>
      </c>
      <c r="D50" s="32">
        <f t="shared" ca="1" si="39"/>
        <v>292.47999999999996</v>
      </c>
      <c r="E50" s="32">
        <f t="shared" ca="1" si="39"/>
        <v>332.46799999999996</v>
      </c>
      <c r="F50" s="32">
        <f t="shared" ca="1" si="39"/>
        <v>371.51659999999987</v>
      </c>
      <c r="G50" s="32">
        <f t="shared" ca="1" si="39"/>
        <v>415.37006000000014</v>
      </c>
      <c r="I50" t="str">
        <f t="shared" ca="1" si="32"/>
        <v>=SUM(G43:G49)</v>
      </c>
    </row>
    <row r="53" spans="1:9" ht="17.399999999999999" x14ac:dyDescent="0.3">
      <c r="A53" s="10" t="s">
        <v>43</v>
      </c>
    </row>
    <row r="54" spans="1:9" x14ac:dyDescent="0.25">
      <c r="A54" s="6" t="s">
        <v>44</v>
      </c>
      <c r="B54" s="11">
        <v>0.2</v>
      </c>
      <c r="C54" s="6"/>
      <c r="D54" s="6"/>
      <c r="E54" s="6"/>
      <c r="F54" s="6"/>
      <c r="G54" s="6"/>
      <c r="H54" s="6"/>
    </row>
    <row r="55" spans="1:9" x14ac:dyDescent="0.25">
      <c r="A55" s="6"/>
    </row>
    <row r="56" spans="1:9" x14ac:dyDescent="0.25">
      <c r="A56" s="7" t="s">
        <v>10</v>
      </c>
      <c r="B56" s="8">
        <v>0</v>
      </c>
      <c r="C56" s="8">
        <v>1</v>
      </c>
      <c r="D56" s="8">
        <v>2</v>
      </c>
      <c r="E56" s="8">
        <v>3</v>
      </c>
      <c r="F56" s="8">
        <v>4</v>
      </c>
      <c r="G56" s="8">
        <v>5</v>
      </c>
      <c r="H56" s="4"/>
    </row>
    <row r="57" spans="1:9" x14ac:dyDescent="0.25">
      <c r="A57" s="2" t="s">
        <v>45</v>
      </c>
      <c r="C57" s="9">
        <f ca="1">C50</f>
        <v>336.40000000000003</v>
      </c>
      <c r="D57" s="9">
        <f ca="1">D50</f>
        <v>292.47999999999996</v>
      </c>
      <c r="E57" s="9">
        <f ca="1">E50</f>
        <v>332.46799999999996</v>
      </c>
      <c r="F57" s="9">
        <f ca="1">F50</f>
        <v>371.51659999999987</v>
      </c>
      <c r="G57" s="12">
        <f ca="1">G50</f>
        <v>415.37006000000014</v>
      </c>
    </row>
    <row r="58" spans="1:9" x14ac:dyDescent="0.25">
      <c r="A58" s="2" t="s">
        <v>46</v>
      </c>
      <c r="G58" s="13">
        <f ca="1">G57*(1+B2)/(B54-B2)</f>
        <v>4569.0706600000021</v>
      </c>
      <c r="H58" s="2" t="s">
        <v>47</v>
      </c>
    </row>
    <row r="59" spans="1:9" x14ac:dyDescent="0.25">
      <c r="A59" s="2" t="s">
        <v>48</v>
      </c>
      <c r="C59" s="9">
        <f ca="1">C58+C57</f>
        <v>336.40000000000003</v>
      </c>
      <c r="D59" s="9">
        <f ca="1">D58+D57</f>
        <v>292.47999999999996</v>
      </c>
      <c r="E59" s="9">
        <f ca="1">E58+E57</f>
        <v>332.46799999999996</v>
      </c>
      <c r="F59" s="9">
        <f ca="1">F58+F57</f>
        <v>371.51659999999987</v>
      </c>
      <c r="G59" s="12">
        <f ca="1">G58+G57</f>
        <v>4984.4407200000023</v>
      </c>
    </row>
    <row r="61" spans="1:9" x14ac:dyDescent="0.25">
      <c r="A61" s="2" t="s">
        <v>49</v>
      </c>
      <c r="B61" s="12">
        <f ca="1">NPV(B54,C59:G59)</f>
        <v>2858.1448688271616</v>
      </c>
      <c r="C61" s="2" t="s">
        <v>50</v>
      </c>
    </row>
    <row r="62" spans="1:9" x14ac:dyDescent="0.25">
      <c r="A62" s="2" t="s">
        <v>51</v>
      </c>
      <c r="B62" s="12">
        <f>B26</f>
        <v>80</v>
      </c>
    </row>
    <row r="63" spans="1:9" x14ac:dyDescent="0.25">
      <c r="A63" s="2" t="s">
        <v>52</v>
      </c>
      <c r="B63" s="12">
        <f ca="1">B62+B61</f>
        <v>2938.1448688271616</v>
      </c>
    </row>
    <row r="64" spans="1:9" x14ac:dyDescent="0.25">
      <c r="A64" s="2" t="s">
        <v>53</v>
      </c>
      <c r="B64" s="12">
        <f>-B35</f>
        <v>-320</v>
      </c>
    </row>
    <row r="65" spans="1:8" x14ac:dyDescent="0.25">
      <c r="A65" s="2" t="s">
        <v>54</v>
      </c>
      <c r="B65" s="12">
        <f ca="1">B63+B64</f>
        <v>2618.1448688271616</v>
      </c>
    </row>
    <row r="66" spans="1:8" x14ac:dyDescent="0.25">
      <c r="B66" s="12"/>
    </row>
    <row r="67" spans="1:8" ht="17.399999999999999" x14ac:dyDescent="0.3">
      <c r="A67" s="10" t="s">
        <v>55</v>
      </c>
      <c r="B67" s="12"/>
    </row>
    <row r="68" spans="1:8" x14ac:dyDescent="0.25">
      <c r="A68" s="2" t="s">
        <v>56</v>
      </c>
      <c r="B68" s="12">
        <f ca="1">B61</f>
        <v>2858.1448688271616</v>
      </c>
    </row>
    <row r="69" spans="1:8" x14ac:dyDescent="0.25">
      <c r="A69" s="2" t="s">
        <v>57</v>
      </c>
      <c r="B69" s="12">
        <f>-B35+B26</f>
        <v>-240</v>
      </c>
      <c r="C69" s="2" t="s">
        <v>58</v>
      </c>
    </row>
    <row r="70" spans="1:8" x14ac:dyDescent="0.25">
      <c r="A70" s="2" t="s">
        <v>54</v>
      </c>
      <c r="B70" s="12">
        <f ca="1">B68+B69</f>
        <v>2618.1448688271616</v>
      </c>
    </row>
    <row r="71" spans="1:8" x14ac:dyDescent="0.25">
      <c r="B71" s="12"/>
    </row>
    <row r="73" spans="1:8" ht="17.399999999999999" x14ac:dyDescent="0.3">
      <c r="A73" s="10" t="s">
        <v>59</v>
      </c>
    </row>
    <row r="74" spans="1:8" x14ac:dyDescent="0.25">
      <c r="A74" s="6" t="s">
        <v>44</v>
      </c>
      <c r="B74" s="11">
        <f>B54</f>
        <v>0.2</v>
      </c>
      <c r="C74" s="6"/>
      <c r="D74" s="6"/>
      <c r="E74" s="6"/>
      <c r="F74" s="6"/>
      <c r="G74" s="6"/>
      <c r="H74" s="6"/>
    </row>
    <row r="75" spans="1:8" x14ac:dyDescent="0.25">
      <c r="A75" s="6"/>
    </row>
    <row r="76" spans="1:8" x14ac:dyDescent="0.25">
      <c r="A76" s="31" t="s">
        <v>10</v>
      </c>
      <c r="B76" s="33">
        <v>0</v>
      </c>
      <c r="C76" s="33">
        <v>1</v>
      </c>
      <c r="D76" s="33">
        <v>2</v>
      </c>
      <c r="E76" s="33">
        <v>3</v>
      </c>
      <c r="F76" s="33">
        <v>4</v>
      </c>
      <c r="G76" s="33">
        <v>5</v>
      </c>
      <c r="H76" s="4"/>
    </row>
    <row r="77" spans="1:8" x14ac:dyDescent="0.25">
      <c r="A77" s="2" t="s">
        <v>45</v>
      </c>
      <c r="C77" s="9">
        <f ca="1">C57</f>
        <v>336.40000000000003</v>
      </c>
      <c r="D77" s="9">
        <f ca="1">D57</f>
        <v>292.47999999999996</v>
      </c>
      <c r="E77" s="9">
        <f ca="1">E57</f>
        <v>332.46799999999996</v>
      </c>
      <c r="F77" s="9">
        <f ca="1">F57</f>
        <v>371.51659999999987</v>
      </c>
      <c r="G77" s="9">
        <f ca="1">G57</f>
        <v>415.37006000000014</v>
      </c>
    </row>
    <row r="78" spans="1:8" x14ac:dyDescent="0.25">
      <c r="A78" s="2" t="s">
        <v>46</v>
      </c>
      <c r="G78" s="13">
        <f ca="1">G77*(1+B2)/(B74-B2)</f>
        <v>4569.0706600000021</v>
      </c>
      <c r="H78" s="2" t="s">
        <v>60</v>
      </c>
    </row>
    <row r="79" spans="1:8" x14ac:dyDescent="0.25">
      <c r="A79" s="2" t="s">
        <v>48</v>
      </c>
      <c r="C79" s="9">
        <f ca="1">C78+C77</f>
        <v>336.40000000000003</v>
      </c>
      <c r="D79" s="9">
        <f ca="1">D78+D77</f>
        <v>292.47999999999996</v>
      </c>
      <c r="E79" s="9">
        <f ca="1">E78+E77</f>
        <v>332.46799999999996</v>
      </c>
      <c r="F79" s="9">
        <f ca="1">F78+F77</f>
        <v>371.51659999999987</v>
      </c>
      <c r="G79" s="12">
        <f ca="1">G78+G77</f>
        <v>4984.4407200000023</v>
      </c>
    </row>
    <row r="81" spans="1:3" x14ac:dyDescent="0.25">
      <c r="A81" s="2" t="s">
        <v>61</v>
      </c>
      <c r="B81" s="12">
        <f ca="1">NPV(B74,C79:G79)*(1+B74)</f>
        <v>3429.7738425925941</v>
      </c>
      <c r="C81" s="2" t="s">
        <v>62</v>
      </c>
    </row>
    <row r="82" spans="1:3" x14ac:dyDescent="0.25">
      <c r="A82" s="2" t="s">
        <v>51</v>
      </c>
      <c r="B82" s="12">
        <f>B26</f>
        <v>80</v>
      </c>
    </row>
    <row r="83" spans="1:3" x14ac:dyDescent="0.25">
      <c r="A83" s="2" t="s">
        <v>52</v>
      </c>
      <c r="B83" s="12">
        <f ca="1">B82+B81</f>
        <v>3509.7738425925941</v>
      </c>
    </row>
    <row r="84" spans="1:3" x14ac:dyDescent="0.25">
      <c r="A84" s="2" t="s">
        <v>53</v>
      </c>
      <c r="B84" s="12">
        <f>B64</f>
        <v>-320</v>
      </c>
    </row>
    <row r="85" spans="1:3" x14ac:dyDescent="0.25">
      <c r="A85" s="2" t="s">
        <v>54</v>
      </c>
      <c r="B85" s="12">
        <f ca="1">B83+B84</f>
        <v>3189.7738425925941</v>
      </c>
    </row>
    <row r="89" spans="1:3" x14ac:dyDescent="0.25">
      <c r="C89" s="12"/>
    </row>
    <row r="90" spans="1:3" x14ac:dyDescent="0.25">
      <c r="B90" s="3"/>
      <c r="C90" s="12"/>
    </row>
    <row r="91" spans="1:3" x14ac:dyDescent="0.25">
      <c r="B91" s="3"/>
      <c r="C91" s="12"/>
    </row>
    <row r="92" spans="1:3" x14ac:dyDescent="0.25">
      <c r="B92" s="3"/>
      <c r="C92" s="12"/>
    </row>
    <row r="93" spans="1:3" x14ac:dyDescent="0.25">
      <c r="B93" s="3"/>
      <c r="C93" s="12"/>
    </row>
    <row r="94" spans="1:3" x14ac:dyDescent="0.25">
      <c r="B94" s="3"/>
      <c r="C94" s="12"/>
    </row>
    <row r="95" spans="1:3" x14ac:dyDescent="0.25">
      <c r="B95" s="3"/>
      <c r="C95" s="12"/>
    </row>
    <row r="96" spans="1:3" x14ac:dyDescent="0.25">
      <c r="B96" s="3"/>
      <c r="C96" s="12"/>
    </row>
    <row r="97" spans="1:8" x14ac:dyDescent="0.25">
      <c r="B97" s="3"/>
      <c r="C97" s="12"/>
    </row>
    <row r="98" spans="1:8" x14ac:dyDescent="0.25">
      <c r="B98" s="3"/>
      <c r="C98" s="12"/>
    </row>
    <row r="104" spans="1:8" x14ac:dyDescent="0.25">
      <c r="C104" s="4"/>
    </row>
    <row r="105" spans="1:8" x14ac:dyDescent="0.25">
      <c r="B105" s="14"/>
      <c r="C105" s="15"/>
      <c r="D105" s="15"/>
      <c r="E105" s="15"/>
      <c r="F105" s="15"/>
      <c r="G105" s="15"/>
      <c r="H105" s="15"/>
    </row>
    <row r="106" spans="1:8" x14ac:dyDescent="0.25">
      <c r="B106" s="15"/>
      <c r="C106" s="14"/>
      <c r="D106" s="14"/>
      <c r="E106" s="14"/>
      <c r="F106" s="14"/>
      <c r="G106" s="14"/>
      <c r="H106" s="14"/>
    </row>
    <row r="107" spans="1:8" x14ac:dyDescent="0.25">
      <c r="A107" s="16"/>
      <c r="B107" s="15"/>
      <c r="C107" s="14"/>
      <c r="D107" s="14"/>
      <c r="E107" s="14"/>
      <c r="F107" s="14"/>
      <c r="G107" s="14"/>
      <c r="H107" s="14"/>
    </row>
    <row r="108" spans="1:8" x14ac:dyDescent="0.25">
      <c r="B108" s="15"/>
      <c r="C108" s="14"/>
      <c r="D108" s="14"/>
      <c r="E108" s="14"/>
      <c r="F108" s="14"/>
      <c r="G108" s="14"/>
      <c r="H108" s="14"/>
    </row>
    <row r="109" spans="1:8" x14ac:dyDescent="0.25">
      <c r="B109" s="15"/>
      <c r="C109" s="14"/>
      <c r="D109" s="14"/>
      <c r="E109" s="14"/>
      <c r="F109" s="14"/>
      <c r="G109" s="14"/>
      <c r="H109" s="14"/>
    </row>
    <row r="110" spans="1:8" x14ac:dyDescent="0.25">
      <c r="B110" s="15"/>
      <c r="C110" s="14"/>
      <c r="D110" s="14"/>
      <c r="E110" s="14"/>
      <c r="F110" s="14"/>
      <c r="G110" s="14"/>
      <c r="H110" s="14"/>
    </row>
    <row r="111" spans="1:8" x14ac:dyDescent="0.25">
      <c r="B111" s="15"/>
      <c r="C111" s="14"/>
      <c r="D111" s="14"/>
      <c r="E111" s="14"/>
      <c r="F111" s="14"/>
      <c r="G111" s="14"/>
      <c r="H111" s="14"/>
    </row>
    <row r="112" spans="1:8" x14ac:dyDescent="0.25">
      <c r="B112" s="15"/>
      <c r="C112" s="14"/>
      <c r="D112" s="14"/>
      <c r="E112" s="14"/>
      <c r="F112" s="14"/>
      <c r="G112" s="14"/>
      <c r="H112" s="14"/>
    </row>
    <row r="113" spans="2:8" x14ac:dyDescent="0.25">
      <c r="B113" s="15"/>
      <c r="C113" s="14"/>
      <c r="D113" s="14"/>
      <c r="E113" s="14"/>
      <c r="F113" s="14"/>
      <c r="G113" s="14"/>
      <c r="H113" s="14"/>
    </row>
    <row r="114" spans="2:8" x14ac:dyDescent="0.25">
      <c r="B114" s="15"/>
      <c r="C114" s="14"/>
      <c r="D114" s="14"/>
      <c r="E114" s="14"/>
      <c r="F114" s="14"/>
      <c r="G114" s="14"/>
      <c r="H114" s="14"/>
    </row>
  </sheetData>
  <mergeCells count="1">
    <mergeCell ref="A1:G1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正东 李</dc:creator>
  <cp:lastModifiedBy>正东 李</cp:lastModifiedBy>
  <dcterms:created xsi:type="dcterms:W3CDTF">2024-10-05T13:27:14Z</dcterms:created>
  <dcterms:modified xsi:type="dcterms:W3CDTF">2024-10-14T03:00:53Z</dcterms:modified>
</cp:coreProperties>
</file>