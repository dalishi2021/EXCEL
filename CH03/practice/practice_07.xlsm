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666B119D-4D65-40EF-85E6-33A6B53FD56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1" l="1"/>
  <c r="B75" i="1"/>
  <c r="B63" i="1"/>
  <c r="E37" i="1"/>
  <c r="F37" i="1" s="1"/>
  <c r="G37" i="1" s="1"/>
  <c r="D37" i="1"/>
  <c r="C37" i="1"/>
  <c r="B35" i="1"/>
  <c r="B18" i="1"/>
  <c r="B15" i="1"/>
  <c r="B28" i="1" s="1"/>
  <c r="A105" i="1"/>
  <c r="D90" i="1"/>
  <c r="H79" i="1"/>
  <c r="C70" i="1"/>
  <c r="C62" i="1"/>
  <c r="H59" i="1"/>
  <c r="C15" i="1" l="1"/>
  <c r="B32" i="1"/>
  <c r="B30" i="1" s="1"/>
  <c r="B16" i="1"/>
  <c r="C16" i="1" l="1"/>
  <c r="C35" i="1"/>
  <c r="C32" i="1"/>
  <c r="D15" i="1"/>
  <c r="C28" i="1"/>
  <c r="C46" i="1" s="1"/>
  <c r="B33" i="1"/>
  <c r="B36" i="1" s="1"/>
  <c r="B17" i="1" l="1"/>
  <c r="B20" i="1" s="1"/>
  <c r="B21" i="1" s="1"/>
  <c r="B22" i="1" s="1"/>
  <c r="B23" i="1" s="1"/>
  <c r="B24" i="1" s="1"/>
  <c r="B70" i="1"/>
  <c r="C36" i="1"/>
  <c r="B65" i="1"/>
  <c r="B85" i="1" s="1"/>
  <c r="B39" i="1"/>
  <c r="D16" i="1"/>
  <c r="D32" i="1"/>
  <c r="E15" i="1"/>
  <c r="D28" i="1"/>
  <c r="D46" i="1" s="1"/>
  <c r="D35" i="1"/>
  <c r="C47" i="1"/>
  <c r="E35" i="1" l="1"/>
  <c r="E16" i="1"/>
  <c r="E32" i="1"/>
  <c r="F15" i="1"/>
  <c r="E28" i="1"/>
  <c r="E46" i="1" s="1"/>
  <c r="D47" i="1"/>
  <c r="D36" i="1"/>
  <c r="D17" i="1"/>
  <c r="C17" i="1"/>
  <c r="D49" i="1" l="1"/>
  <c r="E36" i="1"/>
  <c r="E17" i="1"/>
  <c r="F16" i="1"/>
  <c r="F32" i="1"/>
  <c r="G15" i="1"/>
  <c r="F28" i="1"/>
  <c r="F46" i="1" s="1"/>
  <c r="F35" i="1"/>
  <c r="C49" i="1"/>
  <c r="E47" i="1"/>
  <c r="F47" i="1" l="1"/>
  <c r="G16" i="1"/>
  <c r="G32" i="1"/>
  <c r="G28" i="1"/>
  <c r="G46" i="1" s="1"/>
  <c r="G35" i="1"/>
  <c r="E49" i="1"/>
  <c r="F36" i="1"/>
  <c r="F17" i="1"/>
  <c r="G47" i="1" l="1"/>
  <c r="G36" i="1"/>
  <c r="G17" i="1"/>
  <c r="G49" i="1" s="1"/>
  <c r="F49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4" i="1"/>
  <c r="D44" i="1"/>
  <c r="E44" i="1"/>
  <c r="F44" i="1"/>
  <c r="G44" i="1"/>
  <c r="C45" i="1"/>
  <c r="D45" i="1"/>
  <c r="E45" i="1"/>
  <c r="F45" i="1"/>
  <c r="G45" i="1"/>
  <c r="C48" i="1"/>
  <c r="D48" i="1"/>
  <c r="E48" i="1"/>
  <c r="F48" i="1"/>
  <c r="G48" i="1"/>
  <c r="C50" i="1"/>
  <c r="D50" i="1"/>
  <c r="E50" i="1"/>
  <c r="F50" i="1"/>
  <c r="G50" i="1"/>
  <c r="C51" i="1"/>
  <c r="D51" i="1"/>
  <c r="E51" i="1"/>
  <c r="F51" i="1"/>
  <c r="G51" i="1"/>
  <c r="C58" i="1"/>
  <c r="D58" i="1"/>
  <c r="E58" i="1"/>
  <c r="F58" i="1"/>
  <c r="G58" i="1"/>
  <c r="G59" i="1"/>
  <c r="C60" i="1"/>
  <c r="D60" i="1"/>
  <c r="E60" i="1"/>
  <c r="F60" i="1"/>
  <c r="G60" i="1"/>
  <c r="B62" i="1"/>
  <c r="B64" i="1"/>
  <c r="B66" i="1"/>
  <c r="B69" i="1"/>
  <c r="B71" i="1"/>
  <c r="C78" i="1"/>
  <c r="D78" i="1"/>
  <c r="E78" i="1"/>
  <c r="F78" i="1"/>
  <c r="G78" i="1"/>
  <c r="G79" i="1"/>
  <c r="C80" i="1"/>
  <c r="D80" i="1"/>
  <c r="E80" i="1"/>
  <c r="F80" i="1"/>
  <c r="G80" i="1"/>
  <c r="B82" i="1"/>
  <c r="B84" i="1"/>
  <c r="B86" i="1"/>
  <c r="C90" i="1"/>
  <c r="B106" i="1"/>
</calcChain>
</file>

<file path=xl/sharedStrings.xml><?xml version="1.0" encoding="utf-8"?>
<sst xmlns="http://schemas.openxmlformats.org/spreadsheetml/2006/main" count="86" uniqueCount="65">
  <si>
    <t>EXERCISE 7--TERMINAL VALUE = DEBT + EQUITY AT BOOK VALUE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</si>
  <si>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</si>
  <si>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</si>
  <si>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</si>
  <si>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</si>
  <si>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</si>
  <si>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</si>
  <si>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</si>
  <si>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</si>
  <si>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</si>
  <si>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</si>
  <si>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</si>
  <si>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</si>
  <si>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</si>
  <si>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</si>
  <si>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</si>
  <si>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</si>
  <si>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</si>
  <si>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</si>
  <si>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</si>
  <si>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</si>
  <si>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</si>
  <si>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</si>
  <si>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</si>
  <si>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</si>
  <si>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</si>
  <si>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</si>
  <si>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</si>
  <si>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</si>
  <si>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</si>
  <si>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</si>
  <si>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</si>
  <si>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</si>
  <si>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</si>
  <si>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</si>
  <si>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</si>
  <si>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</si>
  <si>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</si>
  <si>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</si>
  <si>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</si>
  <si>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</si>
  <si>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</si>
  <si>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</si>
  <si>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</si>
  <si>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Valuing the firm</t>
  </si>
  <si>
    <t>Weighted average cost of capital</t>
  </si>
  <si>
    <t>FCF</t>
  </si>
  <si>
    <t>Terminal value</t>
  </si>
  <si>
    <t>Total</t>
  </si>
  <si>
    <t>NPV of row 61</t>
  </si>
  <si>
    <t>Add in initial (year 0) cash and mkt. securities</t>
  </si>
  <si>
    <t>Enterprise value</t>
  </si>
  <si>
    <t>Subtract out value of firm's debt today</t>
  </si>
  <si>
    <t>Equity value</t>
  </si>
  <si>
    <t>Cash and marketable securities as negative debt</t>
  </si>
  <si>
    <t>NPV of row 61 = enterprise value</t>
  </si>
  <si>
    <t>Net year 0 debt</t>
  </si>
  <si>
    <t>Valuing the firm--using mid-year discounting</t>
  </si>
  <si>
    <t>NPV of row 81</t>
  </si>
  <si>
    <t>&lt;-- =NPV(B76,C81:G81)*(1+B76)</t>
  </si>
  <si>
    <t>Growth</t>
  </si>
  <si>
    <t>WACC</t>
  </si>
  <si>
    <t>growth rate of sales</t>
  </si>
  <si>
    <t>if</t>
    <phoneticPr fontId="1" type="noConversion"/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</si>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</sst>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2" borderId="0" xfId="0" applyFill="1" applyAlignment="1"/>
    <xf numFmtId="43" fontId="0" fillId="0" borderId="0" xfId="1" applyFont="1" applyAlignment="1"/>
    <xf numFmtId="9" fontId="4" fillId="0" borderId="0" xfId="0" applyNumberFormat="1" applyFont="1" applyAlignment="1"/>
    <xf numFmtId="0" fontId="4" fillId="0" borderId="0" xfId="0" applyFont="1" applyAlignment="1">
      <alignment horizontal="right"/>
    </xf>
    <xf numFmtId="0" fontId="0" fillId="3" borderId="0" xfId="0" applyFill="1" applyAlignment="1"/>
    <xf numFmtId="9" fontId="0" fillId="3" borderId="0" xfId="0" applyNumberFormat="1" applyFill="1" applyAlignment="1"/>
    <xf numFmtId="0" fontId="0" fillId="4" borderId="0" xfId="0" applyFill="1" applyAlignment="1"/>
    <xf numFmtId="9" fontId="0" fillId="4" borderId="0" xfId="0" applyNumberFormat="1" applyFill="1" applyAlignment="1"/>
    <xf numFmtId="10" fontId="0" fillId="4" borderId="0" xfId="0" applyNumberFormat="1" applyFill="1" applyAlignment="1"/>
    <xf numFmtId="9" fontId="0" fillId="4" borderId="0" xfId="0" applyNumberFormat="1" applyFill="1" applyAlignment="1">
      <alignment horizontal="center"/>
    </xf>
    <xf numFmtId="3" fontId="0" fillId="4" borderId="0" xfId="0" applyNumberFormat="1" applyFill="1" applyAlignment="1"/>
    <xf numFmtId="9" fontId="4" fillId="4" borderId="0" xfId="0" applyNumberFormat="1" applyFont="1" applyFill="1" applyAlignment="1"/>
    <xf numFmtId="43" fontId="0" fillId="4" borderId="0" xfId="1" applyFont="1" applyFill="1" applyAlignment="1"/>
    <xf numFmtId="3" fontId="0" fillId="4" borderId="0" xfId="0" quotePrefix="1" applyNumberFormat="1" applyFill="1" applyAlignment="1"/>
    <xf numFmtId="177" fontId="0" fillId="4" borderId="0" xfId="1" applyNumberFormat="1" applyFont="1" applyFill="1" applyAlignment="1"/>
    <xf numFmtId="0" fontId="6" fillId="0" borderId="0" xfId="0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Sales Growth and  Equity Value</a:t>
            </a:r>
          </a:p>
        </c:rich>
      </c:tx>
      <c:layout>
        <c:manualLayout>
          <c:xMode val="edge"/>
          <c:yMode val="edge"/>
          <c:x val="0.18351091751828894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948729184651185"/>
          <c:y val="0.11320791220859074"/>
          <c:w val="0.74871841741687784"/>
          <c:h val="0.6150963230000097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7'!$B$91:$B$99</c:f>
              <c:numCache>
                <c:formatCode>General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</c:numCache>
            </c:numRef>
          </c:xVal>
          <c:yVal>
            <c:numRef>
              <c:f>'[1]Exercise 7'!$C$91:$C$99</c:f>
              <c:numCache>
                <c:formatCode>General</c:formatCode>
                <c:ptCount val="9"/>
                <c:pt idx="0">
                  <c:v>1028.2335523295262</c:v>
                </c:pt>
                <c:pt idx="1">
                  <c:v>1100.3717414506436</c:v>
                </c:pt>
                <c:pt idx="2">
                  <c:v>1190.5444776647837</c:v>
                </c:pt>
                <c:pt idx="3">
                  <c:v>1306.480852797253</c:v>
                </c:pt>
                <c:pt idx="4">
                  <c:v>1461.0626863072096</c:v>
                </c:pt>
                <c:pt idx="5">
                  <c:v>1677.4772532211514</c:v>
                </c:pt>
                <c:pt idx="6">
                  <c:v>2002.0991035920624</c:v>
                </c:pt>
                <c:pt idx="7">
                  <c:v>2543.1355208769246</c:v>
                </c:pt>
                <c:pt idx="8">
                  <c:v>3625.2083554466408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F-4387-BB94-92CEFE91B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440648"/>
        <c:axId val="1"/>
      </c:scatterChart>
      <c:valAx>
        <c:axId val="923440648"/>
        <c:scaling>
          <c:orientation val="minMax"/>
          <c:max val="0.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2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234406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87</xdr:row>
      <xdr:rowOff>106680</xdr:rowOff>
    </xdr:from>
    <xdr:to>
      <xdr:col>9</xdr:col>
      <xdr:colOff>335280</xdr:colOff>
      <xdr:row>102</xdr:row>
      <xdr:rowOff>53340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C52457D6-87AE-4FC8-B6E8-6A409D039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1562100</xdr:colOff>
      <xdr:row>105</xdr:row>
      <xdr:rowOff>15240</xdr:rowOff>
    </xdr:from>
    <xdr:to>
      <xdr:col>0</xdr:col>
      <xdr:colOff>2430780</xdr:colOff>
      <xdr:row>105</xdr:row>
      <xdr:rowOff>91440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829EA8E-EF4F-411D-98F1-3266CE69E7BF}"/>
            </a:ext>
          </a:extLst>
        </xdr:cNvPr>
        <xdr:cNvSpPr>
          <a:spLocks noChangeShapeType="1"/>
        </xdr:cNvSpPr>
      </xdr:nvSpPr>
      <xdr:spPr bwMode="auto">
        <a:xfrm>
          <a:off x="1562100" y="18211800"/>
          <a:ext cx="8667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l 1 for reference"/>
      <sheetName val="Model 1 for reference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"/>
      <sheetName val="Exercise 9 (中文)"/>
      <sheetName val="Exercise 9, version 2"/>
      <sheetName val="Exercise 9, version 2 (中文)"/>
      <sheetName val="Exercise 10--setup"/>
      <sheetName val="Exercise 10--setup (中文)"/>
      <sheetName val="Exercise 10--solu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91">
          <cell r="B91">
            <v>0</v>
          </cell>
          <cell r="C91">
            <v>1028.2335523295262</v>
          </cell>
        </row>
        <row r="92">
          <cell r="B92">
            <v>0.02</v>
          </cell>
          <cell r="C92">
            <v>1100.3717414506436</v>
          </cell>
        </row>
        <row r="93">
          <cell r="B93">
            <v>0.04</v>
          </cell>
          <cell r="C93">
            <v>1190.5444776647837</v>
          </cell>
        </row>
        <row r="94">
          <cell r="B94">
            <v>0.06</v>
          </cell>
          <cell r="C94">
            <v>1306.480852797253</v>
          </cell>
        </row>
        <row r="95">
          <cell r="B95">
            <v>0.08</v>
          </cell>
          <cell r="C95">
            <v>1461.0626863072096</v>
          </cell>
        </row>
        <row r="96">
          <cell r="B96">
            <v>0.1</v>
          </cell>
          <cell r="C96">
            <v>1677.4772532211514</v>
          </cell>
        </row>
        <row r="97">
          <cell r="B97">
            <v>0.12</v>
          </cell>
          <cell r="C97">
            <v>2002.0991035920624</v>
          </cell>
        </row>
        <row r="98">
          <cell r="B98">
            <v>0.14000000000000001</v>
          </cell>
          <cell r="C98">
            <v>2543.1355208769246</v>
          </cell>
        </row>
        <row r="99">
          <cell r="B99">
            <v>0.16</v>
          </cell>
          <cell r="C99">
            <v>3625.2083554466408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115"/>
  <sheetViews>
    <sheetView tabSelected="1" topLeftCell="A30" zoomScale="160" zoomScaleNormal="160" workbookViewId="0">
      <selection activeCell="I46" sqref="I46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18.5546875" style="2" bestFit="1" customWidth="1"/>
    <col min="9" max="11" width="9.33203125" style="2" bestFit="1" customWidth="1"/>
    <col min="12" max="13" width="8.88671875" style="2"/>
  </cols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3" x14ac:dyDescent="0.25">
      <c r="A2" s="20" t="s">
        <v>1</v>
      </c>
      <c r="B2" s="21">
        <v>0.1</v>
      </c>
      <c r="C2" s="2" t="s">
        <v>63</v>
      </c>
    </row>
    <row r="3" spans="1:13" x14ac:dyDescent="0.25">
      <c r="A3" s="20" t="s">
        <v>2</v>
      </c>
      <c r="B3" s="21">
        <v>0.15</v>
      </c>
      <c r="C3" s="2" t="s">
        <v>63</v>
      </c>
    </row>
    <row r="4" spans="1:13" x14ac:dyDescent="0.25">
      <c r="A4" s="20" t="s">
        <v>3</v>
      </c>
      <c r="B4" s="21">
        <v>0.08</v>
      </c>
      <c r="C4" s="2" t="s">
        <v>63</v>
      </c>
    </row>
    <row r="5" spans="1:13" x14ac:dyDescent="0.25">
      <c r="A5" s="20" t="s">
        <v>4</v>
      </c>
      <c r="B5" s="21">
        <v>0.77</v>
      </c>
      <c r="C5" s="2" t="s">
        <v>63</v>
      </c>
    </row>
    <row r="6" spans="1:13" x14ac:dyDescent="0.25">
      <c r="A6" s="20" t="s">
        <v>5</v>
      </c>
      <c r="B6" s="21">
        <v>0.5</v>
      </c>
      <c r="C6" s="2" t="s">
        <v>63</v>
      </c>
    </row>
    <row r="7" spans="1:13" x14ac:dyDescent="0.25">
      <c r="A7" s="22" t="s">
        <v>6</v>
      </c>
      <c r="B7" s="23">
        <v>0.1</v>
      </c>
      <c r="C7" s="2" t="s">
        <v>64</v>
      </c>
    </row>
    <row r="8" spans="1:13" x14ac:dyDescent="0.25">
      <c r="A8" s="22" t="s">
        <v>7</v>
      </c>
      <c r="B8" s="24">
        <v>0.1</v>
      </c>
      <c r="C8" s="2" t="s">
        <v>64</v>
      </c>
    </row>
    <row r="9" spans="1:13" x14ac:dyDescent="0.25">
      <c r="A9" s="22" t="s">
        <v>8</v>
      </c>
      <c r="B9" s="24">
        <v>0.08</v>
      </c>
      <c r="C9" s="2" t="s">
        <v>64</v>
      </c>
    </row>
    <row r="10" spans="1:13" x14ac:dyDescent="0.25">
      <c r="A10" s="20" t="s">
        <v>9</v>
      </c>
      <c r="B10" s="21">
        <v>0.4</v>
      </c>
      <c r="C10" s="2" t="s">
        <v>63</v>
      </c>
    </row>
    <row r="11" spans="1:13" x14ac:dyDescent="0.25">
      <c r="A11" s="20" t="s">
        <v>10</v>
      </c>
      <c r="B11" s="21">
        <v>0.4</v>
      </c>
      <c r="C11" s="2" t="s">
        <v>63</v>
      </c>
    </row>
    <row r="13" spans="1:13" x14ac:dyDescent="0.25">
      <c r="A13" s="3" t="s">
        <v>11</v>
      </c>
      <c r="B13" s="4">
        <v>0</v>
      </c>
      <c r="C13" s="4">
        <v>1</v>
      </c>
      <c r="D13" s="4">
        <v>2</v>
      </c>
      <c r="E13" s="4">
        <v>3</v>
      </c>
      <c r="F13" s="4">
        <v>4</v>
      </c>
      <c r="G13" s="4">
        <v>5</v>
      </c>
      <c r="H13" s="3"/>
      <c r="I13" s="3"/>
      <c r="J13" s="3"/>
      <c r="K13" s="3"/>
      <c r="L13" s="3"/>
      <c r="M13" s="3"/>
    </row>
    <row r="14" spans="1:13" x14ac:dyDescent="0.25">
      <c r="A14" s="3" t="s">
        <v>12</v>
      </c>
    </row>
    <row r="15" spans="1:13" x14ac:dyDescent="0.25">
      <c r="A15" s="2" t="s">
        <v>13</v>
      </c>
      <c r="B15" s="5">
        <f>1000</f>
        <v>1000</v>
      </c>
      <c r="C15" s="5">
        <f>B15*(1+$B$2)</f>
        <v>1100</v>
      </c>
      <c r="D15" s="5">
        <f>C15*(1+$B$2)</f>
        <v>1210</v>
      </c>
      <c r="E15" s="5">
        <f>D15*(1+$B$2)</f>
        <v>1331</v>
      </c>
      <c r="F15" s="5">
        <f>E15*(1+$B$2)</f>
        <v>1464.1000000000001</v>
      </c>
      <c r="G15" s="5">
        <f>F15*(1+$B$2)</f>
        <v>1610.5100000000002</v>
      </c>
    </row>
    <row r="16" spans="1:13" x14ac:dyDescent="0.25">
      <c r="A16" s="2" t="s">
        <v>14</v>
      </c>
      <c r="B16" s="5">
        <f t="shared" ref="B16:G16" si="0">-B15*$B$6</f>
        <v>-500</v>
      </c>
      <c r="C16" s="5">
        <f t="shared" si="0"/>
        <v>-550</v>
      </c>
      <c r="D16" s="5">
        <f t="shared" si="0"/>
        <v>-605</v>
      </c>
      <c r="E16" s="5">
        <f t="shared" si="0"/>
        <v>-665.5</v>
      </c>
      <c r="F16" s="5">
        <f t="shared" si="0"/>
        <v>-732.05000000000007</v>
      </c>
      <c r="G16" s="5">
        <f t="shared" si="0"/>
        <v>-805.25500000000011</v>
      </c>
    </row>
    <row r="17" spans="1:7" x14ac:dyDescent="0.25">
      <c r="A17" s="2" t="s">
        <v>15</v>
      </c>
      <c r="B17" s="5">
        <f>-$B$8*B36</f>
        <v>-32</v>
      </c>
      <c r="C17" s="5">
        <f>-$B$8*(B36+C36)/2</f>
        <v>-32</v>
      </c>
      <c r="D17" s="5">
        <f>-$B$8*(C36+D36)/2</f>
        <v>-32</v>
      </c>
      <c r="E17" s="5">
        <f>-$B$8*(D36+E36)/2</f>
        <v>-32</v>
      </c>
      <c r="F17" s="5">
        <f>-$B$8*(E36+F36)/2</f>
        <v>-32</v>
      </c>
      <c r="G17" s="5">
        <f>-$B$8*(F36+G36)/2</f>
        <v>-32</v>
      </c>
    </row>
    <row r="18" spans="1:7" x14ac:dyDescent="0.25">
      <c r="A18" s="2" t="s">
        <v>16</v>
      </c>
      <c r="B18" s="5">
        <f>$B$9*B27</f>
        <v>6.4</v>
      </c>
      <c r="C18" s="5">
        <f ca="1">$B$9*(B27+C27)/2</f>
        <v>8.9477956256861582</v>
      </c>
      <c r="D18" s="5">
        <f ca="1">$B$9*(C27+D27)/2</f>
        <v>14.27670286690085</v>
      </c>
      <c r="E18" s="5">
        <f ca="1">$B$9*(D27+E27)/2</f>
        <v>20.080913383523903</v>
      </c>
      <c r="F18" s="5">
        <f ca="1">$B$9*(E27+F27)/2</f>
        <v>26.376731358872732</v>
      </c>
      <c r="G18" s="5">
        <f ca="1">$B$9*(F27+G27)/2</f>
        <v>33.17806916157285</v>
      </c>
    </row>
    <row r="19" spans="1:7" x14ac:dyDescent="0.25">
      <c r="A19" s="2" t="s">
        <v>17</v>
      </c>
      <c r="B19" s="5">
        <v>-100</v>
      </c>
      <c r="C19" s="5">
        <f ca="1">-$B$7*(C30+B30)/2</f>
        <v>-116.68421052631579</v>
      </c>
      <c r="D19" s="5">
        <f ca="1">-$B$7*(D30+C30)/2</f>
        <v>-137.47728531855986</v>
      </c>
      <c r="E19" s="5">
        <f ca="1">-$B$7*(E30+D30)/2</f>
        <v>-161.31015745735914</v>
      </c>
      <c r="F19" s="5">
        <f ca="1">-$B$7*(F30+E30)/2</f>
        <v>-188.5879108739517</v>
      </c>
      <c r="G19" s="5">
        <f ca="1">-$B$7*(G30+F30)/2</f>
        <v>-219.76678043980556</v>
      </c>
    </row>
    <row r="20" spans="1:7" x14ac:dyDescent="0.25">
      <c r="A20" s="2" t="s">
        <v>18</v>
      </c>
      <c r="B20" s="5">
        <f t="shared" ref="B20:G20" si="1">SUM(B15:B19)</f>
        <v>374.4</v>
      </c>
      <c r="C20" s="5">
        <f t="shared" ca="1" si="1"/>
        <v>410.26358509937035</v>
      </c>
      <c r="D20" s="5">
        <f t="shared" ca="1" si="1"/>
        <v>449.79941754834101</v>
      </c>
      <c r="E20" s="5">
        <f t="shared" ca="1" si="1"/>
        <v>492.27075592616478</v>
      </c>
      <c r="F20" s="5">
        <f t="shared" ca="1" si="1"/>
        <v>537.83882048492103</v>
      </c>
      <c r="G20" s="5">
        <f t="shared" ca="1" si="1"/>
        <v>586.66628872176739</v>
      </c>
    </row>
    <row r="21" spans="1:7" x14ac:dyDescent="0.25">
      <c r="A21" s="2" t="s">
        <v>19</v>
      </c>
      <c r="B21" s="5">
        <f t="shared" ref="B21:G21" si="2">-B20*$B$10</f>
        <v>-149.76</v>
      </c>
      <c r="C21" s="5">
        <f t="shared" ca="1" si="2"/>
        <v>-164.10543403974816</v>
      </c>
      <c r="D21" s="5">
        <f t="shared" ca="1" si="2"/>
        <v>-179.9197670193364</v>
      </c>
      <c r="E21" s="5">
        <f t="shared" ca="1" si="2"/>
        <v>-196.90830237046592</v>
      </c>
      <c r="F21" s="5">
        <f t="shared" ca="1" si="2"/>
        <v>-215.13552819396841</v>
      </c>
      <c r="G21" s="5">
        <f t="shared" ca="1" si="2"/>
        <v>-234.66651548870698</v>
      </c>
    </row>
    <row r="22" spans="1:7" x14ac:dyDescent="0.25">
      <c r="A22" s="2" t="s">
        <v>20</v>
      </c>
      <c r="B22" s="5">
        <f t="shared" ref="B22:G22" si="3">B21+B20</f>
        <v>224.64</v>
      </c>
      <c r="C22" s="5">
        <f t="shared" ca="1" si="3"/>
        <v>246.15815105962218</v>
      </c>
      <c r="D22" s="5">
        <f t="shared" ca="1" si="3"/>
        <v>269.87965052900461</v>
      </c>
      <c r="E22" s="5">
        <f t="shared" ca="1" si="3"/>
        <v>295.36245355569883</v>
      </c>
      <c r="F22" s="5">
        <f t="shared" ca="1" si="3"/>
        <v>322.70329229095262</v>
      </c>
      <c r="G22" s="5">
        <f t="shared" ca="1" si="3"/>
        <v>351.99977323306041</v>
      </c>
    </row>
    <row r="23" spans="1:7" x14ac:dyDescent="0.25">
      <c r="A23" s="2" t="s">
        <v>21</v>
      </c>
      <c r="B23" s="5">
        <f>-B22*$B$11</f>
        <v>-89.855999999999995</v>
      </c>
      <c r="C23" s="5">
        <f ca="1">-$B$11*C22</f>
        <v>-98.46326042384888</v>
      </c>
      <c r="D23" s="5">
        <f ca="1">-$B$11*D22</f>
        <v>-107.95186021160185</v>
      </c>
      <c r="E23" s="5">
        <f ca="1">-$B$11*E22</f>
        <v>-118.14498142227954</v>
      </c>
      <c r="F23" s="5">
        <f ca="1">-$B$11*F22</f>
        <v>-129.08131691638104</v>
      </c>
      <c r="G23" s="5">
        <f ca="1">-$B$11*G22</f>
        <v>-140.79990929322418</v>
      </c>
    </row>
    <row r="24" spans="1:7" x14ac:dyDescent="0.25">
      <c r="A24" s="2" t="s">
        <v>22</v>
      </c>
      <c r="B24" s="5">
        <f t="shared" ref="B24:G24" si="4">B23+B22</f>
        <v>134.78399999999999</v>
      </c>
      <c r="C24" s="5">
        <f t="shared" ca="1" si="4"/>
        <v>147.69489063577331</v>
      </c>
      <c r="D24" s="5">
        <f t="shared" ca="1" si="4"/>
        <v>161.92779031740275</v>
      </c>
      <c r="E24" s="5">
        <f t="shared" ca="1" si="4"/>
        <v>177.21747213341928</v>
      </c>
      <c r="F24" s="5">
        <f t="shared" ca="1" si="4"/>
        <v>193.62197537457158</v>
      </c>
      <c r="G24" s="5">
        <f t="shared" ca="1" si="4"/>
        <v>211.19986393983623</v>
      </c>
    </row>
    <row r="25" spans="1:7" x14ac:dyDescent="0.25">
      <c r="B25" s="5"/>
      <c r="C25" s="5"/>
      <c r="D25" s="5"/>
      <c r="E25" s="5"/>
      <c r="F25" s="5"/>
      <c r="G25" s="5"/>
    </row>
    <row r="26" spans="1:7" x14ac:dyDescent="0.25">
      <c r="A26" s="3" t="s">
        <v>23</v>
      </c>
      <c r="B26" s="5"/>
      <c r="C26" s="5"/>
      <c r="D26" s="5"/>
      <c r="E26" s="5"/>
      <c r="F26" s="5"/>
      <c r="G26" s="5"/>
    </row>
    <row r="27" spans="1:7" x14ac:dyDescent="0.25">
      <c r="A27" s="6" t="s">
        <v>24</v>
      </c>
      <c r="B27" s="5">
        <v>80</v>
      </c>
      <c r="C27" s="5">
        <f ca="1">C39-C28-C32</f>
        <v>143.69489063465812</v>
      </c>
      <c r="D27" s="5">
        <f ca="1">D39-D28-D32</f>
        <v>213.22268093701132</v>
      </c>
      <c r="E27" s="5">
        <f ca="1">E39-E28-E32</f>
        <v>288.80015296767988</v>
      </c>
      <c r="F27" s="5">
        <f ca="1">F39-F28-F32</f>
        <v>370.61812786359496</v>
      </c>
      <c r="G27" s="5">
        <f ca="1">G39-G28-G32</f>
        <v>458.83359007508034</v>
      </c>
    </row>
    <row r="28" spans="1:7" x14ac:dyDescent="0.25">
      <c r="A28" s="2" t="s">
        <v>25</v>
      </c>
      <c r="B28" s="5">
        <f>$B$3*B15</f>
        <v>150</v>
      </c>
      <c r="C28" s="5">
        <f>C15*$B$3</f>
        <v>165</v>
      </c>
      <c r="D28" s="5">
        <f>D15*$B$3</f>
        <v>181.5</v>
      </c>
      <c r="E28" s="5">
        <f>E15*$B$3</f>
        <v>199.65</v>
      </c>
      <c r="F28" s="5">
        <f>F15*$B$3</f>
        <v>219.61500000000001</v>
      </c>
      <c r="G28" s="5">
        <f>G15*$B$3</f>
        <v>241.57650000000001</v>
      </c>
    </row>
    <row r="29" spans="1:7" x14ac:dyDescent="0.25">
      <c r="A29" s="2" t="s">
        <v>26</v>
      </c>
      <c r="B29" s="5"/>
      <c r="C29" s="5"/>
      <c r="D29" s="5"/>
      <c r="E29" s="5"/>
      <c r="F29" s="5"/>
      <c r="G29" s="5"/>
    </row>
    <row r="30" spans="1:7" x14ac:dyDescent="0.25">
      <c r="A30" s="2" t="s">
        <v>27</v>
      </c>
      <c r="B30" s="5">
        <f t="shared" ref="B30:G30" si="5">B32-B31</f>
        <v>1070</v>
      </c>
      <c r="C30" s="5">
        <f t="shared" ca="1" si="5"/>
        <v>1263.6842105263158</v>
      </c>
      <c r="D30" s="5">
        <f t="shared" ca="1" si="5"/>
        <v>1485.8614958448757</v>
      </c>
      <c r="E30" s="5">
        <f t="shared" ca="1" si="5"/>
        <v>1740.3416533022348</v>
      </c>
      <c r="F30" s="5">
        <f t="shared" ca="1" si="5"/>
        <v>2031.4165641761865</v>
      </c>
      <c r="G30" s="5">
        <f t="shared" ca="1" si="5"/>
        <v>2363.9190446159919</v>
      </c>
    </row>
    <row r="31" spans="1:7" x14ac:dyDescent="0.25">
      <c r="A31" s="2" t="s">
        <v>28</v>
      </c>
      <c r="B31" s="5">
        <v>-300</v>
      </c>
      <c r="C31" s="5">
        <f ca="1">B31-$B$7*(C30+B30)/2</f>
        <v>-416.68421052631578</v>
      </c>
      <c r="D31" s="5">
        <f ca="1">C31-$B$7*(D30+C30)/2</f>
        <v>-554.16149584487539</v>
      </c>
      <c r="E31" s="5">
        <f ca="1">D31-$B$7*(E30+D30)/2</f>
        <v>-715.47165330223095</v>
      </c>
      <c r="F31" s="5">
        <f ca="1">E31-$B$7*(F30+E30)/2</f>
        <v>-904.05956417615198</v>
      </c>
      <c r="G31" s="5">
        <f ca="1">F31-$B$7*(G30+F30)/2</f>
        <v>-1123.8263446157609</v>
      </c>
    </row>
    <row r="32" spans="1:7" x14ac:dyDescent="0.25">
      <c r="A32" s="2" t="s">
        <v>29</v>
      </c>
      <c r="B32" s="5">
        <f t="shared" ref="B32:G32" si="6">B15*$B$5</f>
        <v>770</v>
      </c>
      <c r="C32" s="5">
        <f t="shared" si="6"/>
        <v>847</v>
      </c>
      <c r="D32" s="5">
        <f t="shared" si="6"/>
        <v>931.7</v>
      </c>
      <c r="E32" s="5">
        <f t="shared" si="6"/>
        <v>1024.8700000000001</v>
      </c>
      <c r="F32" s="5">
        <f t="shared" si="6"/>
        <v>1127.3570000000002</v>
      </c>
      <c r="G32" s="5">
        <f t="shared" si="6"/>
        <v>1240.0927000000001</v>
      </c>
    </row>
    <row r="33" spans="1:13" x14ac:dyDescent="0.25">
      <c r="A33" s="3" t="s">
        <v>30</v>
      </c>
      <c r="B33" s="5">
        <f>B27+B28+B32</f>
        <v>1000</v>
      </c>
      <c r="C33" s="5">
        <f ca="1">C32+C28+C27</f>
        <v>1155.6948906346581</v>
      </c>
      <c r="D33" s="5">
        <f ca="1">D32+D28+D27</f>
        <v>1326.4226809370114</v>
      </c>
      <c r="E33" s="5">
        <f ca="1">E32+E28+E27</f>
        <v>1513.3201529676801</v>
      </c>
      <c r="F33" s="5">
        <f ca="1">F32+F28+F27</f>
        <v>1717.5901278635952</v>
      </c>
      <c r="G33" s="5">
        <f ca="1">G32+G28+G27</f>
        <v>1940.5027900750806</v>
      </c>
    </row>
    <row r="34" spans="1:13" x14ac:dyDescent="0.25">
      <c r="B34" s="5"/>
      <c r="C34" s="5"/>
      <c r="D34" s="5"/>
      <c r="E34" s="5"/>
      <c r="F34" s="5"/>
      <c r="G34" s="5"/>
    </row>
    <row r="35" spans="1:13" x14ac:dyDescent="0.25">
      <c r="A35" s="2" t="s">
        <v>31</v>
      </c>
      <c r="B35" s="5">
        <f t="shared" ref="B35:G35" si="7">B15*$B$4</f>
        <v>80</v>
      </c>
      <c r="C35" s="5">
        <f t="shared" si="7"/>
        <v>88</v>
      </c>
      <c r="D35" s="5">
        <f t="shared" si="7"/>
        <v>96.8</v>
      </c>
      <c r="E35" s="5">
        <f t="shared" si="7"/>
        <v>106.48</v>
      </c>
      <c r="F35" s="5">
        <f t="shared" si="7"/>
        <v>117.12800000000001</v>
      </c>
      <c r="G35" s="5">
        <f t="shared" si="7"/>
        <v>128.84080000000003</v>
      </c>
    </row>
    <row r="36" spans="1:13" x14ac:dyDescent="0.25">
      <c r="A36" s="2" t="s">
        <v>32</v>
      </c>
      <c r="B36" s="5">
        <f>B33-B35-B37-B38</f>
        <v>320</v>
      </c>
      <c r="C36" s="5">
        <f t="shared" ref="C36:G37" si="8">B36</f>
        <v>320</v>
      </c>
      <c r="D36" s="5">
        <f t="shared" si="8"/>
        <v>320</v>
      </c>
      <c r="E36" s="5">
        <f t="shared" si="8"/>
        <v>320</v>
      </c>
      <c r="F36" s="5">
        <f t="shared" si="8"/>
        <v>320</v>
      </c>
      <c r="G36" s="30">
        <f t="shared" si="8"/>
        <v>320</v>
      </c>
    </row>
    <row r="37" spans="1:13" x14ac:dyDescent="0.25">
      <c r="A37" s="2" t="s">
        <v>33</v>
      </c>
      <c r="B37" s="5">
        <v>450</v>
      </c>
      <c r="C37" s="5">
        <f t="shared" si="8"/>
        <v>450</v>
      </c>
      <c r="D37" s="5">
        <f t="shared" si="8"/>
        <v>450</v>
      </c>
      <c r="E37" s="5">
        <f t="shared" si="8"/>
        <v>450</v>
      </c>
      <c r="F37" s="5">
        <f t="shared" si="8"/>
        <v>450</v>
      </c>
      <c r="G37" s="30">
        <f t="shared" si="8"/>
        <v>450</v>
      </c>
    </row>
    <row r="38" spans="1:13" x14ac:dyDescent="0.25">
      <c r="A38" s="2" t="s">
        <v>34</v>
      </c>
      <c r="B38" s="5">
        <v>150</v>
      </c>
      <c r="C38" s="5">
        <f ca="1">B38+C24</f>
        <v>297.69489063577328</v>
      </c>
      <c r="D38" s="5">
        <f ca="1">C38+D24</f>
        <v>459.62268095317603</v>
      </c>
      <c r="E38" s="5">
        <f ca="1">D38+E24</f>
        <v>636.84015308659536</v>
      </c>
      <c r="F38" s="5">
        <f ca="1">E38+F24</f>
        <v>830.46212846116691</v>
      </c>
      <c r="G38" s="30">
        <f ca="1">F38+G24</f>
        <v>1041.6619924010031</v>
      </c>
    </row>
    <row r="39" spans="1:13" x14ac:dyDescent="0.25">
      <c r="A39" s="3" t="s">
        <v>35</v>
      </c>
      <c r="B39" s="5">
        <f t="shared" ref="B39:G39" si="9">SUM(B35:B38)</f>
        <v>1000</v>
      </c>
      <c r="C39" s="5">
        <f t="shared" ca="1" si="9"/>
        <v>1155.6948906357734</v>
      </c>
      <c r="D39" s="5">
        <f t="shared" ca="1" si="9"/>
        <v>1326.422680953176</v>
      </c>
      <c r="E39" s="5">
        <f t="shared" ca="1" si="9"/>
        <v>1513.3201530865954</v>
      </c>
      <c r="F39" s="5">
        <f t="shared" ca="1" si="9"/>
        <v>1717.5901284611668</v>
      </c>
      <c r="G39" s="5">
        <f t="shared" ca="1" si="9"/>
        <v>1940.5027924010033</v>
      </c>
    </row>
    <row r="42" spans="1:13" x14ac:dyDescent="0.25">
      <c r="A42" s="7" t="s">
        <v>11</v>
      </c>
      <c r="B42" s="8">
        <v>0</v>
      </c>
      <c r="C42" s="8">
        <v>1</v>
      </c>
      <c r="D42" s="8">
        <v>2</v>
      </c>
      <c r="E42" s="8">
        <v>3</v>
      </c>
      <c r="F42" s="8">
        <v>4</v>
      </c>
      <c r="G42" s="8">
        <v>5</v>
      </c>
      <c r="H42" s="3"/>
      <c r="I42" s="3"/>
      <c r="J42" s="3"/>
      <c r="K42" s="3"/>
      <c r="L42" s="3"/>
      <c r="M42" s="3"/>
    </row>
    <row r="43" spans="1:13" x14ac:dyDescent="0.25">
      <c r="A43" s="7" t="s">
        <v>36</v>
      </c>
      <c r="B43" s="9"/>
      <c r="C43" s="9"/>
      <c r="D43" s="9"/>
      <c r="E43" s="9"/>
      <c r="F43" s="9"/>
      <c r="G43" s="9"/>
    </row>
    <row r="44" spans="1:13" x14ac:dyDescent="0.25">
      <c r="A44" s="9" t="s">
        <v>20</v>
      </c>
      <c r="B44" s="9"/>
      <c r="C44" s="9">
        <f ca="1">C22</f>
        <v>246.15815105962218</v>
      </c>
      <c r="D44" s="9">
        <f ca="1">D22</f>
        <v>269.87965052900461</v>
      </c>
      <c r="E44" s="9">
        <f ca="1">E22</f>
        <v>295.36245355569883</v>
      </c>
      <c r="F44" s="9">
        <f ca="1">F22</f>
        <v>322.70329229095262</v>
      </c>
      <c r="G44" s="9">
        <f ca="1">G22</f>
        <v>351.99977323306041</v>
      </c>
    </row>
    <row r="45" spans="1:13" x14ac:dyDescent="0.25">
      <c r="A45" s="9" t="s">
        <v>37</v>
      </c>
      <c r="B45" s="9"/>
      <c r="C45" s="9">
        <f ca="1">-C19</f>
        <v>116.68421052631579</v>
      </c>
      <c r="D45" s="9">
        <f ca="1">-D19</f>
        <v>137.47728531855986</v>
      </c>
      <c r="E45" s="9">
        <f ca="1">-E19</f>
        <v>161.31015745735914</v>
      </c>
      <c r="F45" s="9">
        <f ca="1">-F19</f>
        <v>188.5879108739517</v>
      </c>
      <c r="G45" s="9">
        <f ca="1">-G19</f>
        <v>219.76678043980556</v>
      </c>
    </row>
    <row r="46" spans="1:13" x14ac:dyDescent="0.25">
      <c r="A46" s="9" t="s">
        <v>38</v>
      </c>
      <c r="B46" s="9"/>
      <c r="C46" s="9">
        <f>-(C28-B28)</f>
        <v>-15</v>
      </c>
      <c r="D46" s="9">
        <f>-(D28-C28)</f>
        <v>-16.5</v>
      </c>
      <c r="E46" s="9">
        <f>-(E28-D28)</f>
        <v>-18.150000000000006</v>
      </c>
      <c r="F46" s="9">
        <f>-(F28-E28)</f>
        <v>-19.965000000000003</v>
      </c>
      <c r="G46" s="9">
        <f>-(G28-F28)</f>
        <v>-21.961500000000001</v>
      </c>
    </row>
    <row r="47" spans="1:13" x14ac:dyDescent="0.25">
      <c r="A47" s="9" t="s">
        <v>39</v>
      </c>
      <c r="B47" s="9"/>
      <c r="C47" s="9">
        <f>C35-B35</f>
        <v>8</v>
      </c>
      <c r="D47" s="9">
        <f>D35-C35</f>
        <v>8.7999999999999972</v>
      </c>
      <c r="E47" s="9">
        <f>E35-D35</f>
        <v>9.6800000000000068</v>
      </c>
      <c r="F47" s="9">
        <f>F35-E35</f>
        <v>10.64800000000001</v>
      </c>
      <c r="G47" s="9">
        <f>G35-F35</f>
        <v>11.712800000000016</v>
      </c>
    </row>
    <row r="48" spans="1:13" x14ac:dyDescent="0.25">
      <c r="A48" s="9" t="s">
        <v>40</v>
      </c>
      <c r="B48" s="9"/>
      <c r="C48" s="9">
        <f ca="1">-(C30-B30)</f>
        <v>-193.68421052631584</v>
      </c>
      <c r="D48" s="9">
        <f ca="1">-(D30-C30)</f>
        <v>-222.17728531855983</v>
      </c>
      <c r="E48" s="9">
        <f ca="1">-(E30-D30)</f>
        <v>-254.48015745735916</v>
      </c>
      <c r="F48" s="9">
        <f ca="1">-(F30-E30)</f>
        <v>-291.07491087395169</v>
      </c>
      <c r="G48" s="9">
        <f ca="1">-(G30-F30)</f>
        <v>-332.50248043980537</v>
      </c>
    </row>
    <row r="49" spans="1:13" x14ac:dyDescent="0.25">
      <c r="A49" s="9" t="s">
        <v>41</v>
      </c>
      <c r="B49" s="9"/>
      <c r="C49" s="9">
        <f t="shared" ref="C49:G50" si="10">-(1-$B$10)*C17</f>
        <v>19.2</v>
      </c>
      <c r="D49" s="9">
        <f t="shared" si="10"/>
        <v>19.2</v>
      </c>
      <c r="E49" s="9">
        <f t="shared" si="10"/>
        <v>19.2</v>
      </c>
      <c r="F49" s="9">
        <f t="shared" si="10"/>
        <v>19.2</v>
      </c>
      <c r="G49" s="9">
        <f t="shared" si="10"/>
        <v>19.2</v>
      </c>
    </row>
    <row r="50" spans="1:13" x14ac:dyDescent="0.25">
      <c r="A50" s="9" t="s">
        <v>42</v>
      </c>
      <c r="B50" s="9"/>
      <c r="C50" s="9">
        <f t="shared" ca="1" si="10"/>
        <v>-5.3686773754116945</v>
      </c>
      <c r="D50" s="9">
        <f t="shared" ca="1" si="10"/>
        <v>-8.56602172014051</v>
      </c>
      <c r="E50" s="9">
        <f t="shared" ca="1" si="10"/>
        <v>-12.048548030114342</v>
      </c>
      <c r="F50" s="9">
        <f t="shared" ca="1" si="10"/>
        <v>-15.826038815323638</v>
      </c>
      <c r="G50" s="9">
        <f t="shared" ca="1" si="10"/>
        <v>-19.906841496943709</v>
      </c>
    </row>
    <row r="51" spans="1:13" x14ac:dyDescent="0.25">
      <c r="A51" s="7" t="s">
        <v>43</v>
      </c>
      <c r="B51" s="9"/>
      <c r="C51" s="9">
        <f ca="1">SUM(C44:C50)</f>
        <v>175.98947368421042</v>
      </c>
      <c r="D51" s="9">
        <f ca="1">SUM(D44:D50)</f>
        <v>188.11362880886418</v>
      </c>
      <c r="E51" s="9">
        <f ca="1">SUM(E44:E50)</f>
        <v>200.87390552558443</v>
      </c>
      <c r="F51" s="9">
        <f ca="1">SUM(F44:F50)</f>
        <v>214.27325347562899</v>
      </c>
      <c r="G51" s="9">
        <f ca="1">SUM(G44:G50)</f>
        <v>228.30853173611686</v>
      </c>
    </row>
    <row r="54" spans="1:13" ht="17.399999999999999" x14ac:dyDescent="0.3">
      <c r="A54" s="10" t="s">
        <v>44</v>
      </c>
    </row>
    <row r="55" spans="1:13" x14ac:dyDescent="0.25">
      <c r="A55" s="6" t="s">
        <v>45</v>
      </c>
      <c r="B55" s="11">
        <v>0.2</v>
      </c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5">
      <c r="A56" s="6"/>
    </row>
    <row r="57" spans="1:13" x14ac:dyDescent="0.25">
      <c r="A57" s="7" t="s">
        <v>11</v>
      </c>
      <c r="B57" s="8">
        <v>0</v>
      </c>
      <c r="C57" s="8">
        <v>1</v>
      </c>
      <c r="D57" s="8">
        <v>2</v>
      </c>
      <c r="E57" s="8">
        <v>3</v>
      </c>
      <c r="F57" s="8">
        <v>4</v>
      </c>
      <c r="G57" s="8">
        <v>5</v>
      </c>
      <c r="H57" s="3"/>
      <c r="I57" s="3"/>
      <c r="J57" s="3"/>
      <c r="K57" s="3"/>
      <c r="L57" s="3"/>
      <c r="M57" s="3"/>
    </row>
    <row r="58" spans="1:13" x14ac:dyDescent="0.25">
      <c r="A58" s="2" t="s">
        <v>46</v>
      </c>
      <c r="C58" s="9">
        <f ca="1">C51</f>
        <v>175.98947368421042</v>
      </c>
      <c r="D58" s="9">
        <f ca="1">D51</f>
        <v>188.11362880886418</v>
      </c>
      <c r="E58" s="9">
        <f ca="1">E51</f>
        <v>200.87390552558443</v>
      </c>
      <c r="F58" s="9">
        <f ca="1">F51</f>
        <v>214.27325347562899</v>
      </c>
      <c r="G58" s="12">
        <f ca="1">G51</f>
        <v>228.30853173611686</v>
      </c>
    </row>
    <row r="59" spans="1:13" x14ac:dyDescent="0.25">
      <c r="A59" s="2" t="s">
        <v>47</v>
      </c>
      <c r="G59" s="29">
        <f ca="1">SUM(G36:G38)</f>
        <v>1811.6619924010031</v>
      </c>
      <c r="H59" s="31" t="str">
        <f ca="1">[2]!getformula(G59)</f>
        <v>&lt;--  =SUM(G36:G38)</v>
      </c>
    </row>
    <row r="60" spans="1:13" x14ac:dyDescent="0.25">
      <c r="A60" s="2" t="s">
        <v>48</v>
      </c>
      <c r="C60" s="9">
        <f ca="1">C59+C58</f>
        <v>175.98947368421042</v>
      </c>
      <c r="D60" s="9">
        <f ca="1">D59+D58</f>
        <v>188.11362880886418</v>
      </c>
      <c r="E60" s="9">
        <f ca="1">E59+E58</f>
        <v>200.87390552558443</v>
      </c>
      <c r="F60" s="9">
        <f ca="1">F59+F58</f>
        <v>214.27325347562899</v>
      </c>
      <c r="G60" s="12">
        <f ca="1">G59+G58</f>
        <v>2039.97052413712</v>
      </c>
    </row>
    <row r="62" spans="1:13" x14ac:dyDescent="0.25">
      <c r="A62" s="2" t="s">
        <v>49</v>
      </c>
      <c r="B62" s="12">
        <f ca="1">NPV(B55,C60:G60)</f>
        <v>1316.691171343723</v>
      </c>
      <c r="C62" s="2" t="str">
        <f ca="1">[2]!getformula(B62)</f>
        <v>&lt;--  =NPV(B55,C60:G60)</v>
      </c>
    </row>
    <row r="63" spans="1:13" x14ac:dyDescent="0.25">
      <c r="A63" s="2" t="s">
        <v>50</v>
      </c>
      <c r="B63" s="12">
        <f>B27</f>
        <v>80</v>
      </c>
    </row>
    <row r="64" spans="1:13" x14ac:dyDescent="0.25">
      <c r="A64" s="2" t="s">
        <v>51</v>
      </c>
      <c r="B64" s="12">
        <f ca="1">B63+B62</f>
        <v>1396.691171343723</v>
      </c>
    </row>
    <row r="65" spans="1:8" x14ac:dyDescent="0.25">
      <c r="A65" s="2" t="s">
        <v>52</v>
      </c>
      <c r="B65" s="12">
        <f>-B36</f>
        <v>-320</v>
      </c>
    </row>
    <row r="66" spans="1:8" x14ac:dyDescent="0.25">
      <c r="A66" s="2" t="s">
        <v>53</v>
      </c>
      <c r="B66" s="12">
        <f ca="1">B64+B65</f>
        <v>1076.691171343723</v>
      </c>
    </row>
    <row r="67" spans="1:8" x14ac:dyDescent="0.25">
      <c r="B67" s="12"/>
    </row>
    <row r="68" spans="1:8" ht="17.399999999999999" x14ac:dyDescent="0.3">
      <c r="A68" s="10" t="s">
        <v>54</v>
      </c>
      <c r="B68" s="12"/>
    </row>
    <row r="69" spans="1:8" x14ac:dyDescent="0.25">
      <c r="A69" s="2" t="s">
        <v>55</v>
      </c>
      <c r="B69" s="12">
        <f ca="1">B62</f>
        <v>1316.691171343723</v>
      </c>
    </row>
    <row r="70" spans="1:8" x14ac:dyDescent="0.25">
      <c r="A70" s="2" t="s">
        <v>56</v>
      </c>
      <c r="B70" s="12">
        <f>-B36+B27</f>
        <v>-240</v>
      </c>
      <c r="C70" s="2" t="str">
        <f ca="1">[2]!getformula(B70)</f>
        <v>&lt;--  =-B36+B27</v>
      </c>
    </row>
    <row r="71" spans="1:8" x14ac:dyDescent="0.25">
      <c r="A71" s="2" t="s">
        <v>53</v>
      </c>
      <c r="B71" s="12">
        <f ca="1">B69+B70</f>
        <v>1076.691171343723</v>
      </c>
    </row>
    <row r="72" spans="1:8" x14ac:dyDescent="0.25">
      <c r="B72" s="12"/>
    </row>
    <row r="74" spans="1:8" ht="17.399999999999999" x14ac:dyDescent="0.3">
      <c r="A74" s="10" t="s">
        <v>57</v>
      </c>
    </row>
    <row r="75" spans="1:8" x14ac:dyDescent="0.25">
      <c r="A75" s="6" t="s">
        <v>45</v>
      </c>
      <c r="B75" s="11">
        <f>B55</f>
        <v>0.2</v>
      </c>
      <c r="C75" s="6"/>
      <c r="D75" s="6"/>
      <c r="E75" s="6"/>
      <c r="F75" s="6"/>
      <c r="G75" s="6"/>
      <c r="H75" s="6"/>
    </row>
    <row r="76" spans="1:8" x14ac:dyDescent="0.25">
      <c r="A76" s="6"/>
    </row>
    <row r="77" spans="1:8" x14ac:dyDescent="0.25">
      <c r="A77" s="7" t="s">
        <v>11</v>
      </c>
      <c r="B77" s="8">
        <v>0</v>
      </c>
      <c r="C77" s="8">
        <v>1</v>
      </c>
      <c r="D77" s="8">
        <v>2</v>
      </c>
      <c r="E77" s="8">
        <v>3</v>
      </c>
      <c r="F77" s="8">
        <v>4</v>
      </c>
      <c r="G77" s="8">
        <v>5</v>
      </c>
      <c r="H77" s="3"/>
    </row>
    <row r="78" spans="1:8" x14ac:dyDescent="0.25">
      <c r="A78" s="2" t="s">
        <v>46</v>
      </c>
      <c r="C78" s="9">
        <f ca="1">C58</f>
        <v>175.98947368421042</v>
      </c>
      <c r="D78" s="9">
        <f ca="1">D58</f>
        <v>188.11362880886418</v>
      </c>
      <c r="E78" s="9">
        <f ca="1">E58</f>
        <v>200.87390552558443</v>
      </c>
      <c r="F78" s="9">
        <f ca="1">F58</f>
        <v>214.27325347562899</v>
      </c>
      <c r="G78" s="9">
        <f ca="1">G58</f>
        <v>228.30853173611686</v>
      </c>
    </row>
    <row r="79" spans="1:8" x14ac:dyDescent="0.25">
      <c r="A79" s="2" t="s">
        <v>47</v>
      </c>
      <c r="G79" s="13">
        <f ca="1">SUM(G36:G38)</f>
        <v>1811.6619924010031</v>
      </c>
      <c r="H79" s="2" t="str">
        <f ca="1">[2]!getformula(G79)</f>
        <v>&lt;--  =SUM(G36:G38)</v>
      </c>
    </row>
    <row r="80" spans="1:8" x14ac:dyDescent="0.25">
      <c r="A80" s="2" t="s">
        <v>48</v>
      </c>
      <c r="C80" s="9">
        <f ca="1">C79+C78</f>
        <v>175.98947368421042</v>
      </c>
      <c r="D80" s="9">
        <f ca="1">D79+D78</f>
        <v>188.11362880886418</v>
      </c>
      <c r="E80" s="9">
        <f ca="1">E79+E78</f>
        <v>200.87390552558443</v>
      </c>
      <c r="F80" s="9">
        <f ca="1">F79+F78</f>
        <v>214.27325347562899</v>
      </c>
      <c r="G80" s="12">
        <f ca="1">G79+G78</f>
        <v>2039.97052413712</v>
      </c>
    </row>
    <row r="82" spans="1:4" x14ac:dyDescent="0.25">
      <c r="A82" s="2" t="s">
        <v>58</v>
      </c>
      <c r="B82" s="12">
        <f ca="1">NPV(B75,C80:G80)*(1+B75)</f>
        <v>1580.0294056124676</v>
      </c>
      <c r="C82" s="2" t="s">
        <v>59</v>
      </c>
    </row>
    <row r="83" spans="1:4" x14ac:dyDescent="0.25">
      <c r="A83" s="2" t="s">
        <v>50</v>
      </c>
      <c r="B83" s="12">
        <f>B27</f>
        <v>80</v>
      </c>
    </row>
    <row r="84" spans="1:4" x14ac:dyDescent="0.25">
      <c r="A84" s="2" t="s">
        <v>51</v>
      </c>
      <c r="B84" s="12">
        <f ca="1">B83+B82</f>
        <v>1660.0294056124676</v>
      </c>
    </row>
    <row r="85" spans="1:4" x14ac:dyDescent="0.25">
      <c r="A85" s="2" t="s">
        <v>52</v>
      </c>
      <c r="B85" s="12">
        <f>B65</f>
        <v>-320</v>
      </c>
    </row>
    <row r="86" spans="1:4" x14ac:dyDescent="0.25">
      <c r="A86" s="2" t="s">
        <v>53</v>
      </c>
      <c r="B86" s="12">
        <f ca="1">B84+B85</f>
        <v>1340.0294056124676</v>
      </c>
    </row>
    <row r="90" spans="1:4" x14ac:dyDescent="0.25">
      <c r="B90" s="14" t="s">
        <v>60</v>
      </c>
      <c r="C90" s="12">
        <f ca="1">B86</f>
        <v>1340.0294056124676</v>
      </c>
      <c r="D90" s="2" t="str">
        <f ca="1">[2]!getformula(C90)</f>
        <v>&lt;--  =B86</v>
      </c>
    </row>
    <row r="91" spans="1:4" x14ac:dyDescent="0.25">
      <c r="B91" s="15">
        <v>0</v>
      </c>
      <c r="C91" s="12">
        <f t="dataTable" ref="C91:C99" dt2D="0" dtr="0" r1="B2" ca="1"/>
        <v>1305.6455078992594</v>
      </c>
    </row>
    <row r="92" spans="1:4" x14ac:dyDescent="0.25">
      <c r="B92" s="15">
        <v>0.02</v>
      </c>
      <c r="C92" s="12">
        <v>1313.7939996198611</v>
      </c>
    </row>
    <row r="93" spans="1:4" x14ac:dyDescent="0.25">
      <c r="B93" s="15">
        <v>0.04</v>
      </c>
      <c r="C93" s="12">
        <v>1321.3765449133734</v>
      </c>
    </row>
    <row r="94" spans="1:4" x14ac:dyDescent="0.25">
      <c r="B94" s="15">
        <v>0.06</v>
      </c>
      <c r="C94" s="12">
        <v>1328.3249621889452</v>
      </c>
    </row>
    <row r="95" spans="1:4" x14ac:dyDescent="0.25">
      <c r="B95" s="15">
        <v>0.08</v>
      </c>
      <c r="C95" s="12">
        <v>1334.5676288288473</v>
      </c>
    </row>
    <row r="96" spans="1:4" x14ac:dyDescent="0.25">
      <c r="B96" s="25">
        <v>0.1</v>
      </c>
      <c r="C96" s="26">
        <v>1340.0294055067156</v>
      </c>
    </row>
    <row r="97" spans="1:11" x14ac:dyDescent="0.25">
      <c r="B97" s="15">
        <v>0.12</v>
      </c>
      <c r="C97" s="12">
        <v>1344.6315604910185</v>
      </c>
    </row>
    <row r="98" spans="1:11" x14ac:dyDescent="0.25">
      <c r="B98" s="15">
        <v>0.14000000000000001</v>
      </c>
      <c r="C98" s="12">
        <v>1348.2916939485201</v>
      </c>
    </row>
    <row r="99" spans="1:11" x14ac:dyDescent="0.25">
      <c r="B99" s="15">
        <v>0.16</v>
      </c>
      <c r="C99" s="12">
        <v>1350.9236622477504</v>
      </c>
    </row>
    <row r="105" spans="1:11" x14ac:dyDescent="0.25">
      <c r="A105" s="16" t="str">
        <f ca="1">"Cell "&amp;CHAR(COLUMN(B106)+64)&amp;ROW(B106)&amp;" contains formula "&amp;[2]!ggetformula(B106)</f>
        <v>Cell B106 contains formula =IF(B75&lt;=B2,"nmf",B86)</v>
      </c>
      <c r="C105" s="3" t="s">
        <v>61</v>
      </c>
    </row>
    <row r="106" spans="1:11" x14ac:dyDescent="0.25">
      <c r="B106" s="17">
        <f ca="1">IF(B75&lt;=B2,"nmf",B86)</f>
        <v>1340.0294056124676</v>
      </c>
      <c r="C106" s="18">
        <v>0.1</v>
      </c>
      <c r="D106" s="18">
        <v>0.12</v>
      </c>
      <c r="E106" s="18">
        <v>0.14000000000000001</v>
      </c>
      <c r="F106" s="18">
        <v>0.16</v>
      </c>
      <c r="G106" s="18">
        <v>0.18</v>
      </c>
      <c r="H106" s="27">
        <v>0.2</v>
      </c>
      <c r="I106" s="18">
        <v>0.22</v>
      </c>
      <c r="J106" s="18">
        <v>0.24</v>
      </c>
      <c r="K106" s="18">
        <v>0.26</v>
      </c>
    </row>
    <row r="107" spans="1:11" x14ac:dyDescent="0.25">
      <c r="B107" s="18">
        <v>0</v>
      </c>
      <c r="C107" s="17">
        <f t="dataTable" ref="C107:K115" dt2D="1" dtr="1" r1="B75" r2="B2" ca="1"/>
        <v>1742.8255838823375</v>
      </c>
      <c r="D107" s="17">
        <v>1640.4805152306324</v>
      </c>
      <c r="E107" s="17">
        <v>1546.3471381179804</v>
      </c>
      <c r="F107" s="17">
        <v>1459.6240115135113</v>
      </c>
      <c r="G107" s="17">
        <v>1379.6005791070143</v>
      </c>
      <c r="H107" s="28">
        <v>1305.6455079381851</v>
      </c>
      <c r="I107" s="17">
        <v>1237.1966894169818</v>
      </c>
      <c r="J107" s="17">
        <v>1173.7526430101511</v>
      </c>
      <c r="K107" s="17">
        <v>1114.8651068477047</v>
      </c>
    </row>
    <row r="108" spans="1:11" x14ac:dyDescent="0.25">
      <c r="A108" s="19" t="s">
        <v>62</v>
      </c>
      <c r="B108" s="18">
        <v>0.02</v>
      </c>
      <c r="C108" s="17">
        <v>1760.9203352080885</v>
      </c>
      <c r="D108" s="17">
        <v>1656.2114081555519</v>
      </c>
      <c r="E108" s="17">
        <v>1559.9213108380593</v>
      </c>
      <c r="F108" s="17">
        <v>1471.2275812450125</v>
      </c>
      <c r="G108" s="17">
        <v>1389.401077466578</v>
      </c>
      <c r="H108" s="28">
        <v>1313.7939996443508</v>
      </c>
      <c r="I108" s="17">
        <v>1243.8296198804599</v>
      </c>
      <c r="J108" s="17">
        <v>1178.9934531988981</v>
      </c>
      <c r="K108" s="17">
        <v>1118.8256478691478</v>
      </c>
    </row>
    <row r="109" spans="1:11" x14ac:dyDescent="0.25">
      <c r="B109" s="18">
        <v>0.04</v>
      </c>
      <c r="C109" s="17">
        <v>1778.5076134283122</v>
      </c>
      <c r="D109" s="17">
        <v>1671.4177047323867</v>
      </c>
      <c r="E109" s="17">
        <v>1572.956849220893</v>
      </c>
      <c r="F109" s="17">
        <v>1482.2811677406689</v>
      </c>
      <c r="G109" s="17">
        <v>1398.6425884709815</v>
      </c>
      <c r="H109" s="28">
        <v>1321.3765449382063</v>
      </c>
      <c r="I109" s="17">
        <v>1249.8914286400127</v>
      </c>
      <c r="J109" s="17">
        <v>1183.6595220299325</v>
      </c>
      <c r="K109" s="17">
        <v>1122.209184080466</v>
      </c>
    </row>
    <row r="110" spans="1:11" x14ac:dyDescent="0.25">
      <c r="B110" s="18">
        <v>0.06</v>
      </c>
      <c r="C110" s="17">
        <v>1795.5000649539375</v>
      </c>
      <c r="D110" s="17">
        <v>1686.0164390472228</v>
      </c>
      <c r="E110" s="17">
        <v>1585.3748738487345</v>
      </c>
      <c r="F110" s="17">
        <v>1492.7097027188358</v>
      </c>
      <c r="G110" s="17">
        <v>1407.2536028170825</v>
      </c>
      <c r="H110" s="28">
        <v>1328.3249622141257</v>
      </c>
      <c r="I110" s="17">
        <v>1255.3170493257053</v>
      </c>
      <c r="J110" s="17">
        <v>1187.688702902635</v>
      </c>
      <c r="K110" s="17">
        <v>1124.9563085595414</v>
      </c>
    </row>
    <row r="111" spans="1:11" x14ac:dyDescent="0.25">
      <c r="B111" s="18">
        <v>0.08</v>
      </c>
      <c r="C111" s="17">
        <v>1811.805610688024</v>
      </c>
      <c r="D111" s="17">
        <v>1699.9202207566486</v>
      </c>
      <c r="E111" s="17">
        <v>1597.09235762498</v>
      </c>
      <c r="F111" s="17">
        <v>1502.4342250167422</v>
      </c>
      <c r="G111" s="17">
        <v>1415.1589532563089</v>
      </c>
      <c r="H111" s="28">
        <v>1334.5676288543802</v>
      </c>
      <c r="I111" s="17">
        <v>1260.0381751441118</v>
      </c>
      <c r="J111" s="17">
        <v>1191.0157945173041</v>
      </c>
      <c r="K111" s="17">
        <v>1127.0047318701954</v>
      </c>
    </row>
    <row r="112" spans="1:11" x14ac:dyDescent="0.25">
      <c r="B112" s="27">
        <v>0.1</v>
      </c>
      <c r="C112" s="28" t="str">
        <v>nmf</v>
      </c>
      <c r="D112" s="28">
        <v>1713.0371353344581</v>
      </c>
      <c r="E112" s="28">
        <v>1608.0220328386868</v>
      </c>
      <c r="F112" s="28">
        <v>1511.3717939004875</v>
      </c>
      <c r="G112" s="28">
        <v>1422.2797336342064</v>
      </c>
      <c r="H112" s="28">
        <v>1340.0294055326062</v>
      </c>
      <c r="I112" s="28">
        <v>1263.9831880247593</v>
      </c>
      <c r="J112" s="28">
        <v>1193.5724744833899</v>
      </c>
      <c r="K112" s="28">
        <v>1128.2892197864635</v>
      </c>
    </row>
    <row r="113" spans="2:11" x14ac:dyDescent="0.25">
      <c r="B113" s="18">
        <v>0.12</v>
      </c>
      <c r="C113" s="17" t="str">
        <v>nmf</v>
      </c>
      <c r="D113" s="17" t="str">
        <v>nmf</v>
      </c>
      <c r="E113" s="17">
        <v>1618.0722982290918</v>
      </c>
      <c r="F113" s="17">
        <v>1519.4354023750404</v>
      </c>
      <c r="G113" s="17">
        <v>1428.5332179299805</v>
      </c>
      <c r="H113" s="28">
        <v>1344.6315605172708</v>
      </c>
      <c r="I113" s="17">
        <v>1267.0770877665732</v>
      </c>
      <c r="J113" s="17">
        <v>1195.2872329277243</v>
      </c>
      <c r="K113" s="17">
        <v>1128.7415310168699</v>
      </c>
    </row>
    <row r="114" spans="2:11" x14ac:dyDescent="0.25">
      <c r="B114" s="18">
        <v>0.14000000000000001</v>
      </c>
      <c r="C114" s="17" t="str">
        <v>nmf</v>
      </c>
      <c r="D114" s="17" t="str">
        <v>nmf</v>
      </c>
      <c r="E114" s="17" t="str">
        <v>nmf</v>
      </c>
      <c r="F114" s="17">
        <v>1526.5338904942353</v>
      </c>
      <c r="G114" s="17">
        <v>1433.8327792960404</v>
      </c>
      <c r="H114" s="28">
        <v>1348.2916939751392</v>
      </c>
      <c r="I114" s="17">
        <v>1269.2414211843184</v>
      </c>
      <c r="J114" s="17">
        <v>1196.0853061027551</v>
      </c>
      <c r="K114" s="17">
        <v>1128.2903549287009</v>
      </c>
    </row>
    <row r="115" spans="2:11" x14ac:dyDescent="0.25">
      <c r="B115" s="18">
        <v>0.16</v>
      </c>
      <c r="C115" s="17" t="str">
        <v>nmf</v>
      </c>
      <c r="D115" s="17" t="str">
        <v>nmf</v>
      </c>
      <c r="E115" s="17" t="str">
        <v>nmf</v>
      </c>
      <c r="F115" s="17" t="str">
        <v>nmf</v>
      </c>
      <c r="G115" s="17">
        <v>1438.0878090975455</v>
      </c>
      <c r="H115" s="28">
        <v>1350.9236622747408</v>
      </c>
      <c r="I115" s="17">
        <v>1270.3942112550467</v>
      </c>
      <c r="J115" s="17">
        <v>1195.8886099947763</v>
      </c>
      <c r="K115" s="17">
        <v>1126.8612492722827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2024-10-14T05:26:35Z</dcterms:modified>
</cp:coreProperties>
</file>