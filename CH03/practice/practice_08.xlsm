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4C9B9450-E9DA-44B0-9E0D-6A48EE62C18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0" i="1" l="1"/>
  <c r="B82" i="1"/>
  <c r="B70" i="1"/>
  <c r="C37" i="1"/>
  <c r="D37" i="1" s="1"/>
  <c r="E37" i="1" s="1"/>
  <c r="F37" i="1" s="1"/>
  <c r="G37" i="1" s="1"/>
  <c r="B18" i="1"/>
  <c r="B15" i="1"/>
  <c r="B28" i="1" s="1"/>
  <c r="A112" i="1"/>
  <c r="C69" i="1"/>
  <c r="C77" i="1"/>
  <c r="H86" i="1"/>
  <c r="D97" i="1"/>
  <c r="H66" i="1"/>
  <c r="B35" i="1" l="1"/>
  <c r="C15" i="1"/>
  <c r="B32" i="1"/>
  <c r="B30" i="1" s="1"/>
  <c r="B16" i="1"/>
  <c r="C16" i="1" l="1"/>
  <c r="C35" i="1"/>
  <c r="C32" i="1"/>
  <c r="D15" i="1"/>
  <c r="C28" i="1"/>
  <c r="C46" i="1" s="1"/>
  <c r="B33" i="1"/>
  <c r="B36" i="1" s="1"/>
  <c r="B17" i="1" l="1"/>
  <c r="B20" i="1" s="1"/>
  <c r="B21" i="1" s="1"/>
  <c r="B22" i="1" s="1"/>
  <c r="B23" i="1" s="1"/>
  <c r="B24" i="1" s="1"/>
  <c r="B77" i="1"/>
  <c r="C36" i="1"/>
  <c r="B72" i="1"/>
  <c r="B92" i="1" s="1"/>
  <c r="B39" i="1"/>
  <c r="D16" i="1"/>
  <c r="D32" i="1"/>
  <c r="E15" i="1"/>
  <c r="D28" i="1"/>
  <c r="D46" i="1" s="1"/>
  <c r="D35" i="1"/>
  <c r="C47" i="1"/>
  <c r="E35" i="1" l="1"/>
  <c r="E16" i="1"/>
  <c r="E32" i="1"/>
  <c r="F15" i="1"/>
  <c r="E28" i="1"/>
  <c r="E46" i="1" s="1"/>
  <c r="D47" i="1"/>
  <c r="D36" i="1"/>
  <c r="D17" i="1" s="1"/>
  <c r="C17" i="1"/>
  <c r="D49" i="1" l="1"/>
  <c r="E36" i="1"/>
  <c r="E17" i="1" s="1"/>
  <c r="F16" i="1"/>
  <c r="F32" i="1"/>
  <c r="G15" i="1"/>
  <c r="F28" i="1"/>
  <c r="F46" i="1" s="1"/>
  <c r="F35" i="1"/>
  <c r="C49" i="1"/>
  <c r="E47" i="1"/>
  <c r="F47" i="1" l="1"/>
  <c r="G16" i="1"/>
  <c r="G32" i="1"/>
  <c r="G28" i="1"/>
  <c r="G46" i="1" s="1"/>
  <c r="G35" i="1"/>
  <c r="E49" i="1"/>
  <c r="F36" i="1"/>
  <c r="F17" i="1"/>
  <c r="G47" i="1" l="1"/>
  <c r="G36" i="1"/>
  <c r="G17" i="1" s="1"/>
  <c r="G49" i="1" s="1"/>
  <c r="F49" i="1"/>
  <c r="C18" i="1" l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4" i="1"/>
  <c r="D44" i="1"/>
  <c r="E44" i="1"/>
  <c r="F44" i="1"/>
  <c r="G44" i="1"/>
  <c r="C45" i="1"/>
  <c r="D45" i="1"/>
  <c r="E45" i="1"/>
  <c r="F45" i="1"/>
  <c r="G45" i="1"/>
  <c r="C48" i="1"/>
  <c r="D48" i="1"/>
  <c r="E48" i="1"/>
  <c r="F48" i="1"/>
  <c r="G48" i="1"/>
  <c r="C50" i="1"/>
  <c r="D50" i="1"/>
  <c r="E50" i="1"/>
  <c r="F50" i="1"/>
  <c r="G50" i="1"/>
  <c r="C51" i="1"/>
  <c r="D51" i="1"/>
  <c r="E51" i="1"/>
  <c r="F51" i="1"/>
  <c r="G51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65" i="1"/>
  <c r="D65" i="1"/>
  <c r="E65" i="1"/>
  <c r="F65" i="1"/>
  <c r="G65" i="1"/>
  <c r="G66" i="1"/>
  <c r="C67" i="1"/>
  <c r="D67" i="1"/>
  <c r="E67" i="1"/>
  <c r="F67" i="1"/>
  <c r="G67" i="1"/>
  <c r="B69" i="1"/>
  <c r="B71" i="1"/>
  <c r="B73" i="1"/>
  <c r="B76" i="1"/>
  <c r="B78" i="1"/>
  <c r="C85" i="1"/>
  <c r="D85" i="1"/>
  <c r="E85" i="1"/>
  <c r="F85" i="1"/>
  <c r="G85" i="1"/>
  <c r="G86" i="1"/>
  <c r="C87" i="1"/>
  <c r="D87" i="1"/>
  <c r="E87" i="1"/>
  <c r="F87" i="1"/>
  <c r="G87" i="1"/>
  <c r="B89" i="1"/>
  <c r="B91" i="1"/>
  <c r="B93" i="1"/>
  <c r="C97" i="1"/>
  <c r="B113" i="1"/>
</calcChain>
</file>

<file path=xl/sharedStrings.xml><?xml version="1.0" encoding="utf-8"?>
<sst xmlns="http://schemas.openxmlformats.org/spreadsheetml/2006/main" count="93" uniqueCount="70">
  <si>
    <t>EXERCISE 7--TERMINAL VALUE = DEBT + EQUITY AT BOOK VALUE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</si>
  <si>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</si>
  <si>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</si>
  <si>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</si>
  <si>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</si>
  <si>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</si>
  <si>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</si>
  <si>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</si>
  <si>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</si>
  <si>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</si>
  <si>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</si>
  <si>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</si>
  <si>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</si>
  <si>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</si>
  <si>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</si>
  <si>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</si>
  <si>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</si>
  <si>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</si>
  <si>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</si>
  <si>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</si>
  <si>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</si>
  <si>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</si>
  <si>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</si>
  <si>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</si>
  <si>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</si>
  <si>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</si>
  <si>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</si>
  <si>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</si>
  <si>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</si>
  <si>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</si>
  <si>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</si>
  <si>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</si>
  <si>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</si>
  <si>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</si>
  <si>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</si>
  <si>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</si>
  <si>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</si>
  <si>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</si>
  <si>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</si>
  <si>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</si>
  <si>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</si>
  <si>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</si>
  <si>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</si>
  <si>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</si>
  <si>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Valuing the firm</t>
  </si>
  <si>
    <t>Weighted average cost of capital</t>
  </si>
  <si>
    <t>FCF</t>
  </si>
  <si>
    <t>Terminal value</t>
  </si>
  <si>
    <t>Total</t>
  </si>
  <si>
    <t>NPV of row 61</t>
  </si>
  <si>
    <t>Add in initial (year 0) cash and mkt. securities</t>
  </si>
  <si>
    <t>Enterprise value</t>
  </si>
  <si>
    <t>Subtract out value of firm's debt today</t>
  </si>
  <si>
    <t>Equity value</t>
  </si>
  <si>
    <t>Cash and marketable securities as negative debt</t>
  </si>
  <si>
    <t>NPV of row 61 = enterprise value</t>
  </si>
  <si>
    <t>Net year 0 debt</t>
  </si>
  <si>
    <t>Valuing the firm--using mid-year discounting</t>
  </si>
  <si>
    <t>NPV of row 81</t>
  </si>
  <si>
    <t>&lt;-- =NPV(B76,C81:G81)*(1+B76)</t>
  </si>
  <si>
    <t>Growth</t>
  </si>
  <si>
    <t>WACC</t>
  </si>
  <si>
    <t>growth rate of sales</t>
  </si>
  <si>
    <t>if</t>
    <phoneticPr fontId="1" type="noConversion"/>
  </si>
  <si>
    <t>ave</t>
    <phoneticPr fontId="1" type="noConversion"/>
  </si>
  <si>
    <t>EBITDA multiple for terminal value</t>
  </si>
  <si>
    <t>EBITDA Calculation</t>
  </si>
  <si>
    <t>Profit before taxes</t>
  </si>
  <si>
    <t>Add back net interest</t>
  </si>
  <si>
    <t>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</si>
</sst>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_);_(* \(#,##0\);_(* &quot;-&quot;??_);_(@_)"/>
    <numFmt numFmtId="177" formatCode="0_);\(0\)"/>
    <numFmt numFmtId="178" formatCode="0_ 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6" fontId="0" fillId="0" borderId="0" xfId="1" applyNumberFormat="1" applyFont="1" applyAlignment="1"/>
    <xf numFmtId="0" fontId="5" fillId="0" borderId="0" xfId="0" applyFont="1" applyAlignment="1"/>
    <xf numFmtId="177" fontId="4" fillId="0" borderId="0" xfId="0" applyNumberFormat="1" applyFont="1" applyAlignment="1"/>
    <xf numFmtId="177" fontId="4" fillId="0" borderId="0" xfId="0" applyNumberFormat="1" applyFont="1" applyAlignment="1">
      <alignment horizontal="center"/>
    </xf>
    <xf numFmtId="177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0" fontId="0" fillId="0" borderId="0" xfId="0" applyAlignment="1">
      <alignment horizontal="center"/>
    </xf>
    <xf numFmtId="0" fontId="0" fillId="2" borderId="0" xfId="0" applyFill="1" applyAlignment="1"/>
    <xf numFmtId="43" fontId="0" fillId="0" borderId="0" xfId="1" applyFont="1" applyAlignment="1"/>
    <xf numFmtId="0" fontId="4" fillId="0" borderId="0" xfId="0" applyFont="1" applyAlignment="1">
      <alignment horizontal="right"/>
    </xf>
    <xf numFmtId="0" fontId="0" fillId="3" borderId="0" xfId="0" applyFill="1" applyAlignment="1"/>
    <xf numFmtId="9" fontId="0" fillId="3" borderId="0" xfId="0" applyNumberFormat="1" applyFill="1" applyAlignment="1"/>
    <xf numFmtId="0" fontId="0" fillId="4" borderId="0" xfId="0" applyFill="1" applyAlignment="1"/>
    <xf numFmtId="9" fontId="0" fillId="4" borderId="0" xfId="0" applyNumberFormat="1" applyFill="1" applyAlignment="1"/>
    <xf numFmtId="10" fontId="0" fillId="4" borderId="0" xfId="0" applyNumberFormat="1" applyFill="1" applyAlignment="1"/>
    <xf numFmtId="3" fontId="0" fillId="4" borderId="0" xfId="0" applyNumberFormat="1" applyFill="1" applyAlignment="1"/>
    <xf numFmtId="43" fontId="0" fillId="4" borderId="0" xfId="1" applyFont="1" applyFill="1" applyAlignment="1"/>
    <xf numFmtId="3" fontId="0" fillId="4" borderId="0" xfId="0" quotePrefix="1" applyNumberFormat="1" applyFill="1" applyAlignment="1"/>
    <xf numFmtId="176" fontId="0" fillId="4" borderId="0" xfId="1" applyNumberFormat="1" applyFont="1" applyFill="1" applyAlignment="1"/>
    <xf numFmtId="0" fontId="6" fillId="0" borderId="0" xfId="0" applyFont="1" applyAlignment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176" fontId="0" fillId="3" borderId="0" xfId="0" applyNumberFormat="1" applyFill="1" applyAlignment="1"/>
    <xf numFmtId="0" fontId="5" fillId="3" borderId="0" xfId="0" applyFont="1" applyFill="1" applyAlignment="1"/>
    <xf numFmtId="0" fontId="5" fillId="3" borderId="0" xfId="0" applyFont="1" applyFill="1" applyAlignment="1">
      <alignment horizontal="right"/>
    </xf>
    <xf numFmtId="178" fontId="0" fillId="0" borderId="0" xfId="0" applyNumberFormat="1" applyAlignment="1">
      <alignment horizontal="center"/>
    </xf>
    <xf numFmtId="3" fontId="0" fillId="0" borderId="0" xfId="0" applyNumberFormat="1" applyFill="1" applyAlignment="1"/>
    <xf numFmtId="178" fontId="0" fillId="4" borderId="0" xfId="0" applyNumberFormat="1" applyFill="1" applyAlignment="1">
      <alignment horizontal="center"/>
    </xf>
    <xf numFmtId="9" fontId="4" fillId="0" borderId="0" xfId="0" applyNumberFormat="1" applyFont="1" applyFill="1" applyAlignment="1"/>
    <xf numFmtId="43" fontId="0" fillId="0" borderId="0" xfId="1" applyFont="1" applyFill="1" applyAlignment="1"/>
    <xf numFmtId="177" fontId="4" fillId="5" borderId="0" xfId="0" applyNumberFormat="1" applyFont="1" applyFill="1" applyAlignment="1"/>
    <xf numFmtId="0" fontId="0" fillId="5" borderId="0" xfId="0" applyFill="1" applyAlignment="1"/>
    <xf numFmtId="178" fontId="0" fillId="0" borderId="0" xfId="0" applyNumberForma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Sales Growth and  Equity Value</a:t>
            </a:r>
          </a:p>
        </c:rich>
      </c:tx>
      <c:layout>
        <c:manualLayout>
          <c:xMode val="edge"/>
          <c:yMode val="edge"/>
          <c:x val="0.18351091751828894"/>
          <c:y val="4.03225806451612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948729184651185"/>
          <c:y val="0.11320791220859074"/>
          <c:w val="0.74871841741687784"/>
          <c:h val="0.6150963230000097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'[2]Exercise 7'!$B$91:$B$99</c:f>
              <c:numCache>
                <c:formatCode>General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</c:numCache>
            </c:numRef>
          </c:xVal>
          <c:yVal>
            <c:numRef>
              <c:f>'[2]Exercise 7'!$C$91:$C$99</c:f>
              <c:numCache>
                <c:formatCode>General</c:formatCode>
                <c:ptCount val="9"/>
                <c:pt idx="0">
                  <c:v>1028.2335523295262</c:v>
                </c:pt>
                <c:pt idx="1">
                  <c:v>1100.3717414506436</c:v>
                </c:pt>
                <c:pt idx="2">
                  <c:v>1190.5444776647837</c:v>
                </c:pt>
                <c:pt idx="3">
                  <c:v>1306.480852797253</c:v>
                </c:pt>
                <c:pt idx="4">
                  <c:v>1461.0626863072096</c:v>
                </c:pt>
                <c:pt idx="5">
                  <c:v>1677.4772532211514</c:v>
                </c:pt>
                <c:pt idx="6">
                  <c:v>2002.0991035920624</c:v>
                </c:pt>
                <c:pt idx="7">
                  <c:v>2543.1355208769246</c:v>
                </c:pt>
                <c:pt idx="8">
                  <c:v>3625.2083554466408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F-4387-BB94-92CEFE91B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440648"/>
        <c:axId val="1"/>
      </c:scatterChart>
      <c:valAx>
        <c:axId val="923440648"/>
        <c:scaling>
          <c:orientation val="minMax"/>
          <c:max val="0.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2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234406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94</xdr:row>
      <xdr:rowOff>106680</xdr:rowOff>
    </xdr:from>
    <xdr:to>
      <xdr:col>9</xdr:col>
      <xdr:colOff>335280</xdr:colOff>
      <xdr:row>109</xdr:row>
      <xdr:rowOff>53340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C52457D6-87AE-4FC8-B6E8-6A409D039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1562100</xdr:colOff>
      <xdr:row>112</xdr:row>
      <xdr:rowOff>15240</xdr:rowOff>
    </xdr:from>
    <xdr:to>
      <xdr:col>0</xdr:col>
      <xdr:colOff>2430780</xdr:colOff>
      <xdr:row>112</xdr:row>
      <xdr:rowOff>91440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829EA8E-EF4F-411D-98F1-3266CE69E7BF}"/>
            </a:ext>
          </a:extLst>
        </xdr:cNvPr>
        <xdr:cNvSpPr>
          <a:spLocks noChangeShapeType="1"/>
        </xdr:cNvSpPr>
      </xdr:nvSpPr>
      <xdr:spPr bwMode="auto">
        <a:xfrm>
          <a:off x="1562100" y="18211800"/>
          <a:ext cx="8667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l 1 for reference"/>
      <sheetName val="Model 1 for reference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"/>
      <sheetName val="Exercise 9 (中文)"/>
      <sheetName val="Exercise 9, version 2"/>
      <sheetName val="Exercise 9, version 2 (中文)"/>
      <sheetName val="Exercise 10--setup"/>
      <sheetName val="Exercise 10--setup (中文)"/>
      <sheetName val="Exercise 10--solu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91">
          <cell r="B91">
            <v>0</v>
          </cell>
          <cell r="C91">
            <v>1028.2335523295262</v>
          </cell>
        </row>
        <row r="92">
          <cell r="B92">
            <v>0.02</v>
          </cell>
          <cell r="C92">
            <v>1100.3717414506436</v>
          </cell>
        </row>
        <row r="93">
          <cell r="B93">
            <v>0.04</v>
          </cell>
          <cell r="C93">
            <v>1190.5444776647837</v>
          </cell>
        </row>
        <row r="94">
          <cell r="B94">
            <v>0.06</v>
          </cell>
          <cell r="C94">
            <v>1306.480852797253</v>
          </cell>
        </row>
        <row r="95">
          <cell r="B95">
            <v>0.08</v>
          </cell>
          <cell r="C95">
            <v>1461.0626863072096</v>
          </cell>
        </row>
        <row r="96">
          <cell r="B96">
            <v>0.1</v>
          </cell>
          <cell r="C96">
            <v>1677.4772532211514</v>
          </cell>
        </row>
        <row r="97">
          <cell r="B97">
            <v>0.12</v>
          </cell>
          <cell r="C97">
            <v>2002.0991035920624</v>
          </cell>
        </row>
        <row r="98">
          <cell r="B98">
            <v>0.14000000000000001</v>
          </cell>
          <cell r="C98">
            <v>2543.1355208769246</v>
          </cell>
        </row>
        <row r="99">
          <cell r="B99">
            <v>0.16</v>
          </cell>
          <cell r="C99">
            <v>3625.2083554466408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122"/>
  <sheetViews>
    <sheetView tabSelected="1" topLeftCell="A90" zoomScale="160" zoomScaleNormal="160" workbookViewId="0">
      <selection activeCell="L112" sqref="L112"/>
    </sheetView>
  </sheetViews>
  <sheetFormatPr defaultRowHeight="13.8" x14ac:dyDescent="0.25"/>
  <cols>
    <col min="1" max="1" width="44.5546875" style="1" customWidth="1"/>
    <col min="2" max="2" width="9.6640625" style="1" bestFit="1" customWidth="1"/>
    <col min="3" max="7" width="9.33203125" style="1" bestFit="1" customWidth="1"/>
    <col min="8" max="8" width="18.5546875" style="1" bestFit="1" customWidth="1"/>
    <col min="9" max="11" width="9.33203125" style="1" bestFit="1" customWidth="1"/>
    <col min="12" max="13" width="8.88671875" style="1"/>
  </cols>
  <sheetData>
    <row r="1" spans="1:13" ht="17.399999999999999" x14ac:dyDescent="0.3">
      <c r="A1" s="27" t="s">
        <v>0</v>
      </c>
      <c r="B1" s="27"/>
      <c r="C1" s="27"/>
      <c r="D1" s="27"/>
      <c r="E1" s="27"/>
      <c r="F1" s="27"/>
      <c r="G1" s="27"/>
    </row>
    <row r="2" spans="1:13" x14ac:dyDescent="0.25">
      <c r="A2" s="17" t="s">
        <v>1</v>
      </c>
      <c r="B2" s="18">
        <v>0.1</v>
      </c>
      <c r="C2" s="1" t="s">
        <v>63</v>
      </c>
    </row>
    <row r="3" spans="1:13" x14ac:dyDescent="0.25">
      <c r="A3" s="17" t="s">
        <v>2</v>
      </c>
      <c r="B3" s="18">
        <v>0.15</v>
      </c>
      <c r="C3" s="1" t="s">
        <v>63</v>
      </c>
    </row>
    <row r="4" spans="1:13" x14ac:dyDescent="0.25">
      <c r="A4" s="17" t="s">
        <v>3</v>
      </c>
      <c r="B4" s="18">
        <v>0.08</v>
      </c>
      <c r="C4" s="1" t="s">
        <v>63</v>
      </c>
    </row>
    <row r="5" spans="1:13" x14ac:dyDescent="0.25">
      <c r="A5" s="17" t="s">
        <v>4</v>
      </c>
      <c r="B5" s="18">
        <v>0.77</v>
      </c>
      <c r="C5" s="1" t="s">
        <v>63</v>
      </c>
    </row>
    <row r="6" spans="1:13" x14ac:dyDescent="0.25">
      <c r="A6" s="17" t="s">
        <v>5</v>
      </c>
      <c r="B6" s="18">
        <v>0.5</v>
      </c>
      <c r="C6" s="1" t="s">
        <v>63</v>
      </c>
    </row>
    <row r="7" spans="1:13" x14ac:dyDescent="0.25">
      <c r="A7" s="19" t="s">
        <v>6</v>
      </c>
      <c r="B7" s="20">
        <v>0.1</v>
      </c>
      <c r="C7" s="1" t="s">
        <v>64</v>
      </c>
    </row>
    <row r="8" spans="1:13" x14ac:dyDescent="0.25">
      <c r="A8" s="19" t="s">
        <v>7</v>
      </c>
      <c r="B8" s="21">
        <v>0.1</v>
      </c>
      <c r="C8" s="1" t="s">
        <v>64</v>
      </c>
    </row>
    <row r="9" spans="1:13" x14ac:dyDescent="0.25">
      <c r="A9" s="19" t="s">
        <v>8</v>
      </c>
      <c r="B9" s="21">
        <v>0.08</v>
      </c>
      <c r="C9" s="1" t="s">
        <v>64</v>
      </c>
    </row>
    <row r="10" spans="1:13" x14ac:dyDescent="0.25">
      <c r="A10" s="17" t="s">
        <v>9</v>
      </c>
      <c r="B10" s="18">
        <v>0.4</v>
      </c>
      <c r="C10" s="1" t="s">
        <v>63</v>
      </c>
    </row>
    <row r="11" spans="1:13" x14ac:dyDescent="0.25">
      <c r="A11" s="17" t="s">
        <v>10</v>
      </c>
      <c r="B11" s="18">
        <v>0.4</v>
      </c>
      <c r="C11" s="1" t="s">
        <v>63</v>
      </c>
    </row>
    <row r="13" spans="1:13" x14ac:dyDescent="0.25">
      <c r="A13" s="2" t="s">
        <v>11</v>
      </c>
      <c r="B13" s="3">
        <v>0</v>
      </c>
      <c r="C13" s="3">
        <v>1</v>
      </c>
      <c r="D13" s="3">
        <v>2</v>
      </c>
      <c r="E13" s="3">
        <v>3</v>
      </c>
      <c r="F13" s="3">
        <v>4</v>
      </c>
      <c r="G13" s="3">
        <v>5</v>
      </c>
      <c r="H13" s="2"/>
      <c r="I13" s="2"/>
      <c r="J13" s="2"/>
      <c r="K13" s="2"/>
      <c r="L13" s="2"/>
      <c r="M13" s="2"/>
    </row>
    <row r="14" spans="1:13" x14ac:dyDescent="0.25">
      <c r="A14" s="2" t="s">
        <v>12</v>
      </c>
    </row>
    <row r="15" spans="1:13" x14ac:dyDescent="0.25">
      <c r="A15" s="1" t="s">
        <v>13</v>
      </c>
      <c r="B15" s="4">
        <f>1000</f>
        <v>1000</v>
      </c>
      <c r="C15" s="4">
        <f>B15*(1+$B$2)</f>
        <v>1100</v>
      </c>
      <c r="D15" s="4">
        <f>C15*(1+$B$2)</f>
        <v>1210</v>
      </c>
      <c r="E15" s="4">
        <f>D15*(1+$B$2)</f>
        <v>1331</v>
      </c>
      <c r="F15" s="4">
        <f>E15*(1+$B$2)</f>
        <v>1464.1000000000001</v>
      </c>
      <c r="G15" s="4">
        <f>F15*(1+$B$2)</f>
        <v>1610.5100000000002</v>
      </c>
    </row>
    <row r="16" spans="1:13" x14ac:dyDescent="0.25">
      <c r="A16" s="1" t="s">
        <v>14</v>
      </c>
      <c r="B16" s="4">
        <f t="shared" ref="B16:G16" si="0">-B15*$B$6</f>
        <v>-500</v>
      </c>
      <c r="C16" s="4">
        <f t="shared" si="0"/>
        <v>-550</v>
      </c>
      <c r="D16" s="4">
        <f t="shared" si="0"/>
        <v>-605</v>
      </c>
      <c r="E16" s="4">
        <f t="shared" si="0"/>
        <v>-665.5</v>
      </c>
      <c r="F16" s="4">
        <f t="shared" si="0"/>
        <v>-732.05000000000007</v>
      </c>
      <c r="G16" s="4">
        <f t="shared" si="0"/>
        <v>-805.25500000000011</v>
      </c>
    </row>
    <row r="17" spans="1:7" x14ac:dyDescent="0.25">
      <c r="A17" s="1" t="s">
        <v>15</v>
      </c>
      <c r="B17" s="4">
        <f>-$B$8*B36</f>
        <v>-32</v>
      </c>
      <c r="C17" s="4">
        <f>-$B$8*(B36+C36)/2</f>
        <v>-32</v>
      </c>
      <c r="D17" s="4">
        <f>-$B$8*(C36+D36)/2</f>
        <v>-32</v>
      </c>
      <c r="E17" s="4">
        <f>-$B$8*(D36+E36)/2</f>
        <v>-32</v>
      </c>
      <c r="F17" s="4">
        <f>-$B$8*(E36+F36)/2</f>
        <v>-32</v>
      </c>
      <c r="G17" s="4">
        <f>-$B$8*(F36+G36)/2</f>
        <v>-32</v>
      </c>
    </row>
    <row r="18" spans="1:7" x14ac:dyDescent="0.25">
      <c r="A18" s="1" t="s">
        <v>16</v>
      </c>
      <c r="B18" s="4">
        <f>$B$9*B27</f>
        <v>6.4</v>
      </c>
      <c r="C18" s="4">
        <f ca="1">$B$9*(B27+C27)/2</f>
        <v>8.9477956254272062</v>
      </c>
      <c r="D18" s="4">
        <f ca="1">$B$9*(C27+D27)/2</f>
        <v>14.276702863501569</v>
      </c>
      <c r="E18" s="4">
        <f ca="1">$B$9*(D27+E27)/2</f>
        <v>20.080913361163557</v>
      </c>
      <c r="F18" s="4">
        <f ca="1">$B$9*(E27+F27)/2</f>
        <v>26.376731259734132</v>
      </c>
      <c r="G18" s="4">
        <f ca="1">$B$9*(F27+G27)/2</f>
        <v>33.178068826054897</v>
      </c>
    </row>
    <row r="19" spans="1:7" x14ac:dyDescent="0.25">
      <c r="A19" s="1" t="s">
        <v>17</v>
      </c>
      <c r="B19" s="4">
        <v>-100</v>
      </c>
      <c r="C19" s="4">
        <f ca="1">-$B$7*(C30+B30)/2</f>
        <v>-116.68421052631579</v>
      </c>
      <c r="D19" s="4">
        <f ca="1">-$B$7*(D30+C30)/2</f>
        <v>-137.47728531855955</v>
      </c>
      <c r="E19" s="4">
        <f ca="1">-$B$7*(E30+D30)/2</f>
        <v>-161.31015745735533</v>
      </c>
      <c r="F19" s="4">
        <f ca="1">-$B$7*(F30+E30)/2</f>
        <v>-188.58791087391907</v>
      </c>
      <c r="G19" s="4">
        <f ca="1">-$B$7*(G30+F30)/2</f>
        <v>-219.76678043959475</v>
      </c>
    </row>
    <row r="20" spans="1:7" x14ac:dyDescent="0.25">
      <c r="A20" s="1" t="s">
        <v>18</v>
      </c>
      <c r="B20" s="4">
        <f t="shared" ref="B20:G20" si="1">SUM(B15:B19)</f>
        <v>374.4</v>
      </c>
      <c r="C20" s="4">
        <f t="shared" ca="1" si="1"/>
        <v>410.26358509911148</v>
      </c>
      <c r="D20" s="4">
        <f t="shared" ca="1" si="1"/>
        <v>449.799417544942</v>
      </c>
      <c r="E20" s="4">
        <f t="shared" ca="1" si="1"/>
        <v>492.27075590380821</v>
      </c>
      <c r="F20" s="4">
        <f t="shared" ca="1" si="1"/>
        <v>537.8388203858151</v>
      </c>
      <c r="G20" s="4">
        <f t="shared" ca="1" si="1"/>
        <v>586.66628838646022</v>
      </c>
    </row>
    <row r="21" spans="1:7" x14ac:dyDescent="0.25">
      <c r="A21" s="1" t="s">
        <v>19</v>
      </c>
      <c r="B21" s="4">
        <f t="shared" ref="B21:G21" si="2">-B20*$B$10</f>
        <v>-149.76</v>
      </c>
      <c r="C21" s="4">
        <f t="shared" ca="1" si="2"/>
        <v>-164.10543403964459</v>
      </c>
      <c r="D21" s="4">
        <f t="shared" ca="1" si="2"/>
        <v>-179.91976701797682</v>
      </c>
      <c r="E21" s="4">
        <f t="shared" ca="1" si="2"/>
        <v>-196.90830236152328</v>
      </c>
      <c r="F21" s="4">
        <f t="shared" ca="1" si="2"/>
        <v>-215.13552815432604</v>
      </c>
      <c r="G21" s="4">
        <f t="shared" ca="1" si="2"/>
        <v>-234.66651535458411</v>
      </c>
    </row>
    <row r="22" spans="1:7" x14ac:dyDescent="0.25">
      <c r="A22" s="1" t="s">
        <v>20</v>
      </c>
      <c r="B22" s="4">
        <f t="shared" ref="B22:G22" si="3">B21+B20</f>
        <v>224.64</v>
      </c>
      <c r="C22" s="4">
        <f t="shared" ca="1" si="3"/>
        <v>246.15815105946689</v>
      </c>
      <c r="D22" s="4">
        <f t="shared" ca="1" si="3"/>
        <v>269.87965052696518</v>
      </c>
      <c r="E22" s="4">
        <f t="shared" ca="1" si="3"/>
        <v>295.36245354228492</v>
      </c>
      <c r="F22" s="4">
        <f t="shared" ca="1" si="3"/>
        <v>322.70329223148906</v>
      </c>
      <c r="G22" s="4">
        <f t="shared" ca="1" si="3"/>
        <v>351.99977303187609</v>
      </c>
    </row>
    <row r="23" spans="1:7" x14ac:dyDescent="0.25">
      <c r="A23" s="1" t="s">
        <v>21</v>
      </c>
      <c r="B23" s="4">
        <f>-B22*$B$11</f>
        <v>-89.855999999999995</v>
      </c>
      <c r="C23" s="4">
        <f ca="1">-$B$11*C22</f>
        <v>-98.463260423786764</v>
      </c>
      <c r="D23" s="4">
        <f ca="1">-$B$11*D22</f>
        <v>-107.95186021078608</v>
      </c>
      <c r="E23" s="4">
        <f ca="1">-$B$11*E22</f>
        <v>-118.14498141691398</v>
      </c>
      <c r="F23" s="4">
        <f ca="1">-$B$11*F22</f>
        <v>-129.08131689259562</v>
      </c>
      <c r="G23" s="4">
        <f ca="1">-$B$11*G22</f>
        <v>-140.79990921275044</v>
      </c>
    </row>
    <row r="24" spans="1:7" x14ac:dyDescent="0.25">
      <c r="A24" s="1" t="s">
        <v>22</v>
      </c>
      <c r="B24" s="4">
        <f t="shared" ref="B24:G24" si="4">B23+B22</f>
        <v>134.78399999999999</v>
      </c>
      <c r="C24" s="4">
        <f t="shared" ca="1" si="4"/>
        <v>147.69489063568011</v>
      </c>
      <c r="D24" s="4">
        <f t="shared" ca="1" si="4"/>
        <v>161.92779031617908</v>
      </c>
      <c r="E24" s="4">
        <f t="shared" ca="1" si="4"/>
        <v>177.21747212537093</v>
      </c>
      <c r="F24" s="4">
        <f t="shared" ca="1" si="4"/>
        <v>193.62197533889344</v>
      </c>
      <c r="G24" s="4">
        <f t="shared" ca="1" si="4"/>
        <v>211.19986381912565</v>
      </c>
    </row>
    <row r="25" spans="1:7" x14ac:dyDescent="0.25">
      <c r="B25" s="4"/>
      <c r="C25" s="4"/>
      <c r="D25" s="4"/>
      <c r="E25" s="4"/>
      <c r="F25" s="4"/>
      <c r="G25" s="4"/>
    </row>
    <row r="26" spans="1:7" x14ac:dyDescent="0.25">
      <c r="A26" s="2" t="s">
        <v>23</v>
      </c>
      <c r="B26" s="4"/>
      <c r="C26" s="4"/>
      <c r="D26" s="4"/>
      <c r="E26" s="4"/>
      <c r="F26" s="4"/>
      <c r="G26" s="4"/>
    </row>
    <row r="27" spans="1:7" x14ac:dyDescent="0.25">
      <c r="A27" s="5" t="s">
        <v>24</v>
      </c>
      <c r="B27" s="4">
        <v>80</v>
      </c>
      <c r="C27" s="4">
        <f ca="1">C39-C28-C32</f>
        <v>143.69489063568017</v>
      </c>
      <c r="D27" s="4">
        <f ca="1">D39-D28-D32</f>
        <v>213.22268095185905</v>
      </c>
      <c r="E27" s="4">
        <f ca="1">E39-E28-E32</f>
        <v>288.80015307722988</v>
      </c>
      <c r="F27" s="4">
        <f ca="1">F39-F28-F32</f>
        <v>370.61812841612345</v>
      </c>
      <c r="G27" s="4">
        <f ca="1">G39-G28-G32</f>
        <v>458.83359223524894</v>
      </c>
    </row>
    <row r="28" spans="1:7" x14ac:dyDescent="0.25">
      <c r="A28" s="1" t="s">
        <v>25</v>
      </c>
      <c r="B28" s="4">
        <f>$B$3*B15</f>
        <v>150</v>
      </c>
      <c r="C28" s="4">
        <f>C15*$B$3</f>
        <v>165</v>
      </c>
      <c r="D28" s="4">
        <f>D15*$B$3</f>
        <v>181.5</v>
      </c>
      <c r="E28" s="4">
        <f>E15*$B$3</f>
        <v>199.65</v>
      </c>
      <c r="F28" s="4">
        <f>F15*$B$3</f>
        <v>219.61500000000001</v>
      </c>
      <c r="G28" s="4">
        <f>G15*$B$3</f>
        <v>241.57650000000001</v>
      </c>
    </row>
    <row r="29" spans="1:7" x14ac:dyDescent="0.25">
      <c r="A29" s="1" t="s">
        <v>26</v>
      </c>
      <c r="B29" s="4"/>
      <c r="C29" s="4"/>
      <c r="D29" s="4"/>
      <c r="E29" s="4"/>
      <c r="F29" s="4"/>
      <c r="G29" s="4"/>
    </row>
    <row r="30" spans="1:7" x14ac:dyDescent="0.25">
      <c r="A30" s="1" t="s">
        <v>27</v>
      </c>
      <c r="B30" s="4">
        <f t="shared" ref="B30:G30" si="5">B32-B31</f>
        <v>1070</v>
      </c>
      <c r="C30" s="4">
        <f t="shared" ca="1" si="5"/>
        <v>1263.6842105263158</v>
      </c>
      <c r="D30" s="4">
        <f t="shared" ca="1" si="5"/>
        <v>1485.8614958448754</v>
      </c>
      <c r="E30" s="4">
        <f t="shared" ca="1" si="5"/>
        <v>1740.341653302231</v>
      </c>
      <c r="F30" s="4">
        <f t="shared" ca="1" si="5"/>
        <v>2031.4165641761501</v>
      </c>
      <c r="G30" s="4">
        <f t="shared" ca="1" si="5"/>
        <v>2363.9190446157445</v>
      </c>
    </row>
    <row r="31" spans="1:7" x14ac:dyDescent="0.25">
      <c r="A31" s="1" t="s">
        <v>28</v>
      </c>
      <c r="B31" s="4">
        <v>-300</v>
      </c>
      <c r="C31" s="4">
        <f ca="1">B31-$B$7*(C30+B30)/2</f>
        <v>-416.68421052631578</v>
      </c>
      <c r="D31" s="4">
        <f ca="1">C31-$B$7*(D30+C30)/2</f>
        <v>-554.16149584487539</v>
      </c>
      <c r="E31" s="4">
        <f ca="1">D31-$B$7*(E30+D30)/2</f>
        <v>-715.47165330223072</v>
      </c>
      <c r="F31" s="4">
        <f ca="1">E31-$B$7*(F30+E30)/2</f>
        <v>-904.05956417614982</v>
      </c>
      <c r="G31" s="4">
        <f ca="1">F31-$B$7*(G30+F30)/2</f>
        <v>-1123.8263446157446</v>
      </c>
    </row>
    <row r="32" spans="1:7" x14ac:dyDescent="0.25">
      <c r="A32" s="1" t="s">
        <v>29</v>
      </c>
      <c r="B32" s="4">
        <f t="shared" ref="B32:G32" si="6">B15*$B$5</f>
        <v>770</v>
      </c>
      <c r="C32" s="4">
        <f t="shared" si="6"/>
        <v>847</v>
      </c>
      <c r="D32" s="4">
        <f t="shared" si="6"/>
        <v>931.7</v>
      </c>
      <c r="E32" s="4">
        <f t="shared" si="6"/>
        <v>1024.8700000000001</v>
      </c>
      <c r="F32" s="4">
        <f t="shared" si="6"/>
        <v>1127.3570000000002</v>
      </c>
      <c r="G32" s="4">
        <f t="shared" si="6"/>
        <v>1240.0927000000001</v>
      </c>
    </row>
    <row r="33" spans="1:13" x14ac:dyDescent="0.25">
      <c r="A33" s="2" t="s">
        <v>30</v>
      </c>
      <c r="B33" s="4">
        <f>B27+B28+B32</f>
        <v>1000</v>
      </c>
      <c r="C33" s="4">
        <f ca="1">C32+C28+C27</f>
        <v>1155.6948906356802</v>
      </c>
      <c r="D33" s="4">
        <f ca="1">D32+D28+D27</f>
        <v>1326.4226809518591</v>
      </c>
      <c r="E33" s="4">
        <f ca="1">E32+E28+E27</f>
        <v>1513.3201530772301</v>
      </c>
      <c r="F33" s="4">
        <f ca="1">F32+F28+F27</f>
        <v>1717.5901284161237</v>
      </c>
      <c r="G33" s="4">
        <f ca="1">G32+G28+G27</f>
        <v>1940.5027922352492</v>
      </c>
    </row>
    <row r="34" spans="1:13" x14ac:dyDescent="0.25">
      <c r="B34" s="4"/>
      <c r="C34" s="4"/>
      <c r="D34" s="4"/>
      <c r="E34" s="4"/>
      <c r="F34" s="4"/>
      <c r="G34" s="4"/>
    </row>
    <row r="35" spans="1:13" x14ac:dyDescent="0.25">
      <c r="A35" s="1" t="s">
        <v>31</v>
      </c>
      <c r="B35" s="4">
        <f t="shared" ref="B35:G35" si="7">B15*$B$4</f>
        <v>80</v>
      </c>
      <c r="C35" s="4">
        <f t="shared" si="7"/>
        <v>88</v>
      </c>
      <c r="D35" s="4">
        <f t="shared" si="7"/>
        <v>96.8</v>
      </c>
      <c r="E35" s="4">
        <f t="shared" si="7"/>
        <v>106.48</v>
      </c>
      <c r="F35" s="4">
        <f t="shared" si="7"/>
        <v>117.12800000000001</v>
      </c>
      <c r="G35" s="4">
        <f t="shared" si="7"/>
        <v>128.84080000000003</v>
      </c>
    </row>
    <row r="36" spans="1:13" x14ac:dyDescent="0.25">
      <c r="A36" s="1" t="s">
        <v>32</v>
      </c>
      <c r="B36" s="4">
        <f>B33-B35-B37-B38</f>
        <v>320</v>
      </c>
      <c r="C36" s="4">
        <f t="shared" ref="C36:G37" si="8">B36</f>
        <v>320</v>
      </c>
      <c r="D36" s="4">
        <f t="shared" si="8"/>
        <v>320</v>
      </c>
      <c r="E36" s="4">
        <f t="shared" si="8"/>
        <v>320</v>
      </c>
      <c r="F36" s="4">
        <f t="shared" si="8"/>
        <v>320</v>
      </c>
      <c r="G36" s="25">
        <f t="shared" si="8"/>
        <v>320</v>
      </c>
    </row>
    <row r="37" spans="1:13" x14ac:dyDescent="0.25">
      <c r="A37" s="1" t="s">
        <v>33</v>
      </c>
      <c r="B37" s="4">
        <v>450</v>
      </c>
      <c r="C37" s="4">
        <f t="shared" si="8"/>
        <v>450</v>
      </c>
      <c r="D37" s="4">
        <f t="shared" si="8"/>
        <v>450</v>
      </c>
      <c r="E37" s="4">
        <f t="shared" si="8"/>
        <v>450</v>
      </c>
      <c r="F37" s="4">
        <f t="shared" si="8"/>
        <v>450</v>
      </c>
      <c r="G37" s="25">
        <f t="shared" si="8"/>
        <v>450</v>
      </c>
    </row>
    <row r="38" spans="1:13" x14ac:dyDescent="0.25">
      <c r="A38" s="1" t="s">
        <v>34</v>
      </c>
      <c r="B38" s="4">
        <v>150</v>
      </c>
      <c r="C38" s="4">
        <f ca="1">B38+C24</f>
        <v>297.69489063568011</v>
      </c>
      <c r="D38" s="4">
        <f ca="1">C38+D24</f>
        <v>459.62268095185919</v>
      </c>
      <c r="E38" s="4">
        <f ca="1">D38+E24</f>
        <v>636.84015307723007</v>
      </c>
      <c r="F38" s="4">
        <f ca="1">E38+F24</f>
        <v>830.46212841612351</v>
      </c>
      <c r="G38" s="25">
        <f ca="1">F38+G24</f>
        <v>1041.6619922352493</v>
      </c>
    </row>
    <row r="39" spans="1:13" x14ac:dyDescent="0.25">
      <c r="A39" s="2" t="s">
        <v>35</v>
      </c>
      <c r="B39" s="4">
        <f t="shared" ref="B39:G39" si="9">SUM(B35:B38)</f>
        <v>1000</v>
      </c>
      <c r="C39" s="4">
        <f t="shared" ca="1" si="9"/>
        <v>1155.6948906356802</v>
      </c>
      <c r="D39" s="4">
        <f t="shared" ca="1" si="9"/>
        <v>1326.4226809518591</v>
      </c>
      <c r="E39" s="4">
        <f t="shared" ca="1" si="9"/>
        <v>1513.3201530772301</v>
      </c>
      <c r="F39" s="4">
        <f t="shared" ca="1" si="9"/>
        <v>1717.5901284161237</v>
      </c>
      <c r="G39" s="4">
        <f t="shared" ca="1" si="9"/>
        <v>1940.5027922352492</v>
      </c>
    </row>
    <row r="42" spans="1:13" x14ac:dyDescent="0.25">
      <c r="A42" s="6" t="s">
        <v>11</v>
      </c>
      <c r="B42" s="7">
        <v>0</v>
      </c>
      <c r="C42" s="7">
        <v>1</v>
      </c>
      <c r="D42" s="7">
        <v>2</v>
      </c>
      <c r="E42" s="7">
        <v>3</v>
      </c>
      <c r="F42" s="7">
        <v>4</v>
      </c>
      <c r="G42" s="7">
        <v>5</v>
      </c>
      <c r="H42" s="2"/>
      <c r="I42" s="2"/>
      <c r="J42" s="2"/>
      <c r="K42" s="2"/>
      <c r="L42" s="2"/>
      <c r="M42" s="2"/>
    </row>
    <row r="43" spans="1:13" x14ac:dyDescent="0.25">
      <c r="A43" s="6" t="s">
        <v>36</v>
      </c>
      <c r="B43" s="8"/>
      <c r="C43" s="8"/>
      <c r="D43" s="8"/>
      <c r="E43" s="8"/>
      <c r="F43" s="8"/>
      <c r="G43" s="8"/>
    </row>
    <row r="44" spans="1:13" x14ac:dyDescent="0.25">
      <c r="A44" s="8" t="s">
        <v>20</v>
      </c>
      <c r="B44" s="8"/>
      <c r="C44" s="8">
        <f ca="1">C22</f>
        <v>246.15815105946689</v>
      </c>
      <c r="D44" s="8">
        <f ca="1">D22</f>
        <v>269.87965052696518</v>
      </c>
      <c r="E44" s="8">
        <f ca="1">E22</f>
        <v>295.36245354228492</v>
      </c>
      <c r="F44" s="8">
        <f ca="1">F22</f>
        <v>322.70329223148906</v>
      </c>
      <c r="G44" s="8">
        <f ca="1">G22</f>
        <v>351.99977303187609</v>
      </c>
    </row>
    <row r="45" spans="1:13" x14ac:dyDescent="0.25">
      <c r="A45" s="8" t="s">
        <v>37</v>
      </c>
      <c r="B45" s="8"/>
      <c r="C45" s="8">
        <f ca="1">-C19</f>
        <v>116.68421052631579</v>
      </c>
      <c r="D45" s="8">
        <f ca="1">-D19</f>
        <v>137.47728531855955</v>
      </c>
      <c r="E45" s="8">
        <f ca="1">-E19</f>
        <v>161.31015745735533</v>
      </c>
      <c r="F45" s="8">
        <f ca="1">-F19</f>
        <v>188.58791087391907</v>
      </c>
      <c r="G45" s="8">
        <f ca="1">-G19</f>
        <v>219.76678043959475</v>
      </c>
    </row>
    <row r="46" spans="1:13" x14ac:dyDescent="0.25">
      <c r="A46" s="8" t="s">
        <v>38</v>
      </c>
      <c r="B46" s="8"/>
      <c r="C46" s="8">
        <f>-(C28-B28)</f>
        <v>-15</v>
      </c>
      <c r="D46" s="8">
        <f>-(D28-C28)</f>
        <v>-16.5</v>
      </c>
      <c r="E46" s="8">
        <f>-(E28-D28)</f>
        <v>-18.150000000000006</v>
      </c>
      <c r="F46" s="8">
        <f>-(F28-E28)</f>
        <v>-19.965000000000003</v>
      </c>
      <c r="G46" s="8">
        <f>-(G28-F28)</f>
        <v>-21.961500000000001</v>
      </c>
    </row>
    <row r="47" spans="1:13" x14ac:dyDescent="0.25">
      <c r="A47" s="8" t="s">
        <v>39</v>
      </c>
      <c r="B47" s="8"/>
      <c r="C47" s="8">
        <f>C35-B35</f>
        <v>8</v>
      </c>
      <c r="D47" s="8">
        <f>D35-C35</f>
        <v>8.7999999999999972</v>
      </c>
      <c r="E47" s="8">
        <f>E35-D35</f>
        <v>9.6800000000000068</v>
      </c>
      <c r="F47" s="8">
        <f>F35-E35</f>
        <v>10.64800000000001</v>
      </c>
      <c r="G47" s="8">
        <f>G35-F35</f>
        <v>11.712800000000016</v>
      </c>
    </row>
    <row r="48" spans="1:13" x14ac:dyDescent="0.25">
      <c r="A48" s="8" t="s">
        <v>40</v>
      </c>
      <c r="B48" s="8"/>
      <c r="C48" s="8">
        <f ca="1">-(C30-B30)</f>
        <v>-193.68421052631584</v>
      </c>
      <c r="D48" s="8">
        <f ca="1">-(D30-C30)</f>
        <v>-222.1772853185596</v>
      </c>
      <c r="E48" s="8">
        <f ca="1">-(E30-D30)</f>
        <v>-254.48015745735552</v>
      </c>
      <c r="F48" s="8">
        <f ca="1">-(F30-E30)</f>
        <v>-291.07491087391918</v>
      </c>
      <c r="G48" s="8">
        <f ca="1">-(G30-F30)</f>
        <v>-332.50248043959436</v>
      </c>
    </row>
    <row r="49" spans="1:13" x14ac:dyDescent="0.25">
      <c r="A49" s="8" t="s">
        <v>41</v>
      </c>
      <c r="B49" s="8"/>
      <c r="C49" s="8">
        <f t="shared" ref="C49:G50" si="10">-(1-$B$10)*C17</f>
        <v>19.2</v>
      </c>
      <c r="D49" s="8">
        <f t="shared" si="10"/>
        <v>19.2</v>
      </c>
      <c r="E49" s="8">
        <f t="shared" si="10"/>
        <v>19.2</v>
      </c>
      <c r="F49" s="8">
        <f t="shared" si="10"/>
        <v>19.2</v>
      </c>
      <c r="G49" s="8">
        <f t="shared" si="10"/>
        <v>19.2</v>
      </c>
    </row>
    <row r="50" spans="1:13" x14ac:dyDescent="0.25">
      <c r="A50" s="8" t="s">
        <v>42</v>
      </c>
      <c r="B50" s="8"/>
      <c r="C50" s="8">
        <f t="shared" ca="1" si="10"/>
        <v>-5.3686773752563237</v>
      </c>
      <c r="D50" s="8">
        <f t="shared" ca="1" si="10"/>
        <v>-8.5660217181009415</v>
      </c>
      <c r="E50" s="8">
        <f t="shared" ca="1" si="10"/>
        <v>-12.048548016698133</v>
      </c>
      <c r="F50" s="8">
        <f t="shared" ca="1" si="10"/>
        <v>-15.826038755840479</v>
      </c>
      <c r="G50" s="8">
        <f t="shared" ca="1" si="10"/>
        <v>-19.906841295632937</v>
      </c>
    </row>
    <row r="51" spans="1:13" x14ac:dyDescent="0.25">
      <c r="A51" s="6" t="s">
        <v>43</v>
      </c>
      <c r="B51" s="8"/>
      <c r="C51" s="8">
        <f ca="1">SUM(C44:C50)</f>
        <v>175.98947368421051</v>
      </c>
      <c r="D51" s="8">
        <f ca="1">SUM(D44:D50)</f>
        <v>188.11362880886418</v>
      </c>
      <c r="E51" s="8">
        <f ca="1">SUM(E44:E50)</f>
        <v>200.87390552558662</v>
      </c>
      <c r="F51" s="8">
        <f ca="1">SUM(F44:F50)</f>
        <v>214.27325347564849</v>
      </c>
      <c r="G51" s="8">
        <f ca="1">SUM(G44:G50)</f>
        <v>228.30853173624354</v>
      </c>
    </row>
    <row r="54" spans="1:13" x14ac:dyDescent="0.25">
      <c r="A54" s="37" t="s">
        <v>66</v>
      </c>
    </row>
    <row r="55" spans="1:13" x14ac:dyDescent="0.25">
      <c r="A55" s="38" t="s">
        <v>67</v>
      </c>
      <c r="C55" s="28">
        <f t="shared" ref="C55:G55" ca="1" si="11">C20</f>
        <v>410.26358509911148</v>
      </c>
      <c r="D55" s="28">
        <f t="shared" ca="1" si="11"/>
        <v>449.799417544942</v>
      </c>
      <c r="E55" s="28">
        <f t="shared" ca="1" si="11"/>
        <v>492.27075590380821</v>
      </c>
      <c r="F55" s="28">
        <f t="shared" ca="1" si="11"/>
        <v>537.8388203858151</v>
      </c>
      <c r="G55" s="28">
        <f t="shared" ca="1" si="11"/>
        <v>586.66628838646022</v>
      </c>
    </row>
    <row r="56" spans="1:13" x14ac:dyDescent="0.25">
      <c r="A56" s="38" t="s">
        <v>37</v>
      </c>
      <c r="C56" s="28">
        <f t="shared" ref="C56:G56" ca="1" si="12">-C19</f>
        <v>116.68421052631579</v>
      </c>
      <c r="D56" s="28">
        <f t="shared" ca="1" si="12"/>
        <v>137.47728531855955</v>
      </c>
      <c r="E56" s="28">
        <f t="shared" ca="1" si="12"/>
        <v>161.31015745735533</v>
      </c>
      <c r="F56" s="28">
        <f t="shared" ca="1" si="12"/>
        <v>188.58791087391907</v>
      </c>
      <c r="G56" s="28">
        <f t="shared" ca="1" si="12"/>
        <v>219.76678043959475</v>
      </c>
    </row>
    <row r="57" spans="1:13" x14ac:dyDescent="0.25">
      <c r="A57" s="38" t="s">
        <v>68</v>
      </c>
      <c r="C57" s="29">
        <f ca="1">-(C17+C18)</f>
        <v>23.052204374572796</v>
      </c>
      <c r="D57" s="29">
        <f t="shared" ref="D57:G57" ca="1" si="13">-(D17+D18)</f>
        <v>17.723297136498431</v>
      </c>
      <c r="E57" s="29">
        <f t="shared" ca="1" si="13"/>
        <v>11.919086638836443</v>
      </c>
      <c r="F57" s="29">
        <f t="shared" ca="1" si="13"/>
        <v>5.6232687402658676</v>
      </c>
      <c r="G57" s="29">
        <f t="shared" ca="1" si="13"/>
        <v>-1.178068826054897</v>
      </c>
    </row>
    <row r="58" spans="1:13" x14ac:dyDescent="0.25">
      <c r="A58" s="38" t="s">
        <v>69</v>
      </c>
      <c r="C58" s="28">
        <f ca="1">SUM(C55:C57)</f>
        <v>550</v>
      </c>
      <c r="D58" s="28">
        <f t="shared" ref="D58:G58" ca="1" si="14">SUM(D55:D57)</f>
        <v>605</v>
      </c>
      <c r="E58" s="28">
        <f t="shared" ca="1" si="14"/>
        <v>665.5</v>
      </c>
      <c r="F58" s="28">
        <f t="shared" ca="1" si="14"/>
        <v>732.05000000000007</v>
      </c>
      <c r="G58" s="28">
        <f t="shared" ca="1" si="14"/>
        <v>805.25500000000011</v>
      </c>
    </row>
    <row r="61" spans="1:13" ht="17.399999999999999" x14ac:dyDescent="0.3">
      <c r="A61" s="9" t="s">
        <v>44</v>
      </c>
    </row>
    <row r="62" spans="1:13" x14ac:dyDescent="0.25">
      <c r="A62" s="5" t="s">
        <v>45</v>
      </c>
      <c r="B62" s="10">
        <v>0.2</v>
      </c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</row>
    <row r="63" spans="1:13" s="5" customFormat="1" ht="13.2" x14ac:dyDescent="0.25">
      <c r="A63" s="30" t="s">
        <v>65</v>
      </c>
      <c r="B63" s="31">
        <v>6</v>
      </c>
    </row>
    <row r="64" spans="1:13" x14ac:dyDescent="0.25">
      <c r="A64" s="6" t="s">
        <v>11</v>
      </c>
      <c r="B64" s="7">
        <v>0</v>
      </c>
      <c r="C64" s="7">
        <v>1</v>
      </c>
      <c r="D64" s="7">
        <v>2</v>
      </c>
      <c r="E64" s="7">
        <v>3</v>
      </c>
      <c r="F64" s="7">
        <v>4</v>
      </c>
      <c r="G64" s="7">
        <v>5</v>
      </c>
      <c r="H64" s="2"/>
      <c r="I64" s="2"/>
      <c r="J64" s="2"/>
      <c r="K64" s="2"/>
      <c r="L64" s="2"/>
      <c r="M64" s="2"/>
    </row>
    <row r="65" spans="1:8" x14ac:dyDescent="0.25">
      <c r="A65" s="1" t="s">
        <v>46</v>
      </c>
      <c r="C65" s="8">
        <f ca="1">C51</f>
        <v>175.98947368421051</v>
      </c>
      <c r="D65" s="8">
        <f ca="1">D51</f>
        <v>188.11362880886418</v>
      </c>
      <c r="E65" s="8">
        <f ca="1">E51</f>
        <v>200.87390552558662</v>
      </c>
      <c r="F65" s="8">
        <f ca="1">F51</f>
        <v>214.27325347564849</v>
      </c>
      <c r="G65" s="11">
        <f ca="1">G51</f>
        <v>228.30853173624354</v>
      </c>
    </row>
    <row r="66" spans="1:8" x14ac:dyDescent="0.25">
      <c r="A66" s="1" t="s">
        <v>47</v>
      </c>
      <c r="G66" s="24">
        <f ca="1">$B$63*G58</f>
        <v>4831.5300000000007</v>
      </c>
      <c r="H66" s="26" t="str">
        <f ca="1">[1]!getformula(G66)</f>
        <v>&lt;--  =$B$63*G58</v>
      </c>
    </row>
    <row r="67" spans="1:8" x14ac:dyDescent="0.25">
      <c r="A67" s="1" t="s">
        <v>48</v>
      </c>
      <c r="C67" s="8">
        <f ca="1">C66+C65</f>
        <v>175.98947368421051</v>
      </c>
      <c r="D67" s="8">
        <f ca="1">D66+D65</f>
        <v>188.11362880886418</v>
      </c>
      <c r="E67" s="8">
        <f ca="1">E66+E65</f>
        <v>200.87390552558662</v>
      </c>
      <c r="F67" s="8">
        <f ca="1">F66+F65</f>
        <v>214.27325347564849</v>
      </c>
      <c r="G67" s="11">
        <f ca="1">G66+G65</f>
        <v>5059.8385317362445</v>
      </c>
    </row>
    <row r="69" spans="1:8" x14ac:dyDescent="0.25">
      <c r="A69" s="1" t="s">
        <v>49</v>
      </c>
      <c r="B69" s="11">
        <f ca="1">NPV(B62,C67:G67)</f>
        <v>2530.3083940478573</v>
      </c>
      <c r="C69" s="1" t="str">
        <f ca="1">[1]!getformula(B69)</f>
        <v>&lt;--  =NPV(B62,C67:G67)</v>
      </c>
    </row>
    <row r="70" spans="1:8" x14ac:dyDescent="0.25">
      <c r="A70" s="1" t="s">
        <v>50</v>
      </c>
      <c r="B70" s="11">
        <f>B27</f>
        <v>80</v>
      </c>
    </row>
    <row r="71" spans="1:8" x14ac:dyDescent="0.25">
      <c r="A71" s="1" t="s">
        <v>51</v>
      </c>
      <c r="B71" s="11">
        <f ca="1">B70+B69</f>
        <v>2610.3083940478573</v>
      </c>
    </row>
    <row r="72" spans="1:8" x14ac:dyDescent="0.25">
      <c r="A72" s="1" t="s">
        <v>52</v>
      </c>
      <c r="B72" s="11">
        <f>-B36</f>
        <v>-320</v>
      </c>
    </row>
    <row r="73" spans="1:8" x14ac:dyDescent="0.25">
      <c r="A73" s="1" t="s">
        <v>53</v>
      </c>
      <c r="B73" s="11">
        <f ca="1">B71+B72</f>
        <v>2290.3083940478573</v>
      </c>
    </row>
    <row r="74" spans="1:8" x14ac:dyDescent="0.25">
      <c r="B74" s="11"/>
    </row>
    <row r="75" spans="1:8" ht="17.399999999999999" x14ac:dyDescent="0.3">
      <c r="A75" s="9" t="s">
        <v>54</v>
      </c>
      <c r="B75" s="11"/>
    </row>
    <row r="76" spans="1:8" x14ac:dyDescent="0.25">
      <c r="A76" s="1" t="s">
        <v>55</v>
      </c>
      <c r="B76" s="11">
        <f ca="1">B69</f>
        <v>2530.3083940478573</v>
      </c>
    </row>
    <row r="77" spans="1:8" x14ac:dyDescent="0.25">
      <c r="A77" s="1" t="s">
        <v>56</v>
      </c>
      <c r="B77" s="11">
        <f>-B36+B27</f>
        <v>-240</v>
      </c>
      <c r="C77" s="1" t="str">
        <f ca="1">[1]!getformula(B77)</f>
        <v>&lt;--  =-B36+B27</v>
      </c>
    </row>
    <row r="78" spans="1:8" x14ac:dyDescent="0.25">
      <c r="A78" s="1" t="s">
        <v>53</v>
      </c>
      <c r="B78" s="11">
        <f ca="1">B76+B77</f>
        <v>2290.3083940478573</v>
      </c>
    </row>
    <row r="79" spans="1:8" x14ac:dyDescent="0.25">
      <c r="B79" s="11"/>
    </row>
    <row r="81" spans="1:8" ht="17.399999999999999" x14ac:dyDescent="0.3">
      <c r="A81" s="9" t="s">
        <v>57</v>
      </c>
    </row>
    <row r="82" spans="1:8" x14ac:dyDescent="0.25">
      <c r="A82" s="5" t="s">
        <v>45</v>
      </c>
      <c r="B82" s="10">
        <f>B62</f>
        <v>0.2</v>
      </c>
      <c r="C82" s="5"/>
      <c r="D82" s="5"/>
      <c r="E82" s="5"/>
      <c r="F82" s="5"/>
      <c r="G82" s="5"/>
      <c r="H82" s="5"/>
    </row>
    <row r="83" spans="1:8" x14ac:dyDescent="0.25">
      <c r="A83" s="30" t="s">
        <v>65</v>
      </c>
      <c r="B83" s="31">
        <v>6</v>
      </c>
    </row>
    <row r="84" spans="1:8" x14ac:dyDescent="0.25">
      <c r="A84" s="6" t="s">
        <v>11</v>
      </c>
      <c r="B84" s="7">
        <v>0</v>
      </c>
      <c r="C84" s="7">
        <v>1</v>
      </c>
      <c r="D84" s="7">
        <v>2</v>
      </c>
      <c r="E84" s="7">
        <v>3</v>
      </c>
      <c r="F84" s="7">
        <v>4</v>
      </c>
      <c r="G84" s="7">
        <v>5</v>
      </c>
      <c r="H84" s="2"/>
    </row>
    <row r="85" spans="1:8" x14ac:dyDescent="0.25">
      <c r="A85" s="1" t="s">
        <v>46</v>
      </c>
      <c r="C85" s="8">
        <f ca="1">C65</f>
        <v>175.98947368421051</v>
      </c>
      <c r="D85" s="8">
        <f ca="1">D65</f>
        <v>188.11362880886418</v>
      </c>
      <c r="E85" s="8">
        <f ca="1">E65</f>
        <v>200.87390552558662</v>
      </c>
      <c r="F85" s="8">
        <f ca="1">F65</f>
        <v>214.27325347564849</v>
      </c>
      <c r="G85" s="8">
        <f ca="1">G65</f>
        <v>228.30853173624354</v>
      </c>
    </row>
    <row r="86" spans="1:8" x14ac:dyDescent="0.25">
      <c r="A86" s="1" t="s">
        <v>47</v>
      </c>
      <c r="G86" s="12">
        <f ca="1">$B$83*G58</f>
        <v>4831.5300000000007</v>
      </c>
      <c r="H86" s="1" t="str">
        <f ca="1">[1]!getformula(G86)</f>
        <v>&lt;--  =$B$83*G58</v>
      </c>
    </row>
    <row r="87" spans="1:8" x14ac:dyDescent="0.25">
      <c r="A87" s="1" t="s">
        <v>48</v>
      </c>
      <c r="C87" s="8">
        <f ca="1">C86+C85</f>
        <v>175.98947368421051</v>
      </c>
      <c r="D87" s="8">
        <f ca="1">D86+D85</f>
        <v>188.11362880886418</v>
      </c>
      <c r="E87" s="8">
        <f ca="1">E86+E85</f>
        <v>200.87390552558662</v>
      </c>
      <c r="F87" s="8">
        <f ca="1">F86+F85</f>
        <v>214.27325347564849</v>
      </c>
      <c r="G87" s="11">
        <f ca="1">G86+G85</f>
        <v>5059.8385317362445</v>
      </c>
    </row>
    <row r="89" spans="1:8" x14ac:dyDescent="0.25">
      <c r="A89" s="1" t="s">
        <v>58</v>
      </c>
      <c r="B89" s="11">
        <f ca="1">NPV(B82,C87:G87)*(1+B82)</f>
        <v>3036.3700728574286</v>
      </c>
      <c r="C89" s="1" t="s">
        <v>59</v>
      </c>
    </row>
    <row r="90" spans="1:8" x14ac:dyDescent="0.25">
      <c r="A90" s="1" t="s">
        <v>50</v>
      </c>
      <c r="B90" s="11">
        <f>B27</f>
        <v>80</v>
      </c>
    </row>
    <row r="91" spans="1:8" x14ac:dyDescent="0.25">
      <c r="A91" s="1" t="s">
        <v>51</v>
      </c>
      <c r="B91" s="11">
        <f ca="1">B90+B89</f>
        <v>3116.3700728574286</v>
      </c>
    </row>
    <row r="92" spans="1:8" x14ac:dyDescent="0.25">
      <c r="A92" s="1" t="s">
        <v>52</v>
      </c>
      <c r="B92" s="11">
        <f>B72</f>
        <v>-320</v>
      </c>
    </row>
    <row r="93" spans="1:8" x14ac:dyDescent="0.25">
      <c r="A93" s="1" t="s">
        <v>53</v>
      </c>
      <c r="B93" s="11">
        <f ca="1">B91+B92</f>
        <v>2796.3700728574286</v>
      </c>
    </row>
    <row r="97" spans="1:4" x14ac:dyDescent="0.25">
      <c r="B97" s="13" t="s">
        <v>60</v>
      </c>
      <c r="C97" s="11">
        <f ca="1">B93</f>
        <v>2796.3700728574286</v>
      </c>
      <c r="D97" s="1" t="str">
        <f ca="1">[1]!getformula(C97)</f>
        <v>&lt;--  =B93</v>
      </c>
    </row>
    <row r="98" spans="1:4" x14ac:dyDescent="0.25">
      <c r="B98" s="34">
        <v>6</v>
      </c>
      <c r="C98" s="22">
        <f t="dataTable" ref="C98:C106" dt2D="0" dtr="0" r1="B83" ca="1"/>
        <v>2796.3700728574286</v>
      </c>
    </row>
    <row r="99" spans="1:4" x14ac:dyDescent="0.25">
      <c r="B99" s="32">
        <v>7</v>
      </c>
      <c r="C99" s="11">
        <v>3184.7067819623671</v>
      </c>
    </row>
    <row r="100" spans="1:4" x14ac:dyDescent="0.25">
      <c r="B100" s="32">
        <v>8</v>
      </c>
      <c r="C100" s="11">
        <v>3573.0434910673057</v>
      </c>
    </row>
    <row r="101" spans="1:4" x14ac:dyDescent="0.25">
      <c r="B101" s="32">
        <v>9</v>
      </c>
      <c r="C101" s="11">
        <v>3961.3802001722433</v>
      </c>
    </row>
    <row r="102" spans="1:4" x14ac:dyDescent="0.25">
      <c r="B102" s="32">
        <v>10</v>
      </c>
      <c r="C102" s="11">
        <v>4349.7169092771819</v>
      </c>
    </row>
    <row r="103" spans="1:4" x14ac:dyDescent="0.25">
      <c r="B103" s="32">
        <v>11</v>
      </c>
      <c r="C103" s="33">
        <v>4738.0536183821214</v>
      </c>
    </row>
    <row r="104" spans="1:4" x14ac:dyDescent="0.25">
      <c r="B104" s="32">
        <v>12</v>
      </c>
      <c r="C104" s="11">
        <v>5126.390327487059</v>
      </c>
    </row>
    <row r="105" spans="1:4" x14ac:dyDescent="0.25">
      <c r="B105" s="32">
        <v>13</v>
      </c>
      <c r="C105" s="11">
        <v>5514.7270365919976</v>
      </c>
    </row>
    <row r="106" spans="1:4" x14ac:dyDescent="0.25">
      <c r="B106" s="32">
        <v>14</v>
      </c>
      <c r="C106" s="11">
        <v>5903.0637456969353</v>
      </c>
    </row>
    <row r="112" spans="1:4" x14ac:dyDescent="0.25">
      <c r="A112" s="14" t="str">
        <f ca="1">"Cell "&amp;CHAR(COLUMN(B113)+64)&amp;ROW(B113)&amp;" contains formula "&amp;[1]!ggetformula(B113)</f>
        <v>Cell B113 contains formula =IF(B82&lt;=B2,"nmf",B93)</v>
      </c>
      <c r="C112" s="2" t="s">
        <v>61</v>
      </c>
    </row>
    <row r="113" spans="1:11" x14ac:dyDescent="0.25">
      <c r="B113" s="15">
        <f ca="1">IF(B82&lt;=B2,"nmf",B93)</f>
        <v>2796.3700728574286</v>
      </c>
      <c r="C113" s="35">
        <v>0.1</v>
      </c>
      <c r="D113" s="35">
        <v>0.12</v>
      </c>
      <c r="E113" s="35">
        <v>0.14000000000000001</v>
      </c>
      <c r="F113" s="35">
        <v>0.16</v>
      </c>
      <c r="G113" s="35">
        <v>0.18</v>
      </c>
      <c r="H113" s="35">
        <v>0.2</v>
      </c>
      <c r="I113" s="35">
        <v>0.22</v>
      </c>
      <c r="J113" s="35">
        <v>0.24</v>
      </c>
      <c r="K113" s="35">
        <v>0.26</v>
      </c>
    </row>
    <row r="114" spans="1:11" x14ac:dyDescent="0.25">
      <c r="B114" s="39">
        <v>6</v>
      </c>
      <c r="C114" s="36" t="str">
        <f t="dataTable" ref="C114:K122" dt2D="1" dtr="1" r1="B82" r2="B83" ca="1"/>
        <v>nmf</v>
      </c>
      <c r="D114" s="36">
        <v>3632.2178486661646</v>
      </c>
      <c r="E114" s="36">
        <v>3396.0263204974199</v>
      </c>
      <c r="F114" s="36">
        <v>3179.2180113630047</v>
      </c>
      <c r="G114" s="36">
        <v>2979.8940564665204</v>
      </c>
      <c r="H114" s="23">
        <v>2796.3700728574286</v>
      </c>
      <c r="I114" s="36">
        <v>2627.1488526116705</v>
      </c>
      <c r="J114" s="36">
        <v>2470.8969105634637</v>
      </c>
      <c r="K114" s="36">
        <v>2326.4242909346558</v>
      </c>
    </row>
    <row r="115" spans="1:11" x14ac:dyDescent="0.25">
      <c r="A115" s="16" t="s">
        <v>62</v>
      </c>
      <c r="B115" s="32">
        <v>7</v>
      </c>
      <c r="C115" s="36" t="str">
        <v>nmf</v>
      </c>
      <c r="D115" s="36">
        <v>4143.971958892047</v>
      </c>
      <c r="E115" s="36">
        <v>3872.8019242511518</v>
      </c>
      <c r="F115" s="36">
        <v>3623.9531793867463</v>
      </c>
      <c r="G115" s="36">
        <v>3395.2356271269973</v>
      </c>
      <c r="H115" s="36">
        <v>3184.7067819623671</v>
      </c>
      <c r="I115" s="36">
        <v>2990.6402252195171</v>
      </c>
      <c r="J115" s="36">
        <v>2811.4985150478233</v>
      </c>
      <c r="K115" s="36">
        <v>2645.9098625678239</v>
      </c>
    </row>
    <row r="116" spans="1:11" x14ac:dyDescent="0.25">
      <c r="B116" s="32">
        <v>8</v>
      </c>
      <c r="C116" s="36" t="str">
        <v>nmf</v>
      </c>
      <c r="D116" s="36">
        <v>4655.726069117929</v>
      </c>
      <c r="E116" s="36">
        <v>4349.5775280048838</v>
      </c>
      <c r="F116" s="36">
        <v>4068.6883474104879</v>
      </c>
      <c r="G116" s="36">
        <v>3810.5771977874738</v>
      </c>
      <c r="H116" s="36">
        <v>3573.0434910673057</v>
      </c>
      <c r="I116" s="36">
        <v>3354.1315978273642</v>
      </c>
      <c r="J116" s="36">
        <v>3152.1001195321824</v>
      </c>
      <c r="K116" s="36">
        <v>2965.3954342009915</v>
      </c>
    </row>
    <row r="117" spans="1:11" x14ac:dyDescent="0.25">
      <c r="B117" s="32">
        <v>9</v>
      </c>
      <c r="C117" s="36" t="str">
        <v>nmf</v>
      </c>
      <c r="D117" s="36">
        <v>5167.480179343811</v>
      </c>
      <c r="E117" s="36">
        <v>4826.3531317586176</v>
      </c>
      <c r="F117" s="36">
        <v>4513.4235154342296</v>
      </c>
      <c r="G117" s="36">
        <v>4225.9187684479502</v>
      </c>
      <c r="H117" s="36">
        <v>3961.3802001722433</v>
      </c>
      <c r="I117" s="36">
        <v>3717.6229704352113</v>
      </c>
      <c r="J117" s="36">
        <v>3492.7017240165424</v>
      </c>
      <c r="K117" s="36">
        <v>3284.8810058341596</v>
      </c>
    </row>
    <row r="118" spans="1:11" x14ac:dyDescent="0.25">
      <c r="B118" s="32">
        <v>10</v>
      </c>
      <c r="C118" s="36" t="str">
        <v>nmf</v>
      </c>
      <c r="D118" s="36">
        <v>5679.2342895696947</v>
      </c>
      <c r="E118" s="36">
        <v>5303.1287355123486</v>
      </c>
      <c r="F118" s="36">
        <v>4958.1586834579721</v>
      </c>
      <c r="G118" s="36">
        <v>4641.2603391084267</v>
      </c>
      <c r="H118" s="36">
        <v>4349.7169092771819</v>
      </c>
      <c r="I118" s="36">
        <v>4081.1143430430575</v>
      </c>
      <c r="J118" s="36">
        <v>3833.3033285009005</v>
      </c>
      <c r="K118" s="36">
        <v>3604.3665774673273</v>
      </c>
    </row>
    <row r="119" spans="1:11" x14ac:dyDescent="0.25">
      <c r="B119" s="32">
        <v>11</v>
      </c>
      <c r="C119" s="36" t="str">
        <v>nmf</v>
      </c>
      <c r="D119" s="36">
        <v>6190.9883997955749</v>
      </c>
      <c r="E119" s="36">
        <v>5779.9043392660788</v>
      </c>
      <c r="F119" s="36">
        <v>5402.8938514817128</v>
      </c>
      <c r="G119" s="36">
        <v>5056.6019097689032</v>
      </c>
      <c r="H119" s="36">
        <v>4738.0536183821214</v>
      </c>
      <c r="I119" s="36">
        <v>4444.6057156509032</v>
      </c>
      <c r="J119" s="36">
        <v>4173.9049329852596</v>
      </c>
      <c r="K119" s="36">
        <v>3923.8521491004949</v>
      </c>
    </row>
    <row r="120" spans="1:11" x14ac:dyDescent="0.25">
      <c r="B120" s="32">
        <v>12</v>
      </c>
      <c r="C120" s="36" t="str">
        <v>nmf</v>
      </c>
      <c r="D120" s="36">
        <v>6702.7425100214587</v>
      </c>
      <c r="E120" s="36">
        <v>6256.6799430198125</v>
      </c>
      <c r="F120" s="36">
        <v>5847.6290195054553</v>
      </c>
      <c r="G120" s="36">
        <v>5471.9434804293796</v>
      </c>
      <c r="H120" s="36">
        <v>5126.390327487059</v>
      </c>
      <c r="I120" s="36">
        <v>4808.0970882587508</v>
      </c>
      <c r="J120" s="36">
        <v>4514.5065374696196</v>
      </c>
      <c r="K120" s="36">
        <v>4243.3377207336634</v>
      </c>
    </row>
    <row r="121" spans="1:11" x14ac:dyDescent="0.25">
      <c r="B121" s="32">
        <v>13</v>
      </c>
      <c r="C121" s="36" t="str">
        <v>nmf</v>
      </c>
      <c r="D121" s="36">
        <v>7214.4966202473406</v>
      </c>
      <c r="E121" s="36">
        <v>6733.4555467735454</v>
      </c>
      <c r="F121" s="36">
        <v>6292.3641875291978</v>
      </c>
      <c r="G121" s="36">
        <v>5887.2850510898561</v>
      </c>
      <c r="H121" s="36">
        <v>5514.7270365919976</v>
      </c>
      <c r="I121" s="36">
        <v>5171.5884608665983</v>
      </c>
      <c r="J121" s="36">
        <v>4855.1081419539787</v>
      </c>
      <c r="K121" s="36">
        <v>4562.8232923668311</v>
      </c>
    </row>
    <row r="122" spans="1:11" x14ac:dyDescent="0.25">
      <c r="B122" s="32">
        <v>14</v>
      </c>
      <c r="C122" s="36" t="str">
        <v>nmf</v>
      </c>
      <c r="D122" s="36">
        <v>7726.2507304732226</v>
      </c>
      <c r="E122" s="36">
        <v>7210.2311505272764</v>
      </c>
      <c r="F122" s="36">
        <v>6737.0993555529385</v>
      </c>
      <c r="G122" s="36">
        <v>6302.6266217503326</v>
      </c>
      <c r="H122" s="36">
        <v>5903.0637456969353</v>
      </c>
      <c r="I122" s="36">
        <v>5535.079833474445</v>
      </c>
      <c r="J122" s="36">
        <v>5195.7097464383378</v>
      </c>
      <c r="K122" s="36">
        <v>4882.3088639999987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2024-10-14T05:49:10Z</dcterms:modified>
</cp:coreProperties>
</file>