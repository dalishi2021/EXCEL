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D568A87F-165F-4807-96DE-D1DE3F35B4BE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9, version 2" sheetId="2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" i="2" l="1"/>
  <c r="C47" i="2"/>
  <c r="B39" i="2"/>
  <c r="C37" i="2"/>
  <c r="D37" i="2" s="1"/>
  <c r="E37" i="2" s="1"/>
  <c r="F37" i="2" s="1"/>
  <c r="G37" i="2" s="1"/>
  <c r="C36" i="2"/>
  <c r="D36" i="2" s="1"/>
  <c r="E36" i="2" s="1"/>
  <c r="F36" i="2" s="1"/>
  <c r="G36" i="2" s="1"/>
  <c r="C35" i="2"/>
  <c r="B33" i="2"/>
  <c r="C32" i="2"/>
  <c r="B32" i="2"/>
  <c r="C28" i="2"/>
  <c r="C46" i="2" s="1"/>
  <c r="G17" i="2"/>
  <c r="G49" i="2" s="1"/>
  <c r="F17" i="2"/>
  <c r="F49" i="2" s="1"/>
  <c r="E17" i="2"/>
  <c r="E49" i="2" s="1"/>
  <c r="D17" i="2"/>
  <c r="D49" i="2" s="1"/>
  <c r="C17" i="2"/>
  <c r="C49" i="2" s="1"/>
  <c r="C16" i="2"/>
  <c r="D15" i="2"/>
  <c r="B70" i="1"/>
  <c r="C48" i="1"/>
  <c r="D48" i="1" s="1"/>
  <c r="E48" i="1" s="1"/>
  <c r="F48" i="1" s="1"/>
  <c r="G48" i="1" s="1"/>
  <c r="C46" i="1"/>
  <c r="C58" i="1" s="1"/>
  <c r="B43" i="1"/>
  <c r="C43" i="1" s="1"/>
  <c r="C39" i="1"/>
  <c r="C57" i="1" s="1"/>
  <c r="H28" i="1"/>
  <c r="C27" i="1"/>
  <c r="D26" i="1"/>
  <c r="E26" i="1" s="1"/>
  <c r="D63" i="2"/>
  <c r="C60" i="2"/>
  <c r="H59" i="2"/>
  <c r="H36" i="2"/>
  <c r="H17" i="2"/>
  <c r="D74" i="1"/>
  <c r="C71" i="1"/>
  <c r="H70" i="1"/>
  <c r="H43" i="1"/>
  <c r="H38" i="1"/>
  <c r="H42" i="1"/>
  <c r="H47" i="1"/>
  <c r="E15" i="2" l="1"/>
  <c r="D35" i="2"/>
  <c r="D16" i="2"/>
  <c r="D28" i="2"/>
  <c r="D46" i="2" s="1"/>
  <c r="D32" i="2"/>
  <c r="D43" i="1"/>
  <c r="F26" i="1"/>
  <c r="E39" i="1"/>
  <c r="E27" i="1"/>
  <c r="E46" i="1"/>
  <c r="D46" i="1"/>
  <c r="D27" i="1"/>
  <c r="D39" i="1"/>
  <c r="D57" i="1" s="1"/>
  <c r="B44" i="1"/>
  <c r="E32" i="2" l="1"/>
  <c r="D47" i="2"/>
  <c r="E28" i="2"/>
  <c r="E46" i="2" s="1"/>
  <c r="E35" i="2"/>
  <c r="E16" i="2"/>
  <c r="F15" i="2"/>
  <c r="D58" i="1"/>
  <c r="E58" i="1"/>
  <c r="E57" i="1"/>
  <c r="F39" i="1"/>
  <c r="F57" i="1" s="1"/>
  <c r="F46" i="1"/>
  <c r="F27" i="1"/>
  <c r="G26" i="1"/>
  <c r="E43" i="1"/>
  <c r="F28" i="2" l="1"/>
  <c r="F46" i="2" s="1"/>
  <c r="F16" i="2"/>
  <c r="F35" i="2"/>
  <c r="G15" i="2"/>
  <c r="E47" i="2"/>
  <c r="F32" i="2"/>
  <c r="F43" i="1"/>
  <c r="F58" i="1"/>
  <c r="G27" i="1"/>
  <c r="G39" i="1"/>
  <c r="G57" i="1" s="1"/>
  <c r="G46" i="1"/>
  <c r="G32" i="2" l="1"/>
  <c r="G28" i="2"/>
  <c r="G46" i="2" s="1"/>
  <c r="G16" i="2"/>
  <c r="G35" i="2"/>
  <c r="F47" i="2"/>
  <c r="G58" i="1"/>
  <c r="G43" i="1"/>
  <c r="G47" i="2" l="1"/>
  <c r="C18" i="2"/>
  <c r="D18" i="2"/>
  <c r="E18" i="2"/>
  <c r="F18" i="2"/>
  <c r="G18" i="2"/>
  <c r="C19" i="2"/>
  <c r="D19" i="2"/>
  <c r="E19" i="2"/>
  <c r="F19" i="2"/>
  <c r="G19" i="2"/>
  <c r="C20" i="2"/>
  <c r="D20" i="2"/>
  <c r="E20" i="2"/>
  <c r="F20" i="2"/>
  <c r="G20" i="2"/>
  <c r="C21" i="2"/>
  <c r="D21" i="2"/>
  <c r="E21" i="2"/>
  <c r="F21" i="2"/>
  <c r="G21" i="2"/>
  <c r="C22" i="2"/>
  <c r="D22" i="2"/>
  <c r="E22" i="2"/>
  <c r="F22" i="2"/>
  <c r="G22" i="2"/>
  <c r="C23" i="2"/>
  <c r="D23" i="2"/>
  <c r="E23" i="2"/>
  <c r="F23" i="2"/>
  <c r="G23" i="2"/>
  <c r="C24" i="2"/>
  <c r="D24" i="2"/>
  <c r="E24" i="2"/>
  <c r="F24" i="2"/>
  <c r="G24" i="2"/>
  <c r="C27" i="2"/>
  <c r="D27" i="2"/>
  <c r="E27" i="2"/>
  <c r="F27" i="2"/>
  <c r="G27" i="2"/>
  <c r="C30" i="2"/>
  <c r="D30" i="2"/>
  <c r="E30" i="2"/>
  <c r="F30" i="2"/>
  <c r="G30" i="2"/>
  <c r="C31" i="2"/>
  <c r="D31" i="2"/>
  <c r="E31" i="2"/>
  <c r="F31" i="2"/>
  <c r="G31" i="2"/>
  <c r="C33" i="2"/>
  <c r="D33" i="2"/>
  <c r="E33" i="2"/>
  <c r="F33" i="2"/>
  <c r="G33" i="2"/>
  <c r="C38" i="2"/>
  <c r="D38" i="2"/>
  <c r="E38" i="2"/>
  <c r="F38" i="2"/>
  <c r="G38" i="2"/>
  <c r="C39" i="2"/>
  <c r="D39" i="2"/>
  <c r="E39" i="2"/>
  <c r="F39" i="2"/>
  <c r="G39" i="2"/>
  <c r="C44" i="2"/>
  <c r="D44" i="2"/>
  <c r="E44" i="2"/>
  <c r="F44" i="2"/>
  <c r="G44" i="2"/>
  <c r="C45" i="2"/>
  <c r="D45" i="2"/>
  <c r="E45" i="2"/>
  <c r="F45" i="2"/>
  <c r="G45" i="2"/>
  <c r="C48" i="2"/>
  <c r="D48" i="2"/>
  <c r="E48" i="2"/>
  <c r="F48" i="2"/>
  <c r="G48" i="2"/>
  <c r="C50" i="2"/>
  <c r="D50" i="2"/>
  <c r="E50" i="2"/>
  <c r="F50" i="2"/>
  <c r="G50" i="2"/>
  <c r="C51" i="2"/>
  <c r="D51" i="2"/>
  <c r="E51" i="2"/>
  <c r="F51" i="2"/>
  <c r="G51" i="2"/>
  <c r="C59" i="2"/>
  <c r="D59" i="2"/>
  <c r="E59" i="2"/>
  <c r="F59" i="2"/>
  <c r="G59" i="2"/>
  <c r="B60" i="2"/>
  <c r="C63" i="2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8" i="1" a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8" i="1"/>
  <c r="D38" i="1"/>
  <c r="E38" i="1"/>
  <c r="F38" i="1"/>
  <c r="G38" i="1"/>
  <c r="C41" i="1"/>
  <c r="D41" i="1"/>
  <c r="E41" i="1"/>
  <c r="F41" i="1"/>
  <c r="G41" i="1"/>
  <c r="C42" i="1"/>
  <c r="D42" i="1"/>
  <c r="E42" i="1"/>
  <c r="F42" i="1"/>
  <c r="G42" i="1"/>
  <c r="C44" i="1"/>
  <c r="D44" i="1"/>
  <c r="E44" i="1"/>
  <c r="F44" i="1"/>
  <c r="G44" i="1"/>
  <c r="B47" i="1" a="1"/>
  <c r="B47" i="1"/>
  <c r="C47" i="1"/>
  <c r="D47" i="1"/>
  <c r="E47" i="1"/>
  <c r="F47" i="1"/>
  <c r="G47" i="1"/>
  <c r="C49" i="1"/>
  <c r="D49" i="1"/>
  <c r="E49" i="1"/>
  <c r="F49" i="1"/>
  <c r="G49" i="1"/>
  <c r="B50" i="1"/>
  <c r="C50" i="1"/>
  <c r="D50" i="1"/>
  <c r="E50" i="1"/>
  <c r="F50" i="1"/>
  <c r="G50" i="1"/>
  <c r="C55" i="1"/>
  <c r="D55" i="1"/>
  <c r="E55" i="1"/>
  <c r="F55" i="1"/>
  <c r="G55" i="1"/>
  <c r="C56" i="1"/>
  <c r="D56" i="1"/>
  <c r="E56" i="1"/>
  <c r="F56" i="1"/>
  <c r="G56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70" i="1"/>
  <c r="D70" i="1"/>
  <c r="E70" i="1"/>
  <c r="F70" i="1"/>
  <c r="G70" i="1"/>
  <c r="B71" i="1"/>
  <c r="C74" i="1"/>
</calcChain>
</file>

<file path=xl/sharedStrings.xml><?xml version="1.0" encoding="utf-8"?>
<sst xmlns="http://schemas.openxmlformats.org/spreadsheetml/2006/main" count="117" uniqueCount="61">
  <si>
    <t>PROJECT FINANCE</t>
  </si>
  <si>
    <t>Sales growth</t>
  </si>
  <si>
    <t>Current assets/Sales</t>
  </si>
  <si>
    <t>Current liabilities/Sales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</si>
  <si>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</si>
  <si>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</si>
  <si>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</si>
  <si>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</si>
  <si>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</si>
  <si>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</si>
  <si>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&lt;-- No dividends until all the debt is paid off</t>
  </si>
  <si>
    <t>entered into the balance sheet and the interest is put into the profit and loss statement.</t>
  </si>
  <si>
    <t>Principal</t>
  </si>
  <si>
    <t xml:space="preserve">Debt </t>
  </si>
  <si>
    <t>Of which:</t>
  </si>
  <si>
    <t>at begin.</t>
  </si>
  <si>
    <t>payment</t>
  </si>
  <si>
    <t>Repaid</t>
  </si>
  <si>
    <t>Year</t>
  </si>
  <si>
    <t>of year</t>
  </si>
  <si>
    <t>at end yr.</t>
  </si>
  <si>
    <t>Interest</t>
  </si>
  <si>
    <t>principal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</si>
  <si>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</si>
  <si>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</si>
  <si>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</si>
  <si>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</si>
  <si>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</si>
  <si>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</si>
  <si>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</si>
  <si>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</si>
  <si>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</si>
  <si>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</si>
  <si>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</si>
  <si>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</si>
  <si>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</si>
  <si>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</si>
  <si>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</si>
  <si>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</si>
  <si>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</si>
  <si>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</si>
  <si>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</si>
  <si>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</si>
  <si>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</si>
  <si>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</si>
  <si>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</si>
  <si>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</si>
  <si>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</si>
  <si>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</si>
  <si>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</si>
  <si>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</si>
  <si>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</si>
  <si>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</si>
  <si>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</si>
  <si>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</si>
  <si>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RETURN ON EQUITY (ROE)</t>
  </si>
  <si>
    <t>Equity cash flow</t>
  </si>
  <si>
    <t>Data table: ROE as a function of initial</t>
  </si>
  <si>
    <t>equity investment</t>
  </si>
  <si>
    <r>
      <t>Debt repayment table (essentially a loan table from Chapter 1)</t>
    </r>
    <r>
      <rPr>
        <sz val="10"/>
        <color rgb="FF00B0F0"/>
        <rFont val="Arial"/>
        <family val="2"/>
      </rPr>
      <t>:  The principal amounts are</t>
    </r>
  </si>
  <si>
    <t>PROJECT FINANCE
Uses functions IPMT and PPMT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</si>
</sst>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_);_(* \(#,##0\);_(* &quot;-&quot;??_);_(@_)"/>
    <numFmt numFmtId="177" formatCode="_(* #,##0.00_);_(* \(#,##0.00\);_(* &quot;-&quot;??_);_(@_)"/>
    <numFmt numFmtId="178" formatCode="0_);\(0\)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b/>
      <sz val="11"/>
      <color rgb="FF00B0F0"/>
      <name val="等线"/>
      <family val="3"/>
      <charset val="134"/>
      <scheme val="minor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177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68">
    <xf numFmtId="0" fontId="0" fillId="0" borderId="0" xfId="0">
      <alignment vertical="center"/>
    </xf>
    <xf numFmtId="0" fontId="4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5" fillId="0" borderId="0" xfId="0" applyFont="1" applyAlignment="1"/>
    <xf numFmtId="9" fontId="0" fillId="0" borderId="1" xfId="0" applyNumberFormat="1" applyBorder="1" applyAlignment="1"/>
    <xf numFmtId="0" fontId="0" fillId="0" borderId="2" xfId="0" applyBorder="1" applyAlignment="1">
      <alignment horizontal="center"/>
    </xf>
    <xf numFmtId="0" fontId="5" fillId="0" borderId="2" xfId="0" applyFont="1" applyBorder="1" applyAlignment="1"/>
    <xf numFmtId="0" fontId="0" fillId="0" borderId="3" xfId="0" applyBorder="1" applyAlignment="1"/>
    <xf numFmtId="9" fontId="0" fillId="0" borderId="4" xfId="0" applyNumberFormat="1" applyBorder="1" applyAlignmen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/>
    <xf numFmtId="176" fontId="0" fillId="0" borderId="0" xfId="0" applyNumberFormat="1" applyAlignment="1"/>
    <xf numFmtId="40" fontId="0" fillId="0" borderId="0" xfId="0" applyNumberFormat="1" applyAlignment="1"/>
    <xf numFmtId="177" fontId="0" fillId="0" borderId="0" xfId="0" applyNumberFormat="1" applyAlignment="1"/>
    <xf numFmtId="177" fontId="0" fillId="0" borderId="5" xfId="0" applyNumberFormat="1" applyBorder="1" applyAlignment="1"/>
    <xf numFmtId="0" fontId="0" fillId="0" borderId="6" xfId="0" applyBorder="1" applyAlignment="1"/>
    <xf numFmtId="177" fontId="0" fillId="0" borderId="7" xfId="0" applyNumberFormat="1" applyBorder="1" applyAlignment="1"/>
    <xf numFmtId="40" fontId="0" fillId="0" borderId="7" xfId="0" applyNumberFormat="1" applyBorder="1" applyAlignment="1"/>
    <xf numFmtId="177" fontId="0" fillId="0" borderId="8" xfId="0" applyNumberFormat="1" applyBorder="1" applyAlignment="1"/>
    <xf numFmtId="0" fontId="5" fillId="0" borderId="0" xfId="0" applyFont="1" applyAlignment="1">
      <alignment horizontal="center"/>
    </xf>
    <xf numFmtId="176" fontId="0" fillId="0" borderId="0" xfId="1" applyNumberFormat="1" applyFont="1" applyAlignment="1"/>
    <xf numFmtId="0" fontId="6" fillId="0" borderId="0" xfId="0" applyFont="1" applyAlignment="1"/>
    <xf numFmtId="178" fontId="5" fillId="0" borderId="0" xfId="0" applyNumberFormat="1" applyFont="1" applyAlignment="1"/>
    <xf numFmtId="178" fontId="0" fillId="0" borderId="0" xfId="0" applyNumberFormat="1" applyAlignment="1"/>
    <xf numFmtId="178" fontId="6" fillId="0" borderId="0" xfId="0" applyNumberFormat="1" applyFont="1" applyAlignment="1"/>
    <xf numFmtId="9" fontId="6" fillId="0" borderId="0" xfId="0" applyNumberFormat="1" applyFont="1" applyAlignment="1"/>
    <xf numFmtId="178" fontId="5" fillId="0" borderId="0" xfId="0" applyNumberFormat="1" applyFont="1" applyAlignment="1">
      <alignment horizontal="center"/>
    </xf>
    <xf numFmtId="3" fontId="0" fillId="0" borderId="0" xfId="0" applyNumberFormat="1" applyAlignment="1"/>
    <xf numFmtId="3" fontId="0" fillId="0" borderId="0" xfId="0" quotePrefix="1" applyNumberFormat="1" applyAlignment="1"/>
    <xf numFmtId="10" fontId="0" fillId="0" borderId="0" xfId="2" applyNumberFormat="1" applyFont="1" applyAlignment="1"/>
    <xf numFmtId="0" fontId="5" fillId="0" borderId="0" xfId="0" applyFont="1" applyAlignment="1">
      <alignment horizontal="right"/>
    </xf>
    <xf numFmtId="0" fontId="4" fillId="0" borderId="0" xfId="0" applyFont="1" applyAlignment="1"/>
    <xf numFmtId="10" fontId="6" fillId="0" borderId="0" xfId="2" applyNumberFormat="1" applyFont="1" applyAlignment="1"/>
    <xf numFmtId="43" fontId="0" fillId="0" borderId="0" xfId="1" applyFont="1" applyAlignment="1"/>
    <xf numFmtId="9" fontId="5" fillId="0" borderId="0" xfId="0" applyNumberFormat="1" applyFont="1" applyAlignment="1"/>
    <xf numFmtId="176" fontId="0" fillId="2" borderId="0" xfId="1" applyNumberFormat="1" applyFont="1" applyFill="1" applyAlignment="1"/>
    <xf numFmtId="0" fontId="3" fillId="0" borderId="0" xfId="0" applyFont="1" applyAlignment="1"/>
    <xf numFmtId="0" fontId="7" fillId="0" borderId="0" xfId="0" applyFont="1" applyAlignment="1"/>
    <xf numFmtId="176" fontId="7" fillId="0" borderId="0" xfId="1" applyNumberFormat="1" applyFont="1" applyAlignment="1"/>
    <xf numFmtId="0" fontId="8" fillId="0" borderId="0" xfId="0" applyFont="1" applyAlignment="1"/>
    <xf numFmtId="176" fontId="10" fillId="0" borderId="0" xfId="1" applyNumberFormat="1" applyFont="1" applyAlignment="1"/>
    <xf numFmtId="178" fontId="0" fillId="3" borderId="0" xfId="0" applyNumberFormat="1" applyFill="1" applyAlignment="1"/>
    <xf numFmtId="176" fontId="0" fillId="3" borderId="0" xfId="1" applyNumberFormat="1" applyFont="1" applyFill="1" applyAlignment="1"/>
    <xf numFmtId="0" fontId="4" fillId="0" borderId="0" xfId="3" applyFont="1" applyAlignment="1">
      <alignment horizontal="center" vertical="center" wrapText="1"/>
    </xf>
    <xf numFmtId="0" fontId="6" fillId="0" borderId="0" xfId="3"/>
    <xf numFmtId="9" fontId="6" fillId="0" borderId="0" xfId="3" applyNumberFormat="1"/>
    <xf numFmtId="10" fontId="6" fillId="0" borderId="0" xfId="3" applyNumberFormat="1"/>
    <xf numFmtId="0" fontId="5" fillId="0" borderId="0" xfId="3" applyFont="1"/>
    <xf numFmtId="0" fontId="5" fillId="0" borderId="0" xfId="3" applyFont="1" applyAlignment="1">
      <alignment horizontal="center"/>
    </xf>
    <xf numFmtId="176" fontId="6" fillId="0" borderId="0" xfId="4" applyNumberFormat="1"/>
    <xf numFmtId="178" fontId="5" fillId="0" borderId="0" xfId="3" applyNumberFormat="1" applyFont="1"/>
    <xf numFmtId="178" fontId="6" fillId="0" borderId="0" xfId="3" applyNumberFormat="1"/>
    <xf numFmtId="176" fontId="6" fillId="0" borderId="0" xfId="3" applyNumberFormat="1"/>
    <xf numFmtId="178" fontId="5" fillId="0" borderId="0" xfId="3" applyNumberFormat="1" applyFont="1" applyAlignment="1">
      <alignment horizontal="center"/>
    </xf>
    <xf numFmtId="3" fontId="6" fillId="0" borderId="0" xfId="3" applyNumberFormat="1"/>
    <xf numFmtId="3" fontId="6" fillId="0" borderId="0" xfId="3" quotePrefix="1" applyNumberFormat="1"/>
    <xf numFmtId="10" fontId="6" fillId="0" borderId="0" xfId="5" applyNumberFormat="1"/>
    <xf numFmtId="0" fontId="5" fillId="0" borderId="0" xfId="3" applyFont="1" applyAlignment="1">
      <alignment horizontal="right"/>
    </xf>
    <xf numFmtId="0" fontId="4" fillId="0" borderId="0" xfId="3" applyFont="1"/>
    <xf numFmtId="10" fontId="6" fillId="0" borderId="0" xfId="5" applyNumberFormat="1" applyFont="1"/>
    <xf numFmtId="177" fontId="6" fillId="0" borderId="0" xfId="4"/>
    <xf numFmtId="9" fontId="5" fillId="0" borderId="0" xfId="3" applyNumberFormat="1" applyFont="1"/>
    <xf numFmtId="176" fontId="11" fillId="0" borderId="0" xfId="4" applyNumberFormat="1" applyFont="1"/>
    <xf numFmtId="0" fontId="11" fillId="0" borderId="0" xfId="3" applyFont="1"/>
  </cellXfs>
  <cellStyles count="6">
    <cellStyle name="百分比" xfId="2" builtinId="5"/>
    <cellStyle name="百分比 2" xfId="5" xr:uid="{17912606-CEF7-4F8A-A3D2-6B5AE964E677}"/>
    <cellStyle name="常规" xfId="0" builtinId="0"/>
    <cellStyle name="常规 2" xfId="3" xr:uid="{1A517125-9421-4099-9DB6-F25D05B01F4C}"/>
    <cellStyle name="千位分隔" xfId="1" builtinId="3"/>
    <cellStyle name="千位分隔 2" xfId="4" xr:uid="{81CB063A-49AF-4264-B3AC-7759EC9818A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ROE as a Function of Initial 
Equity Investment</a:t>
            </a:r>
          </a:p>
        </c:rich>
      </c:tx>
      <c:layout>
        <c:manualLayout>
          <c:xMode val="edge"/>
          <c:yMode val="edge"/>
          <c:x val="0.23679081210739067"/>
          <c:y val="1.84501845018450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831406997812"/>
          <c:y val="0.10320325047144954"/>
          <c:w val="0.67931783215795138"/>
          <c:h val="0.6654830289021057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Sheet1!$B$75:$B$84</c:f>
              <c:numCache>
                <c:formatCode>#,##0</c:formatCode>
                <c:ptCount val="10"/>
                <c:pt idx="0">
                  <c:v>2000</c:v>
                </c:pt>
                <c:pt idx="1">
                  <c:v>1800</c:v>
                </c:pt>
                <c:pt idx="2">
                  <c:v>1600</c:v>
                </c:pt>
                <c:pt idx="3">
                  <c:v>1400</c:v>
                </c:pt>
                <c:pt idx="4">
                  <c:v>1200</c:v>
                </c:pt>
                <c:pt idx="5">
                  <c:v>1000</c:v>
                </c:pt>
                <c:pt idx="6">
                  <c:v>800</c:v>
                </c:pt>
                <c:pt idx="7">
                  <c:v>600</c:v>
                </c:pt>
                <c:pt idx="8">
                  <c:v>400</c:v>
                </c:pt>
                <c:pt idx="9">
                  <c:v>200</c:v>
                </c:pt>
              </c:numCache>
            </c:numRef>
          </c:xVal>
          <c:yVal>
            <c:numRef>
              <c:f>Sheet1!$C$75:$C$84</c:f>
              <c:numCache>
                <c:formatCode>0.00%</c:formatCode>
                <c:ptCount val="10"/>
                <c:pt idx="0">
                  <c:v>0.10783570310325707</c:v>
                </c:pt>
                <c:pt idx="1">
                  <c:v>0.11406750862866977</c:v>
                </c:pt>
                <c:pt idx="2">
                  <c:v>0.12166623700841939</c:v>
                </c:pt>
                <c:pt idx="3">
                  <c:v>0.13114305772039603</c:v>
                </c:pt>
                <c:pt idx="4">
                  <c:v>0.14330452363649515</c:v>
                </c:pt>
                <c:pt idx="5">
                  <c:v>0.15950643963782429</c:v>
                </c:pt>
                <c:pt idx="6">
                  <c:v>0.18223118664146387</c:v>
                </c:pt>
                <c:pt idx="7">
                  <c:v>0.21661802788980489</c:v>
                </c:pt>
                <c:pt idx="8">
                  <c:v>0.27560778291197141</c:v>
                </c:pt>
                <c:pt idx="9">
                  <c:v>0.40696389688895196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8B-42EF-AC52-84768C12C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069392"/>
        <c:axId val="1"/>
      </c:scatterChart>
      <c:valAx>
        <c:axId val="884069392"/>
        <c:scaling>
          <c:orientation val="minMax"/>
          <c:max val="2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Equity investment</a:t>
                </a:r>
              </a:p>
            </c:rich>
          </c:tx>
          <c:layout>
            <c:manualLayout>
              <c:xMode val="edge"/>
              <c:yMode val="edge"/>
              <c:x val="0.66536265158635988"/>
              <c:y val="0.6974181363860881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ROE</a:t>
                </a:r>
              </a:p>
            </c:rich>
          </c:tx>
          <c:layout>
            <c:manualLayout>
              <c:xMode val="edge"/>
              <c:yMode val="edge"/>
              <c:x val="3.7181996086105673E-2"/>
              <c:y val="0.3911446862500120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4069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ROE as a Function of Initial 
Equity Investment</a:t>
            </a:r>
          </a:p>
        </c:rich>
      </c:tx>
      <c:layout>
        <c:manualLayout>
          <c:xMode val="edge"/>
          <c:yMode val="edge"/>
          <c:x val="0.25852782764811488"/>
          <c:y val="1.84501845018450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391358843475314"/>
          <c:y val="0.1209969143458374"/>
          <c:w val="0.66956692314943067"/>
          <c:h val="0.5978671061794318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9, version 2'!$B$64:$B$73</c:f>
              <c:numCache>
                <c:formatCode>#,##0</c:formatCode>
                <c:ptCount val="10"/>
                <c:pt idx="0">
                  <c:v>2000</c:v>
                </c:pt>
                <c:pt idx="1">
                  <c:v>1800</c:v>
                </c:pt>
                <c:pt idx="2">
                  <c:v>1600</c:v>
                </c:pt>
                <c:pt idx="3">
                  <c:v>1400</c:v>
                </c:pt>
                <c:pt idx="4">
                  <c:v>1200</c:v>
                </c:pt>
                <c:pt idx="5">
                  <c:v>1000</c:v>
                </c:pt>
                <c:pt idx="6">
                  <c:v>800</c:v>
                </c:pt>
                <c:pt idx="7">
                  <c:v>600</c:v>
                </c:pt>
                <c:pt idx="8">
                  <c:v>400</c:v>
                </c:pt>
                <c:pt idx="9">
                  <c:v>200</c:v>
                </c:pt>
              </c:numCache>
            </c:numRef>
          </c:xVal>
          <c:yVal>
            <c:numRef>
              <c:f>'Exercise 9, version 2'!$C$64:$C$73</c:f>
              <c:numCache>
                <c:formatCode>0.00%</c:formatCode>
                <c:ptCount val="10"/>
                <c:pt idx="0">
                  <c:v>0.10777069501281145</c:v>
                </c:pt>
                <c:pt idx="1">
                  <c:v>0.11399687941141323</c:v>
                </c:pt>
                <c:pt idx="2">
                  <c:v>0.12158890965034552</c:v>
                </c:pt>
                <c:pt idx="3">
                  <c:v>0.13105760708263303</c:v>
                </c:pt>
                <c:pt idx="4">
                  <c:v>0.14320900425541061</c:v>
                </c:pt>
                <c:pt idx="5">
                  <c:v>0.1593980877775083</c:v>
                </c:pt>
                <c:pt idx="6">
                  <c:v>0.18210586089245862</c:v>
                </c:pt>
                <c:pt idx="7">
                  <c:v>0.21646902798142897</c:v>
                </c:pt>
                <c:pt idx="8">
                  <c:v>0.27542283681676749</c:v>
                </c:pt>
                <c:pt idx="9">
                  <c:v>0.40671395424591705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3-4132-8938-9922EA0F9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280408"/>
        <c:axId val="1"/>
      </c:scatterChart>
      <c:valAx>
        <c:axId val="1090280408"/>
        <c:scaling>
          <c:orientation val="minMax"/>
          <c:max val="2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Equity investment</a:t>
                </a:r>
              </a:p>
            </c:rich>
          </c:tx>
          <c:layout>
            <c:manualLayout>
              <c:xMode val="edge"/>
              <c:yMode val="edge"/>
              <c:x val="0.67324955116696594"/>
              <c:y val="0.6974181363860881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ROE</a:t>
                </a:r>
              </a:p>
            </c:rich>
          </c:tx>
          <c:layout>
            <c:manualLayout>
              <c:xMode val="edge"/>
              <c:yMode val="edge"/>
              <c:x val="3.5906642728904849E-2"/>
              <c:y val="0.3837646124492740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02804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1700349</xdr:colOff>
      <xdr:row>35</xdr:row>
      <xdr:rowOff>10069</xdr:rowOff>
    </xdr:from>
    <xdr:to>
      <xdr:col>1</xdr:col>
      <xdr:colOff>321129</xdr:colOff>
      <xdr:row>37</xdr:row>
      <xdr:rowOff>132533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624070F2-8537-4ABC-8D64-2C4E4E1719E6}"/>
            </a:ext>
          </a:extLst>
        </xdr:cNvPr>
        <xdr:cNvSpPr txBox="1">
          <a:spLocks noChangeArrowheads="1"/>
        </xdr:cNvSpPr>
      </xdr:nvSpPr>
      <xdr:spPr bwMode="auto">
        <a:xfrm>
          <a:off x="1700349" y="6149612"/>
          <a:ext cx="1679666" cy="4708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the plug:  </a:t>
          </a:r>
        </a:p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=C39-C28-C32</a:t>
          </a:r>
        </a:p>
      </xdr:txBody>
    </xdr:sp>
    <xdr:clientData/>
  </xdr:twoCellAnchor>
  <xdr:twoCellAnchor>
    <xdr:from>
      <xdr:col>0</xdr:col>
      <xdr:colOff>1047750</xdr:colOff>
      <xdr:row>41</xdr:row>
      <xdr:rowOff>19050</xdr:rowOff>
    </xdr:from>
    <xdr:to>
      <xdr:col>0</xdr:col>
      <xdr:colOff>2266950</xdr:colOff>
      <xdr:row>42</xdr:row>
      <xdr:rowOff>53340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F2DB9848-9822-4E45-AA37-1CD413395F0B}"/>
            </a:ext>
          </a:extLst>
        </xdr:cNvPr>
        <xdr:cNvSpPr txBox="1">
          <a:spLocks noChangeArrowheads="1"/>
        </xdr:cNvSpPr>
      </xdr:nvSpPr>
      <xdr:spPr bwMode="auto">
        <a:xfrm>
          <a:off x="1043940" y="7092315"/>
          <a:ext cx="1219200" cy="2133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=B31-$B$7*(C30+B30)/2</a:t>
          </a:r>
        </a:p>
      </xdr:txBody>
    </xdr:sp>
    <xdr:clientData/>
  </xdr:twoCellAnchor>
  <xdr:twoCellAnchor>
    <xdr:from>
      <xdr:col>0</xdr:col>
      <xdr:colOff>2263140</xdr:colOff>
      <xdr:row>41</xdr:row>
      <xdr:rowOff>68580</xdr:rowOff>
    </xdr:from>
    <xdr:to>
      <xdr:col>2</xdr:col>
      <xdr:colOff>152400</xdr:colOff>
      <xdr:row>41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1D915DDA-16A6-4D6D-94CD-943EA961A722}"/>
            </a:ext>
          </a:extLst>
        </xdr:cNvPr>
        <xdr:cNvSpPr>
          <a:spLocks noChangeShapeType="1"/>
        </xdr:cNvSpPr>
      </xdr:nvSpPr>
      <xdr:spPr bwMode="auto">
        <a:xfrm flipV="1">
          <a:off x="2266950" y="7143750"/>
          <a:ext cx="160972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2346960</xdr:colOff>
      <xdr:row>37</xdr:row>
      <xdr:rowOff>22860</xdr:rowOff>
    </xdr:from>
    <xdr:to>
      <xdr:col>2</xdr:col>
      <xdr:colOff>213360</xdr:colOff>
      <xdr:row>37</xdr:row>
      <xdr:rowOff>60960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1EB89775-D22D-40CA-930A-D228D60D22B7}"/>
            </a:ext>
          </a:extLst>
        </xdr:cNvPr>
        <xdr:cNvSpPr>
          <a:spLocks noChangeShapeType="1"/>
        </xdr:cNvSpPr>
      </xdr:nvSpPr>
      <xdr:spPr bwMode="auto">
        <a:xfrm>
          <a:off x="2343150" y="6410325"/>
          <a:ext cx="1590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822960</xdr:colOff>
      <xdr:row>61</xdr:row>
      <xdr:rowOff>121920</xdr:rowOff>
    </xdr:from>
    <xdr:to>
      <xdr:col>1</xdr:col>
      <xdr:colOff>251552</xdr:colOff>
      <xdr:row>65</xdr:row>
      <xdr:rowOff>42060</xdr:rowOff>
    </xdr:to>
    <xdr:sp macro="" textlink="">
      <xdr:nvSpPr>
        <xdr:cNvPr id="6" name="Text Box 7">
          <a:extLst>
            <a:ext uri="{FF2B5EF4-FFF2-40B4-BE49-F238E27FC236}">
              <a16:creationId xmlns:a16="http://schemas.microsoft.com/office/drawing/2014/main" id="{0D991DE8-DF31-4E18-AA1F-2E12AA44D66C}"/>
            </a:ext>
          </a:extLst>
        </xdr:cNvPr>
        <xdr:cNvSpPr txBox="1">
          <a:spLocks noChangeArrowheads="1"/>
        </xdr:cNvSpPr>
      </xdr:nvSpPr>
      <xdr:spPr bwMode="auto">
        <a:xfrm>
          <a:off x="819150" y="10629900"/>
          <a:ext cx="2486117" cy="6059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Note that the cash flow generated by depreciation equals the increase in fixed assets at cost.</a:t>
          </a:r>
        </a:p>
      </xdr:txBody>
    </xdr:sp>
    <xdr:clientData/>
  </xdr:twoCellAnchor>
  <xdr:twoCellAnchor>
    <xdr:from>
      <xdr:col>0</xdr:col>
      <xdr:colOff>2362200</xdr:colOff>
      <xdr:row>55</xdr:row>
      <xdr:rowOff>106680</xdr:rowOff>
    </xdr:from>
    <xdr:to>
      <xdr:col>2</xdr:col>
      <xdr:colOff>228600</xdr:colOff>
      <xdr:row>61</xdr:row>
      <xdr:rowOff>114300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49E39ADF-E0BE-4F5C-8C98-CA66939A01DD}"/>
            </a:ext>
          </a:extLst>
        </xdr:cNvPr>
        <xdr:cNvSpPr>
          <a:spLocks noChangeShapeType="1"/>
        </xdr:cNvSpPr>
      </xdr:nvSpPr>
      <xdr:spPr bwMode="auto">
        <a:xfrm flipV="1">
          <a:off x="2362200" y="9582150"/>
          <a:ext cx="1590675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2369820</xdr:colOff>
      <xdr:row>58</xdr:row>
      <xdr:rowOff>68580</xdr:rowOff>
    </xdr:from>
    <xdr:to>
      <xdr:col>2</xdr:col>
      <xdr:colOff>205740</xdr:colOff>
      <xdr:row>61</xdr:row>
      <xdr:rowOff>114300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95B796DF-79DD-422C-ADDF-89E0EB15C506}"/>
            </a:ext>
          </a:extLst>
        </xdr:cNvPr>
        <xdr:cNvSpPr>
          <a:spLocks noChangeShapeType="1"/>
        </xdr:cNvSpPr>
      </xdr:nvSpPr>
      <xdr:spPr bwMode="auto">
        <a:xfrm flipV="1">
          <a:off x="2371725" y="10058400"/>
          <a:ext cx="1562100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74</xdr:row>
      <xdr:rowOff>45720</xdr:rowOff>
    </xdr:from>
    <xdr:to>
      <xdr:col>9</xdr:col>
      <xdr:colOff>91440</xdr:colOff>
      <xdr:row>89</xdr:row>
      <xdr:rowOff>114300</xdr:rowOff>
    </xdr:to>
    <xdr:graphicFrame macro="">
      <xdr:nvGraphicFramePr>
        <xdr:cNvPr id="9" name="Chart 10">
          <a:extLst>
            <a:ext uri="{FF2B5EF4-FFF2-40B4-BE49-F238E27FC236}">
              <a16:creationId xmlns:a16="http://schemas.microsoft.com/office/drawing/2014/main" id="{C8CD0DE7-7E4B-4EB2-8C98-D59282BE0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1527810</xdr:colOff>
      <xdr:row>25</xdr:row>
      <xdr:rowOff>64770</xdr:rowOff>
    </xdr:from>
    <xdr:to>
      <xdr:col>0</xdr:col>
      <xdr:colOff>2353911</xdr:colOff>
      <xdr:row>27</xdr:row>
      <xdr:rowOff>99135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2D0B0288-3070-40B7-B916-1561515F63D2}"/>
            </a:ext>
          </a:extLst>
        </xdr:cNvPr>
        <xdr:cNvSpPr txBox="1">
          <a:spLocks noChangeArrowheads="1"/>
        </xdr:cNvSpPr>
      </xdr:nvSpPr>
      <xdr:spPr bwMode="auto">
        <a:xfrm>
          <a:off x="1529715" y="4730115"/>
          <a:ext cx="822291" cy="3753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the plug:  </a:t>
          </a:r>
        </a:p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=C39-C28-C32</a:t>
          </a:r>
        </a:p>
      </xdr:txBody>
    </xdr:sp>
    <xdr:clientData/>
  </xdr:twoCellAnchor>
  <xdr:twoCellAnchor>
    <xdr:from>
      <xdr:col>0</xdr:col>
      <xdr:colOff>1047750</xdr:colOff>
      <xdr:row>30</xdr:row>
      <xdr:rowOff>19050</xdr:rowOff>
    </xdr:from>
    <xdr:to>
      <xdr:col>0</xdr:col>
      <xdr:colOff>2266950</xdr:colOff>
      <xdr:row>31</xdr:row>
      <xdr:rowOff>45720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C3BB63B1-882F-4250-81D7-76DB70F0528F}"/>
            </a:ext>
          </a:extLst>
        </xdr:cNvPr>
        <xdr:cNvSpPr txBox="1">
          <a:spLocks noChangeArrowheads="1"/>
        </xdr:cNvSpPr>
      </xdr:nvSpPr>
      <xdr:spPr bwMode="auto">
        <a:xfrm>
          <a:off x="1043940" y="5539740"/>
          <a:ext cx="1219200" cy="2038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=B31-$B$7*(C30+B30)/2</a:t>
          </a:r>
        </a:p>
      </xdr:txBody>
    </xdr:sp>
    <xdr:clientData/>
  </xdr:twoCellAnchor>
  <xdr:twoCellAnchor>
    <xdr:from>
      <xdr:col>0</xdr:col>
      <xdr:colOff>2263140</xdr:colOff>
      <xdr:row>30</xdr:row>
      <xdr:rowOff>68580</xdr:rowOff>
    </xdr:from>
    <xdr:to>
      <xdr:col>2</xdr:col>
      <xdr:colOff>152400</xdr:colOff>
      <xdr:row>30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CA21CDAC-1A15-4E11-8ACD-B9EF35E47041}"/>
            </a:ext>
          </a:extLst>
        </xdr:cNvPr>
        <xdr:cNvSpPr>
          <a:spLocks noChangeShapeType="1"/>
        </xdr:cNvSpPr>
      </xdr:nvSpPr>
      <xdr:spPr bwMode="auto">
        <a:xfrm flipV="1">
          <a:off x="2266950" y="5591175"/>
          <a:ext cx="160972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2346960</xdr:colOff>
      <xdr:row>26</xdr:row>
      <xdr:rowOff>22860</xdr:rowOff>
    </xdr:from>
    <xdr:to>
      <xdr:col>2</xdr:col>
      <xdr:colOff>213360</xdr:colOff>
      <xdr:row>26</xdr:row>
      <xdr:rowOff>60960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31C10E9-D2EA-4A3E-9F36-D8379280B823}"/>
            </a:ext>
          </a:extLst>
        </xdr:cNvPr>
        <xdr:cNvSpPr>
          <a:spLocks noChangeShapeType="1"/>
        </xdr:cNvSpPr>
      </xdr:nvSpPr>
      <xdr:spPr bwMode="auto">
        <a:xfrm>
          <a:off x="2343150" y="4857750"/>
          <a:ext cx="1590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822960</xdr:colOff>
      <xdr:row>50</xdr:row>
      <xdr:rowOff>121920</xdr:rowOff>
    </xdr:from>
    <xdr:to>
      <xdr:col>1</xdr:col>
      <xdr:colOff>251552</xdr:colOff>
      <xdr:row>54</xdr:row>
      <xdr:rowOff>34191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DB98A830-B4D8-4BA7-A795-B8E394783B82}"/>
            </a:ext>
          </a:extLst>
        </xdr:cNvPr>
        <xdr:cNvSpPr txBox="1">
          <a:spLocks noChangeArrowheads="1"/>
        </xdr:cNvSpPr>
      </xdr:nvSpPr>
      <xdr:spPr bwMode="auto">
        <a:xfrm>
          <a:off x="819150" y="9077325"/>
          <a:ext cx="2486117" cy="59426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Note that the cash flow generated by depreciation equals the increase in fixed assets at cost.</a:t>
          </a:r>
        </a:p>
      </xdr:txBody>
    </xdr:sp>
    <xdr:clientData/>
  </xdr:twoCellAnchor>
  <xdr:twoCellAnchor>
    <xdr:from>
      <xdr:col>0</xdr:col>
      <xdr:colOff>2362200</xdr:colOff>
      <xdr:row>44</xdr:row>
      <xdr:rowOff>106680</xdr:rowOff>
    </xdr:from>
    <xdr:to>
      <xdr:col>2</xdr:col>
      <xdr:colOff>228600</xdr:colOff>
      <xdr:row>50</xdr:row>
      <xdr:rowOff>114300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815435DA-B82E-4845-8DC1-1CF214518F88}"/>
            </a:ext>
          </a:extLst>
        </xdr:cNvPr>
        <xdr:cNvSpPr>
          <a:spLocks noChangeShapeType="1"/>
        </xdr:cNvSpPr>
      </xdr:nvSpPr>
      <xdr:spPr bwMode="auto">
        <a:xfrm flipV="1">
          <a:off x="2362200" y="8029575"/>
          <a:ext cx="1590675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2369820</xdr:colOff>
      <xdr:row>47</xdr:row>
      <xdr:rowOff>68580</xdr:rowOff>
    </xdr:from>
    <xdr:to>
      <xdr:col>2</xdr:col>
      <xdr:colOff>205740</xdr:colOff>
      <xdr:row>50</xdr:row>
      <xdr:rowOff>114300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53FC4EA-A5F0-43B8-86F5-9E1E3398ADD4}"/>
            </a:ext>
          </a:extLst>
        </xdr:cNvPr>
        <xdr:cNvSpPr>
          <a:spLocks noChangeShapeType="1"/>
        </xdr:cNvSpPr>
      </xdr:nvSpPr>
      <xdr:spPr bwMode="auto">
        <a:xfrm flipV="1">
          <a:off x="2371725" y="8505825"/>
          <a:ext cx="1562100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63</xdr:row>
      <xdr:rowOff>45720</xdr:rowOff>
    </xdr:from>
    <xdr:to>
      <xdr:col>9</xdr:col>
      <xdr:colOff>91440</xdr:colOff>
      <xdr:row>78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B5A8179-7EC3-48F3-8936-64A835400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l 1 for reference"/>
      <sheetName val="Model 1 for reference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  <sheetName val="Exercise 8"/>
      <sheetName val="Exercise 8 (中文)"/>
      <sheetName val="Exercise 9"/>
      <sheetName val="Exercise 9 (中文)"/>
      <sheetName val="Exercise 9, version 2"/>
      <sheetName val="Exercise 9, version 2 (中文)"/>
      <sheetName val="Exercise 10--setup"/>
      <sheetName val="Exercise 10--setup (中文)"/>
      <sheetName val="Exercise 10--solu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75">
          <cell r="B75">
            <v>2000</v>
          </cell>
          <cell r="C75">
            <v>0.11398803498488495</v>
          </cell>
        </row>
        <row r="76">
          <cell r="B76">
            <v>1800</v>
          </cell>
          <cell r="C76">
            <v>0.11982868140887989</v>
          </cell>
        </row>
        <row r="77">
          <cell r="B77">
            <v>1600</v>
          </cell>
          <cell r="C77">
            <v>0.1269622608311673</v>
          </cell>
        </row>
        <row r="78">
          <cell r="B78">
            <v>1400</v>
          </cell>
          <cell r="C78">
            <v>0.1358764835351414</v>
          </cell>
        </row>
        <row r="79">
          <cell r="B79">
            <v>1200</v>
          </cell>
          <cell r="C79">
            <v>0.14734315703497283</v>
          </cell>
        </row>
        <row r="80">
          <cell r="B80">
            <v>1000</v>
          </cell>
          <cell r="C80">
            <v>0.16266413698064258</v>
          </cell>
        </row>
        <row r="81">
          <cell r="B81">
            <v>800</v>
          </cell>
          <cell r="C81">
            <v>0.18423264486981963</v>
          </cell>
        </row>
        <row r="82">
          <cell r="B82">
            <v>600</v>
          </cell>
          <cell r="C82">
            <v>0.21702704295283412</v>
          </cell>
        </row>
        <row r="83">
          <cell r="B83">
            <v>400</v>
          </cell>
          <cell r="C83">
            <v>0.2736544421076868</v>
          </cell>
        </row>
        <row r="84">
          <cell r="B84">
            <v>200</v>
          </cell>
          <cell r="C84">
            <v>0.4009632967307466</v>
          </cell>
        </row>
      </sheetData>
      <sheetData sheetId="19" refreshError="1"/>
      <sheetData sheetId="20">
        <row r="64">
          <cell r="B64">
            <v>2000</v>
          </cell>
          <cell r="C64">
            <v>0.11398803498488495</v>
          </cell>
        </row>
        <row r="65">
          <cell r="B65">
            <v>1800</v>
          </cell>
          <cell r="C65">
            <v>0.11982868140887989</v>
          </cell>
        </row>
        <row r="66">
          <cell r="B66">
            <v>1600</v>
          </cell>
          <cell r="C66">
            <v>0.1269622608311673</v>
          </cell>
        </row>
        <row r="67">
          <cell r="B67">
            <v>1400</v>
          </cell>
          <cell r="C67">
            <v>0.1358764835351414</v>
          </cell>
        </row>
        <row r="68">
          <cell r="B68">
            <v>1200</v>
          </cell>
          <cell r="C68">
            <v>0.14734315703497283</v>
          </cell>
        </row>
        <row r="69">
          <cell r="B69">
            <v>1000</v>
          </cell>
          <cell r="C69">
            <v>0.16266413698064258</v>
          </cell>
        </row>
        <row r="70">
          <cell r="B70">
            <v>800</v>
          </cell>
          <cell r="C70">
            <v>0.18423264486981963</v>
          </cell>
        </row>
        <row r="71">
          <cell r="B71">
            <v>600</v>
          </cell>
          <cell r="C71">
            <v>0.21702704295283412</v>
          </cell>
        </row>
        <row r="72">
          <cell r="B72">
            <v>400</v>
          </cell>
          <cell r="C72">
            <v>0.2736544421076868</v>
          </cell>
        </row>
        <row r="73">
          <cell r="B73">
            <v>200</v>
          </cell>
          <cell r="C73">
            <v>0.4009632967307466</v>
          </cell>
        </row>
      </sheetData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123"/>
  <sheetViews>
    <sheetView topLeftCell="A53" zoomScale="175" zoomScaleNormal="175" workbookViewId="0">
      <selection activeCell="J65" sqref="J65"/>
    </sheetView>
  </sheetViews>
  <sheetFormatPr defaultRowHeight="13.8" x14ac:dyDescent="0.25"/>
  <cols>
    <col min="1" max="1" width="44.5546875" style="3" customWidth="1"/>
    <col min="2" max="2" width="9.6640625" style="3" bestFit="1" customWidth="1"/>
    <col min="3" max="7" width="9.33203125" style="3" bestFit="1" customWidth="1"/>
    <col min="8" max="8" width="27.5546875" style="3" bestFit="1" customWidth="1"/>
    <col min="9" max="11" width="9.33203125" style="3" bestFit="1" customWidth="1"/>
    <col min="12" max="13" width="8.88671875" style="3"/>
  </cols>
  <sheetData>
    <row r="1" spans="1:6" ht="17.399999999999999" x14ac:dyDescent="0.3">
      <c r="A1" s="1" t="s">
        <v>0</v>
      </c>
      <c r="B1" s="2"/>
      <c r="C1" s="2"/>
      <c r="D1" s="2"/>
      <c r="E1" s="2"/>
      <c r="F1" s="2"/>
    </row>
    <row r="2" spans="1:6" x14ac:dyDescent="0.25">
      <c r="A2" s="3" t="s">
        <v>1</v>
      </c>
      <c r="B2" s="4">
        <v>0.15</v>
      </c>
    </row>
    <row r="3" spans="1:6" x14ac:dyDescent="0.25">
      <c r="A3" s="3" t="s">
        <v>2</v>
      </c>
      <c r="B3" s="4">
        <v>0.15</v>
      </c>
    </row>
    <row r="4" spans="1:6" x14ac:dyDescent="0.25">
      <c r="A4" s="3" t="s">
        <v>3</v>
      </c>
      <c r="B4" s="4">
        <v>0.08</v>
      </c>
    </row>
    <row r="5" spans="1:6" x14ac:dyDescent="0.25">
      <c r="A5" s="3" t="s">
        <v>4</v>
      </c>
      <c r="B5" s="4">
        <v>0.55000000000000004</v>
      </c>
    </row>
    <row r="6" spans="1:6" x14ac:dyDescent="0.25">
      <c r="A6" s="3" t="s">
        <v>5</v>
      </c>
      <c r="B6" s="4">
        <v>0.1</v>
      </c>
    </row>
    <row r="7" spans="1:6" x14ac:dyDescent="0.25">
      <c r="A7" s="3" t="s">
        <v>6</v>
      </c>
      <c r="B7" s="5">
        <v>0.1</v>
      </c>
    </row>
    <row r="8" spans="1:6" x14ac:dyDescent="0.25">
      <c r="A8" s="3" t="s">
        <v>7</v>
      </c>
      <c r="B8" s="5">
        <v>0.08</v>
      </c>
    </row>
    <row r="9" spans="1:6" x14ac:dyDescent="0.25">
      <c r="A9" s="3" t="s">
        <v>8</v>
      </c>
      <c r="B9" s="4">
        <v>0.4</v>
      </c>
    </row>
    <row r="10" spans="1:6" x14ac:dyDescent="0.25">
      <c r="A10" s="3" t="s">
        <v>9</v>
      </c>
      <c r="B10" s="4">
        <v>0</v>
      </c>
      <c r="C10" s="3" t="s">
        <v>10</v>
      </c>
    </row>
    <row r="11" spans="1:6" x14ac:dyDescent="0.25">
      <c r="B11" s="4"/>
    </row>
    <row r="12" spans="1:6" x14ac:dyDescent="0.25">
      <c r="A12" s="43" t="s">
        <v>59</v>
      </c>
      <c r="B12" s="4"/>
    </row>
    <row r="13" spans="1:6" x14ac:dyDescent="0.25">
      <c r="A13" s="3" t="s">
        <v>11</v>
      </c>
      <c r="B13" s="4"/>
    </row>
    <row r="14" spans="1:6" x14ac:dyDescent="0.25">
      <c r="B14" s="7"/>
      <c r="C14" s="8" t="s">
        <v>12</v>
      </c>
      <c r="D14" s="8" t="s">
        <v>13</v>
      </c>
      <c r="E14" s="9" t="s">
        <v>14</v>
      </c>
      <c r="F14" s="10"/>
    </row>
    <row r="15" spans="1:6" x14ac:dyDescent="0.25">
      <c r="B15" s="11"/>
      <c r="C15" s="12" t="s">
        <v>15</v>
      </c>
      <c r="D15" s="12" t="s">
        <v>16</v>
      </c>
      <c r="E15" s="12"/>
      <c r="F15" s="13" t="s">
        <v>17</v>
      </c>
    </row>
    <row r="16" spans="1:6" x14ac:dyDescent="0.25">
      <c r="B16" s="11" t="s">
        <v>18</v>
      </c>
      <c r="C16" s="12" t="s">
        <v>19</v>
      </c>
      <c r="D16" s="12" t="s">
        <v>20</v>
      </c>
      <c r="E16" s="12" t="s">
        <v>21</v>
      </c>
      <c r="F16" s="13" t="s">
        <v>22</v>
      </c>
    </row>
    <row r="17" spans="1:13" x14ac:dyDescent="0.25">
      <c r="B17" s="14">
        <v>1</v>
      </c>
      <c r="C17" s="15">
        <f ca="1">B47</f>
        <v>1000</v>
      </c>
      <c r="D17" s="16">
        <f ca="1">PMT($B$7,5,-$C$17)</f>
        <v>263.79748079474541</v>
      </c>
      <c r="E17" s="17">
        <f ca="1">C17*$B$7</f>
        <v>100</v>
      </c>
      <c r="F17" s="18">
        <f ca="1">D17-E17</f>
        <v>163.79748079474541</v>
      </c>
    </row>
    <row r="18" spans="1:13" x14ac:dyDescent="0.25">
      <c r="B18" s="14">
        <v>2</v>
      </c>
      <c r="C18" s="17">
        <f ca="1">C17-F17</f>
        <v>836.20251920525459</v>
      </c>
      <c r="D18" s="16">
        <f ca="1">PMT($B$7,5,-$C$17)</f>
        <v>263.79748079474541</v>
      </c>
      <c r="E18" s="17">
        <f ca="1">C18*$B$7</f>
        <v>83.620251920525462</v>
      </c>
      <c r="F18" s="18">
        <f ca="1">D18-E18</f>
        <v>180.17722887421996</v>
      </c>
    </row>
    <row r="19" spans="1:13" x14ac:dyDescent="0.25">
      <c r="B19" s="14">
        <v>3</v>
      </c>
      <c r="C19" s="17">
        <f ca="1">C18-F18</f>
        <v>656.02529033103463</v>
      </c>
      <c r="D19" s="16">
        <f ca="1">PMT($B$7,5,-$C$17)</f>
        <v>263.79748079474541</v>
      </c>
      <c r="E19" s="17">
        <f ca="1">C19*$B$7</f>
        <v>65.602529033103465</v>
      </c>
      <c r="F19" s="18">
        <f ca="1">D19-E19</f>
        <v>198.19495176164196</v>
      </c>
    </row>
    <row r="20" spans="1:13" x14ac:dyDescent="0.25">
      <c r="B20" s="14">
        <v>4</v>
      </c>
      <c r="C20" s="17">
        <f ca="1">C19-F19</f>
        <v>457.83033856939267</v>
      </c>
      <c r="D20" s="16">
        <f ca="1">PMT($B$7,5,-$C$17)</f>
        <v>263.79748079474541</v>
      </c>
      <c r="E20" s="17">
        <f ca="1">C20*$B$7</f>
        <v>45.783033856939269</v>
      </c>
      <c r="F20" s="18">
        <f ca="1">D20-E20</f>
        <v>218.01444693780616</v>
      </c>
    </row>
    <row r="21" spans="1:13" x14ac:dyDescent="0.25">
      <c r="B21" s="19">
        <v>5</v>
      </c>
      <c r="C21" s="20">
        <f ca="1">C20-F20</f>
        <v>239.81589163158651</v>
      </c>
      <c r="D21" s="21">
        <f ca="1">PMT($B$7,5,-$C$17)</f>
        <v>263.79748079474541</v>
      </c>
      <c r="E21" s="20">
        <f ca="1">C21*$B$7</f>
        <v>23.981589163158652</v>
      </c>
      <c r="F21" s="22">
        <f ca="1">D21-E21</f>
        <v>239.81589163158677</v>
      </c>
    </row>
    <row r="22" spans="1:13" x14ac:dyDescent="0.25">
      <c r="B22" s="4"/>
    </row>
    <row r="24" spans="1:13" x14ac:dyDescent="0.25">
      <c r="A24" s="6" t="s">
        <v>18</v>
      </c>
      <c r="B24" s="23">
        <v>0</v>
      </c>
      <c r="C24" s="23">
        <v>1</v>
      </c>
      <c r="D24" s="23">
        <v>2</v>
      </c>
      <c r="E24" s="23">
        <v>3</v>
      </c>
      <c r="F24" s="23">
        <v>4</v>
      </c>
      <c r="G24" s="23">
        <v>5</v>
      </c>
      <c r="H24" s="6"/>
      <c r="I24" s="6"/>
      <c r="J24" s="6"/>
      <c r="K24" s="6"/>
      <c r="L24" s="6"/>
      <c r="M24" s="6"/>
    </row>
    <row r="25" spans="1:13" x14ac:dyDescent="0.25">
      <c r="A25" s="6" t="s">
        <v>23</v>
      </c>
    </row>
    <row r="26" spans="1:13" x14ac:dyDescent="0.25">
      <c r="A26" s="3" t="s">
        <v>24</v>
      </c>
      <c r="B26" s="24"/>
      <c r="C26" s="24">
        <v>1150</v>
      </c>
      <c r="D26" s="24">
        <f>C26*(1+$B$2)</f>
        <v>1322.5</v>
      </c>
      <c r="E26" s="24">
        <f>D26*(1+$B$2)</f>
        <v>1520.8749999999998</v>
      </c>
      <c r="F26" s="24">
        <f>E26*(1+$B$2)</f>
        <v>1749.0062499999997</v>
      </c>
      <c r="G26" s="24">
        <f>F26*(1+$B$2)</f>
        <v>2011.3571874999996</v>
      </c>
    </row>
    <row r="27" spans="1:13" x14ac:dyDescent="0.25">
      <c r="A27" s="3" t="s">
        <v>25</v>
      </c>
      <c r="B27" s="24"/>
      <c r="C27" s="24">
        <f>-C26*$B$5</f>
        <v>-632.5</v>
      </c>
      <c r="D27" s="24">
        <f>-D26*$B$5</f>
        <v>-727.37500000000011</v>
      </c>
      <c r="E27" s="24">
        <f>-E26*$B$5</f>
        <v>-836.48124999999993</v>
      </c>
      <c r="F27" s="24">
        <f>-F26*$B$5</f>
        <v>-961.95343749999995</v>
      </c>
      <c r="G27" s="24">
        <f>-G26*$B$5</f>
        <v>-1106.2464531249998</v>
      </c>
    </row>
    <row r="28" spans="1:13" x14ac:dyDescent="0.25">
      <c r="A28" s="3" t="s">
        <v>26</v>
      </c>
      <c r="B28" s="24"/>
      <c r="C28" s="24">
        <f t="array" aca="1" ref="C28:G28" ca="1">-TRANSPOSE(E17:E21)</f>
        <v>-100</v>
      </c>
      <c r="D28" s="24">
        <f ca="1"/>
        <v>-83.620251920525462</v>
      </c>
      <c r="E28" s="24">
        <f ca="1"/>
        <v>-65.602529033103465</v>
      </c>
      <c r="F28" s="24">
        <f ca="1"/>
        <v>-45.783033856939269</v>
      </c>
      <c r="G28" s="24">
        <f ca="1"/>
        <v>-23.981589163158652</v>
      </c>
      <c r="H28" s="3" t="e">
        <f ca="1">getformula(G28)</f>
        <v>#NAME?</v>
      </c>
    </row>
    <row r="29" spans="1:13" x14ac:dyDescent="0.25">
      <c r="A29" s="3" t="s">
        <v>27</v>
      </c>
      <c r="B29" s="24"/>
      <c r="C29" s="24">
        <f ca="1">$B$8*(B38+C38)/2</f>
        <v>-0.82431435543267073</v>
      </c>
      <c r="D29" s="24">
        <f ca="1">$B$8*(C38+D38)/2</f>
        <v>-2.71218386154138</v>
      </c>
      <c r="E29" s="24">
        <f ca="1">$B$8*(D38+E38)/2</f>
        <v>-3.6683669297164125</v>
      </c>
      <c r="F29" s="24">
        <f ca="1">$B$8*(E38+F38)/2</f>
        <v>-1.9999105662525654</v>
      </c>
      <c r="G29" s="24">
        <f ca="1">$B$8*(F38+G38)/2</f>
        <v>4.5425542824525653</v>
      </c>
    </row>
    <row r="30" spans="1:13" x14ac:dyDescent="0.25">
      <c r="A30" s="3" t="s">
        <v>28</v>
      </c>
      <c r="B30" s="24"/>
      <c r="C30" s="24">
        <f ca="1">-$B$6*(C41+B41)/2</f>
        <v>-210.52631578947367</v>
      </c>
      <c r="D30" s="24">
        <f ca="1">-$B$6*(D41+C41)/2</f>
        <v>-232.6869806094183</v>
      </c>
      <c r="E30" s="24">
        <f ca="1">-$B$6*(E41+D41)/2</f>
        <v>-257.18034698935708</v>
      </c>
      <c r="F30" s="24">
        <f ca="1">-$B$6*(F41+E41)/2</f>
        <v>-284.25196246192098</v>
      </c>
      <c r="G30" s="24">
        <f ca="1">-$B$6*(G41+F41)/2</f>
        <v>-314.173221668439</v>
      </c>
    </row>
    <row r="31" spans="1:13" x14ac:dyDescent="0.25">
      <c r="A31" s="3" t="s">
        <v>29</v>
      </c>
      <c r="B31" s="24"/>
      <c r="C31" s="24">
        <f ca="1">SUM(C26:C30)</f>
        <v>206.14936985509368</v>
      </c>
      <c r="D31" s="24">
        <f ca="1">SUM(D26:D30)</f>
        <v>276.10558360851473</v>
      </c>
      <c r="E31" s="24">
        <f ca="1">SUM(E26:E30)</f>
        <v>357.94250704782291</v>
      </c>
      <c r="F31" s="24">
        <f ca="1">SUM(F26:F30)</f>
        <v>455.01790561488696</v>
      </c>
      <c r="G31" s="24">
        <f ca="1">SUM(G26:G30)</f>
        <v>571.49847782585471</v>
      </c>
    </row>
    <row r="32" spans="1:13" x14ac:dyDescent="0.25">
      <c r="A32" s="3" t="s">
        <v>30</v>
      </c>
      <c r="B32" s="24"/>
      <c r="C32" s="24">
        <f ca="1">-C31*$B$9</f>
        <v>-82.459747942037481</v>
      </c>
      <c r="D32" s="24">
        <f ca="1">-D31*$B$9</f>
        <v>-110.4422334434059</v>
      </c>
      <c r="E32" s="24">
        <f ca="1">-E31*$B$9</f>
        <v>-143.17700281912917</v>
      </c>
      <c r="F32" s="24">
        <f ca="1">-F31*$B$9</f>
        <v>-182.00716224595479</v>
      </c>
      <c r="G32" s="24">
        <f ca="1">-G31*$B$9</f>
        <v>-228.5993911303419</v>
      </c>
    </row>
    <row r="33" spans="1:8" x14ac:dyDescent="0.25">
      <c r="A33" s="3" t="s">
        <v>31</v>
      </c>
      <c r="B33" s="24"/>
      <c r="C33" s="46">
        <f ca="1">C32+C31</f>
        <v>123.6896219130562</v>
      </c>
      <c r="D33" s="46">
        <f ca="1">D32+D31</f>
        <v>165.66335016510885</v>
      </c>
      <c r="E33" s="46">
        <f ca="1">E32+E31</f>
        <v>214.76550422869374</v>
      </c>
      <c r="F33" s="46">
        <f ca="1">F32+F31</f>
        <v>273.01074336893214</v>
      </c>
      <c r="G33" s="46">
        <f ca="1">G32+G31</f>
        <v>342.89908669551278</v>
      </c>
    </row>
    <row r="34" spans="1:8" x14ac:dyDescent="0.25">
      <c r="A34" s="3" t="s">
        <v>32</v>
      </c>
      <c r="B34" s="24"/>
      <c r="C34" s="24">
        <f ca="1">-$B$10*C33</f>
        <v>0</v>
      </c>
      <c r="D34" s="24">
        <f ca="1">-$B$10*D33</f>
        <v>0</v>
      </c>
      <c r="E34" s="24">
        <f ca="1">-$B$10*E33</f>
        <v>0</v>
      </c>
      <c r="F34" s="24">
        <f ca="1">-$B$10*F33</f>
        <v>0</v>
      </c>
      <c r="G34" s="24">
        <f ca="1">-$B$10*G33</f>
        <v>0</v>
      </c>
    </row>
    <row r="35" spans="1:8" x14ac:dyDescent="0.25">
      <c r="A35" s="3" t="s">
        <v>33</v>
      </c>
      <c r="B35" s="24"/>
      <c r="C35" s="24">
        <f ca="1">C34+C33</f>
        <v>123.6896219130562</v>
      </c>
      <c r="D35" s="24">
        <f ca="1">D34+D33</f>
        <v>165.66335016510885</v>
      </c>
      <c r="E35" s="24">
        <f ca="1">E34+E33</f>
        <v>214.76550422869374</v>
      </c>
      <c r="F35" s="24">
        <f ca="1">F34+F33</f>
        <v>273.01074336893214</v>
      </c>
      <c r="G35" s="24">
        <f ca="1">G34+G33</f>
        <v>342.89908669551278</v>
      </c>
    </row>
    <row r="36" spans="1:8" x14ac:dyDescent="0.25">
      <c r="B36" s="24"/>
      <c r="C36" s="24"/>
      <c r="D36" s="24"/>
      <c r="E36" s="24"/>
      <c r="F36" s="24"/>
      <c r="G36" s="24"/>
    </row>
    <row r="37" spans="1:8" x14ac:dyDescent="0.25">
      <c r="A37" s="6" t="s">
        <v>34</v>
      </c>
      <c r="B37" s="24"/>
      <c r="C37" s="24"/>
      <c r="D37" s="24"/>
      <c r="E37" s="24"/>
      <c r="F37" s="24"/>
      <c r="G37" s="24"/>
    </row>
    <row r="38" spans="1:8" x14ac:dyDescent="0.25">
      <c r="A38" s="25" t="s">
        <v>35</v>
      </c>
      <c r="B38" s="24">
        <v>0</v>
      </c>
      <c r="C38" s="24">
        <f ca="1">C50-C39-C43</f>
        <v>-20.607858881689026</v>
      </c>
      <c r="D38" s="24">
        <f ca="1">D50-D39-D43</f>
        <v>-47.196737590800694</v>
      </c>
      <c r="E38" s="24">
        <f ca="1">E50-E39-E43</f>
        <v>-44.512435123748674</v>
      </c>
      <c r="F38" s="24">
        <f ca="1">F50-F39-F43</f>
        <v>-5.485326192622324</v>
      </c>
      <c r="G38" s="24">
        <f ca="1">G50-G39-G43</f>
        <v>119.04919487788993</v>
      </c>
      <c r="H38" s="41" t="str">
        <f ca="1">[2]!getformula(G38)</f>
        <v>&lt;--  =G50-G39-G43</v>
      </c>
    </row>
    <row r="39" spans="1:8" x14ac:dyDescent="0.25">
      <c r="A39" s="3" t="s">
        <v>36</v>
      </c>
      <c r="B39" s="24">
        <v>200</v>
      </c>
      <c r="C39" s="24">
        <f>C26*$B$3</f>
        <v>172.5</v>
      </c>
      <c r="D39" s="24">
        <f>D26*$B$3</f>
        <v>198.375</v>
      </c>
      <c r="E39" s="24">
        <f>E26*$B$3</f>
        <v>228.13124999999997</v>
      </c>
      <c r="F39" s="24">
        <f>F26*$B$3</f>
        <v>262.35093749999993</v>
      </c>
      <c r="G39" s="24">
        <f>G26*$B$3</f>
        <v>301.70357812499992</v>
      </c>
    </row>
    <row r="40" spans="1:8" x14ac:dyDescent="0.25">
      <c r="A40" s="3" t="s">
        <v>37</v>
      </c>
      <c r="B40" s="24"/>
      <c r="C40" s="24"/>
      <c r="D40" s="24"/>
      <c r="E40" s="24"/>
      <c r="F40" s="24"/>
      <c r="G40" s="24"/>
    </row>
    <row r="41" spans="1:8" x14ac:dyDescent="0.25">
      <c r="A41" s="3" t="s">
        <v>38</v>
      </c>
      <c r="B41" s="24">
        <v>2000</v>
      </c>
      <c r="C41" s="24">
        <f ca="1">C43-C42</f>
        <v>2210.5263157894738</v>
      </c>
      <c r="D41" s="24">
        <f ca="1">D43-D42</f>
        <v>2443.213296398892</v>
      </c>
      <c r="E41" s="24">
        <f ca="1">E43-E42</f>
        <v>2700.3936433882491</v>
      </c>
      <c r="F41" s="24">
        <f ca="1">F43-F42</f>
        <v>2984.6456058501699</v>
      </c>
      <c r="G41" s="24">
        <f ca="1">G43-G42</f>
        <v>3298.8188275186094</v>
      </c>
    </row>
    <row r="42" spans="1:8" x14ac:dyDescent="0.25">
      <c r="A42" s="3" t="s">
        <v>39</v>
      </c>
      <c r="B42" s="24">
        <v>0</v>
      </c>
      <c r="C42" s="24">
        <f ca="1">B42-$B$6*(C41+B41)/2</f>
        <v>-210.52631578947367</v>
      </c>
      <c r="D42" s="24">
        <f ca="1">C42-$B$6*(D41+C41)/2</f>
        <v>-443.213296398892</v>
      </c>
      <c r="E42" s="24">
        <f ca="1">D42-$B$6*(E41+D41)/2</f>
        <v>-700.39364338824907</v>
      </c>
      <c r="F42" s="24">
        <f ca="1">E42-$B$6*(F41+E41)/2</f>
        <v>-984.64560585017011</v>
      </c>
      <c r="G42" s="24">
        <f ca="1">F42-$B$6*(G41+F41)/2</f>
        <v>-1298.8188275186092</v>
      </c>
      <c r="H42" s="41" t="str">
        <f ca="1">[2]!getformula(G42)</f>
        <v>&lt;--  =F42-$B$6*(G41+F41)/2</v>
      </c>
    </row>
    <row r="43" spans="1:8" x14ac:dyDescent="0.25">
      <c r="A43" s="3" t="s">
        <v>40</v>
      </c>
      <c r="B43" s="44">
        <f>B41-B42</f>
        <v>2000</v>
      </c>
      <c r="C43" s="44">
        <f>B43</f>
        <v>2000</v>
      </c>
      <c r="D43" s="44">
        <f>C43</f>
        <v>2000</v>
      </c>
      <c r="E43" s="44">
        <f>D43</f>
        <v>2000</v>
      </c>
      <c r="F43" s="44">
        <f>E43</f>
        <v>2000</v>
      </c>
      <c r="G43" s="44">
        <f>F43</f>
        <v>2000</v>
      </c>
      <c r="H43" s="41" t="str">
        <f ca="1">[2]!getformula(G43)</f>
        <v>&lt;--  =F43</v>
      </c>
    </row>
    <row r="44" spans="1:8" x14ac:dyDescent="0.25">
      <c r="A44" s="6" t="s">
        <v>41</v>
      </c>
      <c r="B44" s="24">
        <f>B38+B39+B43</f>
        <v>2200</v>
      </c>
      <c r="C44" s="24">
        <f ca="1">C43+C39+C38</f>
        <v>2151.892141118311</v>
      </c>
      <c r="D44" s="24">
        <f ca="1">D43+D39+D38</f>
        <v>2151.1782624091993</v>
      </c>
      <c r="E44" s="24">
        <f ca="1">E43+E39+E38</f>
        <v>2183.6188148762512</v>
      </c>
      <c r="F44" s="24">
        <f ca="1">F43+F39+F38</f>
        <v>2256.8656113073775</v>
      </c>
      <c r="G44" s="24">
        <f ca="1">G43+G39+G38</f>
        <v>2420.7527730028896</v>
      </c>
    </row>
    <row r="45" spans="1:8" x14ac:dyDescent="0.25">
      <c r="B45" s="24"/>
      <c r="C45" s="24"/>
      <c r="D45" s="24"/>
      <c r="E45" s="24"/>
      <c r="F45" s="24"/>
      <c r="G45" s="24"/>
    </row>
    <row r="46" spans="1:8" x14ac:dyDescent="0.25">
      <c r="A46" s="3" t="s">
        <v>42</v>
      </c>
      <c r="B46" s="24">
        <v>100</v>
      </c>
      <c r="C46" s="24">
        <f>C26*$B$4</f>
        <v>92</v>
      </c>
      <c r="D46" s="24">
        <f>D26*$B$4</f>
        <v>105.8</v>
      </c>
      <c r="E46" s="24">
        <f>E26*$B$4</f>
        <v>121.66999999999999</v>
      </c>
      <c r="F46" s="24">
        <f>F26*$B$4</f>
        <v>139.92049999999998</v>
      </c>
      <c r="G46" s="24">
        <f>G26*$B$4</f>
        <v>160.90857499999996</v>
      </c>
    </row>
    <row r="47" spans="1:8" x14ac:dyDescent="0.25">
      <c r="A47" s="3" t="s">
        <v>43</v>
      </c>
      <c r="B47" s="39">
        <f t="array" aca="1" ref="B47:F47" ca="1">TRANSPOSE(C17:C21)</f>
        <v>1000</v>
      </c>
      <c r="C47" s="39">
        <f ca="1"/>
        <v>836.20251920525459</v>
      </c>
      <c r="D47" s="39">
        <f ca="1"/>
        <v>656.02529033103463</v>
      </c>
      <c r="E47" s="39">
        <f ca="1"/>
        <v>457.83033856939267</v>
      </c>
      <c r="F47" s="39">
        <f ca="1"/>
        <v>239.81589163158651</v>
      </c>
      <c r="G47" s="42">
        <f ca="1">F47-$B$47/5</f>
        <v>39.81589163158651</v>
      </c>
      <c r="H47" s="41" t="str">
        <f ca="1">[2]!getformula(G47)</f>
        <v>&lt;--  =F47-$B$47/5</v>
      </c>
    </row>
    <row r="48" spans="1:8" x14ac:dyDescent="0.25">
      <c r="A48" s="3" t="s">
        <v>44</v>
      </c>
      <c r="B48" s="24">
        <v>1100</v>
      </c>
      <c r="C48" s="24">
        <f>B48</f>
        <v>1100</v>
      </c>
      <c r="D48" s="24">
        <f>C48</f>
        <v>1100</v>
      </c>
      <c r="E48" s="24">
        <f>D48</f>
        <v>1100</v>
      </c>
      <c r="F48" s="24">
        <f>E48</f>
        <v>1100</v>
      </c>
      <c r="G48" s="24">
        <f>F48</f>
        <v>1100</v>
      </c>
    </row>
    <row r="49" spans="1:13" x14ac:dyDescent="0.25">
      <c r="A49" s="3" t="s">
        <v>45</v>
      </c>
      <c r="B49" s="24">
        <v>0</v>
      </c>
      <c r="C49" s="24">
        <f ca="1">B49+C35</f>
        <v>123.6896219130562</v>
      </c>
      <c r="D49" s="24">
        <f ca="1">C49+D35</f>
        <v>289.35297207816507</v>
      </c>
      <c r="E49" s="24">
        <f ca="1">D49+E35</f>
        <v>504.11847630685884</v>
      </c>
      <c r="F49" s="24">
        <f ca="1">E49+F35</f>
        <v>777.12921967579098</v>
      </c>
      <c r="G49" s="24">
        <f ca="1">F49+G35</f>
        <v>1120.0283063713036</v>
      </c>
    </row>
    <row r="50" spans="1:13" x14ac:dyDescent="0.25">
      <c r="A50" s="6" t="s">
        <v>46</v>
      </c>
      <c r="B50" s="24">
        <f t="shared" ref="B50:G50" ca="1" si="0">SUM(B46:B49)</f>
        <v>2200</v>
      </c>
      <c r="C50" s="24">
        <f t="shared" ca="1" si="0"/>
        <v>2151.892141118311</v>
      </c>
      <c r="D50" s="24">
        <f t="shared" ca="1" si="0"/>
        <v>2151.1782624091993</v>
      </c>
      <c r="E50" s="24">
        <f t="shared" ca="1" si="0"/>
        <v>2183.6188148762512</v>
      </c>
      <c r="F50" s="24">
        <f t="shared" ca="1" si="0"/>
        <v>2256.8656113073775</v>
      </c>
      <c r="G50" s="24">
        <f t="shared" ca="1" si="0"/>
        <v>2420.7527730028901</v>
      </c>
    </row>
    <row r="53" spans="1:13" x14ac:dyDescent="0.25">
      <c r="A53" s="26" t="s">
        <v>47</v>
      </c>
      <c r="B53" s="27"/>
      <c r="C53" s="27"/>
      <c r="D53" s="27"/>
      <c r="E53" s="27"/>
      <c r="F53" s="27"/>
      <c r="G53" s="27"/>
    </row>
    <row r="54" spans="1:13" x14ac:dyDescent="0.25">
      <c r="A54" s="26" t="s">
        <v>18</v>
      </c>
      <c r="B54" s="26">
        <v>0</v>
      </c>
      <c r="C54" s="26">
        <v>1</v>
      </c>
      <c r="D54" s="26">
        <v>2</v>
      </c>
      <c r="E54" s="26">
        <v>3</v>
      </c>
      <c r="F54" s="26">
        <v>4</v>
      </c>
      <c r="G54" s="26">
        <v>5</v>
      </c>
      <c r="H54" s="6"/>
      <c r="I54" s="6"/>
      <c r="J54" s="6"/>
      <c r="K54" s="6"/>
      <c r="L54" s="6"/>
      <c r="M54" s="6"/>
    </row>
    <row r="55" spans="1:13" x14ac:dyDescent="0.25">
      <c r="A55" s="27" t="s">
        <v>31</v>
      </c>
      <c r="B55" s="27"/>
      <c r="C55" s="45">
        <f ca="1">C33</f>
        <v>123.6896219130562</v>
      </c>
      <c r="D55" s="45">
        <f ca="1">D33</f>
        <v>165.66335016510885</v>
      </c>
      <c r="E55" s="45">
        <f ca="1">E33</f>
        <v>214.76550422869374</v>
      </c>
      <c r="F55" s="45">
        <f ca="1">F33</f>
        <v>273.01074336893214</v>
      </c>
      <c r="G55" s="45">
        <f ca="1">G33</f>
        <v>342.89908669551278</v>
      </c>
    </row>
    <row r="56" spans="1:13" x14ac:dyDescent="0.25">
      <c r="A56" s="27" t="s">
        <v>48</v>
      </c>
      <c r="B56" s="27"/>
      <c r="C56" s="27">
        <f ca="1">-C30</f>
        <v>210.52631578947367</v>
      </c>
      <c r="D56" s="27">
        <f ca="1">-D30</f>
        <v>232.6869806094183</v>
      </c>
      <c r="E56" s="27">
        <f ca="1">-E30</f>
        <v>257.18034698935708</v>
      </c>
      <c r="F56" s="27">
        <f ca="1">-F30</f>
        <v>284.25196246192098</v>
      </c>
      <c r="G56" s="27">
        <f ca="1">-G30</f>
        <v>314.173221668439</v>
      </c>
    </row>
    <row r="57" spans="1:13" x14ac:dyDescent="0.25">
      <c r="A57" s="27" t="s">
        <v>49</v>
      </c>
      <c r="B57" s="27"/>
      <c r="C57" s="27">
        <f>-(C39-B39)</f>
        <v>27.5</v>
      </c>
      <c r="D57" s="27">
        <f>-(D39-C39)</f>
        <v>-25.875</v>
      </c>
      <c r="E57" s="27">
        <f>-(E39-D39)</f>
        <v>-29.756249999999966</v>
      </c>
      <c r="F57" s="27">
        <f>-(F39-E39)</f>
        <v>-34.219687499999964</v>
      </c>
      <c r="G57" s="27">
        <f>-(G39-F39)</f>
        <v>-39.352640624999992</v>
      </c>
    </row>
    <row r="58" spans="1:13" x14ac:dyDescent="0.25">
      <c r="A58" s="27" t="s">
        <v>50</v>
      </c>
      <c r="B58" s="27"/>
      <c r="C58" s="27">
        <f>C46-B46</f>
        <v>-8</v>
      </c>
      <c r="D58" s="27">
        <f>D46-C46</f>
        <v>13.799999999999997</v>
      </c>
      <c r="E58" s="27">
        <f>E46-D46</f>
        <v>15.86999999999999</v>
      </c>
      <c r="F58" s="27">
        <f>F46-E46</f>
        <v>18.250499999999988</v>
      </c>
      <c r="G58" s="27">
        <f>G46-F46</f>
        <v>20.988074999999981</v>
      </c>
    </row>
    <row r="59" spans="1:13" x14ac:dyDescent="0.25">
      <c r="A59" s="27" t="s">
        <v>51</v>
      </c>
      <c r="B59" s="27"/>
      <c r="C59" s="27">
        <f ca="1">-(C41-B41)</f>
        <v>-210.52631578947376</v>
      </c>
      <c r="D59" s="27">
        <f ca="1">-(D41-C41)</f>
        <v>-232.68698060941824</v>
      </c>
      <c r="E59" s="27">
        <f ca="1">-(E41-D41)</f>
        <v>-257.18034698935708</v>
      </c>
      <c r="F59" s="27">
        <f ca="1">-(F41-E41)</f>
        <v>-284.25196246192081</v>
      </c>
      <c r="G59" s="27">
        <f ca="1">-(G41-F41)</f>
        <v>-314.17322166843951</v>
      </c>
    </row>
    <row r="60" spans="1:13" x14ac:dyDescent="0.25">
      <c r="A60" s="28" t="s">
        <v>52</v>
      </c>
      <c r="B60" s="27"/>
      <c r="C60" s="27">
        <f t="shared" ref="C60:G61" ca="1" si="1">-C28</f>
        <v>100</v>
      </c>
      <c r="D60" s="27">
        <f t="shared" ca="1" si="1"/>
        <v>83.620251920525462</v>
      </c>
      <c r="E60" s="27">
        <f t="shared" ca="1" si="1"/>
        <v>65.602529033103465</v>
      </c>
      <c r="F60" s="27">
        <f t="shared" ca="1" si="1"/>
        <v>45.783033856939269</v>
      </c>
      <c r="G60" s="27">
        <f t="shared" ca="1" si="1"/>
        <v>23.981589163158652</v>
      </c>
    </row>
    <row r="61" spans="1:13" x14ac:dyDescent="0.25">
      <c r="A61" s="28" t="s">
        <v>53</v>
      </c>
      <c r="C61" s="15">
        <f t="shared" ca="1" si="1"/>
        <v>0.82431435543267073</v>
      </c>
      <c r="D61" s="15">
        <f t="shared" ca="1" si="1"/>
        <v>2.71218386154138</v>
      </c>
      <c r="E61" s="15">
        <f t="shared" ca="1" si="1"/>
        <v>3.6683669297164125</v>
      </c>
      <c r="F61" s="15">
        <f t="shared" ca="1" si="1"/>
        <v>1.9999105662525654</v>
      </c>
      <c r="G61" s="15">
        <f t="shared" ca="1" si="1"/>
        <v>-4.5425542824525653</v>
      </c>
    </row>
    <row r="62" spans="1:13" x14ac:dyDescent="0.25">
      <c r="A62" s="26" t="s">
        <v>54</v>
      </c>
      <c r="C62" s="45">
        <f ca="1">SUM(C55:C61)</f>
        <v>244.01393626848878</v>
      </c>
      <c r="D62" s="45">
        <f ca="1">SUM(D55:D61)</f>
        <v>239.92078594717574</v>
      </c>
      <c r="E62" s="45">
        <f ca="1">SUM(E55:E61)</f>
        <v>270.15015019151366</v>
      </c>
      <c r="F62" s="45">
        <f ca="1">SUM(F55:F61)</f>
        <v>304.82450029212407</v>
      </c>
      <c r="G62" s="45">
        <f ca="1">SUM(G55:G61)</f>
        <v>343.97355595121837</v>
      </c>
    </row>
    <row r="63" spans="1:13" x14ac:dyDescent="0.25">
      <c r="A63" s="25"/>
      <c r="B63" s="29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</row>
    <row r="64" spans="1:13" x14ac:dyDescent="0.25">
      <c r="A64" s="25"/>
    </row>
    <row r="65" spans="1:13" x14ac:dyDescent="0.25">
      <c r="A65" s="26"/>
      <c r="B65" s="30"/>
      <c r="C65" s="30"/>
      <c r="D65" s="30"/>
      <c r="E65" s="30"/>
      <c r="F65" s="30"/>
      <c r="G65" s="30"/>
      <c r="H65" s="6"/>
      <c r="I65" s="6"/>
      <c r="J65" s="6"/>
      <c r="K65" s="6"/>
      <c r="L65" s="6"/>
      <c r="M65" s="6"/>
    </row>
    <row r="66" spans="1:13" x14ac:dyDescent="0.25">
      <c r="C66" s="27"/>
      <c r="D66" s="27"/>
      <c r="E66" s="27"/>
      <c r="F66" s="27"/>
      <c r="G66" s="31"/>
    </row>
    <row r="67" spans="1:13" x14ac:dyDescent="0.25">
      <c r="G67" s="32"/>
    </row>
    <row r="68" spans="1:13" x14ac:dyDescent="0.25">
      <c r="A68" s="6" t="s">
        <v>55</v>
      </c>
      <c r="C68" s="27"/>
      <c r="D68" s="27"/>
      <c r="E68" s="27"/>
      <c r="F68" s="27"/>
      <c r="G68" s="31"/>
    </row>
    <row r="69" spans="1:13" x14ac:dyDescent="0.25">
      <c r="A69" s="26" t="s">
        <v>18</v>
      </c>
      <c r="B69" s="26">
        <v>0</v>
      </c>
      <c r="C69" s="26">
        <v>1</v>
      </c>
      <c r="D69" s="26">
        <v>2</v>
      </c>
      <c r="E69" s="26">
        <v>3</v>
      </c>
      <c r="F69" s="26">
        <v>4</v>
      </c>
      <c r="G69" s="26">
        <v>5</v>
      </c>
      <c r="H69" s="6"/>
      <c r="I69" s="6"/>
      <c r="J69" s="6"/>
      <c r="K69" s="6"/>
      <c r="L69" s="6"/>
      <c r="M69" s="6"/>
    </row>
    <row r="70" spans="1:13" x14ac:dyDescent="0.25">
      <c r="A70" s="3" t="s">
        <v>56</v>
      </c>
      <c r="B70" s="31">
        <f>-B48</f>
        <v>-1100</v>
      </c>
      <c r="C70" s="15">
        <f ca="1">C34</f>
        <v>0</v>
      </c>
      <c r="D70" s="15">
        <f ca="1">D34</f>
        <v>0</v>
      </c>
      <c r="E70" s="15">
        <f ca="1">E34</f>
        <v>0</v>
      </c>
      <c r="F70" s="15">
        <f ca="1">F34</f>
        <v>0</v>
      </c>
      <c r="G70" s="15">
        <f ca="1">G34+G48+G49</f>
        <v>2220.0283063713036</v>
      </c>
      <c r="H70" s="41" t="str">
        <f ca="1">[2]!getformula(G70)</f>
        <v>&lt;--  =G34+G48+G49</v>
      </c>
    </row>
    <row r="71" spans="1:13" x14ac:dyDescent="0.25">
      <c r="A71" s="3" t="s">
        <v>55</v>
      </c>
      <c r="B71" s="33">
        <f ca="1">IRR(B70:G70)</f>
        <v>0.15078227853913906</v>
      </c>
      <c r="C71" s="40" t="str">
        <f ca="1">[2]!getformula(B71)</f>
        <v>&lt;--  =IRR(B70:G70)</v>
      </c>
    </row>
    <row r="72" spans="1:13" x14ac:dyDescent="0.25">
      <c r="B72" s="31"/>
    </row>
    <row r="73" spans="1:13" x14ac:dyDescent="0.25">
      <c r="B73" s="31"/>
    </row>
    <row r="74" spans="1:13" x14ac:dyDescent="0.25">
      <c r="A74" s="34" t="s">
        <v>57</v>
      </c>
      <c r="B74" s="31"/>
      <c r="C74" s="5">
        <f ca="1">B71</f>
        <v>0.15078227853913906</v>
      </c>
      <c r="D74" s="3" t="str">
        <f ca="1">[2]!getformula(C74)</f>
        <v>&lt;--  =B71</v>
      </c>
    </row>
    <row r="75" spans="1:13" x14ac:dyDescent="0.25">
      <c r="A75" s="34" t="s">
        <v>58</v>
      </c>
      <c r="B75" s="31">
        <v>2000</v>
      </c>
      <c r="C75" s="33">
        <f t="dataTable" ref="C75:C84" dt2D="0" dtr="0" r1="B48" ca="1"/>
        <v>0.10783570310325707</v>
      </c>
    </row>
    <row r="76" spans="1:13" ht="17.399999999999999" x14ac:dyDescent="0.3">
      <c r="A76" s="35"/>
      <c r="B76" s="31">
        <v>1800</v>
      </c>
      <c r="C76" s="33">
        <v>0.11406750862866977</v>
      </c>
    </row>
    <row r="77" spans="1:13" x14ac:dyDescent="0.25">
      <c r="B77" s="31">
        <v>1600</v>
      </c>
      <c r="C77" s="33">
        <v>0.12166623700841939</v>
      </c>
    </row>
    <row r="78" spans="1:13" x14ac:dyDescent="0.25">
      <c r="B78" s="31">
        <v>1400</v>
      </c>
      <c r="C78" s="33">
        <v>0.13114305772039603</v>
      </c>
    </row>
    <row r="79" spans="1:13" x14ac:dyDescent="0.25">
      <c r="B79" s="31">
        <v>1200</v>
      </c>
      <c r="C79" s="33">
        <v>0.14330452363649515</v>
      </c>
    </row>
    <row r="80" spans="1:13" x14ac:dyDescent="0.25">
      <c r="B80" s="31">
        <v>1000</v>
      </c>
      <c r="C80" s="33">
        <v>0.15950643963782429</v>
      </c>
    </row>
    <row r="81" spans="1:8" x14ac:dyDescent="0.25">
      <c r="B81" s="31">
        <v>800</v>
      </c>
      <c r="C81" s="33">
        <v>0.18223118664146387</v>
      </c>
    </row>
    <row r="82" spans="1:8" ht="17.399999999999999" x14ac:dyDescent="0.3">
      <c r="A82" s="35"/>
      <c r="B82" s="31">
        <v>600</v>
      </c>
      <c r="C82" s="33">
        <v>0.21661802788980489</v>
      </c>
    </row>
    <row r="83" spans="1:8" x14ac:dyDescent="0.25">
      <c r="A83" s="25"/>
      <c r="B83" s="31">
        <v>400</v>
      </c>
      <c r="C83" s="36">
        <v>0.27560778291197141</v>
      </c>
      <c r="D83" s="25"/>
      <c r="E83" s="25"/>
      <c r="F83" s="25"/>
      <c r="G83" s="25"/>
      <c r="H83" s="25"/>
    </row>
    <row r="84" spans="1:8" x14ac:dyDescent="0.25">
      <c r="A84" s="25"/>
      <c r="B84" s="31">
        <v>200</v>
      </c>
      <c r="C84" s="33">
        <v>0.40696389688895196</v>
      </c>
    </row>
    <row r="85" spans="1:8" x14ac:dyDescent="0.25">
      <c r="A85" s="26"/>
      <c r="B85" s="30"/>
      <c r="C85" s="30"/>
      <c r="D85" s="30"/>
      <c r="E85" s="30"/>
      <c r="F85" s="30"/>
      <c r="G85" s="30"/>
      <c r="H85" s="6"/>
    </row>
    <row r="86" spans="1:8" x14ac:dyDescent="0.25">
      <c r="C86" s="27"/>
      <c r="D86" s="27"/>
      <c r="E86" s="27"/>
      <c r="F86" s="27"/>
      <c r="G86" s="27"/>
    </row>
    <row r="87" spans="1:8" x14ac:dyDescent="0.25">
      <c r="G87" s="32"/>
    </row>
    <row r="88" spans="1:8" x14ac:dyDescent="0.25">
      <c r="C88" s="27"/>
      <c r="D88" s="27"/>
      <c r="E88" s="27"/>
      <c r="F88" s="27"/>
      <c r="G88" s="31"/>
    </row>
    <row r="90" spans="1:8" x14ac:dyDescent="0.25">
      <c r="B90" s="31"/>
    </row>
    <row r="91" spans="1:8" x14ac:dyDescent="0.25">
      <c r="B91" s="31"/>
    </row>
    <row r="92" spans="1:8" x14ac:dyDescent="0.25">
      <c r="B92" s="31"/>
    </row>
    <row r="93" spans="1:8" x14ac:dyDescent="0.25">
      <c r="B93" s="31"/>
    </row>
    <row r="94" spans="1:8" x14ac:dyDescent="0.25">
      <c r="B94" s="31"/>
    </row>
    <row r="98" spans="2:3" x14ac:dyDescent="0.25">
      <c r="C98" s="31"/>
    </row>
    <row r="99" spans="2:3" x14ac:dyDescent="0.25">
      <c r="B99" s="4"/>
      <c r="C99" s="31"/>
    </row>
    <row r="100" spans="2:3" x14ac:dyDescent="0.25">
      <c r="B100" s="4"/>
      <c r="C100" s="31"/>
    </row>
    <row r="101" spans="2:3" x14ac:dyDescent="0.25">
      <c r="B101" s="4"/>
      <c r="C101" s="31"/>
    </row>
    <row r="102" spans="2:3" x14ac:dyDescent="0.25">
      <c r="B102" s="4"/>
      <c r="C102" s="31"/>
    </row>
    <row r="103" spans="2:3" x14ac:dyDescent="0.25">
      <c r="B103" s="4"/>
      <c r="C103" s="31"/>
    </row>
    <row r="104" spans="2:3" x14ac:dyDescent="0.25">
      <c r="B104" s="4"/>
      <c r="C104" s="31"/>
    </row>
    <row r="105" spans="2:3" x14ac:dyDescent="0.25">
      <c r="B105" s="4"/>
      <c r="C105" s="31"/>
    </row>
    <row r="106" spans="2:3" x14ac:dyDescent="0.25">
      <c r="B106" s="4"/>
      <c r="C106" s="31"/>
    </row>
    <row r="107" spans="2:3" x14ac:dyDescent="0.25">
      <c r="B107" s="4"/>
      <c r="C107" s="31"/>
    </row>
    <row r="113" spans="1:11" x14ac:dyDescent="0.25">
      <c r="C113" s="6"/>
    </row>
    <row r="114" spans="1:11" x14ac:dyDescent="0.25">
      <c r="B114" s="37"/>
      <c r="C114" s="38"/>
      <c r="D114" s="38"/>
      <c r="E114" s="38"/>
      <c r="F114" s="38"/>
      <c r="G114" s="38"/>
      <c r="H114" s="38"/>
      <c r="I114" s="38"/>
      <c r="J114" s="38"/>
      <c r="K114" s="38"/>
    </row>
    <row r="115" spans="1:11" x14ac:dyDescent="0.25">
      <c r="B115" s="38"/>
      <c r="C115" s="37"/>
      <c r="D115" s="37"/>
      <c r="E115" s="37"/>
      <c r="F115" s="37"/>
      <c r="G115" s="37"/>
      <c r="H115" s="37"/>
      <c r="I115" s="37"/>
      <c r="J115" s="37"/>
      <c r="K115" s="37"/>
    </row>
    <row r="116" spans="1:11" x14ac:dyDescent="0.25">
      <c r="A116" s="34"/>
      <c r="B116" s="38"/>
      <c r="C116" s="37"/>
      <c r="D116" s="37"/>
      <c r="E116" s="37"/>
      <c r="F116" s="37"/>
      <c r="G116" s="37"/>
      <c r="H116" s="37"/>
      <c r="I116" s="37"/>
      <c r="J116" s="37"/>
      <c r="K116" s="37"/>
    </row>
    <row r="117" spans="1:11" x14ac:dyDescent="0.25">
      <c r="B117" s="38"/>
      <c r="C117" s="37"/>
      <c r="D117" s="37"/>
      <c r="E117" s="37"/>
      <c r="F117" s="37"/>
      <c r="G117" s="37"/>
      <c r="H117" s="37"/>
      <c r="I117" s="37"/>
      <c r="J117" s="37"/>
      <c r="K117" s="37"/>
    </row>
    <row r="118" spans="1:11" x14ac:dyDescent="0.25">
      <c r="B118" s="38"/>
      <c r="C118" s="37"/>
      <c r="D118" s="37"/>
      <c r="E118" s="37"/>
      <c r="F118" s="37"/>
      <c r="G118" s="37"/>
      <c r="H118" s="37"/>
      <c r="I118" s="37"/>
      <c r="J118" s="37"/>
      <c r="K118" s="37"/>
    </row>
    <row r="119" spans="1:11" x14ac:dyDescent="0.25">
      <c r="B119" s="38"/>
      <c r="C119" s="37"/>
      <c r="D119" s="37"/>
      <c r="E119" s="37"/>
      <c r="F119" s="37"/>
      <c r="G119" s="37"/>
      <c r="H119" s="37"/>
      <c r="I119" s="37"/>
      <c r="J119" s="37"/>
      <c r="K119" s="37"/>
    </row>
    <row r="120" spans="1:11" x14ac:dyDescent="0.25">
      <c r="B120" s="38"/>
      <c r="C120" s="37"/>
      <c r="D120" s="37"/>
      <c r="E120" s="37"/>
      <c r="F120" s="37"/>
      <c r="G120" s="37"/>
      <c r="H120" s="37"/>
      <c r="I120" s="37"/>
      <c r="J120" s="37"/>
      <c r="K120" s="37"/>
    </row>
    <row r="121" spans="1:11" x14ac:dyDescent="0.25">
      <c r="B121" s="38"/>
      <c r="C121" s="37"/>
      <c r="D121" s="37"/>
      <c r="E121" s="37"/>
      <c r="F121" s="37"/>
      <c r="G121" s="37"/>
      <c r="H121" s="37"/>
      <c r="I121" s="37"/>
      <c r="J121" s="37"/>
      <c r="K121" s="37"/>
    </row>
    <row r="122" spans="1:11" x14ac:dyDescent="0.25">
      <c r="B122" s="38"/>
      <c r="C122" s="37"/>
      <c r="D122" s="37"/>
      <c r="E122" s="37"/>
      <c r="F122" s="37"/>
      <c r="G122" s="37"/>
      <c r="H122" s="37"/>
      <c r="I122" s="37"/>
      <c r="J122" s="37"/>
      <c r="K122" s="37"/>
    </row>
    <row r="123" spans="1:11" x14ac:dyDescent="0.25">
      <c r="B123" s="38"/>
      <c r="C123" s="37"/>
      <c r="D123" s="37"/>
      <c r="E123" s="37"/>
      <c r="F123" s="37"/>
      <c r="G123" s="37"/>
      <c r="H123" s="37"/>
      <c r="I123" s="37"/>
      <c r="J123" s="37"/>
      <c r="K123" s="37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0D562-E204-4475-84B6-2FCD7E646D92}">
  <sheetPr codeName="Sheet13"/>
  <dimension ref="A1:K112"/>
  <sheetViews>
    <sheetView tabSelected="1" topLeftCell="A37" zoomScale="130" zoomScaleNormal="130" workbookViewId="0">
      <selection activeCell="G55" sqref="G55"/>
    </sheetView>
  </sheetViews>
  <sheetFormatPr defaultRowHeight="13.2" x14ac:dyDescent="0.25"/>
  <cols>
    <col min="1" max="1" width="44.5546875" style="48" customWidth="1"/>
    <col min="2" max="2" width="9.6640625" style="48" bestFit="1" customWidth="1"/>
    <col min="3" max="7" width="9.33203125" style="48" bestFit="1" customWidth="1"/>
    <col min="8" max="8" width="34.109375" style="48" bestFit="1" customWidth="1"/>
    <col min="9" max="11" width="9.33203125" style="48" bestFit="1" customWidth="1"/>
    <col min="12" max="256" width="8.88671875" style="48"/>
    <col min="257" max="257" width="44.5546875" style="48" customWidth="1"/>
    <col min="258" max="258" width="9.6640625" style="48" bestFit="1" customWidth="1"/>
    <col min="259" max="263" width="9.33203125" style="48" bestFit="1" customWidth="1"/>
    <col min="264" max="264" width="34.109375" style="48" bestFit="1" customWidth="1"/>
    <col min="265" max="267" width="9.33203125" style="48" bestFit="1" customWidth="1"/>
    <col min="268" max="512" width="8.88671875" style="48"/>
    <col min="513" max="513" width="44.5546875" style="48" customWidth="1"/>
    <col min="514" max="514" width="9.6640625" style="48" bestFit="1" customWidth="1"/>
    <col min="515" max="519" width="9.33203125" style="48" bestFit="1" customWidth="1"/>
    <col min="520" max="520" width="34.109375" style="48" bestFit="1" customWidth="1"/>
    <col min="521" max="523" width="9.33203125" style="48" bestFit="1" customWidth="1"/>
    <col min="524" max="768" width="8.88671875" style="48"/>
    <col min="769" max="769" width="44.5546875" style="48" customWidth="1"/>
    <col min="770" max="770" width="9.6640625" style="48" bestFit="1" customWidth="1"/>
    <col min="771" max="775" width="9.33203125" style="48" bestFit="1" customWidth="1"/>
    <col min="776" max="776" width="34.109375" style="48" bestFit="1" customWidth="1"/>
    <col min="777" max="779" width="9.33203125" style="48" bestFit="1" customWidth="1"/>
    <col min="780" max="1024" width="8.88671875" style="48"/>
    <col min="1025" max="1025" width="44.5546875" style="48" customWidth="1"/>
    <col min="1026" max="1026" width="9.6640625" style="48" bestFit="1" customWidth="1"/>
    <col min="1027" max="1031" width="9.33203125" style="48" bestFit="1" customWidth="1"/>
    <col min="1032" max="1032" width="34.109375" style="48" bestFit="1" customWidth="1"/>
    <col min="1033" max="1035" width="9.33203125" style="48" bestFit="1" customWidth="1"/>
    <col min="1036" max="1280" width="8.88671875" style="48"/>
    <col min="1281" max="1281" width="44.5546875" style="48" customWidth="1"/>
    <col min="1282" max="1282" width="9.6640625" style="48" bestFit="1" customWidth="1"/>
    <col min="1283" max="1287" width="9.33203125" style="48" bestFit="1" customWidth="1"/>
    <col min="1288" max="1288" width="34.109375" style="48" bestFit="1" customWidth="1"/>
    <col min="1289" max="1291" width="9.33203125" style="48" bestFit="1" customWidth="1"/>
    <col min="1292" max="1536" width="8.88671875" style="48"/>
    <col min="1537" max="1537" width="44.5546875" style="48" customWidth="1"/>
    <col min="1538" max="1538" width="9.6640625" style="48" bestFit="1" customWidth="1"/>
    <col min="1539" max="1543" width="9.33203125" style="48" bestFit="1" customWidth="1"/>
    <col min="1544" max="1544" width="34.109375" style="48" bestFit="1" customWidth="1"/>
    <col min="1545" max="1547" width="9.33203125" style="48" bestFit="1" customWidth="1"/>
    <col min="1548" max="1792" width="8.88671875" style="48"/>
    <col min="1793" max="1793" width="44.5546875" style="48" customWidth="1"/>
    <col min="1794" max="1794" width="9.6640625" style="48" bestFit="1" customWidth="1"/>
    <col min="1795" max="1799" width="9.33203125" style="48" bestFit="1" customWidth="1"/>
    <col min="1800" max="1800" width="34.109375" style="48" bestFit="1" customWidth="1"/>
    <col min="1801" max="1803" width="9.33203125" style="48" bestFit="1" customWidth="1"/>
    <col min="1804" max="2048" width="8.88671875" style="48"/>
    <col min="2049" max="2049" width="44.5546875" style="48" customWidth="1"/>
    <col min="2050" max="2050" width="9.6640625" style="48" bestFit="1" customWidth="1"/>
    <col min="2051" max="2055" width="9.33203125" style="48" bestFit="1" customWidth="1"/>
    <col min="2056" max="2056" width="34.109375" style="48" bestFit="1" customWidth="1"/>
    <col min="2057" max="2059" width="9.33203125" style="48" bestFit="1" customWidth="1"/>
    <col min="2060" max="2304" width="8.88671875" style="48"/>
    <col min="2305" max="2305" width="44.5546875" style="48" customWidth="1"/>
    <col min="2306" max="2306" width="9.6640625" style="48" bestFit="1" customWidth="1"/>
    <col min="2307" max="2311" width="9.33203125" style="48" bestFit="1" customWidth="1"/>
    <col min="2312" max="2312" width="34.109375" style="48" bestFit="1" customWidth="1"/>
    <col min="2313" max="2315" width="9.33203125" style="48" bestFit="1" customWidth="1"/>
    <col min="2316" max="2560" width="8.88671875" style="48"/>
    <col min="2561" max="2561" width="44.5546875" style="48" customWidth="1"/>
    <col min="2562" max="2562" width="9.6640625" style="48" bestFit="1" customWidth="1"/>
    <col min="2563" max="2567" width="9.33203125" style="48" bestFit="1" customWidth="1"/>
    <col min="2568" max="2568" width="34.109375" style="48" bestFit="1" customWidth="1"/>
    <col min="2569" max="2571" width="9.33203125" style="48" bestFit="1" customWidth="1"/>
    <col min="2572" max="2816" width="8.88671875" style="48"/>
    <col min="2817" max="2817" width="44.5546875" style="48" customWidth="1"/>
    <col min="2818" max="2818" width="9.6640625" style="48" bestFit="1" customWidth="1"/>
    <col min="2819" max="2823" width="9.33203125" style="48" bestFit="1" customWidth="1"/>
    <col min="2824" max="2824" width="34.109375" style="48" bestFit="1" customWidth="1"/>
    <col min="2825" max="2827" width="9.33203125" style="48" bestFit="1" customWidth="1"/>
    <col min="2828" max="3072" width="8.88671875" style="48"/>
    <col min="3073" max="3073" width="44.5546875" style="48" customWidth="1"/>
    <col min="3074" max="3074" width="9.6640625" style="48" bestFit="1" customWidth="1"/>
    <col min="3075" max="3079" width="9.33203125" style="48" bestFit="1" customWidth="1"/>
    <col min="3080" max="3080" width="34.109375" style="48" bestFit="1" customWidth="1"/>
    <col min="3081" max="3083" width="9.33203125" style="48" bestFit="1" customWidth="1"/>
    <col min="3084" max="3328" width="8.88671875" style="48"/>
    <col min="3329" max="3329" width="44.5546875" style="48" customWidth="1"/>
    <col min="3330" max="3330" width="9.6640625" style="48" bestFit="1" customWidth="1"/>
    <col min="3331" max="3335" width="9.33203125" style="48" bestFit="1" customWidth="1"/>
    <col min="3336" max="3336" width="34.109375" style="48" bestFit="1" customWidth="1"/>
    <col min="3337" max="3339" width="9.33203125" style="48" bestFit="1" customWidth="1"/>
    <col min="3340" max="3584" width="8.88671875" style="48"/>
    <col min="3585" max="3585" width="44.5546875" style="48" customWidth="1"/>
    <col min="3586" max="3586" width="9.6640625" style="48" bestFit="1" customWidth="1"/>
    <col min="3587" max="3591" width="9.33203125" style="48" bestFit="1" customWidth="1"/>
    <col min="3592" max="3592" width="34.109375" style="48" bestFit="1" customWidth="1"/>
    <col min="3593" max="3595" width="9.33203125" style="48" bestFit="1" customWidth="1"/>
    <col min="3596" max="3840" width="8.88671875" style="48"/>
    <col min="3841" max="3841" width="44.5546875" style="48" customWidth="1"/>
    <col min="3842" max="3842" width="9.6640625" style="48" bestFit="1" customWidth="1"/>
    <col min="3843" max="3847" width="9.33203125" style="48" bestFit="1" customWidth="1"/>
    <col min="3848" max="3848" width="34.109375" style="48" bestFit="1" customWidth="1"/>
    <col min="3849" max="3851" width="9.33203125" style="48" bestFit="1" customWidth="1"/>
    <col min="3852" max="4096" width="8.88671875" style="48"/>
    <col min="4097" max="4097" width="44.5546875" style="48" customWidth="1"/>
    <col min="4098" max="4098" width="9.6640625" style="48" bestFit="1" customWidth="1"/>
    <col min="4099" max="4103" width="9.33203125" style="48" bestFit="1" customWidth="1"/>
    <col min="4104" max="4104" width="34.109375" style="48" bestFit="1" customWidth="1"/>
    <col min="4105" max="4107" width="9.33203125" style="48" bestFit="1" customWidth="1"/>
    <col min="4108" max="4352" width="8.88671875" style="48"/>
    <col min="4353" max="4353" width="44.5546875" style="48" customWidth="1"/>
    <col min="4354" max="4354" width="9.6640625" style="48" bestFit="1" customWidth="1"/>
    <col min="4355" max="4359" width="9.33203125" style="48" bestFit="1" customWidth="1"/>
    <col min="4360" max="4360" width="34.109375" style="48" bestFit="1" customWidth="1"/>
    <col min="4361" max="4363" width="9.33203125" style="48" bestFit="1" customWidth="1"/>
    <col min="4364" max="4608" width="8.88671875" style="48"/>
    <col min="4609" max="4609" width="44.5546875" style="48" customWidth="1"/>
    <col min="4610" max="4610" width="9.6640625" style="48" bestFit="1" customWidth="1"/>
    <col min="4611" max="4615" width="9.33203125" style="48" bestFit="1" customWidth="1"/>
    <col min="4616" max="4616" width="34.109375" style="48" bestFit="1" customWidth="1"/>
    <col min="4617" max="4619" width="9.33203125" style="48" bestFit="1" customWidth="1"/>
    <col min="4620" max="4864" width="8.88671875" style="48"/>
    <col min="4865" max="4865" width="44.5546875" style="48" customWidth="1"/>
    <col min="4866" max="4866" width="9.6640625" style="48" bestFit="1" customWidth="1"/>
    <col min="4867" max="4871" width="9.33203125" style="48" bestFit="1" customWidth="1"/>
    <col min="4872" max="4872" width="34.109375" style="48" bestFit="1" customWidth="1"/>
    <col min="4873" max="4875" width="9.33203125" style="48" bestFit="1" customWidth="1"/>
    <col min="4876" max="5120" width="8.88671875" style="48"/>
    <col min="5121" max="5121" width="44.5546875" style="48" customWidth="1"/>
    <col min="5122" max="5122" width="9.6640625" style="48" bestFit="1" customWidth="1"/>
    <col min="5123" max="5127" width="9.33203125" style="48" bestFit="1" customWidth="1"/>
    <col min="5128" max="5128" width="34.109375" style="48" bestFit="1" customWidth="1"/>
    <col min="5129" max="5131" width="9.33203125" style="48" bestFit="1" customWidth="1"/>
    <col min="5132" max="5376" width="8.88671875" style="48"/>
    <col min="5377" max="5377" width="44.5546875" style="48" customWidth="1"/>
    <col min="5378" max="5378" width="9.6640625" style="48" bestFit="1" customWidth="1"/>
    <col min="5379" max="5383" width="9.33203125" style="48" bestFit="1" customWidth="1"/>
    <col min="5384" max="5384" width="34.109375" style="48" bestFit="1" customWidth="1"/>
    <col min="5385" max="5387" width="9.33203125" style="48" bestFit="1" customWidth="1"/>
    <col min="5388" max="5632" width="8.88671875" style="48"/>
    <col min="5633" max="5633" width="44.5546875" style="48" customWidth="1"/>
    <col min="5634" max="5634" width="9.6640625" style="48" bestFit="1" customWidth="1"/>
    <col min="5635" max="5639" width="9.33203125" style="48" bestFit="1" customWidth="1"/>
    <col min="5640" max="5640" width="34.109375" style="48" bestFit="1" customWidth="1"/>
    <col min="5641" max="5643" width="9.33203125" style="48" bestFit="1" customWidth="1"/>
    <col min="5644" max="5888" width="8.88671875" style="48"/>
    <col min="5889" max="5889" width="44.5546875" style="48" customWidth="1"/>
    <col min="5890" max="5890" width="9.6640625" style="48" bestFit="1" customWidth="1"/>
    <col min="5891" max="5895" width="9.33203125" style="48" bestFit="1" customWidth="1"/>
    <col min="5896" max="5896" width="34.109375" style="48" bestFit="1" customWidth="1"/>
    <col min="5897" max="5899" width="9.33203125" style="48" bestFit="1" customWidth="1"/>
    <col min="5900" max="6144" width="8.88671875" style="48"/>
    <col min="6145" max="6145" width="44.5546875" style="48" customWidth="1"/>
    <col min="6146" max="6146" width="9.6640625" style="48" bestFit="1" customWidth="1"/>
    <col min="6147" max="6151" width="9.33203125" style="48" bestFit="1" customWidth="1"/>
    <col min="6152" max="6152" width="34.109375" style="48" bestFit="1" customWidth="1"/>
    <col min="6153" max="6155" width="9.33203125" style="48" bestFit="1" customWidth="1"/>
    <col min="6156" max="6400" width="8.88671875" style="48"/>
    <col min="6401" max="6401" width="44.5546875" style="48" customWidth="1"/>
    <col min="6402" max="6402" width="9.6640625" style="48" bestFit="1" customWidth="1"/>
    <col min="6403" max="6407" width="9.33203125" style="48" bestFit="1" customWidth="1"/>
    <col min="6408" max="6408" width="34.109375" style="48" bestFit="1" customWidth="1"/>
    <col min="6409" max="6411" width="9.33203125" style="48" bestFit="1" customWidth="1"/>
    <col min="6412" max="6656" width="8.88671875" style="48"/>
    <col min="6657" max="6657" width="44.5546875" style="48" customWidth="1"/>
    <col min="6658" max="6658" width="9.6640625" style="48" bestFit="1" customWidth="1"/>
    <col min="6659" max="6663" width="9.33203125" style="48" bestFit="1" customWidth="1"/>
    <col min="6664" max="6664" width="34.109375" style="48" bestFit="1" customWidth="1"/>
    <col min="6665" max="6667" width="9.33203125" style="48" bestFit="1" customWidth="1"/>
    <col min="6668" max="6912" width="8.88671875" style="48"/>
    <col min="6913" max="6913" width="44.5546875" style="48" customWidth="1"/>
    <col min="6914" max="6914" width="9.6640625" style="48" bestFit="1" customWidth="1"/>
    <col min="6915" max="6919" width="9.33203125" style="48" bestFit="1" customWidth="1"/>
    <col min="6920" max="6920" width="34.109375" style="48" bestFit="1" customWidth="1"/>
    <col min="6921" max="6923" width="9.33203125" style="48" bestFit="1" customWidth="1"/>
    <col min="6924" max="7168" width="8.88671875" style="48"/>
    <col min="7169" max="7169" width="44.5546875" style="48" customWidth="1"/>
    <col min="7170" max="7170" width="9.6640625" style="48" bestFit="1" customWidth="1"/>
    <col min="7171" max="7175" width="9.33203125" style="48" bestFit="1" customWidth="1"/>
    <col min="7176" max="7176" width="34.109375" style="48" bestFit="1" customWidth="1"/>
    <col min="7177" max="7179" width="9.33203125" style="48" bestFit="1" customWidth="1"/>
    <col min="7180" max="7424" width="8.88671875" style="48"/>
    <col min="7425" max="7425" width="44.5546875" style="48" customWidth="1"/>
    <col min="7426" max="7426" width="9.6640625" style="48" bestFit="1" customWidth="1"/>
    <col min="7427" max="7431" width="9.33203125" style="48" bestFit="1" customWidth="1"/>
    <col min="7432" max="7432" width="34.109375" style="48" bestFit="1" customWidth="1"/>
    <col min="7433" max="7435" width="9.33203125" style="48" bestFit="1" customWidth="1"/>
    <col min="7436" max="7680" width="8.88671875" style="48"/>
    <col min="7681" max="7681" width="44.5546875" style="48" customWidth="1"/>
    <col min="7682" max="7682" width="9.6640625" style="48" bestFit="1" customWidth="1"/>
    <col min="7683" max="7687" width="9.33203125" style="48" bestFit="1" customWidth="1"/>
    <col min="7688" max="7688" width="34.109375" style="48" bestFit="1" customWidth="1"/>
    <col min="7689" max="7691" width="9.33203125" style="48" bestFit="1" customWidth="1"/>
    <col min="7692" max="7936" width="8.88671875" style="48"/>
    <col min="7937" max="7937" width="44.5546875" style="48" customWidth="1"/>
    <col min="7938" max="7938" width="9.6640625" style="48" bestFit="1" customWidth="1"/>
    <col min="7939" max="7943" width="9.33203125" style="48" bestFit="1" customWidth="1"/>
    <col min="7944" max="7944" width="34.109375" style="48" bestFit="1" customWidth="1"/>
    <col min="7945" max="7947" width="9.33203125" style="48" bestFit="1" customWidth="1"/>
    <col min="7948" max="8192" width="8.88671875" style="48"/>
    <col min="8193" max="8193" width="44.5546875" style="48" customWidth="1"/>
    <col min="8194" max="8194" width="9.6640625" style="48" bestFit="1" customWidth="1"/>
    <col min="8195" max="8199" width="9.33203125" style="48" bestFit="1" customWidth="1"/>
    <col min="8200" max="8200" width="34.109375" style="48" bestFit="1" customWidth="1"/>
    <col min="8201" max="8203" width="9.33203125" style="48" bestFit="1" customWidth="1"/>
    <col min="8204" max="8448" width="8.88671875" style="48"/>
    <col min="8449" max="8449" width="44.5546875" style="48" customWidth="1"/>
    <col min="8450" max="8450" width="9.6640625" style="48" bestFit="1" customWidth="1"/>
    <col min="8451" max="8455" width="9.33203125" style="48" bestFit="1" customWidth="1"/>
    <col min="8456" max="8456" width="34.109375" style="48" bestFit="1" customWidth="1"/>
    <col min="8457" max="8459" width="9.33203125" style="48" bestFit="1" customWidth="1"/>
    <col min="8460" max="8704" width="8.88671875" style="48"/>
    <col min="8705" max="8705" width="44.5546875" style="48" customWidth="1"/>
    <col min="8706" max="8706" width="9.6640625" style="48" bestFit="1" customWidth="1"/>
    <col min="8707" max="8711" width="9.33203125" style="48" bestFit="1" customWidth="1"/>
    <col min="8712" max="8712" width="34.109375" style="48" bestFit="1" customWidth="1"/>
    <col min="8713" max="8715" width="9.33203125" style="48" bestFit="1" customWidth="1"/>
    <col min="8716" max="8960" width="8.88671875" style="48"/>
    <col min="8961" max="8961" width="44.5546875" style="48" customWidth="1"/>
    <col min="8962" max="8962" width="9.6640625" style="48" bestFit="1" customWidth="1"/>
    <col min="8963" max="8967" width="9.33203125" style="48" bestFit="1" customWidth="1"/>
    <col min="8968" max="8968" width="34.109375" style="48" bestFit="1" customWidth="1"/>
    <col min="8969" max="8971" width="9.33203125" style="48" bestFit="1" customWidth="1"/>
    <col min="8972" max="9216" width="8.88671875" style="48"/>
    <col min="9217" max="9217" width="44.5546875" style="48" customWidth="1"/>
    <col min="9218" max="9218" width="9.6640625" style="48" bestFit="1" customWidth="1"/>
    <col min="9219" max="9223" width="9.33203125" style="48" bestFit="1" customWidth="1"/>
    <col min="9224" max="9224" width="34.109375" style="48" bestFit="1" customWidth="1"/>
    <col min="9225" max="9227" width="9.33203125" style="48" bestFit="1" customWidth="1"/>
    <col min="9228" max="9472" width="8.88671875" style="48"/>
    <col min="9473" max="9473" width="44.5546875" style="48" customWidth="1"/>
    <col min="9474" max="9474" width="9.6640625" style="48" bestFit="1" customWidth="1"/>
    <col min="9475" max="9479" width="9.33203125" style="48" bestFit="1" customWidth="1"/>
    <col min="9480" max="9480" width="34.109375" style="48" bestFit="1" customWidth="1"/>
    <col min="9481" max="9483" width="9.33203125" style="48" bestFit="1" customWidth="1"/>
    <col min="9484" max="9728" width="8.88671875" style="48"/>
    <col min="9729" max="9729" width="44.5546875" style="48" customWidth="1"/>
    <col min="9730" max="9730" width="9.6640625" style="48" bestFit="1" customWidth="1"/>
    <col min="9731" max="9735" width="9.33203125" style="48" bestFit="1" customWidth="1"/>
    <col min="9736" max="9736" width="34.109375" style="48" bestFit="1" customWidth="1"/>
    <col min="9737" max="9739" width="9.33203125" style="48" bestFit="1" customWidth="1"/>
    <col min="9740" max="9984" width="8.88671875" style="48"/>
    <col min="9985" max="9985" width="44.5546875" style="48" customWidth="1"/>
    <col min="9986" max="9986" width="9.6640625" style="48" bestFit="1" customWidth="1"/>
    <col min="9987" max="9991" width="9.33203125" style="48" bestFit="1" customWidth="1"/>
    <col min="9992" max="9992" width="34.109375" style="48" bestFit="1" customWidth="1"/>
    <col min="9993" max="9995" width="9.33203125" style="48" bestFit="1" customWidth="1"/>
    <col min="9996" max="10240" width="8.88671875" style="48"/>
    <col min="10241" max="10241" width="44.5546875" style="48" customWidth="1"/>
    <col min="10242" max="10242" width="9.6640625" style="48" bestFit="1" customWidth="1"/>
    <col min="10243" max="10247" width="9.33203125" style="48" bestFit="1" customWidth="1"/>
    <col min="10248" max="10248" width="34.109375" style="48" bestFit="1" customWidth="1"/>
    <col min="10249" max="10251" width="9.33203125" style="48" bestFit="1" customWidth="1"/>
    <col min="10252" max="10496" width="8.88671875" style="48"/>
    <col min="10497" max="10497" width="44.5546875" style="48" customWidth="1"/>
    <col min="10498" max="10498" width="9.6640625" style="48" bestFit="1" customWidth="1"/>
    <col min="10499" max="10503" width="9.33203125" style="48" bestFit="1" customWidth="1"/>
    <col min="10504" max="10504" width="34.109375" style="48" bestFit="1" customWidth="1"/>
    <col min="10505" max="10507" width="9.33203125" style="48" bestFit="1" customWidth="1"/>
    <col min="10508" max="10752" width="8.88671875" style="48"/>
    <col min="10753" max="10753" width="44.5546875" style="48" customWidth="1"/>
    <col min="10754" max="10754" width="9.6640625" style="48" bestFit="1" customWidth="1"/>
    <col min="10755" max="10759" width="9.33203125" style="48" bestFit="1" customWidth="1"/>
    <col min="10760" max="10760" width="34.109375" style="48" bestFit="1" customWidth="1"/>
    <col min="10761" max="10763" width="9.33203125" style="48" bestFit="1" customWidth="1"/>
    <col min="10764" max="11008" width="8.88671875" style="48"/>
    <col min="11009" max="11009" width="44.5546875" style="48" customWidth="1"/>
    <col min="11010" max="11010" width="9.6640625" style="48" bestFit="1" customWidth="1"/>
    <col min="11011" max="11015" width="9.33203125" style="48" bestFit="1" customWidth="1"/>
    <col min="11016" max="11016" width="34.109375" style="48" bestFit="1" customWidth="1"/>
    <col min="11017" max="11019" width="9.33203125" style="48" bestFit="1" customWidth="1"/>
    <col min="11020" max="11264" width="8.88671875" style="48"/>
    <col min="11265" max="11265" width="44.5546875" style="48" customWidth="1"/>
    <col min="11266" max="11266" width="9.6640625" style="48" bestFit="1" customWidth="1"/>
    <col min="11267" max="11271" width="9.33203125" style="48" bestFit="1" customWidth="1"/>
    <col min="11272" max="11272" width="34.109375" style="48" bestFit="1" customWidth="1"/>
    <col min="11273" max="11275" width="9.33203125" style="48" bestFit="1" customWidth="1"/>
    <col min="11276" max="11520" width="8.88671875" style="48"/>
    <col min="11521" max="11521" width="44.5546875" style="48" customWidth="1"/>
    <col min="11522" max="11522" width="9.6640625" style="48" bestFit="1" customWidth="1"/>
    <col min="11523" max="11527" width="9.33203125" style="48" bestFit="1" customWidth="1"/>
    <col min="11528" max="11528" width="34.109375" style="48" bestFit="1" customWidth="1"/>
    <col min="11529" max="11531" width="9.33203125" style="48" bestFit="1" customWidth="1"/>
    <col min="11532" max="11776" width="8.88671875" style="48"/>
    <col min="11777" max="11777" width="44.5546875" style="48" customWidth="1"/>
    <col min="11778" max="11778" width="9.6640625" style="48" bestFit="1" customWidth="1"/>
    <col min="11779" max="11783" width="9.33203125" style="48" bestFit="1" customWidth="1"/>
    <col min="11784" max="11784" width="34.109375" style="48" bestFit="1" customWidth="1"/>
    <col min="11785" max="11787" width="9.33203125" style="48" bestFit="1" customWidth="1"/>
    <col min="11788" max="12032" width="8.88671875" style="48"/>
    <col min="12033" max="12033" width="44.5546875" style="48" customWidth="1"/>
    <col min="12034" max="12034" width="9.6640625" style="48" bestFit="1" customWidth="1"/>
    <col min="12035" max="12039" width="9.33203125" style="48" bestFit="1" customWidth="1"/>
    <col min="12040" max="12040" width="34.109375" style="48" bestFit="1" customWidth="1"/>
    <col min="12041" max="12043" width="9.33203125" style="48" bestFit="1" customWidth="1"/>
    <col min="12044" max="12288" width="8.88671875" style="48"/>
    <col min="12289" max="12289" width="44.5546875" style="48" customWidth="1"/>
    <col min="12290" max="12290" width="9.6640625" style="48" bestFit="1" customWidth="1"/>
    <col min="12291" max="12295" width="9.33203125" style="48" bestFit="1" customWidth="1"/>
    <col min="12296" max="12296" width="34.109375" style="48" bestFit="1" customWidth="1"/>
    <col min="12297" max="12299" width="9.33203125" style="48" bestFit="1" customWidth="1"/>
    <col min="12300" max="12544" width="8.88671875" style="48"/>
    <col min="12545" max="12545" width="44.5546875" style="48" customWidth="1"/>
    <col min="12546" max="12546" width="9.6640625" style="48" bestFit="1" customWidth="1"/>
    <col min="12547" max="12551" width="9.33203125" style="48" bestFit="1" customWidth="1"/>
    <col min="12552" max="12552" width="34.109375" style="48" bestFit="1" customWidth="1"/>
    <col min="12553" max="12555" width="9.33203125" style="48" bestFit="1" customWidth="1"/>
    <col min="12556" max="12800" width="8.88671875" style="48"/>
    <col min="12801" max="12801" width="44.5546875" style="48" customWidth="1"/>
    <col min="12802" max="12802" width="9.6640625" style="48" bestFit="1" customWidth="1"/>
    <col min="12803" max="12807" width="9.33203125" style="48" bestFit="1" customWidth="1"/>
    <col min="12808" max="12808" width="34.109375" style="48" bestFit="1" customWidth="1"/>
    <col min="12809" max="12811" width="9.33203125" style="48" bestFit="1" customWidth="1"/>
    <col min="12812" max="13056" width="8.88671875" style="48"/>
    <col min="13057" max="13057" width="44.5546875" style="48" customWidth="1"/>
    <col min="13058" max="13058" width="9.6640625" style="48" bestFit="1" customWidth="1"/>
    <col min="13059" max="13063" width="9.33203125" style="48" bestFit="1" customWidth="1"/>
    <col min="13064" max="13064" width="34.109375" style="48" bestFit="1" customWidth="1"/>
    <col min="13065" max="13067" width="9.33203125" style="48" bestFit="1" customWidth="1"/>
    <col min="13068" max="13312" width="8.88671875" style="48"/>
    <col min="13313" max="13313" width="44.5546875" style="48" customWidth="1"/>
    <col min="13314" max="13314" width="9.6640625" style="48" bestFit="1" customWidth="1"/>
    <col min="13315" max="13319" width="9.33203125" style="48" bestFit="1" customWidth="1"/>
    <col min="13320" max="13320" width="34.109375" style="48" bestFit="1" customWidth="1"/>
    <col min="13321" max="13323" width="9.33203125" style="48" bestFit="1" customWidth="1"/>
    <col min="13324" max="13568" width="8.88671875" style="48"/>
    <col min="13569" max="13569" width="44.5546875" style="48" customWidth="1"/>
    <col min="13570" max="13570" width="9.6640625" style="48" bestFit="1" customWidth="1"/>
    <col min="13571" max="13575" width="9.33203125" style="48" bestFit="1" customWidth="1"/>
    <col min="13576" max="13576" width="34.109375" style="48" bestFit="1" customWidth="1"/>
    <col min="13577" max="13579" width="9.33203125" style="48" bestFit="1" customWidth="1"/>
    <col min="13580" max="13824" width="8.88671875" style="48"/>
    <col min="13825" max="13825" width="44.5546875" style="48" customWidth="1"/>
    <col min="13826" max="13826" width="9.6640625" style="48" bestFit="1" customWidth="1"/>
    <col min="13827" max="13831" width="9.33203125" style="48" bestFit="1" customWidth="1"/>
    <col min="13832" max="13832" width="34.109375" style="48" bestFit="1" customWidth="1"/>
    <col min="13833" max="13835" width="9.33203125" style="48" bestFit="1" customWidth="1"/>
    <col min="13836" max="14080" width="8.88671875" style="48"/>
    <col min="14081" max="14081" width="44.5546875" style="48" customWidth="1"/>
    <col min="14082" max="14082" width="9.6640625" style="48" bestFit="1" customWidth="1"/>
    <col min="14083" max="14087" width="9.33203125" style="48" bestFit="1" customWidth="1"/>
    <col min="14088" max="14088" width="34.109375" style="48" bestFit="1" customWidth="1"/>
    <col min="14089" max="14091" width="9.33203125" style="48" bestFit="1" customWidth="1"/>
    <col min="14092" max="14336" width="8.88671875" style="48"/>
    <col min="14337" max="14337" width="44.5546875" style="48" customWidth="1"/>
    <col min="14338" max="14338" width="9.6640625" style="48" bestFit="1" customWidth="1"/>
    <col min="14339" max="14343" width="9.33203125" style="48" bestFit="1" customWidth="1"/>
    <col min="14344" max="14344" width="34.109375" style="48" bestFit="1" customWidth="1"/>
    <col min="14345" max="14347" width="9.33203125" style="48" bestFit="1" customWidth="1"/>
    <col min="14348" max="14592" width="8.88671875" style="48"/>
    <col min="14593" max="14593" width="44.5546875" style="48" customWidth="1"/>
    <col min="14594" max="14594" width="9.6640625" style="48" bestFit="1" customWidth="1"/>
    <col min="14595" max="14599" width="9.33203125" style="48" bestFit="1" customWidth="1"/>
    <col min="14600" max="14600" width="34.109375" style="48" bestFit="1" customWidth="1"/>
    <col min="14601" max="14603" width="9.33203125" style="48" bestFit="1" customWidth="1"/>
    <col min="14604" max="14848" width="8.88671875" style="48"/>
    <col min="14849" max="14849" width="44.5546875" style="48" customWidth="1"/>
    <col min="14850" max="14850" width="9.6640625" style="48" bestFit="1" customWidth="1"/>
    <col min="14851" max="14855" width="9.33203125" style="48" bestFit="1" customWidth="1"/>
    <col min="14856" max="14856" width="34.109375" style="48" bestFit="1" customWidth="1"/>
    <col min="14857" max="14859" width="9.33203125" style="48" bestFit="1" customWidth="1"/>
    <col min="14860" max="15104" width="8.88671875" style="48"/>
    <col min="15105" max="15105" width="44.5546875" style="48" customWidth="1"/>
    <col min="15106" max="15106" width="9.6640625" style="48" bestFit="1" customWidth="1"/>
    <col min="15107" max="15111" width="9.33203125" style="48" bestFit="1" customWidth="1"/>
    <col min="15112" max="15112" width="34.109375" style="48" bestFit="1" customWidth="1"/>
    <col min="15113" max="15115" width="9.33203125" style="48" bestFit="1" customWidth="1"/>
    <col min="15116" max="15360" width="8.88671875" style="48"/>
    <col min="15361" max="15361" width="44.5546875" style="48" customWidth="1"/>
    <col min="15362" max="15362" width="9.6640625" style="48" bestFit="1" customWidth="1"/>
    <col min="15363" max="15367" width="9.33203125" style="48" bestFit="1" customWidth="1"/>
    <col min="15368" max="15368" width="34.109375" style="48" bestFit="1" customWidth="1"/>
    <col min="15369" max="15371" width="9.33203125" style="48" bestFit="1" customWidth="1"/>
    <col min="15372" max="15616" width="8.88671875" style="48"/>
    <col min="15617" max="15617" width="44.5546875" style="48" customWidth="1"/>
    <col min="15618" max="15618" width="9.6640625" style="48" bestFit="1" customWidth="1"/>
    <col min="15619" max="15623" width="9.33203125" style="48" bestFit="1" customWidth="1"/>
    <col min="15624" max="15624" width="34.109375" style="48" bestFit="1" customWidth="1"/>
    <col min="15625" max="15627" width="9.33203125" style="48" bestFit="1" customWidth="1"/>
    <col min="15628" max="15872" width="8.88671875" style="48"/>
    <col min="15873" max="15873" width="44.5546875" style="48" customWidth="1"/>
    <col min="15874" max="15874" width="9.6640625" style="48" bestFit="1" customWidth="1"/>
    <col min="15875" max="15879" width="9.33203125" style="48" bestFit="1" customWidth="1"/>
    <col min="15880" max="15880" width="34.109375" style="48" bestFit="1" customWidth="1"/>
    <col min="15881" max="15883" width="9.33203125" style="48" bestFit="1" customWidth="1"/>
    <col min="15884" max="16128" width="8.88671875" style="48"/>
    <col min="16129" max="16129" width="44.5546875" style="48" customWidth="1"/>
    <col min="16130" max="16130" width="9.6640625" style="48" bestFit="1" customWidth="1"/>
    <col min="16131" max="16135" width="9.33203125" style="48" bestFit="1" customWidth="1"/>
    <col min="16136" max="16136" width="34.109375" style="48" bestFit="1" customWidth="1"/>
    <col min="16137" max="16139" width="9.33203125" style="48" bestFit="1" customWidth="1"/>
    <col min="16140" max="16384" width="8.88671875" style="48"/>
  </cols>
  <sheetData>
    <row r="1" spans="1:7" ht="44.25" customHeight="1" x14ac:dyDescent="0.25">
      <c r="A1" s="47" t="s">
        <v>60</v>
      </c>
      <c r="B1" s="47"/>
      <c r="C1" s="47"/>
      <c r="D1" s="47"/>
      <c r="E1" s="47"/>
      <c r="F1" s="47"/>
      <c r="G1" s="47"/>
    </row>
    <row r="2" spans="1:7" x14ac:dyDescent="0.25">
      <c r="A2" s="48" t="s">
        <v>1</v>
      </c>
      <c r="B2" s="49">
        <v>0.15</v>
      </c>
    </row>
    <row r="3" spans="1:7" x14ac:dyDescent="0.25">
      <c r="A3" s="48" t="s">
        <v>2</v>
      </c>
      <c r="B3" s="49">
        <v>0.15</v>
      </c>
    </row>
    <row r="4" spans="1:7" x14ac:dyDescent="0.25">
      <c r="A4" s="48" t="s">
        <v>3</v>
      </c>
      <c r="B4" s="49">
        <v>0.08</v>
      </c>
    </row>
    <row r="5" spans="1:7" x14ac:dyDescent="0.25">
      <c r="A5" s="48" t="s">
        <v>4</v>
      </c>
      <c r="B5" s="49">
        <v>0.55000000000000004</v>
      </c>
    </row>
    <row r="6" spans="1:7" x14ac:dyDescent="0.25">
      <c r="A6" s="48" t="s">
        <v>5</v>
      </c>
      <c r="B6" s="49">
        <v>0.1</v>
      </c>
    </row>
    <row r="7" spans="1:7" x14ac:dyDescent="0.25">
      <c r="A7" s="48" t="s">
        <v>6</v>
      </c>
      <c r="B7" s="50">
        <v>0.1</v>
      </c>
    </row>
    <row r="8" spans="1:7" x14ac:dyDescent="0.25">
      <c r="A8" s="48" t="s">
        <v>7</v>
      </c>
      <c r="B8" s="50">
        <v>0.08</v>
      </c>
    </row>
    <row r="9" spans="1:7" x14ac:dyDescent="0.25">
      <c r="A9" s="48" t="s">
        <v>8</v>
      </c>
      <c r="B9" s="49">
        <v>0.4</v>
      </c>
    </row>
    <row r="10" spans="1:7" x14ac:dyDescent="0.25">
      <c r="A10" s="48" t="s">
        <v>9</v>
      </c>
      <c r="B10" s="49">
        <v>0</v>
      </c>
      <c r="C10" s="48" t="s">
        <v>10</v>
      </c>
    </row>
    <row r="11" spans="1:7" x14ac:dyDescent="0.25">
      <c r="B11" s="49"/>
    </row>
    <row r="13" spans="1:7" s="51" customFormat="1" x14ac:dyDescent="0.25">
      <c r="A13" s="51" t="s">
        <v>18</v>
      </c>
      <c r="B13" s="52">
        <v>0</v>
      </c>
      <c r="C13" s="52">
        <v>1</v>
      </c>
      <c r="D13" s="52">
        <v>2</v>
      </c>
      <c r="E13" s="52">
        <v>3</v>
      </c>
      <c r="F13" s="52">
        <v>4</v>
      </c>
      <c r="G13" s="52">
        <v>5</v>
      </c>
    </row>
    <row r="14" spans="1:7" x14ac:dyDescent="0.25">
      <c r="A14" s="51" t="s">
        <v>23</v>
      </c>
    </row>
    <row r="15" spans="1:7" x14ac:dyDescent="0.25">
      <c r="A15" s="48" t="s">
        <v>24</v>
      </c>
      <c r="B15" s="53"/>
      <c r="C15" s="53">
        <v>1150</v>
      </c>
      <c r="D15" s="53">
        <f>C15*(1+$B$2)</f>
        <v>1322.5</v>
      </c>
      <c r="E15" s="53">
        <f>D15*(1+$B$2)</f>
        <v>1520.8749999999998</v>
      </c>
      <c r="F15" s="53">
        <f>E15*(1+$B$2)</f>
        <v>1749.0062499999997</v>
      </c>
      <c r="G15" s="53">
        <f>F15*(1+$B$2)</f>
        <v>2011.3571874999996</v>
      </c>
    </row>
    <row r="16" spans="1:7" x14ac:dyDescent="0.25">
      <c r="A16" s="48" t="s">
        <v>25</v>
      </c>
      <c r="B16" s="53"/>
      <c r="C16" s="53">
        <f>-C15*$B$5</f>
        <v>-632.5</v>
      </c>
      <c r="D16" s="53">
        <f>-D15*$B$5</f>
        <v>-727.37500000000011</v>
      </c>
      <c r="E16" s="53">
        <f>-E15*$B$5</f>
        <v>-836.48124999999993</v>
      </c>
      <c r="F16" s="53">
        <f>-F15*$B$5</f>
        <v>-961.95343749999995</v>
      </c>
      <c r="G16" s="53">
        <f>-G15*$B$5</f>
        <v>-1106.2464531249998</v>
      </c>
    </row>
    <row r="17" spans="1:8" x14ac:dyDescent="0.25">
      <c r="A17" s="48" t="s">
        <v>26</v>
      </c>
      <c r="B17" s="53"/>
      <c r="C17" s="53">
        <f>IPMT($B$7,C13,5,1000)</f>
        <v>-100</v>
      </c>
      <c r="D17" s="53">
        <f>IPMT($B$7,D13,5,1000)</f>
        <v>-83.620251920525476</v>
      </c>
      <c r="E17" s="53">
        <f>IPMT($B$7,E13,5,1000)</f>
        <v>-65.602529033103465</v>
      </c>
      <c r="F17" s="53">
        <f>IPMT($B$7,F13,5,1000)</f>
        <v>-45.783033856939284</v>
      </c>
      <c r="G17" s="53">
        <f>IPMT($B$7,G13,5,1000)</f>
        <v>-23.98158916315867</v>
      </c>
      <c r="H17" s="67" t="str">
        <f ca="1">[2]!getformula(G17)</f>
        <v>&lt;--  =IPMT($B$7,G13,5,1000)</v>
      </c>
    </row>
    <row r="18" spans="1:8" x14ac:dyDescent="0.25">
      <c r="A18" s="48" t="s">
        <v>27</v>
      </c>
      <c r="B18" s="53"/>
      <c r="C18" s="53">
        <f ca="1">$B$8*(B27+C27)/2</f>
        <v>-0.82431435526350472</v>
      </c>
      <c r="D18" s="53">
        <f ca="1">$B$8*(C27+D27)/2</f>
        <v>-2.7121838588263016</v>
      </c>
      <c r="E18" s="53">
        <f ca="1">$B$8*(D27+E27)/2</f>
        <v>-3.6683669079204084</v>
      </c>
      <c r="F18" s="53">
        <f ca="1">$B$8*(E27+F27)/2</f>
        <v>-1.9999104486476609</v>
      </c>
      <c r="G18" s="53">
        <f ca="1">$B$8*(F27+G27)/2</f>
        <v>2.9107559284816307</v>
      </c>
    </row>
    <row r="19" spans="1:8" x14ac:dyDescent="0.25">
      <c r="A19" s="48" t="s">
        <v>28</v>
      </c>
      <c r="B19" s="53"/>
      <c r="C19" s="53">
        <f ca="1">-$B$6*(C30+B30)/2</f>
        <v>-210.52631578947367</v>
      </c>
      <c r="D19" s="53">
        <f ca="1">-$B$6*(D30+C30)/2</f>
        <v>-232.6869806094183</v>
      </c>
      <c r="E19" s="53">
        <f ca="1">-$B$6*(E30+D30)/2</f>
        <v>-257.18034698935708</v>
      </c>
      <c r="F19" s="53">
        <f ca="1">-$B$6*(F30+E30)/2</f>
        <v>-284.25196246192098</v>
      </c>
      <c r="G19" s="53">
        <f ca="1">-$B$6*(G30+F30)/2</f>
        <v>-314.173221668439</v>
      </c>
    </row>
    <row r="20" spans="1:8" x14ac:dyDescent="0.25">
      <c r="A20" s="48" t="s">
        <v>29</v>
      </c>
      <c r="B20" s="53"/>
      <c r="C20" s="53">
        <f ca="1">SUM(C15:C19)</f>
        <v>206.14936985526285</v>
      </c>
      <c r="D20" s="53">
        <f ca="1">SUM(D15:D19)</f>
        <v>276.10558361122986</v>
      </c>
      <c r="E20" s="53">
        <f ca="1">SUM(E15:E19)</f>
        <v>357.94250706961896</v>
      </c>
      <c r="F20" s="53">
        <f ca="1">SUM(F15:F19)</f>
        <v>455.01790573249178</v>
      </c>
      <c r="G20" s="53">
        <f ca="1">SUM(G15:G19)</f>
        <v>569.8666794718838</v>
      </c>
    </row>
    <row r="21" spans="1:8" x14ac:dyDescent="0.25">
      <c r="A21" s="48" t="s">
        <v>30</v>
      </c>
      <c r="B21" s="53"/>
      <c r="C21" s="53">
        <f ca="1">-C20*$B$9</f>
        <v>-82.459747942105139</v>
      </c>
      <c r="D21" s="53">
        <f ca="1">-D20*$B$9</f>
        <v>-110.44223344449195</v>
      </c>
      <c r="E21" s="53">
        <f ca="1">-E20*$B$9</f>
        <v>-143.17700282784759</v>
      </c>
      <c r="F21" s="53">
        <f ca="1">-F20*$B$9</f>
        <v>-182.00716229299672</v>
      </c>
      <c r="G21" s="53">
        <f ca="1">-G20*$B$9</f>
        <v>-227.94667178875352</v>
      </c>
    </row>
    <row r="22" spans="1:8" x14ac:dyDescent="0.25">
      <c r="A22" s="48" t="s">
        <v>31</v>
      </c>
      <c r="B22" s="53"/>
      <c r="C22" s="53">
        <f ca="1">C21+C20</f>
        <v>123.68962191315771</v>
      </c>
      <c r="D22" s="53">
        <f ca="1">D21+D20</f>
        <v>165.66335016673793</v>
      </c>
      <c r="E22" s="53">
        <f ca="1">E21+E20</f>
        <v>214.76550424177137</v>
      </c>
      <c r="F22" s="53">
        <f ca="1">F21+F20</f>
        <v>273.01074343949506</v>
      </c>
      <c r="G22" s="53">
        <f ca="1">G21+G20</f>
        <v>341.92000768313028</v>
      </c>
    </row>
    <row r="23" spans="1:8" x14ac:dyDescent="0.25">
      <c r="A23" s="48" t="s">
        <v>32</v>
      </c>
      <c r="B23" s="53"/>
      <c r="C23" s="53">
        <f ca="1">-$B$10*C22</f>
        <v>0</v>
      </c>
      <c r="D23" s="53">
        <f ca="1">-$B$10*D22</f>
        <v>0</v>
      </c>
      <c r="E23" s="53">
        <f ca="1">-$B$10*E22</f>
        <v>0</v>
      </c>
      <c r="F23" s="53">
        <f ca="1">-$B$10*F22</f>
        <v>0</v>
      </c>
      <c r="G23" s="53">
        <f ca="1">-$B$10*G22</f>
        <v>0</v>
      </c>
    </row>
    <row r="24" spans="1:8" x14ac:dyDescent="0.25">
      <c r="A24" s="48" t="s">
        <v>33</v>
      </c>
      <c r="B24" s="53"/>
      <c r="C24" s="53">
        <f ca="1">C23+C22</f>
        <v>123.68962191315771</v>
      </c>
      <c r="D24" s="53">
        <f ca="1">D23+D22</f>
        <v>165.66335016673793</v>
      </c>
      <c r="E24" s="53">
        <f ca="1">E23+E22</f>
        <v>214.76550424177137</v>
      </c>
      <c r="F24" s="53">
        <f ca="1">F23+F22</f>
        <v>273.01074343949506</v>
      </c>
      <c r="G24" s="53">
        <f ca="1">G23+G22</f>
        <v>341.92000768313028</v>
      </c>
    </row>
    <row r="25" spans="1:8" x14ac:dyDescent="0.25">
      <c r="B25" s="53"/>
      <c r="C25" s="53"/>
      <c r="D25" s="53"/>
      <c r="E25" s="53"/>
      <c r="F25" s="53"/>
      <c r="G25" s="53"/>
    </row>
    <row r="26" spans="1:8" x14ac:dyDescent="0.25">
      <c r="A26" s="51" t="s">
        <v>34</v>
      </c>
      <c r="B26" s="53"/>
      <c r="C26" s="53"/>
      <c r="D26" s="53"/>
      <c r="E26" s="53"/>
      <c r="F26" s="53"/>
      <c r="G26" s="53"/>
    </row>
    <row r="27" spans="1:8" x14ac:dyDescent="0.25">
      <c r="A27" s="48" t="s">
        <v>35</v>
      </c>
      <c r="B27" s="53">
        <v>0</v>
      </c>
      <c r="C27" s="53">
        <f ca="1">C39-C28-C32</f>
        <v>-20.607858881587617</v>
      </c>
      <c r="D27" s="53">
        <f ca="1">D39-D28-D32</f>
        <v>-47.196737589069926</v>
      </c>
      <c r="E27" s="53">
        <f ca="1">E39-E28-E32</f>
        <v>-44.512435108940281</v>
      </c>
      <c r="F27" s="53">
        <f ca="1">F39-F28-F32</f>
        <v>-5.4853261072512396</v>
      </c>
      <c r="G27" s="53">
        <f ca="1">G39-G28-G32</f>
        <v>78.254224319292007</v>
      </c>
    </row>
    <row r="28" spans="1:8" x14ac:dyDescent="0.25">
      <c r="A28" s="48" t="s">
        <v>36</v>
      </c>
      <c r="B28" s="53">
        <v>200</v>
      </c>
      <c r="C28" s="53">
        <f>C15*$B$3</f>
        <v>172.5</v>
      </c>
      <c r="D28" s="53">
        <f>D15*$B$3</f>
        <v>198.375</v>
      </c>
      <c r="E28" s="53">
        <f>E15*$B$3</f>
        <v>228.13124999999997</v>
      </c>
      <c r="F28" s="53">
        <f>F15*$B$3</f>
        <v>262.35093749999993</v>
      </c>
      <c r="G28" s="53">
        <f>G15*$B$3</f>
        <v>301.70357812499992</v>
      </c>
    </row>
    <row r="29" spans="1:8" x14ac:dyDescent="0.25">
      <c r="A29" s="48" t="s">
        <v>37</v>
      </c>
      <c r="B29" s="53"/>
      <c r="C29" s="53"/>
      <c r="D29" s="53"/>
      <c r="E29" s="53"/>
      <c r="F29" s="53"/>
      <c r="G29" s="53"/>
    </row>
    <row r="30" spans="1:8" x14ac:dyDescent="0.25">
      <c r="A30" s="48" t="s">
        <v>38</v>
      </c>
      <c r="B30" s="53">
        <v>2000</v>
      </c>
      <c r="C30" s="53">
        <f ca="1">C32-C31</f>
        <v>2210.5263157894738</v>
      </c>
      <c r="D30" s="53">
        <f ca="1">D32-D31</f>
        <v>2443.213296398892</v>
      </c>
      <c r="E30" s="53">
        <f ca="1">E32-E31</f>
        <v>2700.3936433882491</v>
      </c>
      <c r="F30" s="53">
        <f ca="1">F32-F31</f>
        <v>2984.6456058501699</v>
      </c>
      <c r="G30" s="53">
        <f ca="1">G32-G31</f>
        <v>3298.8188275186094</v>
      </c>
    </row>
    <row r="31" spans="1:8" x14ac:dyDescent="0.25">
      <c r="A31" s="48" t="s">
        <v>39</v>
      </c>
      <c r="B31" s="53">
        <v>0</v>
      </c>
      <c r="C31" s="53">
        <f ca="1">B31-$B$6*(C30+B30)/2</f>
        <v>-210.52631578947367</v>
      </c>
      <c r="D31" s="53">
        <f ca="1">C31-$B$6*(D30+C30)/2</f>
        <v>-443.213296398892</v>
      </c>
      <c r="E31" s="53">
        <f ca="1">D31-$B$6*(E30+D30)/2</f>
        <v>-700.39364338824907</v>
      </c>
      <c r="F31" s="53">
        <f ca="1">E31-$B$6*(F30+E30)/2</f>
        <v>-984.64560585017011</v>
      </c>
      <c r="G31" s="53">
        <f ca="1">F31-$B$6*(G30+F30)/2</f>
        <v>-1298.8188275186092</v>
      </c>
    </row>
    <row r="32" spans="1:8" x14ac:dyDescent="0.25">
      <c r="A32" s="48" t="s">
        <v>40</v>
      </c>
      <c r="B32" s="53">
        <f>B30-B31</f>
        <v>2000</v>
      </c>
      <c r="C32" s="53">
        <f>B32</f>
        <v>2000</v>
      </c>
      <c r="D32" s="53">
        <f>C32</f>
        <v>2000</v>
      </c>
      <c r="E32" s="53">
        <f>D32</f>
        <v>2000</v>
      </c>
      <c r="F32" s="53">
        <f>E32</f>
        <v>2000</v>
      </c>
      <c r="G32" s="53">
        <f>F32</f>
        <v>2000</v>
      </c>
    </row>
    <row r="33" spans="1:8" x14ac:dyDescent="0.25">
      <c r="A33" s="51" t="s">
        <v>41</v>
      </c>
      <c r="B33" s="53">
        <f>B27+B28+B32</f>
        <v>2200</v>
      </c>
      <c r="C33" s="53">
        <f ca="1">C32+C28+C27</f>
        <v>2151.8921411184124</v>
      </c>
      <c r="D33" s="53">
        <f ca="1">D32+D28+D27</f>
        <v>2151.1782624109301</v>
      </c>
      <c r="E33" s="53">
        <f ca="1">E32+E28+E27</f>
        <v>2183.6188148910596</v>
      </c>
      <c r="F33" s="53">
        <f ca="1">F32+F28+F27</f>
        <v>2256.8656113927486</v>
      </c>
      <c r="G33" s="53">
        <f ca="1">G32+G28+G27</f>
        <v>2379.9578024442917</v>
      </c>
    </row>
    <row r="34" spans="1:8" x14ac:dyDescent="0.25">
      <c r="B34" s="53"/>
      <c r="C34" s="53"/>
      <c r="D34" s="53"/>
      <c r="E34" s="53"/>
      <c r="F34" s="53"/>
      <c r="G34" s="53"/>
    </row>
    <row r="35" spans="1:8" x14ac:dyDescent="0.25">
      <c r="A35" s="48" t="s">
        <v>42</v>
      </c>
      <c r="B35" s="53">
        <v>100</v>
      </c>
      <c r="C35" s="53">
        <f>C15*$B$4</f>
        <v>92</v>
      </c>
      <c r="D35" s="53">
        <f>D15*$B$4</f>
        <v>105.8</v>
      </c>
      <c r="E35" s="53">
        <f>E15*$B$4</f>
        <v>121.66999999999999</v>
      </c>
      <c r="F35" s="53">
        <f>F15*$B$4</f>
        <v>139.92049999999998</v>
      </c>
      <c r="G35" s="53">
        <f>G15*$B$4</f>
        <v>160.90857499999996</v>
      </c>
    </row>
    <row r="36" spans="1:8" x14ac:dyDescent="0.25">
      <c r="A36" s="48" t="s">
        <v>43</v>
      </c>
      <c r="B36" s="53">
        <v>1000</v>
      </c>
      <c r="C36" s="53">
        <f>B36-PPMT($B$7,C13,5,-1000,0)</f>
        <v>836.20251920525459</v>
      </c>
      <c r="D36" s="53">
        <f>C36-PPMT($B$7,D13,5,-1000,0)</f>
        <v>656.02529033103463</v>
      </c>
      <c r="E36" s="53">
        <f>D36-PPMT($B$7,E13,5,-1000,0)</f>
        <v>457.83033856939267</v>
      </c>
      <c r="F36" s="53">
        <f>E36-PPMT($B$7,F13,5,-1000,0)</f>
        <v>239.81589163158651</v>
      </c>
      <c r="G36" s="53">
        <f>F36-PPMT($B$7,G13,5,-1000,0)</f>
        <v>0</v>
      </c>
      <c r="H36" s="66" t="str">
        <f ca="1">[2]!getformula(G36)</f>
        <v>&lt;--  =F36-PPMT($B$7,G13,5,-1000,0)</v>
      </c>
    </row>
    <row r="37" spans="1:8" x14ac:dyDescent="0.25">
      <c r="A37" s="48" t="s">
        <v>44</v>
      </c>
      <c r="B37" s="53">
        <v>1100</v>
      </c>
      <c r="C37" s="53">
        <f>B37</f>
        <v>1100</v>
      </c>
      <c r="D37" s="53">
        <f>C37</f>
        <v>1100</v>
      </c>
      <c r="E37" s="53">
        <f>D37</f>
        <v>1100</v>
      </c>
      <c r="F37" s="53">
        <f>E37</f>
        <v>1100</v>
      </c>
      <c r="G37" s="53">
        <f>F37</f>
        <v>1100</v>
      </c>
    </row>
    <row r="38" spans="1:8" x14ac:dyDescent="0.25">
      <c r="A38" s="48" t="s">
        <v>45</v>
      </c>
      <c r="B38" s="53">
        <v>0</v>
      </c>
      <c r="C38" s="53">
        <f ca="1">B38+C24</f>
        <v>123.68962191315771</v>
      </c>
      <c r="D38" s="53">
        <f ca="1">C38+D24</f>
        <v>289.35297207989561</v>
      </c>
      <c r="E38" s="53">
        <f ca="1">D38+E24</f>
        <v>504.118476321667</v>
      </c>
      <c r="F38" s="53">
        <f ca="1">E38+F24</f>
        <v>777.12921976116206</v>
      </c>
      <c r="G38" s="53">
        <f ca="1">F38+G24</f>
        <v>1119.0492274442922</v>
      </c>
    </row>
    <row r="39" spans="1:8" x14ac:dyDescent="0.25">
      <c r="A39" s="51" t="s">
        <v>46</v>
      </c>
      <c r="B39" s="53">
        <f t="shared" ref="B39:G39" si="0">SUM(B35:B38)</f>
        <v>2200</v>
      </c>
      <c r="C39" s="53">
        <f t="shared" ca="1" si="0"/>
        <v>2151.8921411184124</v>
      </c>
      <c r="D39" s="53">
        <f t="shared" ca="1" si="0"/>
        <v>2151.1782624109301</v>
      </c>
      <c r="E39" s="53">
        <f t="shared" ca="1" si="0"/>
        <v>2183.6188148910596</v>
      </c>
      <c r="F39" s="53">
        <f t="shared" ca="1" si="0"/>
        <v>2256.8656113927486</v>
      </c>
      <c r="G39" s="53">
        <f t="shared" ca="1" si="0"/>
        <v>2379.9578024442922</v>
      </c>
    </row>
    <row r="42" spans="1:8" x14ac:dyDescent="0.25">
      <c r="A42" s="54" t="s">
        <v>47</v>
      </c>
      <c r="B42" s="55"/>
      <c r="C42" s="55"/>
      <c r="D42" s="55"/>
      <c r="E42" s="55"/>
      <c r="F42" s="55"/>
      <c r="G42" s="55"/>
    </row>
    <row r="43" spans="1:8" s="51" customFormat="1" x14ac:dyDescent="0.25">
      <c r="A43" s="54" t="s">
        <v>18</v>
      </c>
      <c r="B43" s="54">
        <v>0</v>
      </c>
      <c r="C43" s="54">
        <v>1</v>
      </c>
      <c r="D43" s="54">
        <v>2</v>
      </c>
      <c r="E43" s="54">
        <v>3</v>
      </c>
      <c r="F43" s="54">
        <v>4</v>
      </c>
      <c r="G43" s="54">
        <v>5</v>
      </c>
    </row>
    <row r="44" spans="1:8" x14ac:dyDescent="0.25">
      <c r="A44" s="55" t="s">
        <v>31</v>
      </c>
      <c r="B44" s="55"/>
      <c r="C44" s="55">
        <f ca="1">C22</f>
        <v>123.68962191315771</v>
      </c>
      <c r="D44" s="55">
        <f ca="1">D22</f>
        <v>165.66335016673793</v>
      </c>
      <c r="E44" s="55">
        <f ca="1">E22</f>
        <v>214.76550424177137</v>
      </c>
      <c r="F44" s="55">
        <f ca="1">F22</f>
        <v>273.01074343949506</v>
      </c>
      <c r="G44" s="55">
        <f ca="1">G22</f>
        <v>341.92000768313028</v>
      </c>
    </row>
    <row r="45" spans="1:8" x14ac:dyDescent="0.25">
      <c r="A45" s="55" t="s">
        <v>48</v>
      </c>
      <c r="B45" s="55"/>
      <c r="C45" s="55">
        <f ca="1">-C19</f>
        <v>210.52631578947367</v>
      </c>
      <c r="D45" s="55">
        <f ca="1">-D19</f>
        <v>232.6869806094183</v>
      </c>
      <c r="E45" s="55">
        <f ca="1">-E19</f>
        <v>257.18034698935708</v>
      </c>
      <c r="F45" s="55">
        <f ca="1">-F19</f>
        <v>284.25196246192098</v>
      </c>
      <c r="G45" s="55">
        <f ca="1">-G19</f>
        <v>314.173221668439</v>
      </c>
    </row>
    <row r="46" spans="1:8" x14ac:dyDescent="0.25">
      <c r="A46" s="55" t="s">
        <v>49</v>
      </c>
      <c r="B46" s="55"/>
      <c r="C46" s="55">
        <f>-(C28-B28)</f>
        <v>27.5</v>
      </c>
      <c r="D46" s="55">
        <f>-(D28-C28)</f>
        <v>-25.875</v>
      </c>
      <c r="E46" s="55">
        <f>-(E28-D28)</f>
        <v>-29.756249999999966</v>
      </c>
      <c r="F46" s="55">
        <f>-(F28-E28)</f>
        <v>-34.219687499999964</v>
      </c>
      <c r="G46" s="55">
        <f>-(G28-F28)</f>
        <v>-39.352640624999992</v>
      </c>
    </row>
    <row r="47" spans="1:8" x14ac:dyDescent="0.25">
      <c r="A47" s="55" t="s">
        <v>50</v>
      </c>
      <c r="B47" s="55"/>
      <c r="C47" s="55">
        <f>C35-B35</f>
        <v>-8</v>
      </c>
      <c r="D47" s="55">
        <f>D35-C35</f>
        <v>13.799999999999997</v>
      </c>
      <c r="E47" s="55">
        <f>E35-D35</f>
        <v>15.86999999999999</v>
      </c>
      <c r="F47" s="55">
        <f>F35-E35</f>
        <v>18.250499999999988</v>
      </c>
      <c r="G47" s="55">
        <f>G35-F35</f>
        <v>20.988074999999981</v>
      </c>
    </row>
    <row r="48" spans="1:8" x14ac:dyDescent="0.25">
      <c r="A48" s="55" t="s">
        <v>51</v>
      </c>
      <c r="B48" s="55"/>
      <c r="C48" s="55">
        <f ca="1">-(C30-B30)</f>
        <v>-210.52631578947376</v>
      </c>
      <c r="D48" s="55">
        <f ca="1">-(D30-C30)</f>
        <v>-232.68698060941824</v>
      </c>
      <c r="E48" s="55">
        <f ca="1">-(E30-D30)</f>
        <v>-257.18034698935708</v>
      </c>
      <c r="F48" s="55">
        <f ca="1">-(F30-E30)</f>
        <v>-284.25196246192081</v>
      </c>
      <c r="G48" s="55">
        <f ca="1">-(G30-F30)</f>
        <v>-314.17322166843951</v>
      </c>
    </row>
    <row r="49" spans="1:8" x14ac:dyDescent="0.25">
      <c r="A49" s="55" t="s">
        <v>52</v>
      </c>
      <c r="B49" s="55"/>
      <c r="C49" s="55">
        <f t="shared" ref="C49:G50" si="1">-C17</f>
        <v>100</v>
      </c>
      <c r="D49" s="55">
        <f t="shared" si="1"/>
        <v>83.620251920525476</v>
      </c>
      <c r="E49" s="55">
        <f t="shared" si="1"/>
        <v>65.602529033103465</v>
      </c>
      <c r="F49" s="55">
        <f t="shared" si="1"/>
        <v>45.783033856939284</v>
      </c>
      <c r="G49" s="55">
        <f t="shared" si="1"/>
        <v>23.98158916315867</v>
      </c>
    </row>
    <row r="50" spans="1:8" x14ac:dyDescent="0.25">
      <c r="A50" s="55" t="s">
        <v>53</v>
      </c>
      <c r="C50" s="56">
        <f t="shared" ca="1" si="1"/>
        <v>0.82431435526350472</v>
      </c>
      <c r="D50" s="56">
        <f t="shared" ca="1" si="1"/>
        <v>2.7121838588263016</v>
      </c>
      <c r="E50" s="56">
        <f t="shared" ca="1" si="1"/>
        <v>3.6683669079204084</v>
      </c>
      <c r="F50" s="56">
        <f t="shared" ca="1" si="1"/>
        <v>1.9999104486476609</v>
      </c>
      <c r="G50" s="56">
        <f t="shared" ca="1" si="1"/>
        <v>-2.9107559284816307</v>
      </c>
    </row>
    <row r="51" spans="1:8" x14ac:dyDescent="0.25">
      <c r="A51" s="54" t="s">
        <v>54</v>
      </c>
      <c r="C51" s="55">
        <f ca="1">SUM(C44:C50)</f>
        <v>244.01393626842113</v>
      </c>
      <c r="D51" s="55">
        <f ca="1">SUM(D44:D50)</f>
        <v>239.92078594608978</v>
      </c>
      <c r="E51" s="55">
        <f ca="1">SUM(E44:E50)</f>
        <v>270.1501501827953</v>
      </c>
      <c r="F51" s="55">
        <f ca="1">SUM(F44:F50)</f>
        <v>304.82450024508211</v>
      </c>
      <c r="G51" s="55">
        <f ca="1">SUM(G44:G50)</f>
        <v>344.62627529280678</v>
      </c>
    </row>
    <row r="52" spans="1:8" x14ac:dyDescent="0.25">
      <c r="B52" s="49"/>
    </row>
    <row r="54" spans="1:8" s="51" customFormat="1" x14ac:dyDescent="0.25">
      <c r="A54" s="54"/>
      <c r="B54" s="57"/>
      <c r="C54" s="57"/>
      <c r="D54" s="57"/>
      <c r="E54" s="57"/>
      <c r="F54" s="57"/>
      <c r="G54" s="57"/>
    </row>
    <row r="55" spans="1:8" x14ac:dyDescent="0.25">
      <c r="C55" s="55"/>
      <c r="D55" s="55"/>
      <c r="E55" s="55"/>
      <c r="F55" s="55"/>
      <c r="G55" s="58"/>
    </row>
    <row r="56" spans="1:8" x14ac:dyDescent="0.25">
      <c r="G56" s="59"/>
    </row>
    <row r="57" spans="1:8" x14ac:dyDescent="0.25">
      <c r="A57" s="51" t="s">
        <v>55</v>
      </c>
      <c r="C57" s="55"/>
      <c r="D57" s="55"/>
      <c r="E57" s="55"/>
      <c r="F57" s="55"/>
      <c r="G57" s="58"/>
    </row>
    <row r="58" spans="1:8" s="51" customFormat="1" x14ac:dyDescent="0.25">
      <c r="A58" s="54" t="s">
        <v>18</v>
      </c>
      <c r="B58" s="54">
        <v>0</v>
      </c>
      <c r="C58" s="54">
        <v>1</v>
      </c>
      <c r="D58" s="54">
        <v>2</v>
      </c>
      <c r="E58" s="54">
        <v>3</v>
      </c>
      <c r="F58" s="54">
        <v>4</v>
      </c>
      <c r="G58" s="54">
        <v>5</v>
      </c>
    </row>
    <row r="59" spans="1:8" x14ac:dyDescent="0.25">
      <c r="A59" s="48" t="s">
        <v>56</v>
      </c>
      <c r="B59" s="58">
        <f>-B37</f>
        <v>-1100</v>
      </c>
      <c r="C59" s="56">
        <f ca="1">C23</f>
        <v>0</v>
      </c>
      <c r="D59" s="56">
        <f ca="1">D23</f>
        <v>0</v>
      </c>
      <c r="E59" s="56">
        <f ca="1">E23</f>
        <v>0</v>
      </c>
      <c r="F59" s="56">
        <f ca="1">F23</f>
        <v>0</v>
      </c>
      <c r="G59" s="56">
        <f ca="1">G23+G37+G38</f>
        <v>2219.0492274442922</v>
      </c>
      <c r="H59" s="48" t="str">
        <f ca="1">[2]!getformula(G59)</f>
        <v>&lt;--  =G23+G37+G38</v>
      </c>
    </row>
    <row r="60" spans="1:8" x14ac:dyDescent="0.25">
      <c r="A60" s="48" t="s">
        <v>55</v>
      </c>
      <c r="B60" s="60">
        <f ca="1">IRR(B59:G59)</f>
        <v>0.1506807568163433</v>
      </c>
      <c r="C60" s="48" t="str">
        <f ca="1">[2]!getformula(B60)</f>
        <v>&lt;--  =IRR(B59:G59)</v>
      </c>
    </row>
    <row r="61" spans="1:8" x14ac:dyDescent="0.25">
      <c r="B61" s="58"/>
    </row>
    <row r="62" spans="1:8" x14ac:dyDescent="0.25">
      <c r="B62" s="58"/>
    </row>
    <row r="63" spans="1:8" x14ac:dyDescent="0.25">
      <c r="A63" s="61" t="s">
        <v>57</v>
      </c>
      <c r="B63" s="58"/>
      <c r="C63" s="50">
        <f ca="1">B60</f>
        <v>0.1506807568163433</v>
      </c>
      <c r="D63" s="48" t="str">
        <f ca="1">[2]!getformula(C63)</f>
        <v>&lt;--  =B60</v>
      </c>
    </row>
    <row r="64" spans="1:8" x14ac:dyDescent="0.25">
      <c r="A64" s="61" t="s">
        <v>58</v>
      </c>
      <c r="B64" s="58">
        <v>2000</v>
      </c>
      <c r="C64" s="60">
        <f t="dataTable" ref="C64:C73" dt2D="0" dtr="0" r1="B37" ca="1"/>
        <v>0.10777069501281145</v>
      </c>
    </row>
    <row r="65" spans="1:8" ht="12.75" customHeight="1" x14ac:dyDescent="0.3">
      <c r="A65" s="62"/>
      <c r="B65" s="58">
        <v>1800</v>
      </c>
      <c r="C65" s="60">
        <v>0.11399687941141323</v>
      </c>
    </row>
    <row r="66" spans="1:8" x14ac:dyDescent="0.25">
      <c r="B66" s="58">
        <v>1600</v>
      </c>
      <c r="C66" s="60">
        <v>0.12158890965034552</v>
      </c>
    </row>
    <row r="67" spans="1:8" x14ac:dyDescent="0.25">
      <c r="B67" s="58">
        <v>1400</v>
      </c>
      <c r="C67" s="60">
        <v>0.13105760708263303</v>
      </c>
    </row>
    <row r="68" spans="1:8" x14ac:dyDescent="0.25">
      <c r="B68" s="58">
        <v>1200</v>
      </c>
      <c r="C68" s="60">
        <v>0.14320900425541061</v>
      </c>
    </row>
    <row r="69" spans="1:8" x14ac:dyDescent="0.25">
      <c r="B69" s="58">
        <v>1000</v>
      </c>
      <c r="C69" s="60">
        <v>0.1593980877775083</v>
      </c>
    </row>
    <row r="70" spans="1:8" x14ac:dyDescent="0.25">
      <c r="B70" s="58">
        <v>800</v>
      </c>
      <c r="C70" s="60">
        <v>0.18210586089245862</v>
      </c>
    </row>
    <row r="71" spans="1:8" ht="17.399999999999999" x14ac:dyDescent="0.3">
      <c r="A71" s="62"/>
      <c r="B71" s="58">
        <v>600</v>
      </c>
      <c r="C71" s="60">
        <v>0.21646902798142897</v>
      </c>
    </row>
    <row r="72" spans="1:8" x14ac:dyDescent="0.25">
      <c r="B72" s="58">
        <v>400</v>
      </c>
      <c r="C72" s="63">
        <v>0.27542283681676749</v>
      </c>
    </row>
    <row r="73" spans="1:8" x14ac:dyDescent="0.25">
      <c r="B73" s="58">
        <v>200</v>
      </c>
      <c r="C73" s="60">
        <v>0.40671395424591705</v>
      </c>
    </row>
    <row r="74" spans="1:8" x14ac:dyDescent="0.25">
      <c r="A74" s="54"/>
      <c r="B74" s="57"/>
      <c r="C74" s="57"/>
      <c r="D74" s="57"/>
      <c r="E74" s="57"/>
      <c r="F74" s="57"/>
      <c r="G74" s="57"/>
      <c r="H74" s="51"/>
    </row>
    <row r="75" spans="1:8" x14ac:dyDescent="0.25">
      <c r="C75" s="55"/>
      <c r="D75" s="55"/>
      <c r="E75" s="55"/>
      <c r="F75" s="55"/>
      <c r="G75" s="55"/>
    </row>
    <row r="76" spans="1:8" x14ac:dyDescent="0.25">
      <c r="G76" s="59"/>
    </row>
    <row r="77" spans="1:8" x14ac:dyDescent="0.25">
      <c r="C77" s="55"/>
      <c r="D77" s="55"/>
      <c r="E77" s="55"/>
      <c r="F77" s="55"/>
      <c r="G77" s="58"/>
    </row>
    <row r="79" spans="1:8" x14ac:dyDescent="0.25">
      <c r="B79" s="58"/>
    </row>
    <row r="80" spans="1:8" x14ac:dyDescent="0.25">
      <c r="B80" s="58"/>
    </row>
    <row r="81" spans="2:3" x14ac:dyDescent="0.25">
      <c r="B81" s="58"/>
    </row>
    <row r="82" spans="2:3" x14ac:dyDescent="0.25">
      <c r="B82" s="58"/>
    </row>
    <row r="83" spans="2:3" x14ac:dyDescent="0.25">
      <c r="B83" s="58"/>
    </row>
    <row r="87" spans="2:3" x14ac:dyDescent="0.25">
      <c r="C87" s="58"/>
    </row>
    <row r="88" spans="2:3" x14ac:dyDescent="0.25">
      <c r="B88" s="49"/>
      <c r="C88" s="58"/>
    </row>
    <row r="89" spans="2:3" x14ac:dyDescent="0.25">
      <c r="B89" s="49"/>
      <c r="C89" s="58"/>
    </row>
    <row r="90" spans="2:3" x14ac:dyDescent="0.25">
      <c r="B90" s="49"/>
      <c r="C90" s="58"/>
    </row>
    <row r="91" spans="2:3" x14ac:dyDescent="0.25">
      <c r="B91" s="49"/>
      <c r="C91" s="58"/>
    </row>
    <row r="92" spans="2:3" x14ac:dyDescent="0.25">
      <c r="B92" s="49"/>
      <c r="C92" s="58"/>
    </row>
    <row r="93" spans="2:3" x14ac:dyDescent="0.25">
      <c r="B93" s="49"/>
      <c r="C93" s="58"/>
    </row>
    <row r="94" spans="2:3" x14ac:dyDescent="0.25">
      <c r="B94" s="49"/>
      <c r="C94" s="58"/>
    </row>
    <row r="95" spans="2:3" x14ac:dyDescent="0.25">
      <c r="B95" s="49"/>
      <c r="C95" s="58"/>
    </row>
    <row r="96" spans="2:3" x14ac:dyDescent="0.25">
      <c r="B96" s="49"/>
      <c r="C96" s="58"/>
    </row>
    <row r="102" spans="1:11" x14ac:dyDescent="0.25">
      <c r="C102" s="51"/>
    </row>
    <row r="103" spans="1:11" x14ac:dyDescent="0.25">
      <c r="B103" s="64"/>
      <c r="C103" s="65"/>
      <c r="D103" s="65"/>
      <c r="E103" s="65"/>
      <c r="F103" s="65"/>
      <c r="G103" s="65"/>
      <c r="H103" s="65"/>
      <c r="I103" s="65"/>
      <c r="J103" s="65"/>
      <c r="K103" s="65"/>
    </row>
    <row r="104" spans="1:11" x14ac:dyDescent="0.25">
      <c r="B104" s="65"/>
      <c r="C104" s="64"/>
      <c r="D104" s="64"/>
      <c r="E104" s="64"/>
      <c r="F104" s="64"/>
      <c r="G104" s="64"/>
      <c r="H104" s="64"/>
      <c r="I104" s="64"/>
      <c r="J104" s="64"/>
      <c r="K104" s="64"/>
    </row>
    <row r="105" spans="1:11" x14ac:dyDescent="0.25">
      <c r="A105" s="61"/>
      <c r="B105" s="65"/>
      <c r="C105" s="64"/>
      <c r="D105" s="64"/>
      <c r="E105" s="64"/>
      <c r="F105" s="64"/>
      <c r="G105" s="64"/>
      <c r="H105" s="64"/>
      <c r="I105" s="64"/>
      <c r="J105" s="64"/>
      <c r="K105" s="64"/>
    </row>
    <row r="106" spans="1:11" x14ac:dyDescent="0.25">
      <c r="B106" s="65"/>
      <c r="C106" s="64"/>
      <c r="D106" s="64"/>
      <c r="E106" s="64"/>
      <c r="F106" s="64"/>
      <c r="G106" s="64"/>
      <c r="H106" s="64"/>
      <c r="I106" s="64"/>
      <c r="J106" s="64"/>
      <c r="K106" s="64"/>
    </row>
    <row r="107" spans="1:11" x14ac:dyDescent="0.25">
      <c r="B107" s="65"/>
      <c r="C107" s="64"/>
      <c r="D107" s="64"/>
      <c r="E107" s="64"/>
      <c r="F107" s="64"/>
      <c r="G107" s="64"/>
      <c r="H107" s="64"/>
      <c r="I107" s="64"/>
      <c r="J107" s="64"/>
      <c r="K107" s="64"/>
    </row>
    <row r="108" spans="1:11" x14ac:dyDescent="0.25">
      <c r="B108" s="65"/>
      <c r="C108" s="64"/>
      <c r="D108" s="64"/>
      <c r="E108" s="64"/>
      <c r="F108" s="64"/>
      <c r="G108" s="64"/>
      <c r="H108" s="64"/>
      <c r="I108" s="64"/>
      <c r="J108" s="64"/>
      <c r="K108" s="64"/>
    </row>
    <row r="109" spans="1:11" x14ac:dyDescent="0.25">
      <c r="B109" s="65"/>
      <c r="C109" s="64"/>
      <c r="D109" s="64"/>
      <c r="E109" s="64"/>
      <c r="F109" s="64"/>
      <c r="G109" s="64"/>
      <c r="H109" s="64"/>
      <c r="I109" s="64"/>
      <c r="J109" s="64"/>
      <c r="K109" s="64"/>
    </row>
    <row r="110" spans="1:11" x14ac:dyDescent="0.25">
      <c r="B110" s="65"/>
      <c r="C110" s="64"/>
      <c r="D110" s="64"/>
      <c r="E110" s="64"/>
      <c r="F110" s="64"/>
      <c r="G110" s="64"/>
      <c r="H110" s="64"/>
      <c r="I110" s="64"/>
      <c r="J110" s="64"/>
      <c r="K110" s="64"/>
    </row>
    <row r="111" spans="1:11" x14ac:dyDescent="0.25">
      <c r="B111" s="65"/>
      <c r="C111" s="64"/>
      <c r="D111" s="64"/>
      <c r="E111" s="64"/>
      <c r="F111" s="64"/>
      <c r="G111" s="64"/>
      <c r="H111" s="64"/>
      <c r="I111" s="64"/>
      <c r="J111" s="64"/>
      <c r="K111" s="64"/>
    </row>
    <row r="112" spans="1:11" x14ac:dyDescent="0.25">
      <c r="B112" s="65"/>
      <c r="C112" s="64"/>
      <c r="D112" s="64"/>
      <c r="E112" s="64"/>
      <c r="F112" s="64"/>
      <c r="G112" s="64"/>
      <c r="H112" s="64"/>
      <c r="I112" s="64"/>
      <c r="J112" s="64"/>
      <c r="K112" s="64"/>
    </row>
  </sheetData>
  <mergeCells count="1">
    <mergeCell ref="A1:G1"/>
  </mergeCells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9, version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2024-10-14T06:47:18Z</dcterms:modified>
</cp:coreProperties>
</file>