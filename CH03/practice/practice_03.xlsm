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7FBB92B7-D453-4005-9376-1086AAB21A5A}" xr6:coauthVersionLast="47" xr6:coauthVersionMax="47" xr10:uidLastSave="{00000000-0000-0000-0000-000000000000}"/>
  <bookViews>
    <workbookView xWindow="-25035" yWindow="3465" windowWidth="21600" windowHeight="11100" xr2:uid="{EA6F33A8-FE0E-48B1-8C74-8B2321C6BA8B}"/>
  </bookViews>
  <sheets>
    <sheet name="Sheet1" sheetId="1" r:id="rId1"/>
  </sheets>
  <externalReferences>
    <externalReference r:id="rId2"/>
  </externalReferences>
  <definedNames>
    <definedName name="_xlnm._FilterDatabase" localSheetId="0" hidden="1">Sheet1!$I$1:$I$115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" l="1"/>
  <c r="D37" i="1" s="1"/>
  <c r="E37" i="1" s="1"/>
  <c r="F37" i="1" s="1"/>
  <c r="G37" i="1" s="1"/>
  <c r="C15" i="1"/>
  <c r="C35" i="1" s="1"/>
  <c r="A103" i="1"/>
  <c r="D90" i="1"/>
  <c r="C82" i="1"/>
  <c r="I78" i="1"/>
  <c r="I80" i="1"/>
  <c r="I79" i="1"/>
  <c r="C70" i="1"/>
  <c r="C62" i="1"/>
  <c r="I16" i="1"/>
  <c r="I17" i="1"/>
  <c r="I33" i="1"/>
  <c r="I49" i="1"/>
  <c r="I18" i="1"/>
  <c r="I50" i="1"/>
  <c r="I19" i="1"/>
  <c r="I35" i="1"/>
  <c r="I51" i="1"/>
  <c r="I36" i="1"/>
  <c r="I44" i="1"/>
  <c r="I30" i="1"/>
  <c r="I48" i="1"/>
  <c r="I20" i="1"/>
  <c r="I21" i="1"/>
  <c r="I37" i="1"/>
  <c r="I39" i="1"/>
  <c r="I24" i="1"/>
  <c r="I58" i="1"/>
  <c r="I27" i="1"/>
  <c r="I60" i="1"/>
  <c r="I45" i="1"/>
  <c r="I31" i="1"/>
  <c r="I22" i="1"/>
  <c r="I38" i="1"/>
  <c r="I28" i="1"/>
  <c r="I46" i="1"/>
  <c r="I47" i="1"/>
  <c r="I23" i="1"/>
  <c r="I59" i="1"/>
  <c r="I32" i="1"/>
  <c r="I15" i="1"/>
  <c r="C16" i="1" l="1"/>
  <c r="D15" i="1"/>
  <c r="C28" i="1"/>
  <c r="C30" i="1"/>
  <c r="C48" i="1" l="1"/>
  <c r="C19" i="1"/>
  <c r="E15" i="1"/>
  <c r="D30" i="1"/>
  <c r="D28" i="1"/>
  <c r="D46" i="1" s="1"/>
  <c r="D16" i="1"/>
  <c r="D35" i="1"/>
  <c r="D47" i="1" s="1"/>
  <c r="D19" i="1" l="1"/>
  <c r="D48" i="1"/>
  <c r="C31" i="1"/>
  <c r="C32" i="1" s="1"/>
  <c r="C45" i="1"/>
  <c r="E35" i="1"/>
  <c r="E47" i="1" s="1"/>
  <c r="E16" i="1"/>
  <c r="E30" i="1"/>
  <c r="F15" i="1"/>
  <c r="E28" i="1"/>
  <c r="E46" i="1" s="1"/>
  <c r="B75" i="1"/>
  <c r="B32" i="1"/>
  <c r="B15" i="1"/>
  <c r="B16" i="1" s="1"/>
  <c r="E48" i="1" l="1"/>
  <c r="F16" i="1"/>
  <c r="F30" i="1"/>
  <c r="F19" i="1" s="1"/>
  <c r="G15" i="1"/>
  <c r="F35" i="1"/>
  <c r="F47" i="1" s="1"/>
  <c r="F28" i="1"/>
  <c r="F46" i="1" s="1"/>
  <c r="E19" i="1"/>
  <c r="D31" i="1"/>
  <c r="D32" i="1" s="1"/>
  <c r="D45" i="1"/>
  <c r="B35" i="1"/>
  <c r="C47" i="1" s="1"/>
  <c r="B28" i="1"/>
  <c r="C46" i="1" s="1"/>
  <c r="F45" i="1" l="1"/>
  <c r="E31" i="1"/>
  <c r="E32" i="1" s="1"/>
  <c r="E45" i="1"/>
  <c r="G30" i="1"/>
  <c r="G35" i="1"/>
  <c r="G47" i="1" s="1"/>
  <c r="G16" i="1"/>
  <c r="G28" i="1"/>
  <c r="G46" i="1" s="1"/>
  <c r="F48" i="1"/>
  <c r="G19" i="1"/>
  <c r="G45" i="1" s="1"/>
  <c r="G48" i="1" l="1"/>
  <c r="F31" i="1"/>
  <c r="G31" i="1" l="1"/>
  <c r="G32" i="1" s="1"/>
  <c r="F32" i="1"/>
  <c r="B17" i="1"/>
  <c r="C17" i="1"/>
  <c r="D17" i="1"/>
  <c r="E17" i="1"/>
  <c r="F17" i="1"/>
  <c r="G17" i="1"/>
  <c r="B18" i="1"/>
  <c r="C18" i="1"/>
  <c r="D18" i="1"/>
  <c r="E18" i="1"/>
  <c r="F18" i="1"/>
  <c r="G18" i="1"/>
  <c r="B20" i="1"/>
  <c r="C20" i="1"/>
  <c r="D20" i="1"/>
  <c r="E20" i="1"/>
  <c r="F20" i="1"/>
  <c r="G20" i="1"/>
  <c r="B21" i="1"/>
  <c r="C21" i="1"/>
  <c r="D21" i="1"/>
  <c r="E21" i="1"/>
  <c r="F21" i="1"/>
  <c r="G21" i="1"/>
  <c r="B22" i="1"/>
  <c r="C22" i="1"/>
  <c r="D22" i="1"/>
  <c r="E22" i="1"/>
  <c r="F22" i="1"/>
  <c r="G22" i="1"/>
  <c r="B23" i="1"/>
  <c r="C23" i="1"/>
  <c r="D23" i="1"/>
  <c r="E23" i="1"/>
  <c r="F23" i="1"/>
  <c r="G23" i="1"/>
  <c r="B24" i="1"/>
  <c r="C24" i="1"/>
  <c r="D24" i="1"/>
  <c r="E24" i="1"/>
  <c r="F24" i="1"/>
  <c r="G24" i="1"/>
  <c r="B27" i="1"/>
  <c r="C27" i="1"/>
  <c r="D27" i="1"/>
  <c r="E27" i="1"/>
  <c r="F27" i="1"/>
  <c r="G27" i="1"/>
  <c r="B33" i="1"/>
  <c r="C33" i="1"/>
  <c r="D33" i="1"/>
  <c r="E33" i="1"/>
  <c r="F33" i="1"/>
  <c r="G33" i="1"/>
  <c r="B36" i="1"/>
  <c r="C36" i="1"/>
  <c r="D36" i="1"/>
  <c r="E36" i="1"/>
  <c r="F36" i="1"/>
  <c r="G36" i="1"/>
  <c r="C38" i="1"/>
  <c r="D38" i="1"/>
  <c r="E38" i="1"/>
  <c r="F38" i="1"/>
  <c r="G38" i="1"/>
  <c r="B39" i="1"/>
  <c r="C39" i="1"/>
  <c r="D39" i="1"/>
  <c r="E39" i="1"/>
  <c r="F39" i="1"/>
  <c r="G39" i="1"/>
  <c r="C44" i="1"/>
  <c r="D44" i="1"/>
  <c r="E44" i="1"/>
  <c r="F44" i="1"/>
  <c r="G44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8" i="1"/>
  <c r="D58" i="1"/>
  <c r="E58" i="1"/>
  <c r="F58" i="1"/>
  <c r="G58" i="1"/>
  <c r="G59" i="1"/>
  <c r="C60" i="1"/>
  <c r="D60" i="1"/>
  <c r="E60" i="1"/>
  <c r="F60" i="1"/>
  <c r="G60" i="1"/>
  <c r="B62" i="1"/>
  <c r="B63" i="1"/>
  <c r="B64" i="1"/>
  <c r="B65" i="1"/>
  <c r="B66" i="1"/>
  <c r="B69" i="1"/>
  <c r="B70" i="1"/>
  <c r="B71" i="1"/>
  <c r="C78" i="1"/>
  <c r="D78" i="1"/>
  <c r="E78" i="1"/>
  <c r="F78" i="1"/>
  <c r="G78" i="1"/>
  <c r="G79" i="1"/>
  <c r="C80" i="1"/>
  <c r="D80" i="1"/>
  <c r="E80" i="1"/>
  <c r="F80" i="1"/>
  <c r="G80" i="1"/>
  <c r="B82" i="1"/>
  <c r="B83" i="1"/>
  <c r="B84" i="1"/>
  <c r="B85" i="1"/>
  <c r="B86" i="1"/>
  <c r="C90" i="1"/>
  <c r="B106" i="1"/>
</calcChain>
</file>

<file path=xl/sharedStrings.xml><?xml version="1.0" encoding="utf-8"?>
<sst xmlns="http://schemas.openxmlformats.org/spreadsheetml/2006/main" count="78" uniqueCount="63">
  <si>
    <t>EXERCISE 3</t>
  </si>
  <si>
    <t>Sales growth</t>
  </si>
  <si>
    <t>Current assets/Sales</t>
  </si>
  <si>
    <t>Current liabilities/Sales</t>
  </si>
  <si>
    <t>Fixed assets at cost/Sales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</si>
  <si>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</si>
  <si>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</si>
  <si>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</si>
  <si>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</si>
  <si>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</si>
  <si>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</si>
  <si>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</si>
  <si>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</si>
  <si>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</si>
  <si>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</si>
  <si>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</si>
  <si>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</si>
  <si>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</si>
  <si>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</si>
  <si>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</si>
  <si>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</si>
  <si>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</si>
  <si>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</si>
  <si>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</si>
  <si>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</si>
  <si>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</si>
  <si>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</si>
  <si>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</si>
  <si>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</si>
  <si>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</si>
  <si>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</si>
  <si>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</si>
  <si>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</si>
  <si>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</si>
  <si>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</si>
  <si>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</si>
  <si>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</si>
  <si>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</si>
  <si>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</si>
  <si>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</si>
  <si>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</si>
  <si>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</si>
  <si>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</si>
  <si>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</si>
  <si>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Valuing the firm</t>
  </si>
  <si>
    <t>Weighted average cost of capital</t>
  </si>
  <si>
    <t>FCF</t>
  </si>
  <si>
    <t>Terminal value</t>
  </si>
  <si>
    <t>Total</t>
  </si>
  <si>
    <t>NPV of row 61</t>
  </si>
  <si>
    <t>Add in initial (year 0) cash and mkt. securities</t>
  </si>
  <si>
    <t>Enterprise value</t>
  </si>
  <si>
    <t>Subtract out value of firm's debt today</t>
  </si>
  <si>
    <t>Equity value</t>
  </si>
  <si>
    <t>Cash and marketable securities as negative debt</t>
  </si>
  <si>
    <t>NPV of row 61 = enterprise value</t>
  </si>
  <si>
    <t>Net year 0 debt</t>
  </si>
  <si>
    <t>Valuing the firm--using half-year discounting</t>
  </si>
  <si>
    <t>NPV of row 81</t>
  </si>
  <si>
    <t>Growth</t>
  </si>
  <si>
    <t>WACC</t>
  </si>
  <si>
    <t>growth rate of sales</t>
  </si>
  <si>
    <t>ave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</si>
</sst>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7" fontId="0" fillId="0" borderId="0" xfId="1" applyNumberFormat="1" applyFont="1" applyAlignment="1"/>
    <xf numFmtId="0" fontId="5" fillId="0" borderId="0" xfId="0" applyFon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0" fontId="0" fillId="0" borderId="0" xfId="0" applyAlignment="1">
      <alignment horizontal="center"/>
    </xf>
    <xf numFmtId="0" fontId="0" fillId="2" borderId="0" xfId="0" applyFill="1" applyAlignment="1"/>
    <xf numFmtId="43" fontId="0" fillId="0" borderId="0" xfId="1" applyFont="1" applyAlignment="1"/>
    <xf numFmtId="9" fontId="4" fillId="0" borderId="0" xfId="0" applyNumberFormat="1" applyFont="1" applyAlignment="1"/>
    <xf numFmtId="0" fontId="4" fillId="0" borderId="0" xfId="0" applyFont="1" applyAlignment="1">
      <alignment horizontal="right"/>
    </xf>
    <xf numFmtId="9" fontId="0" fillId="3" borderId="0" xfId="0" applyNumberFormat="1" applyFill="1" applyAlignment="1"/>
    <xf numFmtId="0" fontId="0" fillId="4" borderId="0" xfId="0" applyFill="1" applyAlignment="1"/>
    <xf numFmtId="9" fontId="0" fillId="4" borderId="0" xfId="0" applyNumberFormat="1" applyFill="1" applyAlignment="1"/>
    <xf numFmtId="0" fontId="0" fillId="5" borderId="0" xfId="0" applyFill="1" applyAlignment="1"/>
    <xf numFmtId="0" fontId="0" fillId="6" borderId="0" xfId="0" applyFill="1" applyAlignment="1"/>
    <xf numFmtId="9" fontId="0" fillId="6" borderId="0" xfId="0" applyNumberFormat="1" applyFill="1" applyAlignment="1"/>
    <xf numFmtId="10" fontId="0" fillId="6" borderId="0" xfId="0" applyNumberFormat="1" applyFill="1" applyAlignment="1"/>
    <xf numFmtId="177" fontId="0" fillId="0" borderId="0" xfId="1" applyNumberFormat="1" applyFont="1" applyFill="1" applyAlignment="1"/>
    <xf numFmtId="0" fontId="0" fillId="0" borderId="0" xfId="0" applyFill="1" applyAlignment="1"/>
    <xf numFmtId="0" fontId="0" fillId="7" borderId="0" xfId="0" applyFill="1" applyAlignment="1"/>
    <xf numFmtId="177" fontId="0" fillId="7" borderId="0" xfId="1" applyNumberFormat="1" applyFont="1" applyFill="1" applyAlignment="1"/>
    <xf numFmtId="178" fontId="4" fillId="7" borderId="0" xfId="0" applyNumberFormat="1" applyFont="1" applyFill="1" applyAlignment="1"/>
    <xf numFmtId="178" fontId="0" fillId="7" borderId="0" xfId="0" applyNumberFormat="1" applyFill="1" applyAlignment="1"/>
    <xf numFmtId="0" fontId="6" fillId="8" borderId="0" xfId="0" applyFont="1" applyFill="1" applyAlignment="1"/>
    <xf numFmtId="177" fontId="6" fillId="8" borderId="0" xfId="1" applyNumberFormat="1" applyFont="1" applyFill="1" applyAlignment="1"/>
    <xf numFmtId="0" fontId="0" fillId="8" borderId="0" xfId="0" applyFill="1" applyAlignment="1"/>
    <xf numFmtId="3" fontId="0" fillId="8" borderId="0" xfId="0" applyNumberFormat="1" applyFill="1" applyAlignment="1"/>
    <xf numFmtId="43" fontId="0" fillId="0" borderId="0" xfId="1" applyFont="1" applyAlignment="1">
      <alignment horizontal="center"/>
    </xf>
    <xf numFmtId="9" fontId="4" fillId="0" borderId="0" xfId="0" applyNumberFormat="1" applyFont="1" applyAlignment="1">
      <alignment horizontal="center"/>
    </xf>
    <xf numFmtId="9" fontId="4" fillId="9" borderId="0" xfId="0" applyNumberFormat="1" applyFont="1" applyFill="1" applyAlignment="1"/>
    <xf numFmtId="43" fontId="0" fillId="9" borderId="0" xfId="1" applyFont="1" applyFill="1" applyAlignment="1">
      <alignment horizontal="center"/>
    </xf>
    <xf numFmtId="0" fontId="0" fillId="9" borderId="0" xfId="0" applyFill="1">
      <alignment vertical="center"/>
    </xf>
    <xf numFmtId="9" fontId="0" fillId="9" borderId="0" xfId="0" applyNumberFormat="1" applyFill="1">
      <alignment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solidFill>
                  <a:schemeClr val="tx1"/>
                </a:solidFill>
              </a:rPr>
              <a:t>Sales</a:t>
            </a:r>
            <a:r>
              <a:rPr lang="en-US" altLang="zh-CN" sz="1800" b="1" baseline="0">
                <a:solidFill>
                  <a:schemeClr val="tx1"/>
                </a:solidFill>
              </a:rPr>
              <a:t> Growth and Equity Value</a:t>
            </a:r>
            <a:endParaRPr lang="zh-CN" alt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1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Sheet1!$B$91:$B$99</c:f>
              <c:numCache>
                <c:formatCode>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</c:numCache>
            </c:numRef>
          </c:xVal>
          <c:yVal>
            <c:numRef>
              <c:f>Sheet1!$C$91:$C$99</c:f>
              <c:numCache>
                <c:formatCode>#,##0</c:formatCode>
                <c:ptCount val="9"/>
                <c:pt idx="0">
                  <c:v>2101.1571127720936</c:v>
                </c:pt>
                <c:pt idx="1">
                  <c:v>2235.9576967055905</c:v>
                </c:pt>
                <c:pt idx="2">
                  <c:v>2404.4584268419153</c:v>
                </c:pt>
                <c:pt idx="3">
                  <c:v>2621.1022227314529</c:v>
                </c:pt>
                <c:pt idx="4">
                  <c:v>2909.960617250807</c:v>
                </c:pt>
                <c:pt idx="5">
                  <c:v>3314.3623695778656</c:v>
                </c:pt>
                <c:pt idx="6">
                  <c:v>3920.9649980684089</c:v>
                </c:pt>
                <c:pt idx="7">
                  <c:v>4931.9693788859249</c:v>
                </c:pt>
                <c:pt idx="8">
                  <c:v>6953.9781421155476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6-49D8-9ABD-A16EA3F02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517896"/>
        <c:axId val="1007515016"/>
      </c:scatterChart>
      <c:valAx>
        <c:axId val="100751789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7515016"/>
        <c:crosses val="autoZero"/>
        <c:crossBetween val="midCat"/>
        <c:majorUnit val="4.0000000000000008E-2"/>
      </c:valAx>
      <c:valAx>
        <c:axId val="1007515016"/>
        <c:scaling>
          <c:orientation val="minMax"/>
          <c:min val="1000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7517896"/>
        <c:crosses val="autoZero"/>
        <c:crossBetween val="midCat"/>
        <c:majorUnit val="200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1889760</xdr:colOff>
      <xdr:row>103</xdr:row>
      <xdr:rowOff>30480</xdr:rowOff>
    </xdr:from>
    <xdr:to>
      <xdr:col>1</xdr:col>
      <xdr:colOff>30480</xdr:colOff>
      <xdr:row>105</xdr:row>
      <xdr:rowOff>60960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F801C2A8-1225-4EB1-9DB8-78BEF9506B46}"/>
            </a:ext>
          </a:extLst>
        </xdr:cNvPr>
        <xdr:cNvSpPr>
          <a:spLocks noChangeShapeType="1"/>
        </xdr:cNvSpPr>
      </xdr:nvSpPr>
      <xdr:spPr bwMode="auto">
        <a:xfrm>
          <a:off x="1885950" y="17878425"/>
          <a:ext cx="120015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152401</xdr:colOff>
      <xdr:row>84</xdr:row>
      <xdr:rowOff>136206</xdr:rowOff>
    </xdr:from>
    <xdr:to>
      <xdr:col>13</xdr:col>
      <xdr:colOff>251460</xdr:colOff>
      <xdr:row>102</xdr:row>
      <xdr:rowOff>85725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89947E8-8ACA-642B-5EBA-C62B4249BE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115"/>
  <sheetViews>
    <sheetView tabSelected="1" topLeftCell="A73" zoomScaleNormal="100" workbookViewId="0">
      <selection activeCell="I120" sqref="I120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3" width="11.5546875" style="2" customWidth="1"/>
    <col min="4" max="4" width="12.77734375" style="2" customWidth="1"/>
    <col min="5" max="6" width="11.88671875" style="2" customWidth="1"/>
    <col min="7" max="7" width="12.21875" style="2" customWidth="1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9" x14ac:dyDescent="0.25">
      <c r="A2" s="2" t="s">
        <v>1</v>
      </c>
      <c r="B2" s="3">
        <v>0.1</v>
      </c>
    </row>
    <row r="3" spans="1:9" x14ac:dyDescent="0.25">
      <c r="A3" s="21" t="s">
        <v>2</v>
      </c>
      <c r="B3" s="22">
        <v>0.15</v>
      </c>
    </row>
    <row r="4" spans="1:9" x14ac:dyDescent="0.25">
      <c r="A4" s="21" t="s">
        <v>3</v>
      </c>
      <c r="B4" s="22">
        <v>0.08</v>
      </c>
    </row>
    <row r="5" spans="1:9" x14ac:dyDescent="0.25">
      <c r="A5" s="23" t="s">
        <v>4</v>
      </c>
      <c r="B5" s="20">
        <v>1</v>
      </c>
    </row>
    <row r="6" spans="1:9" x14ac:dyDescent="0.25">
      <c r="A6" s="21" t="s">
        <v>5</v>
      </c>
      <c r="B6" s="22">
        <v>0.5</v>
      </c>
    </row>
    <row r="7" spans="1:9" x14ac:dyDescent="0.25">
      <c r="A7" s="24" t="s">
        <v>6</v>
      </c>
      <c r="B7" s="25">
        <v>0.1</v>
      </c>
      <c r="C7" s="2" t="s">
        <v>62</v>
      </c>
    </row>
    <row r="8" spans="1:9" x14ac:dyDescent="0.25">
      <c r="A8" s="24" t="s">
        <v>7</v>
      </c>
      <c r="B8" s="26">
        <v>0.1</v>
      </c>
      <c r="C8" s="2" t="s">
        <v>62</v>
      </c>
    </row>
    <row r="9" spans="1:9" x14ac:dyDescent="0.25">
      <c r="A9" s="24" t="s">
        <v>8</v>
      </c>
      <c r="B9" s="26">
        <v>0.08</v>
      </c>
      <c r="C9" s="2" t="s">
        <v>62</v>
      </c>
    </row>
    <row r="10" spans="1:9" x14ac:dyDescent="0.25">
      <c r="A10" s="2" t="s">
        <v>9</v>
      </c>
      <c r="B10" s="3">
        <v>0.4</v>
      </c>
    </row>
    <row r="11" spans="1:9" x14ac:dyDescent="0.25">
      <c r="A11" s="2" t="s">
        <v>10</v>
      </c>
      <c r="B11" s="3">
        <v>0.4</v>
      </c>
    </row>
    <row r="13" spans="1:9" x14ac:dyDescent="0.25">
      <c r="A13" s="4" t="s">
        <v>11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</row>
    <row r="14" spans="1:9" x14ac:dyDescent="0.25">
      <c r="A14" s="4" t="s">
        <v>12</v>
      </c>
    </row>
    <row r="15" spans="1:9" x14ac:dyDescent="0.25">
      <c r="A15" s="2" t="s">
        <v>13</v>
      </c>
      <c r="B15" s="27">
        <f>1000</f>
        <v>1000</v>
      </c>
      <c r="C15" s="27">
        <f>B15*(1+$B$2)</f>
        <v>1100</v>
      </c>
      <c r="D15" s="27">
        <f t="shared" ref="D15:G15" si="0">C15*(1+$B$2)</f>
        <v>1210</v>
      </c>
      <c r="E15" s="27">
        <f t="shared" si="0"/>
        <v>1331</v>
      </c>
      <c r="F15" s="27">
        <f t="shared" si="0"/>
        <v>1464.1000000000001</v>
      </c>
      <c r="G15" s="27">
        <f t="shared" si="0"/>
        <v>1610.5100000000002</v>
      </c>
      <c r="I15" s="27" t="str">
        <f ca="1">_xlfn.FORMULATEXT(G15)</f>
        <v>=F15*(1+$B$2)</v>
      </c>
    </row>
    <row r="16" spans="1:9" x14ac:dyDescent="0.25">
      <c r="A16" s="23" t="s">
        <v>14</v>
      </c>
      <c r="B16" s="6">
        <f t="shared" ref="B16:G16" si="1">-B15*$B$6</f>
        <v>-500</v>
      </c>
      <c r="C16" s="6">
        <f>-$B$6*C15</f>
        <v>-550</v>
      </c>
      <c r="D16" s="6">
        <f t="shared" ref="D16:G16" si="2">-$B$6*D15</f>
        <v>-605</v>
      </c>
      <c r="E16" s="6">
        <f t="shared" si="2"/>
        <v>-665.5</v>
      </c>
      <c r="F16" s="6">
        <f t="shared" si="2"/>
        <v>-732.05000000000007</v>
      </c>
      <c r="G16" s="6">
        <f t="shared" si="2"/>
        <v>-805.25500000000011</v>
      </c>
      <c r="I16" s="27" t="str">
        <f t="shared" ref="I16:I60" ca="1" si="3">_xlfn.FORMULATEXT(G16)</f>
        <v>=-$B$6*G15</v>
      </c>
    </row>
    <row r="17" spans="1:9" x14ac:dyDescent="0.25">
      <c r="A17" s="24" t="s">
        <v>15</v>
      </c>
      <c r="B17" s="6">
        <f ca="1">-$B$8*B36</f>
        <v>-32</v>
      </c>
      <c r="C17" s="6">
        <f ca="1">-$B$8*(B36+C36)/2</f>
        <v>-32</v>
      </c>
      <c r="D17" s="6">
        <f t="shared" ref="D17:G17" ca="1" si="4">-$B$8*(C36+D36)/2</f>
        <v>-32</v>
      </c>
      <c r="E17" s="6">
        <f t="shared" ca="1" si="4"/>
        <v>-32</v>
      </c>
      <c r="F17" s="6">
        <f t="shared" ca="1" si="4"/>
        <v>-32</v>
      </c>
      <c r="G17" s="6">
        <f t="shared" ca="1" si="4"/>
        <v>-32</v>
      </c>
      <c r="I17" s="27" t="str">
        <f t="shared" ca="1" si="3"/>
        <v>=-$B$8*(F36+G36)/2</v>
      </c>
    </row>
    <row r="18" spans="1:9" x14ac:dyDescent="0.25">
      <c r="A18" s="24" t="s">
        <v>16</v>
      </c>
      <c r="B18" s="6">
        <f ca="1">$B$9*B27</f>
        <v>6.4</v>
      </c>
      <c r="C18" s="6">
        <f ca="1">$B$9*(B27+C27)/2</f>
        <v>15.378246753228122</v>
      </c>
      <c r="D18" s="6">
        <f t="shared" ref="D18:G18" ca="1" si="5">$B$9*(C27+D27)/2</f>
        <v>31.307318898354314</v>
      </c>
      <c r="E18" s="6">
        <f t="shared" ca="1" si="5"/>
        <v>46.118328214994371</v>
      </c>
      <c r="F18" s="6">
        <f t="shared" ca="1" si="5"/>
        <v>62.845251758183039</v>
      </c>
      <c r="G18" s="6">
        <f t="shared" ca="1" si="5"/>
        <v>81.692386519100111</v>
      </c>
      <c r="I18" s="27" t="str">
        <f t="shared" ca="1" si="3"/>
        <v>=$B$9*(F27+G27)/2</v>
      </c>
    </row>
    <row r="19" spans="1:9" x14ac:dyDescent="0.25">
      <c r="A19" s="24" t="s">
        <v>17</v>
      </c>
      <c r="B19" s="6">
        <v>-100</v>
      </c>
      <c r="C19" s="6">
        <f>-$B$7*(B30+C30)/2</f>
        <v>-108.5</v>
      </c>
      <c r="D19" s="6">
        <f t="shared" ref="D19:G19" si="6">-$B$7*(C30+D30)/2</f>
        <v>-115.5</v>
      </c>
      <c r="E19" s="6">
        <f t="shared" si="6"/>
        <v>-127.05000000000001</v>
      </c>
      <c r="F19" s="6">
        <f t="shared" si="6"/>
        <v>-139.75500000000002</v>
      </c>
      <c r="G19" s="6">
        <f t="shared" si="6"/>
        <v>-153.73050000000003</v>
      </c>
      <c r="I19" s="27" t="str">
        <f t="shared" ca="1" si="3"/>
        <v>=-$B$7*(F30+G30)/2</v>
      </c>
    </row>
    <row r="20" spans="1:9" x14ac:dyDescent="0.25">
      <c r="A20" s="2" t="s">
        <v>18</v>
      </c>
      <c r="B20" s="6">
        <f t="shared" ref="B20:G20" ca="1" si="7">SUM(B15:B19)</f>
        <v>374.4</v>
      </c>
      <c r="C20" s="6">
        <f ca="1">SUM(C15:C19)</f>
        <v>424.87824675322815</v>
      </c>
      <c r="D20" s="6">
        <f t="shared" ref="D20:G20" ca="1" si="8">SUM(D15:D19)</f>
        <v>488.80731889835431</v>
      </c>
      <c r="E20" s="6">
        <f t="shared" ca="1" si="8"/>
        <v>552.56832821499438</v>
      </c>
      <c r="F20" s="6">
        <f t="shared" ca="1" si="8"/>
        <v>623.14025175818313</v>
      </c>
      <c r="G20" s="6">
        <f t="shared" ca="1" si="8"/>
        <v>701.21688651910017</v>
      </c>
      <c r="I20" s="27" t="str">
        <f t="shared" ca="1" si="3"/>
        <v>=SUM(G15:G19)</v>
      </c>
    </row>
    <row r="21" spans="1:9" x14ac:dyDescent="0.25">
      <c r="A21" s="2" t="s">
        <v>19</v>
      </c>
      <c r="B21" s="6">
        <f t="shared" ref="B21:G21" ca="1" si="9">-B20*$B$10</f>
        <v>-149.76</v>
      </c>
      <c r="C21" s="6">
        <f t="shared" ca="1" si="9"/>
        <v>-169.95129870129128</v>
      </c>
      <c r="D21" s="6">
        <f t="shared" ref="D21:G21" ca="1" si="10">-D20*$B$10</f>
        <v>-195.52292755934172</v>
      </c>
      <c r="E21" s="6">
        <f t="shared" ca="1" si="10"/>
        <v>-221.02733128599778</v>
      </c>
      <c r="F21" s="6">
        <f t="shared" ca="1" si="10"/>
        <v>-249.25610070327326</v>
      </c>
      <c r="G21" s="6">
        <f t="shared" ca="1" si="10"/>
        <v>-280.48675460764008</v>
      </c>
      <c r="I21" s="27" t="str">
        <f t="shared" ca="1" si="3"/>
        <v>=-G20*$B$10</v>
      </c>
    </row>
    <row r="22" spans="1:9" x14ac:dyDescent="0.25">
      <c r="A22" s="29" t="s">
        <v>20</v>
      </c>
      <c r="B22" s="30">
        <f t="shared" ref="B22:G22" ca="1" si="11">B21+B20</f>
        <v>224.64</v>
      </c>
      <c r="C22" s="30">
        <f t="shared" ca="1" si="11"/>
        <v>254.92694805193688</v>
      </c>
      <c r="D22" s="30">
        <f t="shared" ref="D22:G22" ca="1" si="12">D21+D20</f>
        <v>293.28439133901259</v>
      </c>
      <c r="E22" s="30">
        <f t="shared" ca="1" si="12"/>
        <v>331.54099692899661</v>
      </c>
      <c r="F22" s="30">
        <f t="shared" ca="1" si="12"/>
        <v>373.88415105490986</v>
      </c>
      <c r="G22" s="30">
        <f t="shared" ca="1" si="12"/>
        <v>420.73013191146009</v>
      </c>
      <c r="I22" s="27" t="str">
        <f t="shared" ca="1" si="3"/>
        <v>=G21+G20</v>
      </c>
    </row>
    <row r="23" spans="1:9" x14ac:dyDescent="0.25">
      <c r="A23" s="2" t="s">
        <v>21</v>
      </c>
      <c r="B23" s="6">
        <f ca="1">-B22*$B$11</f>
        <v>-89.855999999999995</v>
      </c>
      <c r="C23" s="6">
        <f ca="1">-C22*$B$11</f>
        <v>-101.97077922077476</v>
      </c>
      <c r="D23" s="6">
        <f t="shared" ref="D23:G23" ca="1" si="13">-D22*$B$11</f>
        <v>-117.31375653560504</v>
      </c>
      <c r="E23" s="6">
        <f t="shared" ca="1" si="13"/>
        <v>-132.61639877159865</v>
      </c>
      <c r="F23" s="6">
        <f t="shared" ca="1" si="13"/>
        <v>-149.55366042196394</v>
      </c>
      <c r="G23" s="6">
        <f t="shared" ca="1" si="13"/>
        <v>-168.29205276458404</v>
      </c>
      <c r="I23" s="27" t="str">
        <f t="shared" ca="1" si="3"/>
        <v>=-G22*$B$11</v>
      </c>
    </row>
    <row r="24" spans="1:9" x14ac:dyDescent="0.25">
      <c r="A24" s="2" t="s">
        <v>22</v>
      </c>
      <c r="B24" s="6">
        <f t="shared" ref="B24:G24" ca="1" si="14">B23+B22</f>
        <v>134.78399999999999</v>
      </c>
      <c r="C24" s="6">
        <f t="shared" ca="1" si="14"/>
        <v>152.95616883116213</v>
      </c>
      <c r="D24" s="6">
        <f t="shared" ref="D24:G24" ca="1" si="15">D23+D22</f>
        <v>175.97063480340756</v>
      </c>
      <c r="E24" s="6">
        <f t="shared" ca="1" si="15"/>
        <v>198.92459815739795</v>
      </c>
      <c r="F24" s="6">
        <f t="shared" ca="1" si="15"/>
        <v>224.33049063294592</v>
      </c>
      <c r="G24" s="6">
        <f t="shared" ca="1" si="15"/>
        <v>252.43807914687605</v>
      </c>
      <c r="I24" s="27" t="str">
        <f t="shared" ca="1" si="3"/>
        <v>=G23+G22</v>
      </c>
    </row>
    <row r="25" spans="1:9" x14ac:dyDescent="0.25">
      <c r="B25" s="6"/>
      <c r="C25" s="6"/>
      <c r="D25" s="6"/>
      <c r="E25" s="6"/>
      <c r="F25" s="6"/>
      <c r="G25" s="6"/>
      <c r="I25" s="27"/>
    </row>
    <row r="26" spans="1:9" x14ac:dyDescent="0.25">
      <c r="A26" s="4" t="s">
        <v>23</v>
      </c>
      <c r="B26" s="6"/>
      <c r="C26" s="6"/>
      <c r="D26" s="6"/>
      <c r="E26" s="6"/>
      <c r="F26" s="6"/>
      <c r="G26" s="6"/>
      <c r="I26" s="27"/>
    </row>
    <row r="27" spans="1:9" x14ac:dyDescent="0.25">
      <c r="A27" s="7" t="s">
        <v>24</v>
      </c>
      <c r="B27" s="6">
        <f ca="1">B39-B28-B32</f>
        <v>80</v>
      </c>
      <c r="C27" s="6">
        <f ca="1">C39-C28-C32</f>
        <v>304.45616883129151</v>
      </c>
      <c r="D27" s="6">
        <f t="shared" ref="D27:G27" ca="1" si="16">D39-D28-D32</f>
        <v>478.22680363649283</v>
      </c>
      <c r="E27" s="6">
        <f t="shared" ca="1" si="16"/>
        <v>674.73140180647147</v>
      </c>
      <c r="F27" s="6">
        <f t="shared" ca="1" si="16"/>
        <v>896.3998924995891</v>
      </c>
      <c r="G27" s="6">
        <f t="shared" ca="1" si="16"/>
        <v>1145.9097718691605</v>
      </c>
      <c r="I27" s="27" t="str">
        <f t="shared" ca="1" si="3"/>
        <v>=G39-G28-G32</v>
      </c>
    </row>
    <row r="28" spans="1:9" x14ac:dyDescent="0.25">
      <c r="A28" s="23" t="s">
        <v>25</v>
      </c>
      <c r="B28" s="6">
        <f>$B$3*B15</f>
        <v>150</v>
      </c>
      <c r="C28" s="6">
        <f>$B$3*C15</f>
        <v>165</v>
      </c>
      <c r="D28" s="6">
        <f t="shared" ref="D28:G28" si="17">$B$3*D15</f>
        <v>181.5</v>
      </c>
      <c r="E28" s="6">
        <f t="shared" si="17"/>
        <v>199.65</v>
      </c>
      <c r="F28" s="6">
        <f t="shared" si="17"/>
        <v>219.61500000000001</v>
      </c>
      <c r="G28" s="6">
        <f t="shared" si="17"/>
        <v>241.57650000000001</v>
      </c>
      <c r="I28" s="27" t="str">
        <f t="shared" ca="1" si="3"/>
        <v>=$B$3*G15</v>
      </c>
    </row>
    <row r="29" spans="1:9" x14ac:dyDescent="0.25">
      <c r="A29" s="2" t="s">
        <v>26</v>
      </c>
      <c r="B29" s="6"/>
      <c r="C29" s="6"/>
      <c r="D29" s="6"/>
      <c r="E29" s="6"/>
      <c r="F29" s="6"/>
      <c r="G29" s="6"/>
      <c r="I29" s="27"/>
    </row>
    <row r="30" spans="1:9" x14ac:dyDescent="0.25">
      <c r="A30" s="23" t="s">
        <v>27</v>
      </c>
      <c r="B30" s="27">
        <v>1070</v>
      </c>
      <c r="C30" s="27">
        <f>$B$5*C15</f>
        <v>1100</v>
      </c>
      <c r="D30" s="27">
        <f t="shared" ref="D30:G30" si="18">$B$5*D15</f>
        <v>1210</v>
      </c>
      <c r="E30" s="27">
        <f t="shared" si="18"/>
        <v>1331</v>
      </c>
      <c r="F30" s="27">
        <f t="shared" si="18"/>
        <v>1464.1000000000001</v>
      </c>
      <c r="G30" s="27">
        <f t="shared" si="18"/>
        <v>1610.5100000000002</v>
      </c>
      <c r="I30" s="27" t="str">
        <f t="shared" ca="1" si="3"/>
        <v>=$B$5*G15</v>
      </c>
    </row>
    <row r="31" spans="1:9" x14ac:dyDescent="0.25">
      <c r="A31" s="2" t="s">
        <v>28</v>
      </c>
      <c r="B31" s="6">
        <v>-300</v>
      </c>
      <c r="C31" s="6">
        <f>B31+C19</f>
        <v>-408.5</v>
      </c>
      <c r="D31" s="6">
        <f t="shared" ref="D31:G31" si="19">C31+D19</f>
        <v>-524</v>
      </c>
      <c r="E31" s="6">
        <f t="shared" si="19"/>
        <v>-651.04999999999995</v>
      </c>
      <c r="F31" s="6">
        <f t="shared" si="19"/>
        <v>-790.80499999999995</v>
      </c>
      <c r="G31" s="6">
        <f t="shared" si="19"/>
        <v>-944.53549999999996</v>
      </c>
      <c r="I31" s="27" t="str">
        <f t="shared" ca="1" si="3"/>
        <v>=F31+G19</v>
      </c>
    </row>
    <row r="32" spans="1:9" x14ac:dyDescent="0.25">
      <c r="A32" s="28" t="s">
        <v>29</v>
      </c>
      <c r="B32" s="6">
        <f>B30+B31</f>
        <v>770</v>
      </c>
      <c r="C32" s="6">
        <f>C30+C31</f>
        <v>691.5</v>
      </c>
      <c r="D32" s="6">
        <f t="shared" ref="D32:G32" si="20">D30+D31</f>
        <v>686</v>
      </c>
      <c r="E32" s="6">
        <f t="shared" si="20"/>
        <v>679.95</v>
      </c>
      <c r="F32" s="6">
        <f t="shared" si="20"/>
        <v>673.29500000000019</v>
      </c>
      <c r="G32" s="6">
        <f t="shared" si="20"/>
        <v>665.97450000000026</v>
      </c>
      <c r="I32" s="27" t="str">
        <f t="shared" ca="1" si="3"/>
        <v>=G30+G31</v>
      </c>
    </row>
    <row r="33" spans="1:9" x14ac:dyDescent="0.25">
      <c r="A33" s="4" t="s">
        <v>30</v>
      </c>
      <c r="B33" s="6">
        <f ca="1">B27+B28+B32</f>
        <v>1000</v>
      </c>
      <c r="C33" s="6">
        <f ca="1">C27+C28+C32</f>
        <v>1160.9561688312915</v>
      </c>
      <c r="D33" s="6">
        <f t="shared" ref="D33:G33" ca="1" si="21">D27+D28+D32</f>
        <v>1345.7268036364928</v>
      </c>
      <c r="E33" s="6">
        <f t="shared" ca="1" si="21"/>
        <v>1554.3314018064716</v>
      </c>
      <c r="F33" s="6">
        <f t="shared" ca="1" si="21"/>
        <v>1789.3098924995893</v>
      </c>
      <c r="G33" s="6">
        <f t="shared" ca="1" si="21"/>
        <v>2053.4607718691609</v>
      </c>
      <c r="I33" s="27" t="str">
        <f t="shared" ca="1" si="3"/>
        <v>=G27+G28+G32</v>
      </c>
    </row>
    <row r="34" spans="1:9" x14ac:dyDescent="0.25">
      <c r="B34" s="6"/>
      <c r="C34" s="6"/>
      <c r="D34" s="6"/>
      <c r="E34" s="6"/>
      <c r="F34" s="6"/>
      <c r="G34" s="6"/>
      <c r="I34" s="27"/>
    </row>
    <row r="35" spans="1:9" x14ac:dyDescent="0.25">
      <c r="A35" s="23" t="s">
        <v>31</v>
      </c>
      <c r="B35" s="6">
        <f t="shared" ref="B35:G35" si="22">B15*$B$4</f>
        <v>80</v>
      </c>
      <c r="C35" s="6">
        <f>$B$4*C15</f>
        <v>88</v>
      </c>
      <c r="D35" s="6">
        <f t="shared" ref="D35:G35" si="23">$B$4*D15</f>
        <v>96.8</v>
      </c>
      <c r="E35" s="6">
        <f t="shared" si="23"/>
        <v>106.48</v>
      </c>
      <c r="F35" s="6">
        <f t="shared" si="23"/>
        <v>117.12800000000001</v>
      </c>
      <c r="G35" s="6">
        <f t="shared" si="23"/>
        <v>128.84080000000003</v>
      </c>
      <c r="I35" s="27" t="str">
        <f t="shared" ca="1" si="3"/>
        <v>=$B$4*G15</v>
      </c>
    </row>
    <row r="36" spans="1:9" x14ac:dyDescent="0.25">
      <c r="A36" s="33" t="s">
        <v>32</v>
      </c>
      <c r="B36" s="34">
        <f ca="1">B33-B35-B37-B38</f>
        <v>320</v>
      </c>
      <c r="C36" s="34">
        <f ca="1">B36</f>
        <v>320</v>
      </c>
      <c r="D36" s="34">
        <f t="shared" ref="D36:G36" ca="1" si="24">C36</f>
        <v>320</v>
      </c>
      <c r="E36" s="34">
        <f t="shared" ca="1" si="24"/>
        <v>320</v>
      </c>
      <c r="F36" s="34">
        <f t="shared" ca="1" si="24"/>
        <v>320</v>
      </c>
      <c r="G36" s="34">
        <f t="shared" ca="1" si="24"/>
        <v>320</v>
      </c>
      <c r="I36" s="27" t="str">
        <f t="shared" ca="1" si="3"/>
        <v>=F36</v>
      </c>
    </row>
    <row r="37" spans="1:9" x14ac:dyDescent="0.25">
      <c r="A37" s="2" t="s">
        <v>33</v>
      </c>
      <c r="B37" s="6">
        <v>450</v>
      </c>
      <c r="C37" s="6">
        <f>B37</f>
        <v>450</v>
      </c>
      <c r="D37" s="6">
        <f t="shared" ref="D37:G37" si="25">C37</f>
        <v>450</v>
      </c>
      <c r="E37" s="6">
        <f t="shared" si="25"/>
        <v>450</v>
      </c>
      <c r="F37" s="6">
        <f t="shared" si="25"/>
        <v>450</v>
      </c>
      <c r="G37" s="6">
        <f t="shared" si="25"/>
        <v>450</v>
      </c>
      <c r="I37" s="27" t="str">
        <f t="shared" ca="1" si="3"/>
        <v>=F37</v>
      </c>
    </row>
    <row r="38" spans="1:9" x14ac:dyDescent="0.25">
      <c r="A38" s="2" t="s">
        <v>34</v>
      </c>
      <c r="B38" s="6">
        <v>150</v>
      </c>
      <c r="C38" s="6">
        <f ca="1">B38+C24</f>
        <v>302.95616883116213</v>
      </c>
      <c r="D38" s="6">
        <f t="shared" ref="D38:G38" ca="1" si="26">C38+D24</f>
        <v>478.92680363456969</v>
      </c>
      <c r="E38" s="6">
        <f t="shared" ca="1" si="26"/>
        <v>677.85140179196765</v>
      </c>
      <c r="F38" s="6">
        <f t="shared" ca="1" si="26"/>
        <v>902.1818924249136</v>
      </c>
      <c r="G38" s="6">
        <f t="shared" ca="1" si="26"/>
        <v>1154.6199715717896</v>
      </c>
      <c r="I38" s="27" t="str">
        <f t="shared" ca="1" si="3"/>
        <v>=F38+G24</v>
      </c>
    </row>
    <row r="39" spans="1:9" x14ac:dyDescent="0.25">
      <c r="A39" s="4" t="s">
        <v>35</v>
      </c>
      <c r="B39" s="6">
        <f t="shared" ref="B39:G39" ca="1" si="27">SUM(B35:B38)</f>
        <v>1000</v>
      </c>
      <c r="C39" s="6">
        <f t="shared" ca="1" si="27"/>
        <v>1160.9561688311621</v>
      </c>
      <c r="D39" s="6">
        <f t="shared" ref="D39:G39" ca="1" si="28">SUM(D35:D38)</f>
        <v>1345.7268036345697</v>
      </c>
      <c r="E39" s="6">
        <f t="shared" ca="1" si="28"/>
        <v>1554.3314017919677</v>
      </c>
      <c r="F39" s="6">
        <f t="shared" ca="1" si="28"/>
        <v>1789.3098924249136</v>
      </c>
      <c r="G39" s="6">
        <f t="shared" ca="1" si="28"/>
        <v>2053.4607715717898</v>
      </c>
      <c r="I39" s="27" t="str">
        <f t="shared" ca="1" si="3"/>
        <v>=SUM(G35:G38)</v>
      </c>
    </row>
    <row r="40" spans="1:9" x14ac:dyDescent="0.25">
      <c r="I40" s="27"/>
    </row>
    <row r="41" spans="1:9" x14ac:dyDescent="0.25">
      <c r="I41" s="27"/>
    </row>
    <row r="42" spans="1:9" x14ac:dyDescent="0.25">
      <c r="A42" s="8" t="s">
        <v>11</v>
      </c>
      <c r="B42" s="5">
        <v>0</v>
      </c>
      <c r="C42" s="5">
        <v>1</v>
      </c>
      <c r="D42" s="5">
        <v>2</v>
      </c>
      <c r="E42" s="5">
        <v>3</v>
      </c>
      <c r="F42" s="5">
        <v>4</v>
      </c>
      <c r="G42" s="5">
        <v>5</v>
      </c>
      <c r="I42" s="27"/>
    </row>
    <row r="43" spans="1:9" x14ac:dyDescent="0.25">
      <c r="A43" s="8" t="s">
        <v>36</v>
      </c>
      <c r="B43" s="10"/>
      <c r="C43" s="10"/>
      <c r="D43" s="10"/>
      <c r="E43" s="10"/>
      <c r="F43" s="10"/>
      <c r="G43" s="10"/>
      <c r="I43" s="27"/>
    </row>
    <row r="44" spans="1:9" x14ac:dyDescent="0.25">
      <c r="A44" s="10" t="s">
        <v>20</v>
      </c>
      <c r="B44" s="10"/>
      <c r="C44" s="10">
        <f t="shared" ref="C44:G44" ca="1" si="29">C22</f>
        <v>254.92694805193688</v>
      </c>
      <c r="D44" s="10">
        <f t="shared" ca="1" si="29"/>
        <v>293.28439133901259</v>
      </c>
      <c r="E44" s="10">
        <f t="shared" ca="1" si="29"/>
        <v>331.54099692899661</v>
      </c>
      <c r="F44" s="10">
        <f t="shared" ca="1" si="29"/>
        <v>373.88415105490986</v>
      </c>
      <c r="G44" s="10">
        <f t="shared" ca="1" si="29"/>
        <v>420.73013191146009</v>
      </c>
      <c r="I44" s="27" t="str">
        <f t="shared" ca="1" si="3"/>
        <v>=G22</v>
      </c>
    </row>
    <row r="45" spans="1:9" x14ac:dyDescent="0.25">
      <c r="A45" s="10" t="s">
        <v>37</v>
      </c>
      <c r="B45" s="10"/>
      <c r="C45" s="10">
        <f t="shared" ref="C45:G45" si="30">-C19</f>
        <v>108.5</v>
      </c>
      <c r="D45" s="10">
        <f t="shared" si="30"/>
        <v>115.5</v>
      </c>
      <c r="E45" s="10">
        <f t="shared" si="30"/>
        <v>127.05000000000001</v>
      </c>
      <c r="F45" s="10">
        <f t="shared" si="30"/>
        <v>139.75500000000002</v>
      </c>
      <c r="G45" s="10">
        <f t="shared" si="30"/>
        <v>153.73050000000003</v>
      </c>
      <c r="I45" s="27" t="str">
        <f t="shared" ca="1" si="3"/>
        <v>=-G19</v>
      </c>
    </row>
    <row r="46" spans="1:9" x14ac:dyDescent="0.25">
      <c r="A46" s="10" t="s">
        <v>38</v>
      </c>
      <c r="B46" s="10"/>
      <c r="C46" s="10">
        <f t="shared" ref="C46:G46" si="31">-(C28-B28)</f>
        <v>-15</v>
      </c>
      <c r="D46" s="10">
        <f t="shared" si="31"/>
        <v>-16.5</v>
      </c>
      <c r="E46" s="10">
        <f t="shared" si="31"/>
        <v>-18.150000000000006</v>
      </c>
      <c r="F46" s="10">
        <f t="shared" si="31"/>
        <v>-19.965000000000003</v>
      </c>
      <c r="G46" s="10">
        <f t="shared" si="31"/>
        <v>-21.961500000000001</v>
      </c>
      <c r="I46" s="27" t="str">
        <f t="shared" ca="1" si="3"/>
        <v>=-(G28-F28)</v>
      </c>
    </row>
    <row r="47" spans="1:9" x14ac:dyDescent="0.25">
      <c r="A47" s="10" t="s">
        <v>39</v>
      </c>
      <c r="B47" s="10"/>
      <c r="C47" s="10">
        <f t="shared" ref="C47:G47" si="32">C35-B35</f>
        <v>8</v>
      </c>
      <c r="D47" s="10">
        <f t="shared" si="32"/>
        <v>8.7999999999999972</v>
      </c>
      <c r="E47" s="10">
        <f t="shared" si="32"/>
        <v>9.6800000000000068</v>
      </c>
      <c r="F47" s="10">
        <f t="shared" si="32"/>
        <v>10.64800000000001</v>
      </c>
      <c r="G47" s="10">
        <f t="shared" si="32"/>
        <v>11.712800000000016</v>
      </c>
      <c r="I47" s="27" t="str">
        <f t="shared" ca="1" si="3"/>
        <v>=G35-F35</v>
      </c>
    </row>
    <row r="48" spans="1:9" x14ac:dyDescent="0.25">
      <c r="A48" s="10" t="s">
        <v>40</v>
      </c>
      <c r="B48" s="10"/>
      <c r="C48" s="10">
        <f t="shared" ref="C48:G48" si="33">-(C30-B30)</f>
        <v>-30</v>
      </c>
      <c r="D48" s="10">
        <f t="shared" si="33"/>
        <v>-110</v>
      </c>
      <c r="E48" s="10">
        <f t="shared" si="33"/>
        <v>-121</v>
      </c>
      <c r="F48" s="10">
        <f t="shared" si="33"/>
        <v>-133.10000000000014</v>
      </c>
      <c r="G48" s="10">
        <f t="shared" si="33"/>
        <v>-146.41000000000008</v>
      </c>
      <c r="I48" s="27" t="str">
        <f t="shared" ca="1" si="3"/>
        <v>=-(G30-F30)</v>
      </c>
    </row>
    <row r="49" spans="1:9" x14ac:dyDescent="0.25">
      <c r="A49" s="10" t="s">
        <v>41</v>
      </c>
      <c r="B49" s="10"/>
      <c r="C49" s="10">
        <f t="shared" ref="C49:G49" ca="1" si="34">-C17*(1-$B$10)</f>
        <v>19.2</v>
      </c>
      <c r="D49" s="10">
        <f t="shared" ca="1" si="34"/>
        <v>19.2</v>
      </c>
      <c r="E49" s="10">
        <f t="shared" ca="1" si="34"/>
        <v>19.2</v>
      </c>
      <c r="F49" s="10">
        <f t="shared" ca="1" si="34"/>
        <v>19.2</v>
      </c>
      <c r="G49" s="10">
        <f t="shared" ca="1" si="34"/>
        <v>19.2</v>
      </c>
      <c r="I49" s="27" t="str">
        <f t="shared" ca="1" si="3"/>
        <v>=-G17*(1-$B$10)</v>
      </c>
    </row>
    <row r="50" spans="1:9" x14ac:dyDescent="0.25">
      <c r="A50" s="10" t="s">
        <v>42</v>
      </c>
      <c r="B50" s="10"/>
      <c r="C50" s="10">
        <f t="shared" ref="C50:G50" ca="1" si="35">-C18*$B$9</f>
        <v>-1.2302597402582498</v>
      </c>
      <c r="D50" s="10">
        <f t="shared" ca="1" si="35"/>
        <v>-2.5045855118683451</v>
      </c>
      <c r="E50" s="10">
        <f t="shared" ca="1" si="35"/>
        <v>-3.6894662571995496</v>
      </c>
      <c r="F50" s="10">
        <f t="shared" ca="1" si="35"/>
        <v>-5.0276201406546432</v>
      </c>
      <c r="G50" s="10">
        <f t="shared" ca="1" si="35"/>
        <v>-6.535390921528009</v>
      </c>
      <c r="I50" s="27" t="str">
        <f t="shared" ca="1" si="3"/>
        <v>=-G18*$B$9</v>
      </c>
    </row>
    <row r="51" spans="1:9" x14ac:dyDescent="0.25">
      <c r="A51" s="31" t="s">
        <v>43</v>
      </c>
      <c r="B51" s="32"/>
      <c r="C51" s="32">
        <f t="shared" ref="C51:G51" ca="1" si="36">SUM(C44:C50)</f>
        <v>344.39668831167859</v>
      </c>
      <c r="D51" s="32">
        <f t="shared" ca="1" si="36"/>
        <v>307.77980582714423</v>
      </c>
      <c r="E51" s="32">
        <f t="shared" ca="1" si="36"/>
        <v>344.63153067179701</v>
      </c>
      <c r="F51" s="32">
        <f t="shared" ca="1" si="36"/>
        <v>385.39453091425514</v>
      </c>
      <c r="G51" s="32">
        <f t="shared" ca="1" si="36"/>
        <v>430.46654098993207</v>
      </c>
      <c r="I51" s="27" t="str">
        <f t="shared" ca="1" si="3"/>
        <v>=SUM(G44:G50)</v>
      </c>
    </row>
    <row r="52" spans="1:9" x14ac:dyDescent="0.25">
      <c r="I52" s="27"/>
    </row>
    <row r="53" spans="1:9" x14ac:dyDescent="0.25">
      <c r="I53" s="27"/>
    </row>
    <row r="54" spans="1:9" ht="17.399999999999999" x14ac:dyDescent="0.3">
      <c r="A54" s="11" t="s">
        <v>44</v>
      </c>
      <c r="I54" s="27"/>
    </row>
    <row r="55" spans="1:9" x14ac:dyDescent="0.25">
      <c r="A55" s="7" t="s">
        <v>45</v>
      </c>
      <c r="B55" s="12">
        <v>0.2</v>
      </c>
      <c r="C55" s="7"/>
      <c r="D55" s="7"/>
      <c r="E55" s="7"/>
      <c r="F55" s="7"/>
      <c r="G55" s="7"/>
      <c r="I55" s="27"/>
    </row>
    <row r="56" spans="1:9" x14ac:dyDescent="0.25">
      <c r="A56" s="7"/>
      <c r="I56" s="27"/>
    </row>
    <row r="57" spans="1:9" x14ac:dyDescent="0.25">
      <c r="A57" s="8" t="s">
        <v>11</v>
      </c>
      <c r="B57" s="9">
        <v>0</v>
      </c>
      <c r="C57" s="9">
        <v>1</v>
      </c>
      <c r="D57" s="9">
        <v>2</v>
      </c>
      <c r="E57" s="9">
        <v>3</v>
      </c>
      <c r="F57" s="9">
        <v>4</v>
      </c>
      <c r="G57" s="9">
        <v>5</v>
      </c>
      <c r="I57" s="27"/>
    </row>
    <row r="58" spans="1:9" x14ac:dyDescent="0.25">
      <c r="A58" s="2" t="s">
        <v>46</v>
      </c>
      <c r="C58" s="10">
        <f ca="1">C51</f>
        <v>344.39668831167859</v>
      </c>
      <c r="D58" s="10">
        <f ca="1">D51</f>
        <v>307.77980582714423</v>
      </c>
      <c r="E58" s="10">
        <f ca="1">E51</f>
        <v>344.63153067179701</v>
      </c>
      <c r="F58" s="10">
        <f ca="1">F51</f>
        <v>385.39453091425514</v>
      </c>
      <c r="G58" s="13">
        <f ca="1">G51</f>
        <v>430.46654098993207</v>
      </c>
      <c r="I58" s="27" t="str">
        <f t="shared" ca="1" si="3"/>
        <v>=G51</v>
      </c>
    </row>
    <row r="59" spans="1:9" x14ac:dyDescent="0.25">
      <c r="A59" s="2" t="s">
        <v>47</v>
      </c>
      <c r="G59" s="14">
        <f ca="1">G58*(1+B2)/(B55-B2)</f>
        <v>4735.1319508892529</v>
      </c>
      <c r="I59" s="27" t="str">
        <f t="shared" ca="1" si="3"/>
        <v>=G58*(1+B2)/(B55-B2)</v>
      </c>
    </row>
    <row r="60" spans="1:9" x14ac:dyDescent="0.25">
      <c r="A60" s="2" t="s">
        <v>48</v>
      </c>
      <c r="C60" s="10">
        <f ca="1">C59+C58</f>
        <v>344.39668831167859</v>
      </c>
      <c r="D60" s="10">
        <f ca="1">D59+D58</f>
        <v>307.77980582714423</v>
      </c>
      <c r="E60" s="10">
        <f ca="1">E59+E58</f>
        <v>344.63153067179701</v>
      </c>
      <c r="F60" s="10">
        <f ca="1">F59+F58</f>
        <v>385.39453091425514</v>
      </c>
      <c r="G60" s="13">
        <f ca="1">G59+G58</f>
        <v>5165.5984918791846</v>
      </c>
      <c r="I60" s="27" t="str">
        <f t="shared" ca="1" si="3"/>
        <v>=G59+G58</v>
      </c>
    </row>
    <row r="62" spans="1:9" x14ac:dyDescent="0.25">
      <c r="A62" s="2" t="s">
        <v>49</v>
      </c>
      <c r="B62" s="13">
        <f ca="1">NPV(B55,C60:G60)</f>
        <v>2961.9686416924192</v>
      </c>
      <c r="C62" s="2" t="str">
        <f ca="1">[1]!getformula(B62)</f>
        <v>&lt;--  =NPV(B55,C60:G60)</v>
      </c>
    </row>
    <row r="63" spans="1:9" x14ac:dyDescent="0.25">
      <c r="A63" s="2" t="s">
        <v>50</v>
      </c>
      <c r="B63" s="13">
        <f ca="1">B27</f>
        <v>80</v>
      </c>
    </row>
    <row r="64" spans="1:9" x14ac:dyDescent="0.25">
      <c r="A64" s="2" t="s">
        <v>51</v>
      </c>
      <c r="B64" s="13">
        <f ca="1">B63+B62</f>
        <v>3041.9686416924192</v>
      </c>
    </row>
    <row r="65" spans="1:9" x14ac:dyDescent="0.25">
      <c r="A65" s="35" t="s">
        <v>52</v>
      </c>
      <c r="B65" s="36">
        <f ca="1">-B36</f>
        <v>-320</v>
      </c>
    </row>
    <row r="66" spans="1:9" x14ac:dyDescent="0.25">
      <c r="A66" s="2" t="s">
        <v>53</v>
      </c>
      <c r="B66" s="13">
        <f ca="1">B64+B65</f>
        <v>2721.9686416924192</v>
      </c>
    </row>
    <row r="67" spans="1:9" x14ac:dyDescent="0.25">
      <c r="B67" s="13"/>
    </row>
    <row r="68" spans="1:9" ht="17.399999999999999" x14ac:dyDescent="0.3">
      <c r="A68" s="11" t="s">
        <v>54</v>
      </c>
      <c r="B68" s="13"/>
    </row>
    <row r="69" spans="1:9" x14ac:dyDescent="0.25">
      <c r="A69" s="2" t="s">
        <v>55</v>
      </c>
      <c r="B69" s="13">
        <f ca="1">B62</f>
        <v>2961.9686416924192</v>
      </c>
    </row>
    <row r="70" spans="1:9" x14ac:dyDescent="0.25">
      <c r="A70" s="2" t="s">
        <v>56</v>
      </c>
      <c r="B70" s="13">
        <f ca="1">-B36+B27</f>
        <v>-240</v>
      </c>
      <c r="C70" s="2" t="str">
        <f ca="1">[1]!getformula(B70)</f>
        <v>&lt;--  =-B36+B27</v>
      </c>
    </row>
    <row r="71" spans="1:9" x14ac:dyDescent="0.25">
      <c r="A71" s="2" t="s">
        <v>53</v>
      </c>
      <c r="B71" s="13">
        <f ca="1">B69+B70</f>
        <v>2721.9686416924192</v>
      </c>
    </row>
    <row r="72" spans="1:9" x14ac:dyDescent="0.25">
      <c r="B72" s="13"/>
    </row>
    <row r="74" spans="1:9" ht="17.399999999999999" x14ac:dyDescent="0.3">
      <c r="A74" s="11" t="s">
        <v>57</v>
      </c>
    </row>
    <row r="75" spans="1:9" x14ac:dyDescent="0.25">
      <c r="A75" s="7" t="s">
        <v>45</v>
      </c>
      <c r="B75" s="12">
        <f>B55</f>
        <v>0.2</v>
      </c>
      <c r="C75" s="7"/>
      <c r="D75" s="7"/>
      <c r="E75" s="7"/>
      <c r="F75" s="7"/>
      <c r="G75" s="7"/>
    </row>
    <row r="76" spans="1:9" x14ac:dyDescent="0.25">
      <c r="A76" s="7"/>
    </row>
    <row r="77" spans="1:9" x14ac:dyDescent="0.25">
      <c r="A77" s="8" t="s">
        <v>11</v>
      </c>
      <c r="B77" s="9">
        <v>0</v>
      </c>
      <c r="C77" s="9">
        <v>1</v>
      </c>
      <c r="D77" s="9">
        <v>2</v>
      </c>
      <c r="E77" s="9">
        <v>3</v>
      </c>
      <c r="F77" s="9">
        <v>4</v>
      </c>
      <c r="G77" s="9">
        <v>5</v>
      </c>
    </row>
    <row r="78" spans="1:9" x14ac:dyDescent="0.25">
      <c r="A78" s="2" t="s">
        <v>46</v>
      </c>
      <c r="C78" s="10">
        <f ca="1">C58</f>
        <v>344.39668831167859</v>
      </c>
      <c r="D78" s="10">
        <f ca="1">D58</f>
        <v>307.77980582714423</v>
      </c>
      <c r="E78" s="10">
        <f ca="1">E58</f>
        <v>344.63153067179701</v>
      </c>
      <c r="F78" s="10">
        <f ca="1">F58</f>
        <v>385.39453091425514</v>
      </c>
      <c r="G78" s="10">
        <f ca="1">G58</f>
        <v>430.46654098993207</v>
      </c>
      <c r="I78" s="27" t="str">
        <f t="shared" ref="I78:I80" ca="1" si="37">_xlfn.FORMULATEXT(G78)</f>
        <v>=G58</v>
      </c>
    </row>
    <row r="79" spans="1:9" x14ac:dyDescent="0.25">
      <c r="A79" s="2" t="s">
        <v>47</v>
      </c>
      <c r="G79" s="14">
        <f ca="1">G78*(1+B2)/(B75-B2)</f>
        <v>4735.1319508892529</v>
      </c>
      <c r="I79" s="27" t="str">
        <f t="shared" ca="1" si="37"/>
        <v>=G78*(1+B2)/(B75-B2)</v>
      </c>
    </row>
    <row r="80" spans="1:9" x14ac:dyDescent="0.25">
      <c r="A80" s="2" t="s">
        <v>48</v>
      </c>
      <c r="C80" s="10">
        <f ca="1">C79+C78</f>
        <v>344.39668831167859</v>
      </c>
      <c r="D80" s="10">
        <f ca="1">D79+D78</f>
        <v>307.77980582714423</v>
      </c>
      <c r="E80" s="10">
        <f ca="1">E79+E78</f>
        <v>344.63153067179701</v>
      </c>
      <c r="F80" s="10">
        <f ca="1">F79+F78</f>
        <v>385.39453091425514</v>
      </c>
      <c r="G80" s="13">
        <f ca="1">G79+G78</f>
        <v>5165.5984918791846</v>
      </c>
      <c r="I80" s="27" t="str">
        <f t="shared" ca="1" si="37"/>
        <v>=G79+G78</v>
      </c>
    </row>
    <row r="82" spans="1:4" x14ac:dyDescent="0.25">
      <c r="A82" s="2" t="s">
        <v>58</v>
      </c>
      <c r="B82" s="13">
        <f ca="1">NPV(B75,C80:G80)*(1+B75)</f>
        <v>3554.3623700309031</v>
      </c>
      <c r="C82" s="2" t="str">
        <f ca="1">[1]!getformula(B82)</f>
        <v>&lt;--  =NPV(B75,C80:G80)*(1+B75)</v>
      </c>
    </row>
    <row r="83" spans="1:4" x14ac:dyDescent="0.25">
      <c r="A83" s="2" t="s">
        <v>50</v>
      </c>
      <c r="B83" s="13">
        <f ca="1">B27</f>
        <v>80</v>
      </c>
    </row>
    <row r="84" spans="1:4" x14ac:dyDescent="0.25">
      <c r="A84" s="2" t="s">
        <v>51</v>
      </c>
      <c r="B84" s="13">
        <f ca="1">B83+B82</f>
        <v>3634.3623700309031</v>
      </c>
    </row>
    <row r="85" spans="1:4" x14ac:dyDescent="0.25">
      <c r="A85" s="2" t="s">
        <v>52</v>
      </c>
      <c r="B85" s="13">
        <f ca="1">B65</f>
        <v>-320</v>
      </c>
    </row>
    <row r="86" spans="1:4" x14ac:dyDescent="0.25">
      <c r="A86" s="2" t="s">
        <v>53</v>
      </c>
      <c r="B86" s="13">
        <f ca="1">B84+B85</f>
        <v>3314.3623700309031</v>
      </c>
    </row>
    <row r="90" spans="1:4" x14ac:dyDescent="0.25">
      <c r="B90" s="15" t="s">
        <v>59</v>
      </c>
      <c r="C90" s="13">
        <f ca="1">B86</f>
        <v>3314.3623700309031</v>
      </c>
      <c r="D90" s="2" t="str">
        <f ca="1">[1]!getformula(C90)</f>
        <v>&lt;--  =B86</v>
      </c>
    </row>
    <row r="91" spans="1:4" x14ac:dyDescent="0.25">
      <c r="B91" s="3">
        <v>0</v>
      </c>
      <c r="C91" s="13">
        <f t="dataTable" ref="C91:C99" dt2D="0" dtr="0" r1="B2" ca="1"/>
        <v>2101.1571127720936</v>
      </c>
    </row>
    <row r="92" spans="1:4" x14ac:dyDescent="0.25">
      <c r="B92" s="3">
        <v>0.02</v>
      </c>
      <c r="C92" s="13">
        <v>2235.9576967055905</v>
      </c>
    </row>
    <row r="93" spans="1:4" x14ac:dyDescent="0.25">
      <c r="B93" s="3">
        <v>0.04</v>
      </c>
      <c r="C93" s="13">
        <v>2404.4584268419153</v>
      </c>
    </row>
    <row r="94" spans="1:4" x14ac:dyDescent="0.25">
      <c r="B94" s="3">
        <v>0.06</v>
      </c>
      <c r="C94" s="13">
        <v>2621.1022227314529</v>
      </c>
    </row>
    <row r="95" spans="1:4" x14ac:dyDescent="0.25">
      <c r="B95" s="3">
        <v>0.08</v>
      </c>
      <c r="C95" s="13">
        <v>2909.960617250807</v>
      </c>
    </row>
    <row r="96" spans="1:4" x14ac:dyDescent="0.25">
      <c r="B96" s="3">
        <v>0.1</v>
      </c>
      <c r="C96" s="13">
        <v>3314.3623695778656</v>
      </c>
    </row>
    <row r="97" spans="1:8" x14ac:dyDescent="0.25">
      <c r="B97" s="3">
        <v>0.12</v>
      </c>
      <c r="C97" s="13">
        <v>3920.9649980684089</v>
      </c>
    </row>
    <row r="98" spans="1:8" x14ac:dyDescent="0.25">
      <c r="B98" s="3">
        <v>0.14000000000000001</v>
      </c>
      <c r="C98" s="13">
        <v>4931.9693788859249</v>
      </c>
    </row>
    <row r="99" spans="1:8" x14ac:dyDescent="0.25">
      <c r="B99" s="3">
        <v>0.16</v>
      </c>
      <c r="C99" s="13">
        <v>6953.9781421155476</v>
      </c>
    </row>
    <row r="103" spans="1:8" x14ac:dyDescent="0.25">
      <c r="A103" s="16" t="str">
        <f ca="1">"Cell "&amp;CHAR(COLUMN(B106)+64)&amp;ROW(B106)&amp;" contains formula "&amp;[1]!ggetformula(B106)</f>
        <v>Cell B106 contains formula =IF(B75&lt;=B2,"nmf",B86)</v>
      </c>
    </row>
    <row r="105" spans="1:8" x14ac:dyDescent="0.25">
      <c r="C105" s="4" t="s">
        <v>60</v>
      </c>
    </row>
    <row r="106" spans="1:8" x14ac:dyDescent="0.25">
      <c r="B106" s="17">
        <f ca="1">IF(B75&lt;=B2,"nmf",B86)</f>
        <v>3314.3623700309031</v>
      </c>
      <c r="C106" s="38">
        <v>0.1</v>
      </c>
      <c r="D106" s="38">
        <v>0.12</v>
      </c>
      <c r="E106" s="38">
        <v>0.14000000000000001</v>
      </c>
      <c r="F106" s="38">
        <v>0.16</v>
      </c>
      <c r="G106" s="38">
        <v>0.18</v>
      </c>
      <c r="H106" s="42">
        <v>0.2</v>
      </c>
    </row>
    <row r="107" spans="1:8" x14ac:dyDescent="0.25">
      <c r="B107" s="18">
        <v>0</v>
      </c>
      <c r="C107" s="17">
        <f t="dataTable" ref="C107:H115" dt2D="1" dtr="1" r1="B75" r2="B2" ca="1"/>
        <v>4062.2835980082436</v>
      </c>
      <c r="D107" s="17">
        <v>3407.763407396721</v>
      </c>
      <c r="E107" s="17">
        <v>2940.6238615747643</v>
      </c>
      <c r="F107" s="17">
        <v>2590.5723311375941</v>
      </c>
      <c r="G107" s="17">
        <v>2318.5594124032859</v>
      </c>
      <c r="H107" s="41">
        <v>2101.1571128781552</v>
      </c>
    </row>
    <row r="108" spans="1:8" x14ac:dyDescent="0.25">
      <c r="A108" s="19" t="s">
        <v>61</v>
      </c>
      <c r="B108" s="18">
        <v>0.02</v>
      </c>
      <c r="C108" s="17">
        <v>4870.8233062738009</v>
      </c>
      <c r="D108" s="17">
        <v>3921.3782114568421</v>
      </c>
      <c r="E108" s="17">
        <v>3288.8161657133951</v>
      </c>
      <c r="F108" s="17">
        <v>2837.3040442359579</v>
      </c>
      <c r="G108" s="17">
        <v>2498.9274084315794</v>
      </c>
      <c r="H108" s="41">
        <v>2235.9576970206545</v>
      </c>
    </row>
    <row r="109" spans="1:8" x14ac:dyDescent="0.25">
      <c r="B109" s="18">
        <v>0.04</v>
      </c>
      <c r="C109" s="17">
        <v>6218.389487448454</v>
      </c>
      <c r="D109" s="17">
        <v>4691.8004175600036</v>
      </c>
      <c r="E109" s="17">
        <v>3776.2853915077067</v>
      </c>
      <c r="F109" s="17">
        <v>3166.2796617004469</v>
      </c>
      <c r="G109" s="17">
        <v>2730.829117610815</v>
      </c>
      <c r="H109" s="41">
        <v>2404.4584271987778</v>
      </c>
    </row>
    <row r="110" spans="1:8" x14ac:dyDescent="0.25">
      <c r="B110" s="18">
        <v>0.06</v>
      </c>
      <c r="C110" s="17">
        <v>8913.5218517298636</v>
      </c>
      <c r="D110" s="17">
        <v>5975.8374277616476</v>
      </c>
      <c r="E110" s="17">
        <v>4507.4892301996606</v>
      </c>
      <c r="F110" s="17">
        <v>3626.8455261507397</v>
      </c>
      <c r="G110" s="17">
        <v>3040.0313965164623</v>
      </c>
      <c r="H110" s="41">
        <v>2621.1022231420802</v>
      </c>
    </row>
    <row r="111" spans="1:8" x14ac:dyDescent="0.25">
      <c r="B111" s="18">
        <v>0.08</v>
      </c>
      <c r="C111" s="37">
        <v>16998.918940736075</v>
      </c>
      <c r="D111" s="37">
        <v>8543.9114481206325</v>
      </c>
      <c r="E111" s="37">
        <v>5726.162294685606</v>
      </c>
      <c r="F111" s="37">
        <v>4317.694322826168</v>
      </c>
      <c r="G111" s="37">
        <v>3472.9145869843683</v>
      </c>
      <c r="H111" s="41">
        <v>2909.9606177331502</v>
      </c>
    </row>
    <row r="112" spans="1:8" x14ac:dyDescent="0.25">
      <c r="B112" s="39">
        <v>0.1</v>
      </c>
      <c r="C112" s="40" t="str">
        <v>nmf</v>
      </c>
      <c r="D112" s="40">
        <v>16248.133509107414</v>
      </c>
      <c r="E112" s="40">
        <v>8163.5084236565162</v>
      </c>
      <c r="F112" s="40">
        <v>5469.1089839518663</v>
      </c>
      <c r="G112" s="40">
        <v>4122.2393726862265</v>
      </c>
      <c r="H112" s="41">
        <v>3314.3623701606466</v>
      </c>
    </row>
    <row r="113" spans="2:8" x14ac:dyDescent="0.25">
      <c r="B113" s="18">
        <v>0.12</v>
      </c>
      <c r="C113" s="37" t="str">
        <v>nmf</v>
      </c>
      <c r="D113" s="37" t="str">
        <v>nmf</v>
      </c>
      <c r="E113" s="37">
        <v>15475.546810571192</v>
      </c>
      <c r="F113" s="37">
        <v>7771.9383062032866</v>
      </c>
      <c r="G113" s="37">
        <v>5204.4473488559888</v>
      </c>
      <c r="H113" s="41">
        <v>3920.9649988018919</v>
      </c>
    </row>
    <row r="114" spans="2:8" x14ac:dyDescent="0.25">
      <c r="B114" s="18">
        <v>0.14000000000000001</v>
      </c>
      <c r="C114" s="37" t="str">
        <v>nmf</v>
      </c>
      <c r="D114" s="37" t="str">
        <v>nmf</v>
      </c>
      <c r="E114" s="37" t="str">
        <v>nmf</v>
      </c>
      <c r="F114" s="37">
        <v>14680.426272957557</v>
      </c>
      <c r="G114" s="37">
        <v>7368.8633011955208</v>
      </c>
      <c r="H114" s="41">
        <v>4931.9693798706367</v>
      </c>
    </row>
    <row r="115" spans="2:8" x14ac:dyDescent="0.25">
      <c r="B115" s="18">
        <v>0.16</v>
      </c>
      <c r="C115" s="37" t="str">
        <v>nmf</v>
      </c>
      <c r="D115" s="37" t="str">
        <v>nmf</v>
      </c>
      <c r="E115" s="37" t="str">
        <v>nmf</v>
      </c>
      <c r="F115" s="37" t="str">
        <v>nmf</v>
      </c>
      <c r="G115" s="37">
        <v>13862.111158214113</v>
      </c>
      <c r="H115" s="41">
        <v>6953.9781420081217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2024-10-14T02:16:55Z</dcterms:modified>
</cp:coreProperties>
</file>