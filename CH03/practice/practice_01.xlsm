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practice\"/>
    </mc:Choice>
  </mc:AlternateContent>
  <xr:revisionPtr revIDLastSave="0" documentId="13_ncr:1_{F603B91B-A974-4FC3-A304-94CF90CA8C60}" xr6:coauthVersionLast="47" xr6:coauthVersionMax="47" xr10:uidLastSave="{00000000-0000-0000-0000-000000000000}"/>
  <bookViews>
    <workbookView xWindow="-19305" yWindow="0" windowWidth="19410" windowHeight="20985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9" i="1" l="1"/>
  <c r="E59" i="1"/>
  <c r="F59" i="1"/>
  <c r="G59" i="1"/>
  <c r="C59" i="1"/>
  <c r="D58" i="1"/>
  <c r="E58" i="1"/>
  <c r="F58" i="1"/>
  <c r="G58" i="1"/>
  <c r="D47" i="1"/>
  <c r="E47" i="1"/>
  <c r="F47" i="1"/>
  <c r="G47" i="1"/>
  <c r="D46" i="1"/>
  <c r="E46" i="1"/>
  <c r="F46" i="1"/>
  <c r="G46" i="1"/>
  <c r="D15" i="1"/>
  <c r="E15" i="1" s="1"/>
  <c r="D16" i="1"/>
  <c r="D28" i="1"/>
  <c r="D32" i="1"/>
  <c r="D35" i="1"/>
  <c r="D37" i="1"/>
  <c r="E37" i="1" s="1"/>
  <c r="F37" i="1" s="1"/>
  <c r="G37" i="1" s="1"/>
  <c r="C37" i="1"/>
  <c r="C35" i="1"/>
  <c r="C32" i="1"/>
  <c r="C28" i="1"/>
  <c r="C16" i="1"/>
  <c r="C15" i="1"/>
  <c r="B35" i="1"/>
  <c r="B32" i="1"/>
  <c r="B30" i="1" s="1"/>
  <c r="B18" i="1"/>
  <c r="B15" i="1"/>
  <c r="B28" i="1" s="1"/>
  <c r="H71" i="1"/>
  <c r="H50" i="1"/>
  <c r="H19" i="1"/>
  <c r="H51" i="1"/>
  <c r="H20" i="1"/>
  <c r="H35" i="1"/>
  <c r="H63" i="1"/>
  <c r="H23" i="1"/>
  <c r="H18" i="1"/>
  <c r="H70" i="1"/>
  <c r="H21" i="1"/>
  <c r="H28" i="1"/>
  <c r="H69" i="1"/>
  <c r="H66" i="1"/>
  <c r="H36" i="1"/>
  <c r="H22" i="1"/>
  <c r="H37" i="1"/>
  <c r="H60" i="1"/>
  <c r="H38" i="1"/>
  <c r="H24" i="1"/>
  <c r="H72" i="1"/>
  <c r="H59" i="1"/>
  <c r="H39" i="1"/>
  <c r="H15" i="1"/>
  <c r="H33" i="1"/>
  <c r="H31" i="1"/>
  <c r="H44" i="1"/>
  <c r="H45" i="1"/>
  <c r="H58" i="1"/>
  <c r="H30" i="1"/>
  <c r="H27" i="1"/>
  <c r="H56" i="1"/>
  <c r="H32" i="1"/>
  <c r="H55" i="1"/>
  <c r="H46" i="1"/>
  <c r="H75" i="1"/>
  <c r="H47" i="1"/>
  <c r="H16" i="1"/>
  <c r="H49" i="1"/>
  <c r="H74" i="1"/>
  <c r="H48" i="1"/>
  <c r="H17" i="1"/>
  <c r="B33" i="1" l="1"/>
  <c r="B36" i="1" s="1"/>
  <c r="C58" i="1"/>
  <c r="B39" i="1"/>
  <c r="C46" i="1"/>
  <c r="C47" i="1"/>
  <c r="E35" i="1"/>
  <c r="F15" i="1"/>
  <c r="E16" i="1"/>
  <c r="E32" i="1"/>
  <c r="E28" i="1"/>
  <c r="B17" i="1"/>
  <c r="C49" i="1" s="1"/>
  <c r="B20" i="1"/>
  <c r="B21" i="1" s="1"/>
  <c r="B22" i="1" s="1"/>
  <c r="B23" i="1" s="1"/>
  <c r="B24" i="1" s="1"/>
  <c r="B16" i="1"/>
  <c r="C36" i="1" l="1"/>
  <c r="F35" i="1"/>
  <c r="G15" i="1"/>
  <c r="F16" i="1"/>
  <c r="F32" i="1"/>
  <c r="F28" i="1"/>
  <c r="D36" i="1" l="1"/>
  <c r="D17" i="1"/>
  <c r="E49" i="1" s="1"/>
  <c r="C17" i="1"/>
  <c r="D49" i="1" s="1"/>
  <c r="G35" i="1"/>
  <c r="G28" i="1"/>
  <c r="G16" i="1"/>
  <c r="G32" i="1"/>
  <c r="E36" i="1" l="1"/>
  <c r="E17" i="1"/>
  <c r="F36" i="1" l="1"/>
  <c r="F17" i="1"/>
  <c r="F49" i="1"/>
  <c r="G49" i="1" l="1"/>
  <c r="G36" i="1"/>
  <c r="G17" i="1" l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7" i="1"/>
  <c r="D27" i="1"/>
  <c r="E27" i="1"/>
  <c r="F27" i="1"/>
  <c r="G27" i="1"/>
  <c r="C30" i="1"/>
  <c r="D30" i="1"/>
  <c r="E30" i="1"/>
  <c r="F30" i="1"/>
  <c r="G30" i="1"/>
  <c r="C31" i="1"/>
  <c r="D31" i="1"/>
  <c r="E31" i="1"/>
  <c r="F31" i="1"/>
  <c r="G31" i="1"/>
  <c r="C33" i="1"/>
  <c r="D33" i="1"/>
  <c r="E33" i="1"/>
  <c r="F33" i="1"/>
  <c r="G33" i="1"/>
  <c r="C38" i="1"/>
  <c r="D38" i="1"/>
  <c r="E38" i="1"/>
  <c r="F38" i="1"/>
  <c r="G38" i="1"/>
  <c r="C39" i="1"/>
  <c r="D39" i="1"/>
  <c r="E39" i="1"/>
  <c r="F39" i="1"/>
  <c r="G39" i="1"/>
  <c r="C44" i="1"/>
  <c r="D44" i="1"/>
  <c r="E44" i="1"/>
  <c r="F44" i="1"/>
  <c r="G44" i="1"/>
  <c r="C45" i="1"/>
  <c r="D45" i="1"/>
  <c r="E45" i="1"/>
  <c r="F45" i="1"/>
  <c r="G45" i="1"/>
  <c r="C48" i="1"/>
  <c r="D48" i="1"/>
  <c r="E48" i="1"/>
  <c r="F48" i="1"/>
  <c r="G48" i="1"/>
  <c r="C50" i="1"/>
  <c r="D50" i="1"/>
  <c r="E50" i="1"/>
  <c r="F50" i="1"/>
  <c r="G50" i="1"/>
  <c r="C51" i="1"/>
  <c r="D51" i="1"/>
  <c r="E51" i="1"/>
  <c r="F51" i="1"/>
  <c r="G51" i="1"/>
  <c r="C55" i="1"/>
  <c r="D55" i="1"/>
  <c r="E55" i="1"/>
  <c r="F55" i="1"/>
  <c r="G55" i="1"/>
  <c r="C56" i="1"/>
  <c r="D56" i="1"/>
  <c r="E56" i="1"/>
  <c r="F56" i="1"/>
  <c r="G56" i="1"/>
  <c r="C60" i="1"/>
  <c r="D60" i="1"/>
  <c r="E60" i="1"/>
  <c r="F60" i="1"/>
  <c r="G60" i="1"/>
  <c r="C63" i="1"/>
  <c r="D63" i="1"/>
  <c r="E63" i="1"/>
  <c r="F63" i="1"/>
  <c r="G63" i="1"/>
  <c r="C66" i="1"/>
  <c r="D66" i="1"/>
  <c r="E66" i="1"/>
  <c r="F66" i="1"/>
  <c r="G66" i="1"/>
  <c r="C71" i="1"/>
  <c r="D71" i="1"/>
  <c r="E71" i="1"/>
  <c r="F71" i="1"/>
  <c r="G71" i="1"/>
  <c r="C72" i="1"/>
  <c r="D72" i="1"/>
  <c r="E72" i="1"/>
  <c r="F72" i="1"/>
  <c r="G72" i="1"/>
  <c r="C74" i="1"/>
  <c r="D74" i="1"/>
  <c r="E74" i="1"/>
  <c r="F74" i="1"/>
  <c r="G74" i="1"/>
  <c r="C75" i="1"/>
  <c r="D75" i="1"/>
  <c r="E75" i="1"/>
  <c r="F75" i="1"/>
  <c r="G75" i="1"/>
</calcChain>
</file>

<file path=xl/sharedStrings.xml><?xml version="1.0" encoding="utf-8"?>
<sst xmlns="http://schemas.openxmlformats.org/spreadsheetml/2006/main" count="75" uniqueCount="65">
  <si>
    <t>FIRST FINANCIAL MODEL</t>
  </si>
  <si>
    <t>Sales growth</t>
  </si>
  <si>
    <t>Current assets/Sales</t>
  </si>
  <si>
    <t>Current liabilities/Sales</t>
  </si>
  <si>
    <t>Net fixed assets/Sales</t>
  </si>
  <si>
    <t>Costs of goods sold/Sales</t>
  </si>
  <si>
    <t>Depreciation rate</t>
  </si>
  <si>
    <t>Interest rate on debt</t>
  </si>
  <si>
    <t>Interest paid on cash and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</si>
  <si>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</si>
  <si>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</si>
  <si>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</si>
  <si>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</si>
  <si>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</si>
  <si>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</si>
  <si>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Interest payments on debt</t>
  </si>
  <si>
    <t>Interest earned on cash and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</si>
  <si>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</si>
  <si>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</si>
  <si>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</si>
  <si>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</si>
  <si>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</si>
  <si>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</si>
  <si>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</si>
  <si>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</si>
  <si>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</si>
  <si>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</si>
  <si>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</si>
  <si>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</si>
  <si>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</si>
  <si>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</si>
  <si>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</si>
  <si>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</si>
  <si>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</si>
  <si>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</si>
  <si>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</si>
  <si>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</si>
  <si>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</si>
  <si>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</si>
  <si>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</si>
  <si>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</si>
  <si>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</si>
  <si>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and+A14 mkt. securities</t>
  </si>
  <si>
    <t>Free cash flow</t>
  </si>
  <si>
    <t>CONSOLIDATED STATEMENT OF CASH FLOWS:  RECONCILING THE CASH BALANCES</t>
  </si>
  <si>
    <t xml:space="preserve">     Cash flow from operating activities</t>
  </si>
  <si>
    <t>Adjust for changes in net working capital:</t>
  </si>
  <si>
    <t xml:space="preserve">     Subtract increase in current assets</t>
  </si>
  <si>
    <t xml:space="preserve">     Add back increase in current liabilities</t>
  </si>
  <si>
    <t>Net cash from operating activities</t>
  </si>
  <si>
    <t xml:space="preserve">     Cash flow from investing activities</t>
  </si>
  <si>
    <t>Aquisitions of fixed assets--capital expenditures</t>
  </si>
  <si>
    <t>Purchases of investment securities</t>
  </si>
  <si>
    <t>&lt;-- Not in our model</t>
  </si>
  <si>
    <t>Proceeds from sales of investment securities</t>
  </si>
  <si>
    <t>Net cash used in investing activities</t>
  </si>
  <si>
    <t xml:space="preserve">     Cash flow from financing activities</t>
  </si>
  <si>
    <t>Net proceeds from borrowing activities</t>
  </si>
  <si>
    <t>Net proceeds from stock issues, repurchases</t>
  </si>
  <si>
    <t>Dividends paid</t>
  </si>
  <si>
    <t>Net cash from financing activities</t>
  </si>
  <si>
    <t>Net increase in cash and cash equivalents</t>
  </si>
  <si>
    <t>Check:  changes in cash and mkt. securities</t>
  </si>
  <si>
    <t>if</t>
    <phoneticPr fontId="1" type="noConversion"/>
  </si>
  <si>
    <t>ave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</si>
</sst>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(* #,##0_);_(* \(#,##0\);_(* &quot;-&quot;??_);_(@_)"/>
    <numFmt numFmtId="177" formatCode="0_);\(0\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6" fontId="0" fillId="0" borderId="0" xfId="1" applyNumberFormat="1" applyFont="1" applyAlignment="1"/>
    <xf numFmtId="0" fontId="5" fillId="0" borderId="0" xfId="0" applyFont="1" applyAlignment="1"/>
    <xf numFmtId="177" fontId="4" fillId="0" borderId="0" xfId="0" applyNumberFormat="1" applyFont="1" applyAlignment="1"/>
    <xf numFmtId="177" fontId="4" fillId="0" borderId="0" xfId="0" applyNumberFormat="1" applyFont="1" applyAlignment="1">
      <alignment horizontal="center"/>
    </xf>
    <xf numFmtId="177" fontId="0" fillId="0" borderId="0" xfId="0" applyNumberFormat="1" applyAlignment="1"/>
    <xf numFmtId="176" fontId="0" fillId="0" borderId="0" xfId="0" applyNumberFormat="1" applyAlignment="1"/>
    <xf numFmtId="3" fontId="0" fillId="0" borderId="0" xfId="0" applyNumberFormat="1" applyAlignment="1"/>
    <xf numFmtId="0" fontId="0" fillId="2" borderId="0" xfId="0" applyFill="1" applyAlignment="1"/>
    <xf numFmtId="37" fontId="0" fillId="2" borderId="0" xfId="0" applyNumberFormat="1" applyFill="1" applyAlignment="1"/>
    <xf numFmtId="0" fontId="0" fillId="3" borderId="0" xfId="0" applyFill="1" applyAlignment="1"/>
    <xf numFmtId="0" fontId="0" fillId="4" borderId="0" xfId="0" applyFill="1" applyAlignment="1"/>
    <xf numFmtId="176" fontId="0" fillId="4" borderId="0" xfId="0" applyNumberFormat="1" applyFill="1" applyAlignment="1"/>
    <xf numFmtId="37" fontId="0" fillId="4" borderId="0" xfId="0" applyNumberFormat="1" applyFill="1" applyAlignment="1"/>
    <xf numFmtId="177" fontId="0" fillId="4" borderId="0" xfId="0" applyNumberFormat="1" applyFill="1" applyAlignme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102</xdr:row>
      <xdr:rowOff>99060</xdr:rowOff>
    </xdr:from>
    <xdr:to>
      <xdr:col>0</xdr:col>
      <xdr:colOff>2353918</xdr:colOff>
      <xdr:row>104</xdr:row>
      <xdr:rowOff>3691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25DAF1DE-D178-4EB8-8C89-824342B26D3B}"/>
            </a:ext>
          </a:extLst>
        </xdr:cNvPr>
        <xdr:cNvSpPr txBox="1">
          <a:spLocks noChangeArrowheads="1"/>
        </xdr:cNvSpPr>
      </xdr:nvSpPr>
      <xdr:spPr bwMode="auto">
        <a:xfrm>
          <a:off x="1005840" y="17659350"/>
          <a:ext cx="1346173" cy="25134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=IF(B76&lt;=B3,"nmf",B87)</a:t>
          </a:r>
        </a:p>
      </xdr:txBody>
    </xdr:sp>
    <xdr:clientData/>
  </xdr:twoCellAnchor>
  <xdr:twoCellAnchor>
    <xdr:from>
      <xdr:col>0</xdr:col>
      <xdr:colOff>2186940</xdr:colOff>
      <xdr:row>104</xdr:row>
      <xdr:rowOff>22860</xdr:rowOff>
    </xdr:from>
    <xdr:to>
      <xdr:col>1</xdr:col>
      <xdr:colOff>0</xdr:colOff>
      <xdr:row>105</xdr:row>
      <xdr:rowOff>30480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5968AF6F-236C-4881-AB79-0316226ECCA3}"/>
            </a:ext>
          </a:extLst>
        </xdr:cNvPr>
        <xdr:cNvSpPr>
          <a:spLocks noChangeShapeType="1"/>
        </xdr:cNvSpPr>
      </xdr:nvSpPr>
      <xdr:spPr bwMode="auto">
        <a:xfrm>
          <a:off x="2190750" y="17926050"/>
          <a:ext cx="8667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75"/>
  <sheetViews>
    <sheetView tabSelected="1" topLeftCell="A73" zoomScaleNormal="100" workbookViewId="0">
      <selection activeCell="E85" sqref="E85"/>
    </sheetView>
  </sheetViews>
  <sheetFormatPr defaultRowHeight="13.8" x14ac:dyDescent="0.25"/>
  <cols>
    <col min="1" max="1" width="44.5546875" style="1" customWidth="1"/>
    <col min="2" max="2" width="9.6640625" style="1" bestFit="1" customWidth="1"/>
    <col min="3" max="7" width="9.33203125" style="1" bestFit="1" customWidth="1"/>
    <col min="8" max="8" width="26.109375" style="1" bestFit="1" customWidth="1"/>
  </cols>
  <sheetData>
    <row r="1" spans="1:8" ht="17.399999999999999" x14ac:dyDescent="0.3">
      <c r="A1" s="20" t="s">
        <v>0</v>
      </c>
      <c r="B1" s="20"/>
      <c r="C1" s="20"/>
      <c r="D1" s="20"/>
      <c r="E1" s="20"/>
      <c r="F1" s="20"/>
      <c r="G1" s="20"/>
    </row>
    <row r="2" spans="1:8" x14ac:dyDescent="0.25">
      <c r="A2" s="1" t="s">
        <v>1</v>
      </c>
      <c r="B2" s="2">
        <v>0.1</v>
      </c>
    </row>
    <row r="3" spans="1:8" x14ac:dyDescent="0.25">
      <c r="A3" s="15" t="s">
        <v>2</v>
      </c>
      <c r="B3" s="2">
        <v>0.15</v>
      </c>
      <c r="C3" s="1" t="s">
        <v>63</v>
      </c>
    </row>
    <row r="4" spans="1:8" x14ac:dyDescent="0.25">
      <c r="A4" s="15" t="s">
        <v>3</v>
      </c>
      <c r="B4" s="2">
        <v>0.08</v>
      </c>
      <c r="C4" s="1" t="s">
        <v>63</v>
      </c>
    </row>
    <row r="5" spans="1:8" x14ac:dyDescent="0.25">
      <c r="A5" s="15" t="s">
        <v>4</v>
      </c>
      <c r="B5" s="2">
        <v>0.77</v>
      </c>
      <c r="C5" s="1" t="s">
        <v>63</v>
      </c>
    </row>
    <row r="6" spans="1:8" x14ac:dyDescent="0.25">
      <c r="A6" s="15" t="s">
        <v>5</v>
      </c>
      <c r="B6" s="2">
        <v>0.5</v>
      </c>
      <c r="C6" s="1" t="s">
        <v>63</v>
      </c>
    </row>
    <row r="7" spans="1:8" x14ac:dyDescent="0.25">
      <c r="A7" s="1" t="s">
        <v>6</v>
      </c>
      <c r="B7" s="2">
        <v>0.1</v>
      </c>
      <c r="C7" s="1" t="s">
        <v>64</v>
      </c>
    </row>
    <row r="8" spans="1:8" x14ac:dyDescent="0.25">
      <c r="A8" s="1" t="s">
        <v>7</v>
      </c>
      <c r="B8" s="3">
        <v>0.1</v>
      </c>
      <c r="C8" s="1" t="s">
        <v>64</v>
      </c>
    </row>
    <row r="9" spans="1:8" x14ac:dyDescent="0.25">
      <c r="A9" s="1" t="s">
        <v>8</v>
      </c>
      <c r="B9" s="3">
        <v>0.08</v>
      </c>
      <c r="C9" s="1" t="s">
        <v>64</v>
      </c>
    </row>
    <row r="10" spans="1:8" x14ac:dyDescent="0.25">
      <c r="A10" s="1" t="s">
        <v>9</v>
      </c>
      <c r="B10" s="2">
        <v>0.4</v>
      </c>
    </row>
    <row r="11" spans="1:8" x14ac:dyDescent="0.25">
      <c r="A11" s="1" t="s">
        <v>10</v>
      </c>
      <c r="B11" s="2">
        <v>0.4</v>
      </c>
    </row>
    <row r="13" spans="1:8" x14ac:dyDescent="0.25">
      <c r="A13" s="4" t="s">
        <v>11</v>
      </c>
      <c r="B13" s="5">
        <v>0</v>
      </c>
      <c r="C13" s="5">
        <v>1</v>
      </c>
      <c r="D13" s="5">
        <v>2</v>
      </c>
      <c r="E13" s="5">
        <v>3</v>
      </c>
      <c r="F13" s="5">
        <v>4</v>
      </c>
      <c r="G13" s="5">
        <v>5</v>
      </c>
      <c r="H13" s="4"/>
    </row>
    <row r="14" spans="1:8" x14ac:dyDescent="0.25">
      <c r="A14" s="4" t="s">
        <v>12</v>
      </c>
    </row>
    <row r="15" spans="1:8" x14ac:dyDescent="0.25">
      <c r="A15" s="1" t="s">
        <v>13</v>
      </c>
      <c r="B15" s="6">
        <f>1000</f>
        <v>1000</v>
      </c>
      <c r="C15" s="6">
        <f>B15*(1+$B$2)</f>
        <v>1100</v>
      </c>
      <c r="D15" s="6">
        <f t="shared" ref="D15:G15" si="0">C15*(1+$B$2)</f>
        <v>1210</v>
      </c>
      <c r="E15" s="6">
        <f t="shared" si="0"/>
        <v>1331</v>
      </c>
      <c r="F15" s="6">
        <f t="shared" si="0"/>
        <v>1464.1000000000001</v>
      </c>
      <c r="G15" s="6">
        <f t="shared" si="0"/>
        <v>1610.5100000000002</v>
      </c>
      <c r="H15" s="6" t="str">
        <f ca="1">[1]!getformula(G15)</f>
        <v>&lt;--  =F15*(1+$B$2)</v>
      </c>
    </row>
    <row r="16" spans="1:8" x14ac:dyDescent="0.25">
      <c r="A16" s="15" t="s">
        <v>14</v>
      </c>
      <c r="B16" s="6">
        <f t="shared" ref="B16" si="1">-B15*$B$6</f>
        <v>-500</v>
      </c>
      <c r="C16" s="6">
        <f>-C15*$B$6</f>
        <v>-550</v>
      </c>
      <c r="D16" s="6">
        <f t="shared" ref="D16:G16" si="2">-D15*$B$6</f>
        <v>-605</v>
      </c>
      <c r="E16" s="6">
        <f t="shared" si="2"/>
        <v>-665.5</v>
      </c>
      <c r="F16" s="6">
        <f t="shared" si="2"/>
        <v>-732.05000000000007</v>
      </c>
      <c r="G16" s="6">
        <f t="shared" si="2"/>
        <v>-805.25500000000011</v>
      </c>
      <c r="H16" s="6" t="str">
        <f ca="1">[1]!getformula(G16)</f>
        <v>&lt;--  =-G15*$B$6</v>
      </c>
    </row>
    <row r="17" spans="1:8" x14ac:dyDescent="0.25">
      <c r="A17" s="1" t="s">
        <v>15</v>
      </c>
      <c r="B17" s="6">
        <f>-$B$8*B36</f>
        <v>-32</v>
      </c>
      <c r="C17" s="6">
        <f>-(B36+C36)/2*$B$8</f>
        <v>-32</v>
      </c>
      <c r="D17" s="6">
        <f t="shared" ref="D17:G17" si="3">-(C36+D36)/2*$B$8</f>
        <v>-32</v>
      </c>
      <c r="E17" s="6">
        <f t="shared" si="3"/>
        <v>-32</v>
      </c>
      <c r="F17" s="6">
        <f t="shared" si="3"/>
        <v>-32</v>
      </c>
      <c r="G17" s="6">
        <f t="shared" si="3"/>
        <v>-32</v>
      </c>
      <c r="H17" s="6" t="str">
        <f ca="1">[1]!getformula(G17)</f>
        <v>&lt;--  =-(F36+G36)/2*$B$8</v>
      </c>
    </row>
    <row r="18" spans="1:8" x14ac:dyDescent="0.25">
      <c r="A18" s="1" t="s">
        <v>16</v>
      </c>
      <c r="B18" s="6">
        <f>$B$9*B27</f>
        <v>6.4</v>
      </c>
      <c r="C18" s="6">
        <f ca="1">$B$9*(B27+C27)/2</f>
        <v>8.9477956254272062</v>
      </c>
      <c r="D18" s="6">
        <f t="shared" ref="D18:G18" ca="1" si="4">$B$9*(C27+D27)/2</f>
        <v>14.276702863501569</v>
      </c>
      <c r="E18" s="6">
        <f t="shared" ca="1" si="4"/>
        <v>20.080913361163557</v>
      </c>
      <c r="F18" s="6">
        <f t="shared" ca="1" si="4"/>
        <v>26.376731259734132</v>
      </c>
      <c r="G18" s="6">
        <f t="shared" ca="1" si="4"/>
        <v>33.178068826054897</v>
      </c>
      <c r="H18" s="6" t="str">
        <f ca="1">[1]!getformula(G18)</f>
        <v>&lt;--  =$B$9*(F27+G27)/2</v>
      </c>
    </row>
    <row r="19" spans="1:8" x14ac:dyDescent="0.25">
      <c r="A19" s="1" t="s">
        <v>17</v>
      </c>
      <c r="B19" s="6">
        <v>-100</v>
      </c>
      <c r="C19" s="6">
        <f ca="1">-$B$7*(B30+C30)/2</f>
        <v>-116.68421052631579</v>
      </c>
      <c r="D19" s="6">
        <f t="shared" ref="D19:G19" ca="1" si="5">-$B$7*(C30+D30)/2</f>
        <v>-137.47728531855955</v>
      </c>
      <c r="E19" s="6">
        <f t="shared" ca="1" si="5"/>
        <v>-161.31015745735533</v>
      </c>
      <c r="F19" s="6">
        <f t="shared" ca="1" si="5"/>
        <v>-188.58791087391907</v>
      </c>
      <c r="G19" s="6">
        <f t="shared" ca="1" si="5"/>
        <v>-219.76678043959475</v>
      </c>
      <c r="H19" s="6" t="str">
        <f ca="1">[1]!getformula(G19)</f>
        <v>&lt;--  =-$B$7*(F30+G30)/2</v>
      </c>
    </row>
    <row r="20" spans="1:8" x14ac:dyDescent="0.25">
      <c r="A20" s="1" t="s">
        <v>18</v>
      </c>
      <c r="B20" s="6">
        <f t="shared" ref="B20" si="6">SUM(B15:B19)</f>
        <v>374.4</v>
      </c>
      <c r="C20" s="6">
        <f ca="1">SUM(C15:C19)</f>
        <v>410.26358509911148</v>
      </c>
      <c r="D20" s="6">
        <f t="shared" ref="D20:G20" ca="1" si="7">SUM(D15:D19)</f>
        <v>449.799417544942</v>
      </c>
      <c r="E20" s="6">
        <f t="shared" ca="1" si="7"/>
        <v>492.27075590380821</v>
      </c>
      <c r="F20" s="6">
        <f t="shared" ca="1" si="7"/>
        <v>537.8388203858151</v>
      </c>
      <c r="G20" s="6">
        <f t="shared" ca="1" si="7"/>
        <v>586.66628838646022</v>
      </c>
      <c r="H20" s="6" t="str">
        <f ca="1">[1]!getformula(G20)</f>
        <v>&lt;--  =SUM(G15:G19)</v>
      </c>
    </row>
    <row r="21" spans="1:8" x14ac:dyDescent="0.25">
      <c r="A21" s="1" t="s">
        <v>19</v>
      </c>
      <c r="B21" s="6">
        <f t="shared" ref="B21:C21" si="8">-B20*$B$10</f>
        <v>-149.76</v>
      </c>
      <c r="C21" s="6">
        <f t="shared" ca="1" si="8"/>
        <v>-164.10543403964459</v>
      </c>
      <c r="D21" s="6">
        <f t="shared" ref="D21:G21" ca="1" si="9">-D20*$B$10</f>
        <v>-179.91976701797682</v>
      </c>
      <c r="E21" s="6">
        <f t="shared" ca="1" si="9"/>
        <v>-196.90830236152328</v>
      </c>
      <c r="F21" s="6">
        <f t="shared" ca="1" si="9"/>
        <v>-215.13552815432604</v>
      </c>
      <c r="G21" s="6">
        <f t="shared" ca="1" si="9"/>
        <v>-234.66651535458411</v>
      </c>
      <c r="H21" s="6" t="str">
        <f ca="1">[1]!getformula(G21)</f>
        <v>&lt;--  =-G20*$B$10</v>
      </c>
    </row>
    <row r="22" spans="1:8" x14ac:dyDescent="0.25">
      <c r="A22" s="16" t="s">
        <v>20</v>
      </c>
      <c r="B22" s="6">
        <f t="shared" ref="B22:C22" si="10">B21+B20</f>
        <v>224.64</v>
      </c>
      <c r="C22" s="6">
        <f t="shared" ca="1" si="10"/>
        <v>246.15815105946689</v>
      </c>
      <c r="D22" s="6">
        <f t="shared" ref="D22:G22" ca="1" si="11">D21+D20</f>
        <v>269.87965052696518</v>
      </c>
      <c r="E22" s="6">
        <f t="shared" ca="1" si="11"/>
        <v>295.36245354228492</v>
      </c>
      <c r="F22" s="6">
        <f t="shared" ca="1" si="11"/>
        <v>322.70329223148906</v>
      </c>
      <c r="G22" s="6">
        <f t="shared" ca="1" si="11"/>
        <v>351.99977303187609</v>
      </c>
      <c r="H22" s="6" t="str">
        <f ca="1">[1]!getformula(G22)</f>
        <v>&lt;--  =G21+G20</v>
      </c>
    </row>
    <row r="23" spans="1:8" x14ac:dyDescent="0.25">
      <c r="A23" s="1" t="s">
        <v>21</v>
      </c>
      <c r="B23" s="6">
        <f>-B22*$B$11</f>
        <v>-89.855999999999995</v>
      </c>
      <c r="C23" s="6">
        <f ca="1">-C22*$B$11</f>
        <v>-98.463260423786764</v>
      </c>
      <c r="D23" s="6">
        <f t="shared" ref="D23:G23" ca="1" si="12">-D22*$B$11</f>
        <v>-107.95186021078608</v>
      </c>
      <c r="E23" s="6">
        <f t="shared" ca="1" si="12"/>
        <v>-118.14498141691398</v>
      </c>
      <c r="F23" s="6">
        <f t="shared" ca="1" si="12"/>
        <v>-129.08131689259562</v>
      </c>
      <c r="G23" s="6">
        <f t="shared" ca="1" si="12"/>
        <v>-140.79990921275044</v>
      </c>
      <c r="H23" s="6" t="str">
        <f ca="1">[1]!getformula(G23)</f>
        <v>&lt;--  =-G22*$B$11</v>
      </c>
    </row>
    <row r="24" spans="1:8" x14ac:dyDescent="0.25">
      <c r="A24" s="1" t="s">
        <v>22</v>
      </c>
      <c r="B24" s="6">
        <f t="shared" ref="B24:C24" si="13">B23+B22</f>
        <v>134.78399999999999</v>
      </c>
      <c r="C24" s="6">
        <f t="shared" ca="1" si="13"/>
        <v>147.69489063568011</v>
      </c>
      <c r="D24" s="6">
        <f t="shared" ref="D24:G24" ca="1" si="14">D23+D22</f>
        <v>161.92779031617908</v>
      </c>
      <c r="E24" s="6">
        <f t="shared" ca="1" si="14"/>
        <v>177.21747212537093</v>
      </c>
      <c r="F24" s="6">
        <f t="shared" ca="1" si="14"/>
        <v>193.62197533889344</v>
      </c>
      <c r="G24" s="6">
        <f t="shared" ca="1" si="14"/>
        <v>211.19986381912565</v>
      </c>
      <c r="H24" s="6" t="str">
        <f ca="1">[1]!getformula(G24)</f>
        <v>&lt;--  =G23+G22</v>
      </c>
    </row>
    <row r="25" spans="1:8" x14ac:dyDescent="0.25">
      <c r="B25" s="6"/>
      <c r="C25" s="6"/>
      <c r="D25" s="6"/>
      <c r="E25" s="6"/>
      <c r="F25" s="6"/>
      <c r="G25" s="6"/>
      <c r="H25" s="6"/>
    </row>
    <row r="26" spans="1:8" x14ac:dyDescent="0.25">
      <c r="A26" s="4" t="s">
        <v>23</v>
      </c>
      <c r="B26" s="6"/>
      <c r="C26" s="6"/>
      <c r="D26" s="6"/>
      <c r="E26" s="6"/>
      <c r="F26" s="6"/>
      <c r="G26" s="6"/>
      <c r="H26" s="6"/>
    </row>
    <row r="27" spans="1:8" x14ac:dyDescent="0.25">
      <c r="A27" s="7" t="s">
        <v>24</v>
      </c>
      <c r="B27" s="6">
        <v>80</v>
      </c>
      <c r="C27" s="6">
        <f ca="1">C39-C28-C32</f>
        <v>143.69489063568017</v>
      </c>
      <c r="D27" s="6">
        <f t="shared" ref="D27:G27" ca="1" si="15">D39-D28-D32</f>
        <v>213.22268095185905</v>
      </c>
      <c r="E27" s="6">
        <f t="shared" ca="1" si="15"/>
        <v>288.80015307722988</v>
      </c>
      <c r="F27" s="6">
        <f t="shared" ca="1" si="15"/>
        <v>370.61812841612345</v>
      </c>
      <c r="G27" s="6">
        <f t="shared" ca="1" si="15"/>
        <v>458.83359223524894</v>
      </c>
      <c r="H27" s="6" t="str">
        <f ca="1">[1]!getformula(G27)</f>
        <v>&lt;--  =G39-G28-G32</v>
      </c>
    </row>
    <row r="28" spans="1:8" x14ac:dyDescent="0.25">
      <c r="A28" s="15" t="s">
        <v>25</v>
      </c>
      <c r="B28" s="6">
        <f>$B$3*B15</f>
        <v>150</v>
      </c>
      <c r="C28" s="6">
        <f>C15*$B$3</f>
        <v>165</v>
      </c>
      <c r="D28" s="6">
        <f t="shared" ref="D28:G28" si="16">D15*$B$3</f>
        <v>181.5</v>
      </c>
      <c r="E28" s="6">
        <f t="shared" si="16"/>
        <v>199.65</v>
      </c>
      <c r="F28" s="6">
        <f t="shared" si="16"/>
        <v>219.61500000000001</v>
      </c>
      <c r="G28" s="6">
        <f t="shared" si="16"/>
        <v>241.57650000000001</v>
      </c>
      <c r="H28" s="6" t="str">
        <f ca="1">[1]!getformula(G28)</f>
        <v>&lt;--  =G15*$B$3</v>
      </c>
    </row>
    <row r="29" spans="1:8" x14ac:dyDescent="0.25">
      <c r="A29" s="1" t="s">
        <v>26</v>
      </c>
      <c r="B29" s="6"/>
      <c r="C29" s="6"/>
      <c r="D29" s="6"/>
      <c r="E29" s="6"/>
      <c r="F29" s="6"/>
      <c r="G29" s="6"/>
      <c r="H29" s="6"/>
    </row>
    <row r="30" spans="1:8" x14ac:dyDescent="0.25">
      <c r="A30" s="1" t="s">
        <v>27</v>
      </c>
      <c r="B30" s="6">
        <f t="shared" ref="B30:C30" si="17">B32-B31</f>
        <v>1070</v>
      </c>
      <c r="C30" s="6">
        <f t="shared" ca="1" si="17"/>
        <v>1263.6842105263158</v>
      </c>
      <c r="D30" s="6">
        <f t="shared" ref="D30:G30" ca="1" si="18">D32-D31</f>
        <v>1485.8614958448754</v>
      </c>
      <c r="E30" s="6">
        <f t="shared" ca="1" si="18"/>
        <v>1740.341653302231</v>
      </c>
      <c r="F30" s="6">
        <f t="shared" ca="1" si="18"/>
        <v>2031.4165641761501</v>
      </c>
      <c r="G30" s="6">
        <f t="shared" ca="1" si="18"/>
        <v>2363.9190446157445</v>
      </c>
      <c r="H30" s="6" t="str">
        <f ca="1">[1]!getformula(G30)</f>
        <v>&lt;--  =G32-G31</v>
      </c>
    </row>
    <row r="31" spans="1:8" x14ac:dyDescent="0.25">
      <c r="A31" s="1" t="s">
        <v>28</v>
      </c>
      <c r="B31" s="6">
        <v>-300</v>
      </c>
      <c r="C31" s="6">
        <f ca="1">B31+C19</f>
        <v>-416.68421052631578</v>
      </c>
      <c r="D31" s="6">
        <f t="shared" ref="D31:G31" ca="1" si="19">C31+D19</f>
        <v>-554.16149584487539</v>
      </c>
      <c r="E31" s="6">
        <f t="shared" ca="1" si="19"/>
        <v>-715.47165330223072</v>
      </c>
      <c r="F31" s="6">
        <f t="shared" ca="1" si="19"/>
        <v>-904.05956417614982</v>
      </c>
      <c r="G31" s="6">
        <f t="shared" ca="1" si="19"/>
        <v>-1123.8263446157446</v>
      </c>
      <c r="H31" s="6" t="str">
        <f ca="1">[1]!getformula(G31)</f>
        <v>&lt;--  =F31+G19</v>
      </c>
    </row>
    <row r="32" spans="1:8" x14ac:dyDescent="0.25">
      <c r="A32" s="15" t="s">
        <v>29</v>
      </c>
      <c r="B32" s="6">
        <f t="shared" ref="B32" si="20">B15*$B$5</f>
        <v>770</v>
      </c>
      <c r="C32" s="6">
        <f>C15*$B$5</f>
        <v>847</v>
      </c>
      <c r="D32" s="6">
        <f t="shared" ref="D32:G32" si="21">D15*$B$5</f>
        <v>931.7</v>
      </c>
      <c r="E32" s="6">
        <f t="shared" si="21"/>
        <v>1024.8700000000001</v>
      </c>
      <c r="F32" s="6">
        <f t="shared" si="21"/>
        <v>1127.3570000000002</v>
      </c>
      <c r="G32" s="6">
        <f t="shared" si="21"/>
        <v>1240.0927000000001</v>
      </c>
      <c r="H32" s="6" t="str">
        <f ca="1">[1]!getformula(G32)</f>
        <v>&lt;--  =G15*$B$5</v>
      </c>
    </row>
    <row r="33" spans="1:8" x14ac:dyDescent="0.25">
      <c r="A33" s="4" t="s">
        <v>30</v>
      </c>
      <c r="B33" s="6">
        <f>B27+B28+B32</f>
        <v>1000</v>
      </c>
      <c r="C33" s="6">
        <f ca="1">C27+C28+C32</f>
        <v>1155.6948906356802</v>
      </c>
      <c r="D33" s="6">
        <f t="shared" ref="D33:G33" ca="1" si="22">D27+D28+D32</f>
        <v>1326.4226809518591</v>
      </c>
      <c r="E33" s="6">
        <f t="shared" ca="1" si="22"/>
        <v>1513.3201530772299</v>
      </c>
      <c r="F33" s="6">
        <f t="shared" ca="1" si="22"/>
        <v>1717.5901284161237</v>
      </c>
      <c r="G33" s="6">
        <f t="shared" ca="1" si="22"/>
        <v>1940.5027922352492</v>
      </c>
      <c r="H33" s="6" t="str">
        <f ca="1">[1]!getformula(G33)</f>
        <v>&lt;--  =G27+G28+G32</v>
      </c>
    </row>
    <row r="34" spans="1:8" x14ac:dyDescent="0.25">
      <c r="B34" s="6"/>
      <c r="C34" s="6"/>
      <c r="D34" s="6"/>
      <c r="E34" s="6"/>
      <c r="F34" s="6"/>
      <c r="G34" s="6"/>
      <c r="H34" s="6"/>
    </row>
    <row r="35" spans="1:8" x14ac:dyDescent="0.25">
      <c r="A35" s="15" t="s">
        <v>31</v>
      </c>
      <c r="B35" s="6">
        <f t="shared" ref="B35" si="23">B15*$B$4</f>
        <v>80</v>
      </c>
      <c r="C35" s="6">
        <f>C15*$B$4</f>
        <v>88</v>
      </c>
      <c r="D35" s="6">
        <f t="shared" ref="D35:G35" si="24">D15*$B$4</f>
        <v>96.8</v>
      </c>
      <c r="E35" s="6">
        <f t="shared" si="24"/>
        <v>106.48</v>
      </c>
      <c r="F35" s="6">
        <f t="shared" si="24"/>
        <v>117.12800000000001</v>
      </c>
      <c r="G35" s="6">
        <f t="shared" si="24"/>
        <v>128.84080000000003</v>
      </c>
      <c r="H35" s="6" t="str">
        <f ca="1">[1]!getformula(G35)</f>
        <v>&lt;--  =G15*$B$4</v>
      </c>
    </row>
    <row r="36" spans="1:8" x14ac:dyDescent="0.25">
      <c r="A36" s="1" t="s">
        <v>32</v>
      </c>
      <c r="B36" s="6">
        <f>B33-B35-B37-B38</f>
        <v>320</v>
      </c>
      <c r="C36" s="6">
        <f t="shared" ref="C36:G37" si="25">B36</f>
        <v>320</v>
      </c>
      <c r="D36" s="6">
        <f t="shared" si="25"/>
        <v>320</v>
      </c>
      <c r="E36" s="6">
        <f t="shared" si="25"/>
        <v>320</v>
      </c>
      <c r="F36" s="6">
        <f t="shared" si="25"/>
        <v>320</v>
      </c>
      <c r="G36" s="6">
        <f t="shared" si="25"/>
        <v>320</v>
      </c>
      <c r="H36" s="6" t="str">
        <f ca="1">[1]!getformula(G36)</f>
        <v>&lt;--  =F36</v>
      </c>
    </row>
    <row r="37" spans="1:8" x14ac:dyDescent="0.25">
      <c r="A37" s="1" t="s">
        <v>33</v>
      </c>
      <c r="B37" s="6">
        <v>450</v>
      </c>
      <c r="C37" s="6">
        <f t="shared" si="25"/>
        <v>450</v>
      </c>
      <c r="D37" s="6">
        <f t="shared" si="25"/>
        <v>450</v>
      </c>
      <c r="E37" s="6">
        <f t="shared" si="25"/>
        <v>450</v>
      </c>
      <c r="F37" s="6">
        <f t="shared" si="25"/>
        <v>450</v>
      </c>
      <c r="G37" s="6">
        <f t="shared" si="25"/>
        <v>450</v>
      </c>
      <c r="H37" s="6" t="str">
        <f ca="1">[1]!getformula(G37)</f>
        <v>&lt;--  =F37</v>
      </c>
    </row>
    <row r="38" spans="1:8" x14ac:dyDescent="0.25">
      <c r="A38" s="1" t="s">
        <v>34</v>
      </c>
      <c r="B38" s="6">
        <v>150</v>
      </c>
      <c r="C38" s="6">
        <f ca="1">B38+C24</f>
        <v>297.69489063568011</v>
      </c>
      <c r="D38" s="6">
        <f t="shared" ref="D38:G38" ca="1" si="26">C38+D24</f>
        <v>459.62268095185919</v>
      </c>
      <c r="E38" s="6">
        <f t="shared" ca="1" si="26"/>
        <v>636.84015307723007</v>
      </c>
      <c r="F38" s="6">
        <f t="shared" ca="1" si="26"/>
        <v>830.46212841612351</v>
      </c>
      <c r="G38" s="6">
        <f t="shared" ca="1" si="26"/>
        <v>1041.6619922352493</v>
      </c>
      <c r="H38" s="6" t="str">
        <f ca="1">[1]!getformula(G38)</f>
        <v>&lt;--  =F38+G24</v>
      </c>
    </row>
    <row r="39" spans="1:8" x14ac:dyDescent="0.25">
      <c r="A39" s="4" t="s">
        <v>35</v>
      </c>
      <c r="B39" s="6">
        <f t="shared" ref="B39" si="27">SUM(B35:B38)</f>
        <v>1000</v>
      </c>
      <c r="C39" s="6">
        <f ca="1">SUM(C35:C38)</f>
        <v>1155.6948906356802</v>
      </c>
      <c r="D39" s="6">
        <f t="shared" ref="D39:G39" ca="1" si="28">SUM(D35:D38)</f>
        <v>1326.4226809518591</v>
      </c>
      <c r="E39" s="6">
        <f t="shared" ca="1" si="28"/>
        <v>1513.3201530772301</v>
      </c>
      <c r="F39" s="6">
        <f t="shared" ca="1" si="28"/>
        <v>1717.5901284161237</v>
      </c>
      <c r="G39" s="6">
        <f t="shared" ca="1" si="28"/>
        <v>1940.5027922352492</v>
      </c>
      <c r="H39" s="6" t="str">
        <f ca="1">[1]!getformula(G39)</f>
        <v>&lt;--  =SUM(G35:G38)</v>
      </c>
    </row>
    <row r="40" spans="1:8" x14ac:dyDescent="0.25">
      <c r="H40" s="6"/>
    </row>
    <row r="41" spans="1:8" x14ac:dyDescent="0.25">
      <c r="H41" s="6"/>
    </row>
    <row r="42" spans="1:8" x14ac:dyDescent="0.25">
      <c r="A42" s="8" t="s">
        <v>11</v>
      </c>
      <c r="B42" s="9">
        <v>0</v>
      </c>
      <c r="C42" s="9">
        <v>1</v>
      </c>
      <c r="D42" s="9">
        <v>2</v>
      </c>
      <c r="E42" s="9">
        <v>3</v>
      </c>
      <c r="F42" s="9">
        <v>4</v>
      </c>
      <c r="G42" s="9">
        <v>5</v>
      </c>
      <c r="H42" s="6"/>
    </row>
    <row r="43" spans="1:8" x14ac:dyDescent="0.25">
      <c r="A43" s="8" t="s">
        <v>36</v>
      </c>
      <c r="B43" s="10"/>
      <c r="C43" s="10"/>
      <c r="D43" s="10"/>
      <c r="E43" s="10"/>
      <c r="F43" s="10"/>
      <c r="G43" s="10"/>
      <c r="H43" s="6"/>
    </row>
    <row r="44" spans="1:8" x14ac:dyDescent="0.25">
      <c r="A44" s="10" t="s">
        <v>20</v>
      </c>
      <c r="B44" s="10"/>
      <c r="C44" s="10">
        <f t="shared" ref="C44:G44" ca="1" si="29">C22</f>
        <v>246.15815105946689</v>
      </c>
      <c r="D44" s="10">
        <f t="shared" ca="1" si="29"/>
        <v>269.87965052696518</v>
      </c>
      <c r="E44" s="10">
        <f t="shared" ca="1" si="29"/>
        <v>295.36245354228492</v>
      </c>
      <c r="F44" s="10">
        <f t="shared" ca="1" si="29"/>
        <v>322.70329223148906</v>
      </c>
      <c r="G44" s="10">
        <f t="shared" ca="1" si="29"/>
        <v>351.99977303187609</v>
      </c>
      <c r="H44" s="6" t="str">
        <f ca="1">[1]!getformula(G44)</f>
        <v>&lt;--  =G22</v>
      </c>
    </row>
    <row r="45" spans="1:8" x14ac:dyDescent="0.25">
      <c r="A45" s="10" t="s">
        <v>37</v>
      </c>
      <c r="B45" s="10"/>
      <c r="C45" s="10">
        <f t="shared" ref="C45:G45" ca="1" si="30">-C19</f>
        <v>116.68421052631579</v>
      </c>
      <c r="D45" s="10">
        <f t="shared" ca="1" si="30"/>
        <v>137.47728531855955</v>
      </c>
      <c r="E45" s="10">
        <f t="shared" ca="1" si="30"/>
        <v>161.31015745735533</v>
      </c>
      <c r="F45" s="10">
        <f t="shared" ca="1" si="30"/>
        <v>188.58791087391907</v>
      </c>
      <c r="G45" s="10">
        <f t="shared" ca="1" si="30"/>
        <v>219.76678043959475</v>
      </c>
      <c r="H45" s="6" t="str">
        <f ca="1">[1]!getformula(G45)</f>
        <v>&lt;--  =-G19</v>
      </c>
    </row>
    <row r="46" spans="1:8" x14ac:dyDescent="0.25">
      <c r="A46" s="10" t="s">
        <v>38</v>
      </c>
      <c r="B46" s="10"/>
      <c r="C46" s="10">
        <f>-(C28-B28)</f>
        <v>-15</v>
      </c>
      <c r="D46" s="10">
        <f t="shared" ref="D46:G46" si="31">-(D28-C28)</f>
        <v>-16.5</v>
      </c>
      <c r="E46" s="10">
        <f t="shared" si="31"/>
        <v>-18.150000000000006</v>
      </c>
      <c r="F46" s="10">
        <f t="shared" si="31"/>
        <v>-19.965000000000003</v>
      </c>
      <c r="G46" s="10">
        <f t="shared" si="31"/>
        <v>-21.961500000000001</v>
      </c>
      <c r="H46" s="6" t="str">
        <f ca="1">[1]!getformula(G46)</f>
        <v>&lt;--  =-(G28-F28)</v>
      </c>
    </row>
    <row r="47" spans="1:8" x14ac:dyDescent="0.25">
      <c r="A47" s="10" t="s">
        <v>39</v>
      </c>
      <c r="B47" s="10"/>
      <c r="C47" s="10">
        <f>C35-B35</f>
        <v>8</v>
      </c>
      <c r="D47" s="10">
        <f t="shared" ref="D47:G47" si="32">D35-C35</f>
        <v>8.7999999999999972</v>
      </c>
      <c r="E47" s="10">
        <f t="shared" si="32"/>
        <v>9.6800000000000068</v>
      </c>
      <c r="F47" s="10">
        <f t="shared" si="32"/>
        <v>10.64800000000001</v>
      </c>
      <c r="G47" s="10">
        <f t="shared" si="32"/>
        <v>11.712800000000016</v>
      </c>
      <c r="H47" s="6" t="str">
        <f ca="1">[1]!getformula(G47)</f>
        <v>&lt;--  =G35-F35</v>
      </c>
    </row>
    <row r="48" spans="1:8" x14ac:dyDescent="0.25">
      <c r="A48" s="10" t="s">
        <v>40</v>
      </c>
      <c r="B48" s="10"/>
      <c r="C48" s="10">
        <f ca="1">-(C30-B30)</f>
        <v>-193.68421052631584</v>
      </c>
      <c r="D48" s="10">
        <f t="shared" ref="D48:G48" ca="1" si="33">-(D30-C30)</f>
        <v>-222.1772853185596</v>
      </c>
      <c r="E48" s="10">
        <f t="shared" ca="1" si="33"/>
        <v>-254.48015745735552</v>
      </c>
      <c r="F48" s="10">
        <f t="shared" ca="1" si="33"/>
        <v>-291.07491087391918</v>
      </c>
      <c r="G48" s="10">
        <f t="shared" ca="1" si="33"/>
        <v>-332.50248043959436</v>
      </c>
      <c r="H48" s="6" t="str">
        <f ca="1">[1]!getformula(G48)</f>
        <v>&lt;--  =-(G30-F30)</v>
      </c>
    </row>
    <row r="49" spans="1:8" x14ac:dyDescent="0.25">
      <c r="A49" s="10" t="s">
        <v>41</v>
      </c>
      <c r="B49" s="10"/>
      <c r="C49" s="10">
        <f>-B17*(1-$B$10)</f>
        <v>19.2</v>
      </c>
      <c r="D49" s="10">
        <f t="shared" ref="D49:G49" si="34">-C17*(1-$B$10)</f>
        <v>19.2</v>
      </c>
      <c r="E49" s="10">
        <f t="shared" si="34"/>
        <v>19.2</v>
      </c>
      <c r="F49" s="10">
        <f t="shared" si="34"/>
        <v>19.2</v>
      </c>
      <c r="G49" s="10">
        <f t="shared" si="34"/>
        <v>19.2</v>
      </c>
      <c r="H49" s="6" t="str">
        <f ca="1">[1]!getformula(G49)</f>
        <v>&lt;--  =-F17*(1-$B$10)</v>
      </c>
    </row>
    <row r="50" spans="1:8" x14ac:dyDescent="0.25">
      <c r="A50" s="10" t="s">
        <v>42</v>
      </c>
      <c r="B50" s="10"/>
      <c r="C50" s="10">
        <f ca="1">-C18*(1-$B$10)</f>
        <v>-5.3686773752563237</v>
      </c>
      <c r="D50" s="10">
        <f t="shared" ref="D50:G50" ca="1" si="35">-D18*(1-$B$10)</f>
        <v>-8.5660217181009415</v>
      </c>
      <c r="E50" s="10">
        <f t="shared" ca="1" si="35"/>
        <v>-12.048548016698133</v>
      </c>
      <c r="F50" s="10">
        <f t="shared" ca="1" si="35"/>
        <v>-15.826038755840479</v>
      </c>
      <c r="G50" s="10">
        <f t="shared" ca="1" si="35"/>
        <v>-19.906841295632937</v>
      </c>
      <c r="H50" s="6" t="str">
        <f ca="1">[1]!getformula(G50)</f>
        <v>&lt;--  =-G18*(1-$B$10)</v>
      </c>
    </row>
    <row r="51" spans="1:8" x14ac:dyDescent="0.25">
      <c r="A51" s="8" t="s">
        <v>43</v>
      </c>
      <c r="B51" s="10"/>
      <c r="C51" s="19">
        <f ca="1">SUM(C44:C50)</f>
        <v>175.98947368421051</v>
      </c>
      <c r="D51" s="19">
        <f t="shared" ref="D51:G51" ca="1" si="36">SUM(D44:D50)</f>
        <v>188.11362880886418</v>
      </c>
      <c r="E51" s="19">
        <f t="shared" ca="1" si="36"/>
        <v>200.87390552558662</v>
      </c>
      <c r="F51" s="19">
        <f t="shared" ca="1" si="36"/>
        <v>214.27325347564849</v>
      </c>
      <c r="G51" s="19">
        <f t="shared" ca="1" si="36"/>
        <v>228.30853173624354</v>
      </c>
      <c r="H51" s="6" t="str">
        <f ca="1">[1]!getformula(G51)</f>
        <v>&lt;--  =SUM(G44:G50)</v>
      </c>
    </row>
    <row r="52" spans="1:8" x14ac:dyDescent="0.25">
      <c r="H52" s="6"/>
    </row>
    <row r="53" spans="1:8" ht="15.6" x14ac:dyDescent="0.3">
      <c r="A53" s="21" t="s">
        <v>44</v>
      </c>
      <c r="B53" s="21"/>
      <c r="C53" s="21"/>
      <c r="D53" s="21"/>
      <c r="E53" s="21"/>
      <c r="F53" s="21"/>
      <c r="G53" s="21"/>
      <c r="H53" s="21"/>
    </row>
    <row r="54" spans="1:8" x14ac:dyDescent="0.25">
      <c r="A54" s="4" t="s">
        <v>45</v>
      </c>
      <c r="B54" s="9">
        <v>0</v>
      </c>
      <c r="C54" s="9">
        <v>1</v>
      </c>
      <c r="D54" s="9">
        <v>2</v>
      </c>
      <c r="E54" s="9">
        <v>3</v>
      </c>
      <c r="F54" s="9">
        <v>4</v>
      </c>
      <c r="G54" s="9">
        <v>5</v>
      </c>
      <c r="H54" s="6"/>
    </row>
    <row r="55" spans="1:8" x14ac:dyDescent="0.25">
      <c r="A55" s="1" t="s">
        <v>20</v>
      </c>
      <c r="C55" s="11">
        <f t="shared" ref="C55:G55" ca="1" si="37">C22</f>
        <v>246.15815105946689</v>
      </c>
      <c r="D55" s="11">
        <f t="shared" ca="1" si="37"/>
        <v>269.87965052696518</v>
      </c>
      <c r="E55" s="11">
        <f t="shared" ca="1" si="37"/>
        <v>295.36245354228492</v>
      </c>
      <c r="F55" s="11">
        <f t="shared" ca="1" si="37"/>
        <v>322.70329223148906</v>
      </c>
      <c r="G55" s="11">
        <f t="shared" ca="1" si="37"/>
        <v>351.99977303187609</v>
      </c>
      <c r="H55" s="6" t="str">
        <f ca="1">[1]!getformula(G55)</f>
        <v>&lt;--  =G22</v>
      </c>
    </row>
    <row r="56" spans="1:8" x14ac:dyDescent="0.25">
      <c r="A56" s="1" t="s">
        <v>37</v>
      </c>
      <c r="C56" s="11">
        <f t="shared" ref="C56:G56" ca="1" si="38">-C19</f>
        <v>116.68421052631579</v>
      </c>
      <c r="D56" s="11">
        <f t="shared" ca="1" si="38"/>
        <v>137.47728531855955</v>
      </c>
      <c r="E56" s="11">
        <f t="shared" ca="1" si="38"/>
        <v>161.31015745735533</v>
      </c>
      <c r="F56" s="11">
        <f t="shared" ca="1" si="38"/>
        <v>188.58791087391907</v>
      </c>
      <c r="G56" s="11">
        <f t="shared" ca="1" si="38"/>
        <v>219.76678043959475</v>
      </c>
      <c r="H56" s="6" t="str">
        <f ca="1">[1]!getformula(G56)</f>
        <v>&lt;--  =-G19</v>
      </c>
    </row>
    <row r="57" spans="1:8" x14ac:dyDescent="0.25">
      <c r="A57" s="1" t="s">
        <v>46</v>
      </c>
      <c r="C57" s="11"/>
      <c r="D57" s="11"/>
      <c r="E57" s="11"/>
      <c r="F57" s="11"/>
      <c r="G57" s="11"/>
      <c r="H57" s="6"/>
    </row>
    <row r="58" spans="1:8" x14ac:dyDescent="0.25">
      <c r="A58" s="10" t="s">
        <v>47</v>
      </c>
      <c r="C58" s="11">
        <f>-(C28-B28)</f>
        <v>-15</v>
      </c>
      <c r="D58" s="11">
        <f t="shared" ref="D58:G58" si="39">-(D28-C28)</f>
        <v>-16.5</v>
      </c>
      <c r="E58" s="11">
        <f t="shared" si="39"/>
        <v>-18.150000000000006</v>
      </c>
      <c r="F58" s="11">
        <f t="shared" si="39"/>
        <v>-19.965000000000003</v>
      </c>
      <c r="G58" s="11">
        <f t="shared" si="39"/>
        <v>-21.961500000000001</v>
      </c>
      <c r="H58" s="6" t="str">
        <f ca="1">[1]!getformula(G58)</f>
        <v>&lt;--  =-(G28-F28)</v>
      </c>
    </row>
    <row r="59" spans="1:8" x14ac:dyDescent="0.25">
      <c r="A59" s="10" t="s">
        <v>48</v>
      </c>
      <c r="C59" s="11">
        <f>C35-B35</f>
        <v>8</v>
      </c>
      <c r="D59" s="11">
        <f t="shared" ref="D59:G59" si="40">D35-C35</f>
        <v>8.7999999999999972</v>
      </c>
      <c r="E59" s="11">
        <f t="shared" si="40"/>
        <v>9.6800000000000068</v>
      </c>
      <c r="F59" s="11">
        <f t="shared" si="40"/>
        <v>10.64800000000001</v>
      </c>
      <c r="G59" s="11">
        <f t="shared" si="40"/>
        <v>11.712800000000016</v>
      </c>
      <c r="H59" s="6" t="str">
        <f ca="1">[1]!getformula(G59)</f>
        <v>&lt;--  =G35-F35</v>
      </c>
    </row>
    <row r="60" spans="1:8" x14ac:dyDescent="0.25">
      <c r="A60" s="1" t="s">
        <v>49</v>
      </c>
      <c r="C60" s="17">
        <f ca="1">SUM(C55:C59)</f>
        <v>355.84236158578267</v>
      </c>
      <c r="D60" s="17">
        <f t="shared" ref="D60:G60" ca="1" si="41">SUM(D55:D59)</f>
        <v>399.65693584552474</v>
      </c>
      <c r="E60" s="17">
        <f t="shared" ca="1" si="41"/>
        <v>448.20261099964029</v>
      </c>
      <c r="F60" s="17">
        <f t="shared" ca="1" si="41"/>
        <v>501.97420310540815</v>
      </c>
      <c r="G60" s="17">
        <f t="shared" ca="1" si="41"/>
        <v>561.51785347147086</v>
      </c>
      <c r="H60" s="6" t="str">
        <f ca="1">[1]!getformula(G60)</f>
        <v>&lt;--  =SUM(G55:G59)</v>
      </c>
    </row>
    <row r="61" spans="1:8" x14ac:dyDescent="0.25">
      <c r="H61" s="6"/>
    </row>
    <row r="62" spans="1:8" x14ac:dyDescent="0.25">
      <c r="A62" s="4" t="s">
        <v>50</v>
      </c>
      <c r="H62" s="6"/>
    </row>
    <row r="63" spans="1:8" x14ac:dyDescent="0.25">
      <c r="A63" s="1" t="s">
        <v>51</v>
      </c>
      <c r="C63" s="11">
        <f ca="1">-(C30-B30)</f>
        <v>-193.68421052631584</v>
      </c>
      <c r="D63" s="11">
        <f t="shared" ref="D63:G63" ca="1" si="42">-(D30-C30)</f>
        <v>-222.1772853185596</v>
      </c>
      <c r="E63" s="11">
        <f t="shared" ca="1" si="42"/>
        <v>-254.48015745735552</v>
      </c>
      <c r="F63" s="11">
        <f t="shared" ca="1" si="42"/>
        <v>-291.07491087391918</v>
      </c>
      <c r="G63" s="11">
        <f t="shared" ca="1" si="42"/>
        <v>-332.50248043959436</v>
      </c>
      <c r="H63" s="6" t="str">
        <f ca="1">[1]!getformula(G63)</f>
        <v>&lt;--  =-(G30-F30)</v>
      </c>
    </row>
    <row r="64" spans="1:8" x14ac:dyDescent="0.25">
      <c r="A64" s="1" t="s">
        <v>52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6" t="s">
        <v>53</v>
      </c>
    </row>
    <row r="65" spans="1:8" x14ac:dyDescent="0.25">
      <c r="A65" s="1" t="s">
        <v>54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6" t="s">
        <v>53</v>
      </c>
    </row>
    <row r="66" spans="1:8" x14ac:dyDescent="0.25">
      <c r="A66" s="1" t="s">
        <v>55</v>
      </c>
      <c r="C66" s="17">
        <f ca="1">SUM(C63:C65)</f>
        <v>-193.68421052631584</v>
      </c>
      <c r="D66" s="17">
        <f t="shared" ref="D66:G66" ca="1" si="43">SUM(D63:D65)</f>
        <v>-222.1772853185596</v>
      </c>
      <c r="E66" s="17">
        <f t="shared" ca="1" si="43"/>
        <v>-254.48015745735552</v>
      </c>
      <c r="F66" s="17">
        <f t="shared" ca="1" si="43"/>
        <v>-291.07491087391918</v>
      </c>
      <c r="G66" s="17">
        <f t="shared" ca="1" si="43"/>
        <v>-332.50248043959436</v>
      </c>
      <c r="H66" s="6" t="str">
        <f ca="1">[1]!getformula(G66)</f>
        <v>&lt;--  =SUM(G63:G65)</v>
      </c>
    </row>
    <row r="67" spans="1:8" x14ac:dyDescent="0.25">
      <c r="H67" s="6"/>
    </row>
    <row r="68" spans="1:8" x14ac:dyDescent="0.25">
      <c r="A68" s="4" t="s">
        <v>56</v>
      </c>
      <c r="H68" s="6"/>
    </row>
    <row r="69" spans="1:8" x14ac:dyDescent="0.25">
      <c r="A69" s="1" t="s">
        <v>57</v>
      </c>
      <c r="C69" s="12">
        <v>0</v>
      </c>
      <c r="D69" s="12">
        <v>0</v>
      </c>
      <c r="E69" s="12">
        <v>0</v>
      </c>
      <c r="F69" s="12">
        <v>0</v>
      </c>
      <c r="G69" s="12">
        <v>0</v>
      </c>
      <c r="H69" s="6" t="str">
        <f ca="1">[1]!getformula(G69)</f>
        <v>&lt;--  0</v>
      </c>
    </row>
    <row r="70" spans="1:8" x14ac:dyDescent="0.25">
      <c r="A70" s="1" t="s">
        <v>58</v>
      </c>
      <c r="C70" s="12">
        <v>0</v>
      </c>
      <c r="D70" s="12">
        <v>0</v>
      </c>
      <c r="E70" s="12">
        <v>0</v>
      </c>
      <c r="F70" s="12">
        <v>0</v>
      </c>
      <c r="G70" s="12">
        <v>0</v>
      </c>
      <c r="H70" s="6" t="str">
        <f ca="1">[1]!getformula(G70)</f>
        <v>&lt;--  0</v>
      </c>
    </row>
    <row r="71" spans="1:8" x14ac:dyDescent="0.25">
      <c r="A71" s="1" t="s">
        <v>59</v>
      </c>
      <c r="C71" s="11">
        <f t="shared" ref="C71:G71" ca="1" si="44">C23</f>
        <v>-98.463260423786764</v>
      </c>
      <c r="D71" s="11">
        <f t="shared" ca="1" si="44"/>
        <v>-107.95186021078608</v>
      </c>
      <c r="E71" s="11">
        <f t="shared" ca="1" si="44"/>
        <v>-118.14498141691398</v>
      </c>
      <c r="F71" s="11">
        <f t="shared" ca="1" si="44"/>
        <v>-129.08131689259562</v>
      </c>
      <c r="G71" s="11">
        <f t="shared" ca="1" si="44"/>
        <v>-140.79990921275044</v>
      </c>
      <c r="H71" s="6" t="str">
        <f ca="1">[1]!getformula(G71)</f>
        <v>&lt;--  =G23</v>
      </c>
    </row>
    <row r="72" spans="1:8" x14ac:dyDescent="0.25">
      <c r="A72" s="1" t="s">
        <v>60</v>
      </c>
      <c r="C72" s="18">
        <f t="shared" ref="C72:G72" ca="1" si="45">SUM(C69:C71)</f>
        <v>-98.463260423786764</v>
      </c>
      <c r="D72" s="18">
        <f t="shared" ca="1" si="45"/>
        <v>-107.95186021078608</v>
      </c>
      <c r="E72" s="18">
        <f t="shared" ca="1" si="45"/>
        <v>-118.14498141691398</v>
      </c>
      <c r="F72" s="18">
        <f t="shared" ca="1" si="45"/>
        <v>-129.08131689259562</v>
      </c>
      <c r="G72" s="18">
        <f t="shared" ca="1" si="45"/>
        <v>-140.79990921275044</v>
      </c>
      <c r="H72" s="6" t="str">
        <f ca="1">[1]!getformula(G72)</f>
        <v>&lt;--  =SUM(G69:G71)</v>
      </c>
    </row>
    <row r="73" spans="1:8" x14ac:dyDescent="0.25">
      <c r="H73" s="6"/>
    </row>
    <row r="74" spans="1:8" x14ac:dyDescent="0.25">
      <c r="A74" s="13" t="s">
        <v>61</v>
      </c>
      <c r="B74" s="13"/>
      <c r="C74" s="14">
        <f ca="1">C72+C66+C60</f>
        <v>63.694890635680053</v>
      </c>
      <c r="D74" s="14">
        <f t="shared" ref="D74:G74" ca="1" si="46">D72+D66+D60</f>
        <v>69.52779031617905</v>
      </c>
      <c r="E74" s="14">
        <f t="shared" ca="1" si="46"/>
        <v>75.577472125370775</v>
      </c>
      <c r="F74" s="14">
        <f t="shared" ca="1" si="46"/>
        <v>81.817975338893348</v>
      </c>
      <c r="G74" s="14">
        <f t="shared" ca="1" si="46"/>
        <v>88.215463819126057</v>
      </c>
      <c r="H74" s="6" t="str">
        <f ca="1">[1]!getformula(G74)</f>
        <v>&lt;--  =G72+G66+G60</v>
      </c>
    </row>
    <row r="75" spans="1:8" x14ac:dyDescent="0.25">
      <c r="A75" s="13" t="s">
        <v>62</v>
      </c>
      <c r="B75" s="13"/>
      <c r="C75" s="17">
        <f ca="1">C27-B27</f>
        <v>63.694890635680167</v>
      </c>
      <c r="D75" s="17">
        <f t="shared" ref="D75:G75" ca="1" si="47">D27-C27</f>
        <v>69.52779031617888</v>
      </c>
      <c r="E75" s="17">
        <f t="shared" ca="1" si="47"/>
        <v>75.577472125370832</v>
      </c>
      <c r="F75" s="17">
        <f t="shared" ca="1" si="47"/>
        <v>81.817975338893575</v>
      </c>
      <c r="G75" s="17">
        <f t="shared" ca="1" si="47"/>
        <v>88.215463819125489</v>
      </c>
      <c r="H75" s="6" t="str">
        <f ca="1">[1]!getformula(G75)</f>
        <v>&lt;--  =G27-F27</v>
      </c>
    </row>
  </sheetData>
  <mergeCells count="2">
    <mergeCell ref="A1:G1"/>
    <mergeCell ref="A53:H5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2024-10-14T02:16:45Z</dcterms:modified>
</cp:coreProperties>
</file>