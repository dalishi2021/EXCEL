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3\practice\"/>
    </mc:Choice>
  </mc:AlternateContent>
  <xr:revisionPtr revIDLastSave="0" documentId="13_ncr:1_{8DC898DC-6D6C-4C43-8218-D413F9E2323E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1" i="1" l="1"/>
  <c r="E51" i="1"/>
  <c r="F51" i="1"/>
  <c r="G51" i="1"/>
  <c r="C51" i="1"/>
  <c r="D18" i="1"/>
  <c r="E18" i="1"/>
  <c r="F18" i="1"/>
  <c r="G18" i="1"/>
  <c r="C18" i="1"/>
  <c r="D19" i="1"/>
  <c r="D38" i="1"/>
  <c r="E38" i="1" s="1"/>
  <c r="D39" i="1"/>
  <c r="E39" i="1"/>
  <c r="F39" i="1" s="1"/>
  <c r="G39" i="1" s="1"/>
  <c r="C19" i="1"/>
  <c r="C39" i="1"/>
  <c r="C38" i="1"/>
  <c r="C16" i="1"/>
  <c r="C30" i="1" s="1"/>
  <c r="C48" i="1" s="1"/>
  <c r="B85" i="1"/>
  <c r="B77" i="1"/>
  <c r="B65" i="1"/>
  <c r="B20" i="1"/>
  <c r="B16" i="1"/>
  <c r="B34" i="1" s="1"/>
  <c r="B32" i="1" s="1"/>
  <c r="D90" i="1"/>
  <c r="H81" i="1"/>
  <c r="H53" i="1"/>
  <c r="H52" i="1"/>
  <c r="H51" i="1"/>
  <c r="H50" i="1"/>
  <c r="H49" i="1"/>
  <c r="H48" i="1"/>
  <c r="H47" i="1"/>
  <c r="H46" i="1"/>
  <c r="H16" i="1"/>
  <c r="H32" i="1"/>
  <c r="H17" i="1"/>
  <c r="H33" i="1"/>
  <c r="H18" i="1"/>
  <c r="H34" i="1"/>
  <c r="H19" i="1"/>
  <c r="H35" i="1"/>
  <c r="H20" i="1"/>
  <c r="H21" i="1"/>
  <c r="H37" i="1"/>
  <c r="H22" i="1"/>
  <c r="H38" i="1"/>
  <c r="H29" i="1"/>
  <c r="H23" i="1"/>
  <c r="H39" i="1"/>
  <c r="H24" i="1"/>
  <c r="H40" i="1"/>
  <c r="H25" i="1"/>
  <c r="H41" i="1"/>
  <c r="H26" i="1"/>
  <c r="H30" i="1"/>
  <c r="C17" i="1" l="1"/>
  <c r="C37" i="1"/>
  <c r="C49" i="1" s="1"/>
  <c r="C34" i="1"/>
  <c r="D16" i="1"/>
  <c r="E19" i="1"/>
  <c r="F38" i="1"/>
  <c r="F19" i="1"/>
  <c r="B37" i="1"/>
  <c r="B30" i="1"/>
  <c r="B35" i="1" s="1"/>
  <c r="B38" i="1" s="1"/>
  <c r="B17" i="1"/>
  <c r="E16" i="1" l="1"/>
  <c r="D17" i="1"/>
  <c r="D30" i="1"/>
  <c r="D48" i="1" s="1"/>
  <c r="D34" i="1"/>
  <c r="D37" i="1"/>
  <c r="D49" i="1" s="1"/>
  <c r="G38" i="1"/>
  <c r="G19" i="1" s="1"/>
  <c r="B41" i="1"/>
  <c r="B72" i="1"/>
  <c r="B67" i="1"/>
  <c r="B87" i="1" s="1"/>
  <c r="B19" i="1"/>
  <c r="B22" i="1" s="1"/>
  <c r="B23" i="1" s="1"/>
  <c r="B24" i="1" s="1"/>
  <c r="B25" i="1" s="1"/>
  <c r="B26" i="1" s="1"/>
  <c r="E30" i="1" l="1"/>
  <c r="E48" i="1" s="1"/>
  <c r="F16" i="1"/>
  <c r="E17" i="1"/>
  <c r="E37" i="1"/>
  <c r="E49" i="1" s="1"/>
  <c r="E34" i="1"/>
  <c r="F37" i="1" l="1"/>
  <c r="F34" i="1"/>
  <c r="F30" i="1"/>
  <c r="F48" i="1" s="1"/>
  <c r="G16" i="1"/>
  <c r="F17" i="1"/>
  <c r="G30" i="1" l="1"/>
  <c r="G48" i="1" s="1"/>
  <c r="G17" i="1"/>
  <c r="G37" i="1"/>
  <c r="G34" i="1"/>
  <c r="F49" i="1"/>
  <c r="G49" i="1" l="1"/>
  <c r="C20" i="1"/>
  <c r="D20" i="1"/>
  <c r="E20" i="1"/>
  <c r="F20" i="1"/>
  <c r="G20" i="1"/>
  <c r="C21" i="1"/>
  <c r="D21" i="1"/>
  <c r="E21" i="1"/>
  <c r="F21" i="1"/>
  <c r="G21" i="1"/>
  <c r="C22" i="1"/>
  <c r="D22" i="1"/>
  <c r="E22" i="1"/>
  <c r="F22" i="1"/>
  <c r="G22" i="1"/>
  <c r="C23" i="1"/>
  <c r="D23" i="1"/>
  <c r="E23" i="1"/>
  <c r="F23" i="1"/>
  <c r="G23" i="1"/>
  <c r="C24" i="1"/>
  <c r="D24" i="1"/>
  <c r="E24" i="1"/>
  <c r="F24" i="1"/>
  <c r="G24" i="1"/>
  <c r="C25" i="1"/>
  <c r="D25" i="1"/>
  <c r="E25" i="1"/>
  <c r="F25" i="1"/>
  <c r="G25" i="1"/>
  <c r="C26" i="1"/>
  <c r="D26" i="1"/>
  <c r="E26" i="1"/>
  <c r="F26" i="1"/>
  <c r="G26" i="1"/>
  <c r="C29" i="1"/>
  <c r="D29" i="1"/>
  <c r="E29" i="1"/>
  <c r="F29" i="1"/>
  <c r="G29" i="1"/>
  <c r="C32" i="1"/>
  <c r="D32" i="1"/>
  <c r="E32" i="1"/>
  <c r="F32" i="1"/>
  <c r="G32" i="1"/>
  <c r="C33" i="1"/>
  <c r="D33" i="1"/>
  <c r="E33" i="1"/>
  <c r="F33" i="1"/>
  <c r="G33" i="1"/>
  <c r="C35" i="1"/>
  <c r="D35" i="1"/>
  <c r="E35" i="1"/>
  <c r="F35" i="1"/>
  <c r="G35" i="1"/>
  <c r="C40" i="1"/>
  <c r="D40" i="1"/>
  <c r="E40" i="1"/>
  <c r="F40" i="1"/>
  <c r="G40" i="1"/>
  <c r="C41" i="1"/>
  <c r="D41" i="1"/>
  <c r="E41" i="1"/>
  <c r="F41" i="1"/>
  <c r="G41" i="1"/>
  <c r="C46" i="1"/>
  <c r="D46" i="1"/>
  <c r="E46" i="1"/>
  <c r="F46" i="1"/>
  <c r="G46" i="1"/>
  <c r="C47" i="1"/>
  <c r="D47" i="1"/>
  <c r="E47" i="1"/>
  <c r="F47" i="1"/>
  <c r="G47" i="1"/>
  <c r="C50" i="1"/>
  <c r="D50" i="1"/>
  <c r="E50" i="1"/>
  <c r="F50" i="1"/>
  <c r="G50" i="1"/>
  <c r="C52" i="1"/>
  <c r="D52" i="1"/>
  <c r="E52" i="1"/>
  <c r="F52" i="1"/>
  <c r="G52" i="1"/>
  <c r="C53" i="1"/>
  <c r="D53" i="1"/>
  <c r="E53" i="1"/>
  <c r="F53" i="1"/>
  <c r="G53" i="1"/>
  <c r="C60" i="1"/>
  <c r="D60" i="1"/>
  <c r="E60" i="1"/>
  <c r="F60" i="1"/>
  <c r="G60" i="1"/>
  <c r="G61" i="1"/>
  <c r="C62" i="1"/>
  <c r="D62" i="1"/>
  <c r="E62" i="1"/>
  <c r="F62" i="1"/>
  <c r="G62" i="1"/>
  <c r="B64" i="1"/>
  <c r="B66" i="1"/>
  <c r="B68" i="1"/>
  <c r="B71" i="1"/>
  <c r="B73" i="1"/>
  <c r="C80" i="1"/>
  <c r="D80" i="1"/>
  <c r="E80" i="1"/>
  <c r="F80" i="1"/>
  <c r="G80" i="1"/>
  <c r="G81" i="1"/>
  <c r="C82" i="1"/>
  <c r="D82" i="1"/>
  <c r="E82" i="1"/>
  <c r="F82" i="1"/>
  <c r="G82" i="1"/>
  <c r="B84" i="1"/>
  <c r="B86" i="1"/>
  <c r="B88" i="1"/>
  <c r="C90" i="1"/>
  <c r="B107" i="1"/>
</calcChain>
</file>

<file path=xl/sharedStrings.xml><?xml version="1.0" encoding="utf-8"?>
<sst xmlns="http://schemas.openxmlformats.org/spreadsheetml/2006/main" count="94" uniqueCount="73">
  <si>
    <t>EXERCISE 2</t>
  </si>
  <si>
    <t>Sales growth</t>
  </si>
  <si>
    <t>Current assets/Sales</t>
  </si>
  <si>
    <t>Current liabilities/Sales</t>
  </si>
  <si>
    <t>Net fixed assets/Sales</t>
  </si>
  <si>
    <t>Costs of goods sold/Sales</t>
  </si>
  <si>
    <t>Sales, general and administrative expenses</t>
  </si>
  <si>
    <t>&lt;-- Added</t>
  </si>
  <si>
    <t>Depreciation rate</t>
  </si>
  <si>
    <t>Interest rate on debt</t>
  </si>
  <si>
    <t>Interest paid on cash &amp; marketable securities</t>
  </si>
  <si>
    <t>Tax rate</t>
  </si>
  <si>
    <t>Dividend payout ratio</t>
  </si>
  <si>
    <t>Year</t>
  </si>
  <si>
    <t>Income statement</t>
  </si>
  <si>
    <t>Sales</t>
  </si>
  <si>
    <t>Costs of goods sold</t>
  </si>
  <si>
    <t>SG&amp;A</t>
  </si>
  <si>
    <t>Interest payments on debt</t>
  </si>
  <si>
    <t>Interest earned on cash &amp; marketable securities</t>
  </si>
  <si>
    <t>Depreciation</t>
  </si>
  <si>
    <t>Profit before tax</t>
  </si>
  <si>
    <t>Taxes</t>
  </si>
  <si>
    <t>Profit after tax</t>
  </si>
  <si>
    <t>Dividends</t>
  </si>
  <si>
    <t>Retained earnings</t>
  </si>
  <si>
    <t>Balance sheet</t>
  </si>
  <si>
    <t>Cash and marketable securities</t>
  </si>
  <si>
    <t>Current assets</t>
  </si>
  <si>
    <t>Fixed assets</t>
  </si>
  <si>
    <t xml:space="preserve">     At cost</t>
  </si>
  <si>
    <t xml:space="preserve">     Depreciation</t>
  </si>
  <si>
    <t xml:space="preserve">     Net fixed assets</t>
  </si>
  <si>
    <t>Total assets</t>
  </si>
  <si>
    <t>Current liabilities</t>
  </si>
  <si>
    <t>Debt</t>
  </si>
  <si>
    <t>Stock</t>
  </si>
  <si>
    <t>Accumulated retained earnings</t>
  </si>
  <si>
    <t>Total liabilities and equity</t>
  </si>
  <si>
    <t>Free cash flow calculation</t>
  </si>
  <si>
    <t>Add back depreciation</t>
  </si>
  <si>
    <t>Subtract increase in current assets</t>
  </si>
  <si>
    <t>Add back increase in current liabilities</t>
  </si>
  <si>
    <t>Subtract increase in fixed assets at cost</t>
  </si>
  <si>
    <t>Add back after-tax interest on debt</t>
  </si>
  <si>
    <t>Subtract after-tax interest on cash &amp; mkt. securities</t>
  </si>
  <si>
    <t>Free cash flow</t>
  </si>
  <si>
    <t>Valuing the firm</t>
  </si>
  <si>
    <t>Weighted average cost of capital</t>
  </si>
  <si>
    <t>FCF</t>
  </si>
  <si>
    <t>Terminal value</t>
  </si>
  <si>
    <t>&lt;-- =G59*(1+B3)/(B56-B3)</t>
  </si>
  <si>
    <t>Total</t>
  </si>
  <si>
    <t>NPV of row 61</t>
  </si>
  <si>
    <t>&lt;-- =NPV(B56,C61:G61)</t>
  </si>
  <si>
    <t>Add in initial (year 0) cash and mkt. securities</t>
  </si>
  <si>
    <t>Enterprise value</t>
  </si>
  <si>
    <t>Subtract out value of firm's debt today</t>
  </si>
  <si>
    <t>Equity value</t>
  </si>
  <si>
    <t>Cash and marketable securities as negative debt</t>
  </si>
  <si>
    <t>NPV of row 61 = enterprise value</t>
  </si>
  <si>
    <t>Net year 0 debt</t>
  </si>
  <si>
    <t>&lt;-- =-B37+B28</t>
  </si>
  <si>
    <t>Valuing the firm--using mid-year discounting</t>
  </si>
  <si>
    <t>NPV of row 81</t>
  </si>
  <si>
    <t>&lt;-- =NPV(B76,C81:G81)*(1+B76)</t>
  </si>
  <si>
    <t>Data table:  Value as function</t>
  </si>
  <si>
    <t>of SG&amp;A</t>
  </si>
  <si>
    <t>of SG&amp;A and sales growth</t>
  </si>
  <si>
    <t>if</t>
    <phoneticPr fontId="1" type="noConversion"/>
  </si>
  <si>
    <t>ave</t>
    <phoneticPr fontId="1" type="noConversion"/>
  </si>
  <si>
    <t>Long-term free cash flow growth rate</t>
  </si>
  <si>
    <t>&lt;-- real growth  2% + inflation 3%?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</si>
</sst>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7" formatCode="_(* #,##0_);_(* \(#,##0\);_(* &quot;-&quot;??_);_(@_)"/>
    <numFmt numFmtId="178" formatCode="0_);\(0\)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0" fillId="0" borderId="0" xfId="0" applyAlignment="1"/>
    <xf numFmtId="9" fontId="0" fillId="0" borderId="0" xfId="0" applyNumberFormat="1" applyAlignment="1"/>
    <xf numFmtId="1" fontId="0" fillId="0" borderId="0" xfId="0" applyNumberFormat="1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177" fontId="0" fillId="0" borderId="0" xfId="1" applyNumberFormat="1" applyFont="1" applyAlignment="1"/>
    <xf numFmtId="0" fontId="5" fillId="0" borderId="0" xfId="0" applyFont="1" applyAlignment="1"/>
    <xf numFmtId="178" fontId="4" fillId="0" borderId="0" xfId="0" applyNumberFormat="1" applyFont="1" applyAlignment="1"/>
    <xf numFmtId="178" fontId="4" fillId="0" borderId="0" xfId="0" applyNumberFormat="1" applyFont="1" applyAlignment="1">
      <alignment horizontal="center"/>
    </xf>
    <xf numFmtId="178" fontId="0" fillId="0" borderId="0" xfId="0" applyNumberFormat="1" applyAlignment="1"/>
    <xf numFmtId="0" fontId="3" fillId="0" borderId="0" xfId="0" applyFont="1" applyAlignment="1"/>
    <xf numFmtId="9" fontId="5" fillId="0" borderId="0" xfId="0" applyNumberFormat="1" applyFont="1" applyAlignment="1"/>
    <xf numFmtId="3" fontId="0" fillId="0" borderId="0" xfId="0" applyNumberFormat="1" applyAlignment="1"/>
    <xf numFmtId="3" fontId="0" fillId="0" borderId="0" xfId="0" quotePrefix="1" applyNumberFormat="1" applyAlignment="1"/>
    <xf numFmtId="0" fontId="4" fillId="0" borderId="0" xfId="0" applyFont="1" applyAlignment="1">
      <alignment horizontal="right"/>
    </xf>
    <xf numFmtId="3" fontId="5" fillId="0" borderId="0" xfId="0" applyNumberFormat="1" applyFont="1" applyAlignment="1"/>
    <xf numFmtId="3" fontId="0" fillId="0" borderId="0" xfId="1" applyNumberFormat="1" applyFont="1" applyAlignment="1"/>
    <xf numFmtId="3" fontId="0" fillId="0" borderId="0" xfId="1" applyNumberFormat="1" applyFont="1" applyAlignment="1">
      <alignment horizontal="right"/>
    </xf>
    <xf numFmtId="3" fontId="0" fillId="0" borderId="0" xfId="0" applyNumberFormat="1" applyAlignment="1">
      <alignment horizontal="right"/>
    </xf>
    <xf numFmtId="0" fontId="0" fillId="2" borderId="0" xfId="0" applyFill="1" applyAlignment="1"/>
    <xf numFmtId="9" fontId="0" fillId="2" borderId="0" xfId="0" applyNumberFormat="1" applyFill="1" applyAlignment="1"/>
    <xf numFmtId="0" fontId="0" fillId="3" borderId="0" xfId="0" applyFill="1" applyAlignment="1"/>
    <xf numFmtId="9" fontId="0" fillId="3" borderId="0" xfId="0" applyNumberFormat="1" applyFill="1" applyAlignment="1"/>
    <xf numFmtId="10" fontId="0" fillId="3" borderId="0" xfId="0" applyNumberFormat="1" applyFill="1" applyAlignment="1"/>
    <xf numFmtId="177" fontId="0" fillId="3" borderId="0" xfId="1" applyNumberFormat="1" applyFont="1" applyFill="1" applyAlignment="1"/>
    <xf numFmtId="178" fontId="0" fillId="2" borderId="0" xfId="0" applyNumberFormat="1" applyFill="1" applyAlignment="1"/>
    <xf numFmtId="0" fontId="5" fillId="4" borderId="0" xfId="0" applyFont="1" applyFill="1" applyAlignment="1"/>
    <xf numFmtId="9" fontId="0" fillId="4" borderId="0" xfId="0" applyNumberFormat="1" applyFill="1" applyAlignment="1"/>
    <xf numFmtId="0" fontId="0" fillId="4" borderId="0" xfId="0" applyFill="1" applyAlignment="1"/>
    <xf numFmtId="3" fontId="0" fillId="4" borderId="0" xfId="0" applyNumberFormat="1" applyFill="1" applyAlignment="1"/>
    <xf numFmtId="3" fontId="0" fillId="4" borderId="0" xfId="1" applyNumberFormat="1" applyFont="1" applyFill="1" applyAlignment="1"/>
    <xf numFmtId="9" fontId="5" fillId="4" borderId="0" xfId="0" applyNumberFormat="1" applyFont="1" applyFill="1" applyAlignment="1"/>
    <xf numFmtId="3" fontId="5" fillId="4" borderId="0" xfId="0" applyNumberFormat="1" applyFont="1" applyFill="1" applyAlignment="1"/>
    <xf numFmtId="3" fontId="0" fillId="4" borderId="0" xfId="1" applyNumberFormat="1" applyFont="1" applyFill="1" applyAlignment="1">
      <alignment horizontal="right"/>
    </xf>
    <xf numFmtId="3" fontId="0" fillId="4" borderId="0" xfId="0" applyNumberFormat="1" applyFill="1" applyAlignment="1">
      <alignment horizontal="right"/>
    </xf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="1">
                <a:solidFill>
                  <a:schemeClr val="tx1"/>
                </a:solidFill>
              </a:rPr>
              <a:t>Effect</a:t>
            </a:r>
            <a:r>
              <a:rPr lang="en-US" altLang="zh-CN" b="1" baseline="0">
                <a:solidFill>
                  <a:schemeClr val="tx1"/>
                </a:solidFill>
              </a:rPr>
              <a:t> of SG&amp;A on Equity Value</a:t>
            </a:r>
            <a:endParaRPr lang="zh-CN" altLang="en-US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Sheet1!$B$91:$B$103</c:f>
              <c:numCache>
                <c:formatCode>General</c:formatCode>
                <c:ptCount val="13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</c:numCache>
            </c:numRef>
          </c:xVal>
          <c:yVal>
            <c:numRef>
              <c:f>Sheet1!$C$91:$C$103</c:f>
              <c:numCache>
                <c:formatCode>#,##0</c:formatCode>
                <c:ptCount val="13"/>
                <c:pt idx="0">
                  <c:v>1237.0672768281574</c:v>
                </c:pt>
                <c:pt idx="1">
                  <c:v>1028.1320916429727</c:v>
                </c:pt>
                <c:pt idx="2">
                  <c:v>819.19690645778724</c:v>
                </c:pt>
                <c:pt idx="3">
                  <c:v>610.26172127260213</c:v>
                </c:pt>
                <c:pt idx="4">
                  <c:v>401.32653608741725</c:v>
                </c:pt>
                <c:pt idx="5">
                  <c:v>192.39135090223181</c:v>
                </c:pt>
                <c:pt idx="6">
                  <c:v>-16.543834282953355</c:v>
                </c:pt>
                <c:pt idx="7">
                  <c:v>-225.47901946813849</c:v>
                </c:pt>
                <c:pt idx="8">
                  <c:v>-434.41420465332374</c:v>
                </c:pt>
                <c:pt idx="9">
                  <c:v>-643.34938983850884</c:v>
                </c:pt>
                <c:pt idx="10">
                  <c:v>-852.28457502369406</c:v>
                </c:pt>
                <c:pt idx="11">
                  <c:v>-1061.2197602088793</c:v>
                </c:pt>
                <c:pt idx="12">
                  <c:v>-1270.1549453940643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28-470C-9523-28E71E28B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129680"/>
        <c:axId val="885126080"/>
      </c:scatterChart>
      <c:valAx>
        <c:axId val="885129680"/>
        <c:scaling>
          <c:orientation val="minMax"/>
          <c:max val="6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600" b="1">
                    <a:solidFill>
                      <a:schemeClr val="tx1"/>
                    </a:solidFill>
                  </a:rPr>
                  <a:t>SG&amp;A</a:t>
                </a:r>
                <a:endParaRPr lang="zh-CN" altLang="en-US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85126080"/>
        <c:crosses val="autoZero"/>
        <c:crossBetween val="midCat"/>
      </c:valAx>
      <c:valAx>
        <c:axId val="88512608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 b="1">
                    <a:solidFill>
                      <a:schemeClr val="tx1"/>
                    </a:solidFill>
                  </a:rPr>
                  <a:t>Value</a:t>
                </a:r>
                <a:endParaRPr lang="zh-CN" altLang="en-US" sz="1400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85129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181927</xdr:colOff>
      <xdr:row>86</xdr:row>
      <xdr:rowOff>16192</xdr:rowOff>
    </xdr:from>
    <xdr:to>
      <xdr:col>13</xdr:col>
      <xdr:colOff>431482</xdr:colOff>
      <xdr:row>102</xdr:row>
      <xdr:rowOff>16192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E8600B80-ABC7-E892-6756-E4262D36F7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I120"/>
  <sheetViews>
    <sheetView tabSelected="1" workbookViewId="0">
      <selection activeCell="Q101" sqref="Q101"/>
    </sheetView>
  </sheetViews>
  <sheetFormatPr defaultRowHeight="13.8" x14ac:dyDescent="0.25"/>
  <cols>
    <col min="1" max="1" width="44.5546875" style="2" customWidth="1"/>
    <col min="2" max="2" width="9.6640625" style="2" bestFit="1" customWidth="1"/>
    <col min="3" max="8" width="9.33203125" style="2" bestFit="1" customWidth="1"/>
  </cols>
  <sheetData>
    <row r="1" spans="1:8" ht="17.399999999999999" x14ac:dyDescent="0.3">
      <c r="A1" s="1" t="s">
        <v>0</v>
      </c>
      <c r="B1" s="1"/>
      <c r="C1" s="1"/>
      <c r="D1" s="1"/>
      <c r="E1" s="1"/>
      <c r="F1" s="1"/>
      <c r="G1" s="1"/>
    </row>
    <row r="2" spans="1:8" x14ac:dyDescent="0.25">
      <c r="A2" s="2" t="s">
        <v>1</v>
      </c>
      <c r="B2" s="3">
        <v>0.1</v>
      </c>
    </row>
    <row r="3" spans="1:8" x14ac:dyDescent="0.25">
      <c r="A3" s="21" t="s">
        <v>2</v>
      </c>
      <c r="B3" s="22">
        <v>0.15</v>
      </c>
      <c r="D3" s="2" t="s">
        <v>69</v>
      </c>
    </row>
    <row r="4" spans="1:8" x14ac:dyDescent="0.25">
      <c r="A4" s="21" t="s">
        <v>3</v>
      </c>
      <c r="B4" s="22">
        <v>0.08</v>
      </c>
      <c r="D4" s="2" t="s">
        <v>69</v>
      </c>
    </row>
    <row r="5" spans="1:8" x14ac:dyDescent="0.25">
      <c r="A5" s="21" t="s">
        <v>4</v>
      </c>
      <c r="B5" s="22">
        <v>0.77</v>
      </c>
      <c r="D5" s="2" t="s">
        <v>69</v>
      </c>
    </row>
    <row r="6" spans="1:8" x14ac:dyDescent="0.25">
      <c r="A6" s="21" t="s">
        <v>5</v>
      </c>
      <c r="B6" s="22">
        <v>0.5</v>
      </c>
      <c r="D6" s="2" t="s">
        <v>69</v>
      </c>
    </row>
    <row r="7" spans="1:8" x14ac:dyDescent="0.25">
      <c r="A7" s="2" t="s">
        <v>6</v>
      </c>
      <c r="B7" s="4">
        <v>200</v>
      </c>
      <c r="C7" s="5" t="s">
        <v>7</v>
      </c>
    </row>
    <row r="8" spans="1:8" x14ac:dyDescent="0.25">
      <c r="A8" s="23" t="s">
        <v>8</v>
      </c>
      <c r="B8" s="24">
        <v>0.1</v>
      </c>
      <c r="D8" s="2" t="s">
        <v>70</v>
      </c>
    </row>
    <row r="9" spans="1:8" x14ac:dyDescent="0.25">
      <c r="A9" s="23" t="s">
        <v>9</v>
      </c>
      <c r="B9" s="25">
        <v>0.1</v>
      </c>
      <c r="D9" s="2" t="s">
        <v>70</v>
      </c>
    </row>
    <row r="10" spans="1:8" x14ac:dyDescent="0.25">
      <c r="A10" s="23" t="s">
        <v>10</v>
      </c>
      <c r="B10" s="25">
        <v>0.08</v>
      </c>
      <c r="D10" s="2" t="s">
        <v>70</v>
      </c>
    </row>
    <row r="11" spans="1:8" x14ac:dyDescent="0.25">
      <c r="A11" s="2" t="s">
        <v>11</v>
      </c>
      <c r="B11" s="3">
        <v>0.4</v>
      </c>
    </row>
    <row r="12" spans="1:8" x14ac:dyDescent="0.25">
      <c r="A12" s="2" t="s">
        <v>12</v>
      </c>
      <c r="B12" s="3">
        <v>0.4</v>
      </c>
    </row>
    <row r="14" spans="1:8" x14ac:dyDescent="0.25">
      <c r="A14" s="5" t="s">
        <v>13</v>
      </c>
      <c r="B14" s="6">
        <v>0</v>
      </c>
      <c r="C14" s="6">
        <v>1</v>
      </c>
      <c r="D14" s="6">
        <v>2</v>
      </c>
      <c r="E14" s="6">
        <v>3</v>
      </c>
      <c r="F14" s="6">
        <v>4</v>
      </c>
      <c r="G14" s="6">
        <v>5</v>
      </c>
      <c r="H14" s="5"/>
    </row>
    <row r="15" spans="1:8" x14ac:dyDescent="0.25">
      <c r="A15" s="5" t="s">
        <v>14</v>
      </c>
    </row>
    <row r="16" spans="1:8" x14ac:dyDescent="0.25">
      <c r="A16" s="2" t="s">
        <v>15</v>
      </c>
      <c r="B16" s="7">
        <f>1000</f>
        <v>1000</v>
      </c>
      <c r="C16" s="7">
        <f>B16*(1+$B$2)</f>
        <v>1100</v>
      </c>
      <c r="D16" s="7">
        <f t="shared" ref="D16:G16" si="0">C16*(1+$B$2)</f>
        <v>1210</v>
      </c>
      <c r="E16" s="7">
        <f t="shared" si="0"/>
        <v>1331</v>
      </c>
      <c r="F16" s="7">
        <f t="shared" si="0"/>
        <v>1464.1000000000001</v>
      </c>
      <c r="G16" s="7">
        <f t="shared" si="0"/>
        <v>1610.5100000000002</v>
      </c>
      <c r="H16" s="2" t="str">
        <f t="shared" ref="H16:H41" ca="1" si="1">_xlfn.FORMULATEXT(G16)</f>
        <v>=F16*(1+$B$2)</v>
      </c>
    </row>
    <row r="17" spans="1:8" x14ac:dyDescent="0.25">
      <c r="A17" s="21" t="s">
        <v>16</v>
      </c>
      <c r="B17" s="7">
        <f t="shared" ref="B17:G17" si="2">-B16*$B$6</f>
        <v>-500</v>
      </c>
      <c r="C17" s="7">
        <f>-C16*$B$6</f>
        <v>-550</v>
      </c>
      <c r="D17" s="7">
        <f t="shared" ref="D17:G17" si="3">-D16*$B$6</f>
        <v>-605</v>
      </c>
      <c r="E17" s="7">
        <f t="shared" si="3"/>
        <v>-665.5</v>
      </c>
      <c r="F17" s="7">
        <f t="shared" si="3"/>
        <v>-732.05000000000007</v>
      </c>
      <c r="G17" s="7">
        <f t="shared" si="3"/>
        <v>-805.25500000000011</v>
      </c>
      <c r="H17" s="2" t="str">
        <f t="shared" ca="1" si="1"/>
        <v>=-G16*$B$6</v>
      </c>
    </row>
    <row r="18" spans="1:8" x14ac:dyDescent="0.25">
      <c r="A18" s="2" t="s">
        <v>17</v>
      </c>
      <c r="B18" s="7"/>
      <c r="C18" s="7">
        <f>-$B$7</f>
        <v>-200</v>
      </c>
      <c r="D18" s="7">
        <f t="shared" ref="D18:G18" si="4">-$B$7</f>
        <v>-200</v>
      </c>
      <c r="E18" s="7">
        <f t="shared" si="4"/>
        <v>-200</v>
      </c>
      <c r="F18" s="7">
        <f t="shared" si="4"/>
        <v>-200</v>
      </c>
      <c r="G18" s="7">
        <f t="shared" si="4"/>
        <v>-200</v>
      </c>
      <c r="H18" s="2" t="str">
        <f t="shared" ca="1" si="1"/>
        <v>=-$B$7</v>
      </c>
    </row>
    <row r="19" spans="1:8" x14ac:dyDescent="0.25">
      <c r="A19" s="2" t="s">
        <v>18</v>
      </c>
      <c r="B19" s="7">
        <f>-$B$9*B38</f>
        <v>-32</v>
      </c>
      <c r="C19" s="7">
        <f>-$B$9*(B38+C38)/2</f>
        <v>-32</v>
      </c>
      <c r="D19" s="7">
        <f t="shared" ref="D19:G19" si="5">-$B$9*(C38+D38)/2</f>
        <v>-32</v>
      </c>
      <c r="E19" s="7">
        <f t="shared" si="5"/>
        <v>-32</v>
      </c>
      <c r="F19" s="7">
        <f t="shared" si="5"/>
        <v>-32</v>
      </c>
      <c r="G19" s="7">
        <f t="shared" si="5"/>
        <v>-32</v>
      </c>
      <c r="H19" s="2" t="str">
        <f t="shared" ca="1" si="1"/>
        <v>=-$B$9*(F38+G38)/2</v>
      </c>
    </row>
    <row r="20" spans="1:8" x14ac:dyDescent="0.25">
      <c r="A20" s="2" t="s">
        <v>19</v>
      </c>
      <c r="B20" s="7">
        <f>$B$10*B29</f>
        <v>6.4</v>
      </c>
      <c r="C20" s="7">
        <f ca="1">$B$10*(B29+C29)/2</f>
        <v>6.0257177026614048</v>
      </c>
      <c r="D20" s="7">
        <f t="shared" ref="D20:G20" ca="1" si="6">$B$10*(C29+D29)/2</f>
        <v>5.4250836916172283</v>
      </c>
      <c r="E20" s="7">
        <f t="shared" ca="1" si="6"/>
        <v>5.1264870453988083</v>
      </c>
      <c r="F20" s="7">
        <f t="shared" ca="1" si="6"/>
        <v>5.1411686168905639</v>
      </c>
      <c r="G20" s="7">
        <f t="shared" ca="1" si="6"/>
        <v>5.4778285896717174</v>
      </c>
      <c r="H20" s="2" t="str">
        <f t="shared" ca="1" si="1"/>
        <v>=$B$10*(F29+G29)/2</v>
      </c>
    </row>
    <row r="21" spans="1:8" x14ac:dyDescent="0.25">
      <c r="A21" s="2" t="s">
        <v>20</v>
      </c>
      <c r="B21" s="7">
        <v>-100</v>
      </c>
      <c r="C21" s="7">
        <f ca="1">-$B$8*(B32+C32)/2</f>
        <v>-116.68421052789887</v>
      </c>
      <c r="D21" s="7">
        <f t="shared" ref="D21:G21" ca="1" si="7">-$B$8*(C32+D32)/2</f>
        <v>-137.47728534603399</v>
      </c>
      <c r="E21" s="7">
        <f t="shared" ca="1" si="7"/>
        <v>-161.31015769715657</v>
      </c>
      <c r="F21" s="7">
        <f t="shared" ca="1" si="7"/>
        <v>-188.58791228685951</v>
      </c>
      <c r="G21" s="7">
        <f t="shared" ca="1" si="7"/>
        <v>-219.76678680133588</v>
      </c>
      <c r="H21" s="2" t="str">
        <f t="shared" ca="1" si="1"/>
        <v>=-$B$8*(F32+G32)/2</v>
      </c>
    </row>
    <row r="22" spans="1:8" x14ac:dyDescent="0.25">
      <c r="A22" s="2" t="s">
        <v>21</v>
      </c>
      <c r="B22" s="7">
        <f t="shared" ref="B22:G22" si="8">SUM(B16:B21)</f>
        <v>374.4</v>
      </c>
      <c r="C22" s="7">
        <f t="shared" ca="1" si="8"/>
        <v>207.34150717476251</v>
      </c>
      <c r="D22" s="7">
        <f t="shared" ref="D22:G22" ca="1" si="9">SUM(D16:D21)</f>
        <v>240.94779834558321</v>
      </c>
      <c r="E22" s="7">
        <f t="shared" ca="1" si="9"/>
        <v>277.31632934824222</v>
      </c>
      <c r="F22" s="7">
        <f t="shared" ca="1" si="9"/>
        <v>316.60325633003117</v>
      </c>
      <c r="G22" s="7">
        <f t="shared" ca="1" si="9"/>
        <v>358.96604178833593</v>
      </c>
      <c r="H22" s="2" t="str">
        <f t="shared" ca="1" si="1"/>
        <v>=SUM(G16:G21)</v>
      </c>
    </row>
    <row r="23" spans="1:8" x14ac:dyDescent="0.25">
      <c r="A23" s="2" t="s">
        <v>22</v>
      </c>
      <c r="B23" s="7">
        <f t="shared" ref="B23:G23" si="10">-B22*$B$11</f>
        <v>-149.76</v>
      </c>
      <c r="C23" s="7">
        <f t="shared" ca="1" si="10"/>
        <v>-82.936602869905016</v>
      </c>
      <c r="D23" s="7">
        <f t="shared" ref="D23:G23" ca="1" si="11">-D22*$B$11</f>
        <v>-96.379119338233295</v>
      </c>
      <c r="E23" s="7">
        <f t="shared" ca="1" si="11"/>
        <v>-110.92653173929689</v>
      </c>
      <c r="F23" s="7">
        <f t="shared" ca="1" si="11"/>
        <v>-126.64130253201247</v>
      </c>
      <c r="G23" s="7">
        <f t="shared" ca="1" si="11"/>
        <v>-143.58641671533437</v>
      </c>
      <c r="H23" s="2" t="str">
        <f t="shared" ca="1" si="1"/>
        <v>=-G22*$B$11</v>
      </c>
    </row>
    <row r="24" spans="1:8" x14ac:dyDescent="0.25">
      <c r="A24" s="23" t="s">
        <v>23</v>
      </c>
      <c r="B24" s="26">
        <f t="shared" ref="B24:G24" si="12">B23+B22</f>
        <v>224.64</v>
      </c>
      <c r="C24" s="26">
        <f t="shared" ca="1" si="12"/>
        <v>124.4049043048575</v>
      </c>
      <c r="D24" s="26">
        <f t="shared" ref="D24:G24" ca="1" si="13">D23+D22</f>
        <v>144.56867900734991</v>
      </c>
      <c r="E24" s="26">
        <f t="shared" ca="1" si="13"/>
        <v>166.38979760894534</v>
      </c>
      <c r="F24" s="26">
        <f t="shared" ca="1" si="13"/>
        <v>189.9619537980187</v>
      </c>
      <c r="G24" s="26">
        <f t="shared" ca="1" si="13"/>
        <v>215.37962507300156</v>
      </c>
      <c r="H24" s="2" t="str">
        <f t="shared" ca="1" si="1"/>
        <v>=G23+G22</v>
      </c>
    </row>
    <row r="25" spans="1:8" x14ac:dyDescent="0.25">
      <c r="A25" s="2" t="s">
        <v>24</v>
      </c>
      <c r="B25" s="7">
        <f>-B24*$B$12</f>
        <v>-89.855999999999995</v>
      </c>
      <c r="C25" s="7">
        <f ca="1">-C24*$B$12</f>
        <v>-49.761961721943003</v>
      </c>
      <c r="D25" s="7">
        <f t="shared" ref="D25:G25" ca="1" si="14">-D24*$B$12</f>
        <v>-57.827471602939966</v>
      </c>
      <c r="E25" s="7">
        <f t="shared" ca="1" si="14"/>
        <v>-66.555919043578143</v>
      </c>
      <c r="F25" s="7">
        <f t="shared" ca="1" si="14"/>
        <v>-75.984781519207488</v>
      </c>
      <c r="G25" s="7">
        <f t="shared" ca="1" si="14"/>
        <v>-86.151850029200631</v>
      </c>
      <c r="H25" s="2" t="str">
        <f t="shared" ca="1" si="1"/>
        <v>=-G24*$B$12</v>
      </c>
    </row>
    <row r="26" spans="1:8" x14ac:dyDescent="0.25">
      <c r="A26" s="2" t="s">
        <v>25</v>
      </c>
      <c r="B26" s="7">
        <f t="shared" ref="B26:G26" si="15">B25+B24</f>
        <v>134.78399999999999</v>
      </c>
      <c r="C26" s="7">
        <f t="shared" ca="1" si="15"/>
        <v>74.642942582914486</v>
      </c>
      <c r="D26" s="7">
        <f t="shared" ref="D26:G26" ca="1" si="16">D25+D24</f>
        <v>86.741207404409948</v>
      </c>
      <c r="E26" s="7">
        <f t="shared" ca="1" si="16"/>
        <v>99.833878565367201</v>
      </c>
      <c r="F26" s="7">
        <f t="shared" ca="1" si="16"/>
        <v>113.97717227881121</v>
      </c>
      <c r="G26" s="7">
        <f t="shared" ca="1" si="16"/>
        <v>129.22777504380093</v>
      </c>
      <c r="H26" s="2" t="str">
        <f t="shared" ca="1" si="1"/>
        <v>=G25+G24</v>
      </c>
    </row>
    <row r="27" spans="1:8" x14ac:dyDescent="0.25">
      <c r="B27" s="7"/>
      <c r="C27" s="7"/>
      <c r="D27" s="7"/>
      <c r="E27" s="7"/>
      <c r="F27" s="7"/>
      <c r="G27" s="7"/>
    </row>
    <row r="28" spans="1:8" x14ac:dyDescent="0.25">
      <c r="A28" s="5" t="s">
        <v>26</v>
      </c>
      <c r="B28" s="7"/>
      <c r="C28" s="7"/>
      <c r="D28" s="7"/>
      <c r="E28" s="7"/>
      <c r="F28" s="7"/>
      <c r="G28" s="7"/>
    </row>
    <row r="29" spans="1:8" x14ac:dyDescent="0.25">
      <c r="A29" s="8" t="s">
        <v>27</v>
      </c>
      <c r="B29" s="7">
        <v>80</v>
      </c>
      <c r="C29" s="7">
        <f ca="1">C41-C30-C34</f>
        <v>70.64294256770313</v>
      </c>
      <c r="D29" s="7">
        <f t="shared" ref="D29:G29" ca="1" si="17">D41-D30-D34</f>
        <v>64.984149740138264</v>
      </c>
      <c r="E29" s="7">
        <f t="shared" ca="1" si="17"/>
        <v>63.178026525043606</v>
      </c>
      <c r="F29" s="7">
        <f t="shared" ca="1" si="17"/>
        <v>65.351189554296525</v>
      </c>
      <c r="G29" s="7">
        <f t="shared" ca="1" si="17"/>
        <v>71.59452772429313</v>
      </c>
      <c r="H29" s="2" t="str">
        <f t="shared" ca="1" si="1"/>
        <v>=G41-G30-G34</v>
      </c>
    </row>
    <row r="30" spans="1:8" x14ac:dyDescent="0.25">
      <c r="A30" s="21" t="s">
        <v>28</v>
      </c>
      <c r="B30" s="7">
        <f>$B$3*B16</f>
        <v>150</v>
      </c>
      <c r="C30" s="7">
        <f>C16*$B$3</f>
        <v>165</v>
      </c>
      <c r="D30" s="7">
        <f t="shared" ref="D30:G30" si="18">D16*$B$3</f>
        <v>181.5</v>
      </c>
      <c r="E30" s="7">
        <f t="shared" si="18"/>
        <v>199.65</v>
      </c>
      <c r="F30" s="7">
        <f t="shared" si="18"/>
        <v>219.61500000000001</v>
      </c>
      <c r="G30" s="7">
        <f t="shared" si="18"/>
        <v>241.57650000000001</v>
      </c>
      <c r="H30" s="2" t="str">
        <f t="shared" ca="1" si="1"/>
        <v>=G16*$B$3</v>
      </c>
    </row>
    <row r="31" spans="1:8" x14ac:dyDescent="0.25">
      <c r="A31" s="2" t="s">
        <v>29</v>
      </c>
      <c r="B31" s="7"/>
      <c r="C31" s="7"/>
      <c r="D31" s="7"/>
      <c r="E31" s="7"/>
      <c r="F31" s="7"/>
      <c r="G31" s="7"/>
    </row>
    <row r="32" spans="1:8" x14ac:dyDescent="0.25">
      <c r="A32" s="2" t="s">
        <v>30</v>
      </c>
      <c r="B32" s="7">
        <f t="shared" ref="B32:G32" si="19">B34-B33</f>
        <v>1070</v>
      </c>
      <c r="C32" s="7">
        <f t="shared" ca="1" si="19"/>
        <v>1263.6842105579769</v>
      </c>
      <c r="D32" s="7">
        <f t="shared" ref="D32:G32" ca="1" si="20">D34-D33</f>
        <v>1485.8614963627024</v>
      </c>
      <c r="E32" s="7">
        <f t="shared" ca="1" si="20"/>
        <v>1740.3416575804283</v>
      </c>
      <c r="F32" s="7">
        <f t="shared" ca="1" si="20"/>
        <v>2031.4165881567617</v>
      </c>
      <c r="G32" s="7">
        <f t="shared" ca="1" si="20"/>
        <v>2363.9191478699559</v>
      </c>
      <c r="H32" s="2" t="str">
        <f t="shared" ca="1" si="1"/>
        <v>=G34-G33</v>
      </c>
    </row>
    <row r="33" spans="1:8" x14ac:dyDescent="0.25">
      <c r="A33" s="2" t="s">
        <v>31</v>
      </c>
      <c r="B33" s="7">
        <v>-300</v>
      </c>
      <c r="C33" s="7">
        <f ca="1">B33+C21</f>
        <v>-416.68421052789887</v>
      </c>
      <c r="D33" s="7">
        <f t="shared" ref="D33:G33" ca="1" si="21">C33+D21</f>
        <v>-554.16149587393284</v>
      </c>
      <c r="E33" s="7">
        <f t="shared" ca="1" si="21"/>
        <v>-715.4716535710894</v>
      </c>
      <c r="F33" s="7">
        <f t="shared" ca="1" si="21"/>
        <v>-904.05956585794888</v>
      </c>
      <c r="G33" s="7">
        <f t="shared" ca="1" si="21"/>
        <v>-1123.8263526592848</v>
      </c>
      <c r="H33" s="2" t="str">
        <f t="shared" ca="1" si="1"/>
        <v>=F33+G21</v>
      </c>
    </row>
    <row r="34" spans="1:8" x14ac:dyDescent="0.25">
      <c r="A34" s="21" t="s">
        <v>32</v>
      </c>
      <c r="B34" s="7">
        <f t="shared" ref="B34:G34" si="22">B16*$B$5</f>
        <v>770</v>
      </c>
      <c r="C34" s="7">
        <f>C16*$B$5</f>
        <v>847</v>
      </c>
      <c r="D34" s="7">
        <f t="shared" ref="D34:G34" si="23">D16*$B$5</f>
        <v>931.7</v>
      </c>
      <c r="E34" s="7">
        <f t="shared" si="23"/>
        <v>1024.8700000000001</v>
      </c>
      <c r="F34" s="7">
        <f t="shared" si="23"/>
        <v>1127.3570000000002</v>
      </c>
      <c r="G34" s="7">
        <f t="shared" si="23"/>
        <v>1240.0927000000001</v>
      </c>
      <c r="H34" s="2" t="str">
        <f t="shared" ca="1" si="1"/>
        <v>=G16*$B$5</v>
      </c>
    </row>
    <row r="35" spans="1:8" x14ac:dyDescent="0.25">
      <c r="A35" s="5" t="s">
        <v>33</v>
      </c>
      <c r="B35" s="7">
        <f>B29+B30+B34</f>
        <v>1000</v>
      </c>
      <c r="C35" s="7">
        <f ca="1">C29+C30+C34</f>
        <v>1082.6429425677031</v>
      </c>
      <c r="D35" s="7">
        <f t="shared" ref="D35:G35" ca="1" si="24">D29+D30+D34</f>
        <v>1178.1841497401383</v>
      </c>
      <c r="E35" s="7">
        <f t="shared" ca="1" si="24"/>
        <v>1287.6980265250436</v>
      </c>
      <c r="F35" s="7">
        <f t="shared" ca="1" si="24"/>
        <v>1412.3231895542967</v>
      </c>
      <c r="G35" s="7">
        <f t="shared" ca="1" si="24"/>
        <v>1553.2637277242934</v>
      </c>
      <c r="H35" s="2" t="str">
        <f t="shared" ca="1" si="1"/>
        <v>=G29+G30+G34</v>
      </c>
    </row>
    <row r="36" spans="1:8" x14ac:dyDescent="0.25">
      <c r="B36" s="7"/>
      <c r="C36" s="7"/>
      <c r="D36" s="7"/>
      <c r="E36" s="7"/>
      <c r="F36" s="7"/>
      <c r="G36" s="7"/>
    </row>
    <row r="37" spans="1:8" x14ac:dyDescent="0.25">
      <c r="A37" s="21" t="s">
        <v>34</v>
      </c>
      <c r="B37" s="7">
        <f t="shared" ref="B37:G37" si="25">B16*$B$4</f>
        <v>80</v>
      </c>
      <c r="C37" s="7">
        <f>C16*$B$4</f>
        <v>88</v>
      </c>
      <c r="D37" s="7">
        <f t="shared" ref="D37:G37" si="26">D16*$B$4</f>
        <v>96.8</v>
      </c>
      <c r="E37" s="7">
        <f t="shared" si="26"/>
        <v>106.48</v>
      </c>
      <c r="F37" s="7">
        <f t="shared" si="26"/>
        <v>117.12800000000001</v>
      </c>
      <c r="G37" s="7">
        <f t="shared" si="26"/>
        <v>128.84080000000003</v>
      </c>
      <c r="H37" s="2" t="str">
        <f t="shared" ca="1" si="1"/>
        <v>=G16*$B$4</v>
      </c>
    </row>
    <row r="38" spans="1:8" x14ac:dyDescent="0.25">
      <c r="A38" s="2" t="s">
        <v>35</v>
      </c>
      <c r="B38" s="7">
        <f>B35-B37-B39-B40</f>
        <v>320</v>
      </c>
      <c r="C38" s="7">
        <f t="shared" ref="C38:G39" si="27">B38</f>
        <v>320</v>
      </c>
      <c r="D38" s="7">
        <f t="shared" ref="D38:G38" si="28">C38</f>
        <v>320</v>
      </c>
      <c r="E38" s="7">
        <f t="shared" si="28"/>
        <v>320</v>
      </c>
      <c r="F38" s="7">
        <f t="shared" si="28"/>
        <v>320</v>
      </c>
      <c r="G38" s="7">
        <f t="shared" si="28"/>
        <v>320</v>
      </c>
      <c r="H38" s="2" t="str">
        <f t="shared" ca="1" si="1"/>
        <v>=F38</v>
      </c>
    </row>
    <row r="39" spans="1:8" x14ac:dyDescent="0.25">
      <c r="A39" s="2" t="s">
        <v>36</v>
      </c>
      <c r="B39" s="7">
        <v>450</v>
      </c>
      <c r="C39" s="7">
        <f>B39</f>
        <v>450</v>
      </c>
      <c r="D39" s="7">
        <f t="shared" ref="D39:G39" si="29">C39</f>
        <v>450</v>
      </c>
      <c r="E39" s="7">
        <f t="shared" si="29"/>
        <v>450</v>
      </c>
      <c r="F39" s="7">
        <f t="shared" si="29"/>
        <v>450</v>
      </c>
      <c r="G39" s="7">
        <f t="shared" si="29"/>
        <v>450</v>
      </c>
      <c r="H39" s="2" t="str">
        <f t="shared" ca="1" si="1"/>
        <v>=F39</v>
      </c>
    </row>
    <row r="40" spans="1:8" x14ac:dyDescent="0.25">
      <c r="A40" s="2" t="s">
        <v>37</v>
      </c>
      <c r="B40" s="7">
        <v>150</v>
      </c>
      <c r="C40" s="7">
        <f ca="1">B40+C26</f>
        <v>224.64294258291449</v>
      </c>
      <c r="D40" s="7">
        <f t="shared" ref="D40:G40" ca="1" si="30">C40+D26</f>
        <v>311.38414998732446</v>
      </c>
      <c r="E40" s="7">
        <f t="shared" ca="1" si="30"/>
        <v>411.21802855269164</v>
      </c>
      <c r="F40" s="7">
        <f t="shared" ca="1" si="30"/>
        <v>525.1952008315028</v>
      </c>
      <c r="G40" s="7">
        <f t="shared" ca="1" si="30"/>
        <v>654.42297587530379</v>
      </c>
      <c r="H40" s="2" t="str">
        <f t="shared" ca="1" si="1"/>
        <v>=F40+G26</v>
      </c>
    </row>
    <row r="41" spans="1:8" x14ac:dyDescent="0.25">
      <c r="A41" s="5" t="s">
        <v>38</v>
      </c>
      <c r="B41" s="7">
        <f t="shared" ref="B41:G41" si="31">SUM(B37:B40)</f>
        <v>1000</v>
      </c>
      <c r="C41" s="7">
        <f ca="1">SUM(C37:C40)</f>
        <v>1082.6429425829144</v>
      </c>
      <c r="D41" s="7">
        <f t="shared" ref="D41:G41" ca="1" si="32">SUM(D37:D40)</f>
        <v>1178.1841499873244</v>
      </c>
      <c r="E41" s="7">
        <f t="shared" ca="1" si="32"/>
        <v>1287.6980285526915</v>
      </c>
      <c r="F41" s="7">
        <f t="shared" ca="1" si="32"/>
        <v>1412.3232008315028</v>
      </c>
      <c r="G41" s="7">
        <f t="shared" ca="1" si="32"/>
        <v>1553.263775875304</v>
      </c>
      <c r="H41" s="2" t="str">
        <f t="shared" ca="1" si="1"/>
        <v>=SUM(G37:G40)</v>
      </c>
    </row>
    <row r="44" spans="1:8" x14ac:dyDescent="0.25">
      <c r="A44" s="9" t="s">
        <v>13</v>
      </c>
      <c r="B44" s="10"/>
      <c r="C44" s="10"/>
      <c r="D44" s="10"/>
      <c r="E44" s="10"/>
      <c r="F44" s="10"/>
      <c r="G44" s="10"/>
      <c r="H44" s="5"/>
    </row>
    <row r="45" spans="1:8" x14ac:dyDescent="0.25">
      <c r="A45" s="9" t="s">
        <v>39</v>
      </c>
      <c r="B45" s="10">
        <v>0</v>
      </c>
      <c r="C45" s="10">
        <v>1</v>
      </c>
      <c r="D45" s="10">
        <v>2</v>
      </c>
      <c r="E45" s="10">
        <v>3</v>
      </c>
      <c r="F45" s="10">
        <v>4</v>
      </c>
      <c r="G45" s="10">
        <v>5</v>
      </c>
    </row>
    <row r="46" spans="1:8" x14ac:dyDescent="0.25">
      <c r="A46" s="11" t="s">
        <v>23</v>
      </c>
      <c r="B46" s="11"/>
      <c r="C46" s="11">
        <f t="shared" ref="C46:G46" ca="1" si="33">C24</f>
        <v>124.4049043048575</v>
      </c>
      <c r="D46" s="11">
        <f t="shared" ca="1" si="33"/>
        <v>144.56867900734991</v>
      </c>
      <c r="E46" s="11">
        <f t="shared" ca="1" si="33"/>
        <v>166.38979760894534</v>
      </c>
      <c r="F46" s="11">
        <f t="shared" ca="1" si="33"/>
        <v>189.9619537980187</v>
      </c>
      <c r="G46" s="11">
        <f t="shared" ca="1" si="33"/>
        <v>215.37962507300156</v>
      </c>
      <c r="H46" s="2" t="str">
        <f t="shared" ref="H46:H53" ca="1" si="34">_xlfn.FORMULATEXT(G46)</f>
        <v>=G24</v>
      </c>
    </row>
    <row r="47" spans="1:8" x14ac:dyDescent="0.25">
      <c r="A47" s="11" t="s">
        <v>40</v>
      </c>
      <c r="B47" s="11"/>
      <c r="C47" s="11">
        <f t="shared" ref="C47:G47" ca="1" si="35">-C21</f>
        <v>116.68421052789887</v>
      </c>
      <c r="D47" s="11">
        <f t="shared" ca="1" si="35"/>
        <v>137.47728534603399</v>
      </c>
      <c r="E47" s="11">
        <f t="shared" ca="1" si="35"/>
        <v>161.31015769715657</v>
      </c>
      <c r="F47" s="11">
        <f t="shared" ca="1" si="35"/>
        <v>188.58791228685951</v>
      </c>
      <c r="G47" s="11">
        <f t="shared" ca="1" si="35"/>
        <v>219.76678680133588</v>
      </c>
      <c r="H47" s="2" t="str">
        <f t="shared" ca="1" si="34"/>
        <v>=-G21</v>
      </c>
    </row>
    <row r="48" spans="1:8" x14ac:dyDescent="0.25">
      <c r="A48" s="11" t="s">
        <v>41</v>
      </c>
      <c r="B48" s="11"/>
      <c r="C48" s="11">
        <f>-(C30-B30)</f>
        <v>-15</v>
      </c>
      <c r="D48" s="11">
        <f t="shared" ref="D48:G48" si="36">-(D30-C30)</f>
        <v>-16.5</v>
      </c>
      <c r="E48" s="11">
        <f t="shared" si="36"/>
        <v>-18.150000000000006</v>
      </c>
      <c r="F48" s="11">
        <f t="shared" si="36"/>
        <v>-19.965000000000003</v>
      </c>
      <c r="G48" s="11">
        <f t="shared" si="36"/>
        <v>-21.961500000000001</v>
      </c>
      <c r="H48" s="2" t="str">
        <f t="shared" ca="1" si="34"/>
        <v>=-(G30-F30)</v>
      </c>
    </row>
    <row r="49" spans="1:9" x14ac:dyDescent="0.25">
      <c r="A49" s="11" t="s">
        <v>42</v>
      </c>
      <c r="B49" s="11"/>
      <c r="C49" s="11">
        <f>C37-B37</f>
        <v>8</v>
      </c>
      <c r="D49" s="11">
        <f t="shared" ref="D49:G49" si="37">D37-C37</f>
        <v>8.7999999999999972</v>
      </c>
      <c r="E49" s="11">
        <f t="shared" si="37"/>
        <v>9.6800000000000068</v>
      </c>
      <c r="F49" s="11">
        <f t="shared" si="37"/>
        <v>10.64800000000001</v>
      </c>
      <c r="G49" s="11">
        <f t="shared" si="37"/>
        <v>11.712800000000016</v>
      </c>
      <c r="H49" s="2" t="str">
        <f t="shared" ca="1" si="34"/>
        <v>=G37-F37</v>
      </c>
    </row>
    <row r="50" spans="1:9" x14ac:dyDescent="0.25">
      <c r="A50" s="11" t="s">
        <v>43</v>
      </c>
      <c r="B50" s="11"/>
      <c r="C50" s="11">
        <f ca="1">-(C32-B32)</f>
        <v>-193.68421055797694</v>
      </c>
      <c r="D50" s="11">
        <f t="shared" ref="D50:G50" ca="1" si="38">-(D32-C32)</f>
        <v>-222.17728580472544</v>
      </c>
      <c r="E50" s="11">
        <f t="shared" ca="1" si="38"/>
        <v>-254.48016121772594</v>
      </c>
      <c r="F50" s="11">
        <f t="shared" ca="1" si="38"/>
        <v>-291.07493057633337</v>
      </c>
      <c r="G50" s="11">
        <f t="shared" ca="1" si="38"/>
        <v>-332.50255971319416</v>
      </c>
      <c r="H50" s="2" t="str">
        <f t="shared" ca="1" si="34"/>
        <v>=-(G32-F32)</v>
      </c>
    </row>
    <row r="51" spans="1:9" x14ac:dyDescent="0.25">
      <c r="A51" s="11" t="s">
        <v>44</v>
      </c>
      <c r="B51" s="11"/>
      <c r="C51" s="11">
        <f>-C19*(1-$B$11)</f>
        <v>19.2</v>
      </c>
      <c r="D51" s="11">
        <f t="shared" ref="D51:G51" si="39">-D19*(1-$B$11)</f>
        <v>19.2</v>
      </c>
      <c r="E51" s="11">
        <f t="shared" si="39"/>
        <v>19.2</v>
      </c>
      <c r="F51" s="11">
        <f t="shared" si="39"/>
        <v>19.2</v>
      </c>
      <c r="G51" s="11">
        <f t="shared" si="39"/>
        <v>19.2</v>
      </c>
      <c r="H51" s="2" t="str">
        <f t="shared" ca="1" si="34"/>
        <v>=-G19*(1-$B$11)</v>
      </c>
    </row>
    <row r="52" spans="1:9" x14ac:dyDescent="0.25">
      <c r="A52" s="11" t="s">
        <v>45</v>
      </c>
      <c r="B52" s="11"/>
      <c r="C52" s="11">
        <f ca="1">-C20*(1-$B$11)</f>
        <v>-3.6154306215968428</v>
      </c>
      <c r="D52" s="11">
        <f t="shared" ref="D52:G52" ca="1" si="40">-D20*(1-$B$11)</f>
        <v>-3.2550502149703369</v>
      </c>
      <c r="E52" s="11">
        <f t="shared" ca="1" si="40"/>
        <v>-3.0758922272392848</v>
      </c>
      <c r="F52" s="11">
        <f t="shared" ca="1" si="40"/>
        <v>-3.0847011701343381</v>
      </c>
      <c r="G52" s="11">
        <f t="shared" ca="1" si="40"/>
        <v>-3.2866971538030305</v>
      </c>
      <c r="H52" s="2" t="str">
        <f t="shared" ca="1" si="34"/>
        <v>=-G20*(1-$B$11)</v>
      </c>
    </row>
    <row r="53" spans="1:9" x14ac:dyDescent="0.25">
      <c r="A53" s="9" t="s">
        <v>46</v>
      </c>
      <c r="B53" s="11"/>
      <c r="C53" s="27">
        <f ca="1">SUM(C46:C52)</f>
        <v>55.989473653182586</v>
      </c>
      <c r="D53" s="27">
        <f t="shared" ref="D53:G53" ca="1" si="41">SUM(D46:D52)</f>
        <v>68.113628333688141</v>
      </c>
      <c r="E53" s="27">
        <f t="shared" ca="1" si="41"/>
        <v>80.873901861136673</v>
      </c>
      <c r="F53" s="27">
        <f t="shared" ca="1" si="41"/>
        <v>94.273234338410489</v>
      </c>
      <c r="G53" s="27">
        <f t="shared" ca="1" si="41"/>
        <v>108.30845500734027</v>
      </c>
      <c r="H53" s="2" t="str">
        <f t="shared" ca="1" si="34"/>
        <v>=SUM(G46:G52)</v>
      </c>
    </row>
    <row r="56" spans="1:9" ht="17.399999999999999" x14ac:dyDescent="0.3">
      <c r="A56" s="12" t="s">
        <v>47</v>
      </c>
    </row>
    <row r="57" spans="1:9" x14ac:dyDescent="0.25">
      <c r="A57" s="8" t="s">
        <v>48</v>
      </c>
      <c r="B57" s="13">
        <v>0.2</v>
      </c>
      <c r="C57" s="8"/>
      <c r="D57" s="8"/>
      <c r="E57" s="8"/>
      <c r="F57" s="8"/>
      <c r="G57" s="8"/>
      <c r="H57" s="8"/>
    </row>
    <row r="58" spans="1:9" x14ac:dyDescent="0.25">
      <c r="A58" s="28" t="s">
        <v>71</v>
      </c>
      <c r="B58" s="29">
        <v>0.05</v>
      </c>
      <c r="C58" s="8" t="s">
        <v>72</v>
      </c>
      <c r="I58" s="2"/>
    </row>
    <row r="59" spans="1:9" x14ac:dyDescent="0.25">
      <c r="A59" s="9" t="s">
        <v>13</v>
      </c>
      <c r="B59" s="10">
        <v>0</v>
      </c>
      <c r="C59" s="10">
        <v>1</v>
      </c>
      <c r="D59" s="10">
        <v>2</v>
      </c>
      <c r="E59" s="10">
        <v>3</v>
      </c>
      <c r="F59" s="10">
        <v>4</v>
      </c>
      <c r="G59" s="10">
        <v>5</v>
      </c>
      <c r="H59" s="5"/>
    </row>
    <row r="60" spans="1:9" x14ac:dyDescent="0.25">
      <c r="A60" s="2" t="s">
        <v>49</v>
      </c>
      <c r="C60" s="11">
        <f ca="1">C53</f>
        <v>55.989473653182586</v>
      </c>
      <c r="D60" s="11">
        <f ca="1">D53</f>
        <v>68.113628333688141</v>
      </c>
      <c r="E60" s="11">
        <f ca="1">E53</f>
        <v>80.873901861136673</v>
      </c>
      <c r="F60" s="11">
        <f ca="1">F53</f>
        <v>94.273234338410489</v>
      </c>
      <c r="G60" s="14">
        <f ca="1">G53</f>
        <v>108.30845500734027</v>
      </c>
    </row>
    <row r="61" spans="1:9" x14ac:dyDescent="0.25">
      <c r="A61" s="2" t="s">
        <v>50</v>
      </c>
      <c r="G61" s="15">
        <f ca="1">G60*(1+$B$58)/(B57-$B$58)</f>
        <v>758.15918505138177</v>
      </c>
      <c r="H61" s="2" t="s">
        <v>51</v>
      </c>
    </row>
    <row r="62" spans="1:9" x14ac:dyDescent="0.25">
      <c r="A62" s="2" t="s">
        <v>52</v>
      </c>
      <c r="C62" s="11">
        <f ca="1">C61+C60</f>
        <v>55.989473653182586</v>
      </c>
      <c r="D62" s="11">
        <f ca="1">D61+D60</f>
        <v>68.113628333688141</v>
      </c>
      <c r="E62" s="11">
        <f ca="1">E61+E60</f>
        <v>80.873901861136673</v>
      </c>
      <c r="F62" s="11">
        <f ca="1">F61+F60</f>
        <v>94.273234338410489</v>
      </c>
      <c r="G62" s="14">
        <f ca="1">G61+G60</f>
        <v>866.46764005872205</v>
      </c>
    </row>
    <row r="64" spans="1:9" x14ac:dyDescent="0.25">
      <c r="A64" s="2" t="s">
        <v>53</v>
      </c>
      <c r="B64" s="14">
        <f ca="1">NPV(B57,C62:G62)</f>
        <v>534.43852168238175</v>
      </c>
      <c r="C64" s="2" t="s">
        <v>54</v>
      </c>
    </row>
    <row r="65" spans="1:9" x14ac:dyDescent="0.25">
      <c r="A65" s="2" t="s">
        <v>55</v>
      </c>
      <c r="B65" s="14">
        <f>B29</f>
        <v>80</v>
      </c>
    </row>
    <row r="66" spans="1:9" x14ac:dyDescent="0.25">
      <c r="A66" s="2" t="s">
        <v>56</v>
      </c>
      <c r="B66" s="14">
        <f ca="1">B65+B64</f>
        <v>614.43852168238175</v>
      </c>
    </row>
    <row r="67" spans="1:9" x14ac:dyDescent="0.25">
      <c r="A67" s="30" t="s">
        <v>57</v>
      </c>
      <c r="B67" s="31">
        <f>-B38</f>
        <v>-320</v>
      </c>
    </row>
    <row r="68" spans="1:9" x14ac:dyDescent="0.25">
      <c r="A68" s="2" t="s">
        <v>58</v>
      </c>
      <c r="B68" s="14">
        <f ca="1">B66+B67</f>
        <v>294.43852168238175</v>
      </c>
    </row>
    <row r="69" spans="1:9" x14ac:dyDescent="0.25">
      <c r="B69" s="14"/>
    </row>
    <row r="70" spans="1:9" ht="17.399999999999999" x14ac:dyDescent="0.3">
      <c r="A70" s="12" t="s">
        <v>59</v>
      </c>
      <c r="B70" s="14"/>
    </row>
    <row r="71" spans="1:9" x14ac:dyDescent="0.25">
      <c r="A71" s="2" t="s">
        <v>60</v>
      </c>
      <c r="B71" s="14">
        <f ca="1">B64</f>
        <v>534.43852168238175</v>
      </c>
    </row>
    <row r="72" spans="1:9" x14ac:dyDescent="0.25">
      <c r="A72" s="2" t="s">
        <v>61</v>
      </c>
      <c r="B72" s="14">
        <f>-B38+B29</f>
        <v>-240</v>
      </c>
      <c r="C72" s="2" t="s">
        <v>62</v>
      </c>
    </row>
    <row r="73" spans="1:9" x14ac:dyDescent="0.25">
      <c r="A73" s="2" t="s">
        <v>58</v>
      </c>
      <c r="B73" s="14">
        <f ca="1">B71+B72</f>
        <v>294.43852168238175</v>
      </c>
    </row>
    <row r="74" spans="1:9" x14ac:dyDescent="0.25">
      <c r="B74" s="14"/>
    </row>
    <row r="76" spans="1:9" ht="17.399999999999999" x14ac:dyDescent="0.3">
      <c r="A76" s="12" t="s">
        <v>63</v>
      </c>
    </row>
    <row r="77" spans="1:9" x14ac:dyDescent="0.25">
      <c r="A77" s="8" t="s">
        <v>48</v>
      </c>
      <c r="B77" s="13">
        <f>B57</f>
        <v>0.2</v>
      </c>
      <c r="C77" s="8"/>
      <c r="D77" s="8"/>
      <c r="E77" s="8"/>
      <c r="F77" s="8"/>
      <c r="G77" s="8"/>
      <c r="H77" s="8"/>
    </row>
    <row r="78" spans="1:9" x14ac:dyDescent="0.25">
      <c r="A78" s="28" t="s">
        <v>71</v>
      </c>
      <c r="B78" s="29">
        <v>0.05</v>
      </c>
      <c r="C78" s="8" t="s">
        <v>72</v>
      </c>
      <c r="I78" s="2"/>
    </row>
    <row r="79" spans="1:9" x14ac:dyDescent="0.25">
      <c r="A79" s="9" t="s">
        <v>13</v>
      </c>
      <c r="B79" s="10">
        <v>0</v>
      </c>
      <c r="C79" s="10">
        <v>1</v>
      </c>
      <c r="D79" s="10">
        <v>2</v>
      </c>
      <c r="E79" s="10">
        <v>3</v>
      </c>
      <c r="F79" s="10">
        <v>4</v>
      </c>
      <c r="G79" s="10">
        <v>5</v>
      </c>
      <c r="H79" s="5"/>
    </row>
    <row r="80" spans="1:9" x14ac:dyDescent="0.25">
      <c r="A80" s="2" t="s">
        <v>49</v>
      </c>
      <c r="C80" s="11">
        <f ca="1">C60</f>
        <v>55.989473653182586</v>
      </c>
      <c r="D80" s="11">
        <f ca="1">D60</f>
        <v>68.113628333688141</v>
      </c>
      <c r="E80" s="11">
        <f ca="1">E60</f>
        <v>80.873901861136673</v>
      </c>
      <c r="F80" s="11">
        <f ca="1">F60</f>
        <v>94.273234338410489</v>
      </c>
      <c r="G80" s="11">
        <f ca="1">G60</f>
        <v>108.30845500734027</v>
      </c>
    </row>
    <row r="81" spans="1:8" x14ac:dyDescent="0.25">
      <c r="A81" s="2" t="s">
        <v>50</v>
      </c>
      <c r="G81" s="15">
        <f ca="1">G80*(1+$B$58)/(B77-$B$58)</f>
        <v>758.15918505138177</v>
      </c>
      <c r="H81" s="2" t="str">
        <f ca="1">_xlfn.FORMULATEXT(G81)</f>
        <v>=G80*(1+$B$58)/(B77-$B$58)</v>
      </c>
    </row>
    <row r="82" spans="1:8" x14ac:dyDescent="0.25">
      <c r="A82" s="2" t="s">
        <v>52</v>
      </c>
      <c r="C82" s="11">
        <f ca="1">C81+C80</f>
        <v>55.989473653182586</v>
      </c>
      <c r="D82" s="11">
        <f ca="1">D81+D80</f>
        <v>68.113628333688141</v>
      </c>
      <c r="E82" s="11">
        <f ca="1">E81+E80</f>
        <v>80.873901861136673</v>
      </c>
      <c r="F82" s="11">
        <f ca="1">F81+F80</f>
        <v>94.273234338410489</v>
      </c>
      <c r="G82" s="14">
        <f ca="1">G81+G80</f>
        <v>866.46764005872205</v>
      </c>
    </row>
    <row r="84" spans="1:8" x14ac:dyDescent="0.25">
      <c r="A84" s="2" t="s">
        <v>64</v>
      </c>
      <c r="B84" s="14">
        <f ca="1">NPV(B77,C82:G82)*(1+B77)</f>
        <v>641.32622601885805</v>
      </c>
      <c r="C84" s="2" t="s">
        <v>65</v>
      </c>
    </row>
    <row r="85" spans="1:8" x14ac:dyDescent="0.25">
      <c r="A85" s="2" t="s">
        <v>55</v>
      </c>
      <c r="B85" s="14">
        <f>B29</f>
        <v>80</v>
      </c>
    </row>
    <row r="86" spans="1:8" x14ac:dyDescent="0.25">
      <c r="A86" s="2" t="s">
        <v>56</v>
      </c>
      <c r="B86" s="14">
        <f ca="1">B85+B84</f>
        <v>721.32622601885805</v>
      </c>
    </row>
    <row r="87" spans="1:8" x14ac:dyDescent="0.25">
      <c r="A87" s="2" t="s">
        <v>57</v>
      </c>
      <c r="B87" s="14">
        <f>B67</f>
        <v>-320</v>
      </c>
    </row>
    <row r="88" spans="1:8" x14ac:dyDescent="0.25">
      <c r="A88" s="2" t="s">
        <v>58</v>
      </c>
      <c r="B88" s="14">
        <f ca="1">B86+B87</f>
        <v>401.32622601885805</v>
      </c>
    </row>
    <row r="90" spans="1:8" x14ac:dyDescent="0.25">
      <c r="C90" s="14">
        <f ca="1">B88</f>
        <v>401.32622601885805</v>
      </c>
      <c r="D90" s="2" t="str">
        <f ca="1">[1]!getformula(C90)&amp;", data table header"</f>
        <v>&lt;--  =B88, data table header</v>
      </c>
    </row>
    <row r="91" spans="1:8" x14ac:dyDescent="0.25">
      <c r="A91" s="16" t="s">
        <v>66</v>
      </c>
      <c r="B91" s="2">
        <v>0</v>
      </c>
      <c r="C91" s="14">
        <f t="dataTable" ref="C91:C103" dt2D="0" dtr="0" r1="B7" ca="1"/>
        <v>1237.0672768281574</v>
      </c>
    </row>
    <row r="92" spans="1:8" x14ac:dyDescent="0.25">
      <c r="A92" s="16" t="s">
        <v>67</v>
      </c>
      <c r="B92" s="2">
        <v>50</v>
      </c>
      <c r="C92" s="14">
        <v>1028.1320916429727</v>
      </c>
    </row>
    <row r="93" spans="1:8" x14ac:dyDescent="0.25">
      <c r="B93" s="2">
        <v>100</v>
      </c>
      <c r="C93" s="14">
        <v>819.19690645778724</v>
      </c>
    </row>
    <row r="94" spans="1:8" x14ac:dyDescent="0.25">
      <c r="B94" s="2">
        <v>150</v>
      </c>
      <c r="C94" s="14">
        <v>610.26172127260213</v>
      </c>
    </row>
    <row r="95" spans="1:8" x14ac:dyDescent="0.25">
      <c r="B95" s="2">
        <v>200</v>
      </c>
      <c r="C95" s="14">
        <v>401.32653608741725</v>
      </c>
    </row>
    <row r="96" spans="1:8" x14ac:dyDescent="0.25">
      <c r="B96" s="2">
        <v>250</v>
      </c>
      <c r="C96" s="14">
        <v>192.39135090223181</v>
      </c>
    </row>
    <row r="97" spans="1:8" x14ac:dyDescent="0.25">
      <c r="B97" s="2">
        <v>300</v>
      </c>
      <c r="C97" s="14">
        <v>-16.543834282953355</v>
      </c>
    </row>
    <row r="98" spans="1:8" x14ac:dyDescent="0.25">
      <c r="B98" s="2">
        <v>350</v>
      </c>
      <c r="C98" s="14">
        <v>-225.47901946813849</v>
      </c>
    </row>
    <row r="99" spans="1:8" x14ac:dyDescent="0.25">
      <c r="B99" s="2">
        <v>400</v>
      </c>
      <c r="C99" s="14">
        <v>-434.41420465332374</v>
      </c>
    </row>
    <row r="100" spans="1:8" x14ac:dyDescent="0.25">
      <c r="B100" s="2">
        <v>450</v>
      </c>
      <c r="C100" s="14">
        <v>-643.34938983850884</v>
      </c>
    </row>
    <row r="101" spans="1:8" x14ac:dyDescent="0.25">
      <c r="B101" s="2">
        <v>500</v>
      </c>
      <c r="C101" s="14">
        <v>-852.28457502369406</v>
      </c>
    </row>
    <row r="102" spans="1:8" x14ac:dyDescent="0.25">
      <c r="B102" s="2">
        <v>550</v>
      </c>
      <c r="C102" s="14">
        <v>-1061.2197602088793</v>
      </c>
    </row>
    <row r="103" spans="1:8" x14ac:dyDescent="0.25">
      <c r="B103" s="2">
        <v>600</v>
      </c>
      <c r="C103" s="14">
        <v>-1270.1549453940643</v>
      </c>
    </row>
    <row r="107" spans="1:8" x14ac:dyDescent="0.25">
      <c r="A107" s="16" t="s">
        <v>66</v>
      </c>
      <c r="B107" s="17">
        <f ca="1">IF(B88&gt;0,B88,"nmf")</f>
        <v>401.32622601885805</v>
      </c>
      <c r="C107" s="13">
        <v>0</v>
      </c>
      <c r="D107" s="13">
        <v>0.03</v>
      </c>
      <c r="E107" s="13">
        <v>0.06</v>
      </c>
      <c r="F107" s="33">
        <v>0.09</v>
      </c>
      <c r="G107" s="13">
        <v>0.12</v>
      </c>
      <c r="H107" s="13">
        <v>0.15</v>
      </c>
    </row>
    <row r="108" spans="1:8" x14ac:dyDescent="0.25">
      <c r="A108" s="16" t="s">
        <v>68</v>
      </c>
      <c r="B108" s="8">
        <v>0</v>
      </c>
      <c r="C108" s="17">
        <f t="dataTable" ref="C108:H120" dt2D="1" dtr="1" r1="B2" r2="B7" ca="1"/>
        <v>1220.3147462471727</v>
      </c>
      <c r="D108" s="17">
        <v>1238.2418646750937</v>
      </c>
      <c r="E108" s="17">
        <v>1245.9788088372891</v>
      </c>
      <c r="F108" s="34">
        <v>1241.5865287551389</v>
      </c>
      <c r="G108" s="17">
        <v>1222.9555316730041</v>
      </c>
      <c r="H108" s="17">
        <v>1187.8002965527028</v>
      </c>
    </row>
    <row r="109" spans="1:8" x14ac:dyDescent="0.25">
      <c r="B109" s="2">
        <v>50</v>
      </c>
      <c r="C109" s="18">
        <v>1011.3792509934297</v>
      </c>
      <c r="D109" s="18">
        <v>1029.3066794899062</v>
      </c>
      <c r="E109" s="18">
        <v>1037.0436236521036</v>
      </c>
      <c r="F109" s="32">
        <v>1032.6513435699537</v>
      </c>
      <c r="G109" s="18">
        <v>1014.0203464878191</v>
      </c>
      <c r="H109" s="18">
        <v>978.86511136751778</v>
      </c>
    </row>
    <row r="110" spans="1:8" x14ac:dyDescent="0.25">
      <c r="A110" s="16"/>
      <c r="B110" s="2">
        <v>100</v>
      </c>
      <c r="C110" s="18">
        <v>802.44406580824466</v>
      </c>
      <c r="D110" s="18">
        <v>820.3714943047205</v>
      </c>
      <c r="E110" s="18">
        <v>828.10843846691887</v>
      </c>
      <c r="F110" s="32">
        <v>823.71615838476828</v>
      </c>
      <c r="G110" s="18">
        <v>805.08516130263342</v>
      </c>
      <c r="H110" s="18">
        <v>769.92992618233234</v>
      </c>
    </row>
    <row r="111" spans="1:8" x14ac:dyDescent="0.25">
      <c r="B111" s="2">
        <v>150</v>
      </c>
      <c r="C111" s="18">
        <v>593.50888062305955</v>
      </c>
      <c r="D111" s="18">
        <v>611.43630911953551</v>
      </c>
      <c r="E111" s="18">
        <v>619.17325328173365</v>
      </c>
      <c r="F111" s="32">
        <v>614.78097319958317</v>
      </c>
      <c r="G111" s="18">
        <v>596.14997611744866</v>
      </c>
      <c r="H111" s="18">
        <v>560.99474099714757</v>
      </c>
    </row>
    <row r="112" spans="1:8" x14ac:dyDescent="0.25">
      <c r="B112" s="30">
        <v>200</v>
      </c>
      <c r="C112" s="32">
        <v>384.57369543787456</v>
      </c>
      <c r="D112" s="32">
        <v>402.50112393435029</v>
      </c>
      <c r="E112" s="32">
        <v>410.2380680965482</v>
      </c>
      <c r="F112" s="32">
        <v>405.84578801439852</v>
      </c>
      <c r="G112" s="32">
        <v>387.21479093226355</v>
      </c>
      <c r="H112" s="32">
        <v>352.0595558119619</v>
      </c>
    </row>
    <row r="113" spans="2:8" x14ac:dyDescent="0.25">
      <c r="B113" s="2">
        <v>250</v>
      </c>
      <c r="C113" s="18">
        <v>175.63851025268929</v>
      </c>
      <c r="D113" s="18">
        <v>193.5659387491653</v>
      </c>
      <c r="E113" s="18">
        <v>201.30288291136299</v>
      </c>
      <c r="F113" s="32">
        <v>196.9106028292133</v>
      </c>
      <c r="G113" s="18">
        <v>178.27960574707851</v>
      </c>
      <c r="H113" s="18">
        <v>143.12437062677674</v>
      </c>
    </row>
    <row r="114" spans="2:8" x14ac:dyDescent="0.25">
      <c r="B114" s="2">
        <v>300</v>
      </c>
      <c r="C114" s="19" t="str">
        <v>nmf</v>
      </c>
      <c r="D114" s="19" t="str">
        <v>nmf</v>
      </c>
      <c r="E114" s="19" t="str">
        <v>nmf</v>
      </c>
      <c r="F114" s="35" t="str">
        <v>nmf</v>
      </c>
      <c r="G114" s="19" t="str">
        <v>nmf</v>
      </c>
      <c r="H114" s="19" t="str">
        <v>nmf</v>
      </c>
    </row>
    <row r="115" spans="2:8" x14ac:dyDescent="0.25">
      <c r="B115" s="2">
        <v>350</v>
      </c>
      <c r="C115" s="19" t="str">
        <v>nmf</v>
      </c>
      <c r="D115" s="19" t="str">
        <v>nmf</v>
      </c>
      <c r="E115" s="19" t="str">
        <v>nmf</v>
      </c>
      <c r="F115" s="35" t="str">
        <v>nmf</v>
      </c>
      <c r="G115" s="19" t="str">
        <v>nmf</v>
      </c>
      <c r="H115" s="19" t="str">
        <v>nmf</v>
      </c>
    </row>
    <row r="116" spans="2:8" x14ac:dyDescent="0.25">
      <c r="B116" s="2">
        <v>400</v>
      </c>
      <c r="C116" s="19" t="str">
        <v>nmf</v>
      </c>
      <c r="D116" s="19" t="str">
        <v>nmf</v>
      </c>
      <c r="E116" s="19" t="str">
        <v>nmf</v>
      </c>
      <c r="F116" s="35" t="str">
        <v>nmf</v>
      </c>
      <c r="G116" s="19" t="str">
        <v>nmf</v>
      </c>
      <c r="H116" s="19" t="str">
        <v>nmf</v>
      </c>
    </row>
    <row r="117" spans="2:8" x14ac:dyDescent="0.25">
      <c r="B117" s="2">
        <v>450</v>
      </c>
      <c r="C117" s="19" t="str">
        <v>nmf</v>
      </c>
      <c r="D117" s="19" t="str">
        <v>nmf</v>
      </c>
      <c r="E117" s="19" t="str">
        <v>nmf</v>
      </c>
      <c r="F117" s="35" t="str">
        <v>nmf</v>
      </c>
      <c r="G117" s="19" t="str">
        <v>nmf</v>
      </c>
      <c r="H117" s="19" t="str">
        <v>nmf</v>
      </c>
    </row>
    <row r="118" spans="2:8" x14ac:dyDescent="0.25">
      <c r="B118" s="2">
        <v>500</v>
      </c>
      <c r="C118" s="20" t="str">
        <v>nmf</v>
      </c>
      <c r="D118" s="20" t="str">
        <v>nmf</v>
      </c>
      <c r="E118" s="20" t="str">
        <v>nmf</v>
      </c>
      <c r="F118" s="36" t="str">
        <v>nmf</v>
      </c>
      <c r="G118" s="20" t="str">
        <v>nmf</v>
      </c>
      <c r="H118" s="20" t="str">
        <v>nmf</v>
      </c>
    </row>
    <row r="119" spans="2:8" x14ac:dyDescent="0.25">
      <c r="B119" s="2">
        <v>550</v>
      </c>
      <c r="C119" s="20" t="str">
        <v>nmf</v>
      </c>
      <c r="D119" s="20" t="str">
        <v>nmf</v>
      </c>
      <c r="E119" s="20" t="str">
        <v>nmf</v>
      </c>
      <c r="F119" s="36" t="str">
        <v>nmf</v>
      </c>
      <c r="G119" s="20" t="str">
        <v>nmf</v>
      </c>
      <c r="H119" s="20" t="str">
        <v>nmf</v>
      </c>
    </row>
    <row r="120" spans="2:8" x14ac:dyDescent="0.25">
      <c r="B120" s="2">
        <v>600</v>
      </c>
      <c r="C120" s="20" t="str">
        <v>nmf</v>
      </c>
      <c r="D120" s="20" t="str">
        <v>nmf</v>
      </c>
      <c r="E120" s="20" t="str">
        <v>nmf</v>
      </c>
      <c r="F120" s="36" t="str">
        <v>nmf</v>
      </c>
      <c r="G120" s="20" t="str">
        <v>nmf</v>
      </c>
      <c r="H120" s="20" t="str">
        <v>nmf</v>
      </c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2024-10-12T12:49:35Z</dcterms:modified>
</cp:coreProperties>
</file>