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ECB8356F-1932-49F1-8077-1743AC9BD73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" l="1"/>
  <c r="E25" i="1" s="1"/>
  <c r="F25" i="1" s="1"/>
  <c r="G25" i="1" s="1"/>
  <c r="D17" i="1"/>
  <c r="E17" i="1" s="1"/>
  <c r="D18" i="1"/>
  <c r="D30" i="1"/>
  <c r="D37" i="1"/>
  <c r="D39" i="1"/>
  <c r="E39" i="1" s="1"/>
  <c r="F39" i="1" s="1"/>
  <c r="G39" i="1" s="1"/>
  <c r="C25" i="1"/>
  <c r="C39" i="1"/>
  <c r="C37" i="1"/>
  <c r="C34" i="1"/>
  <c r="C30" i="1"/>
  <c r="C18" i="1"/>
  <c r="C17" i="1"/>
  <c r="B17" i="1"/>
  <c r="B34" i="1" s="1"/>
  <c r="B32" i="1" s="1"/>
  <c r="I58" i="1"/>
  <c r="I17" i="1"/>
  <c r="I33" i="1"/>
  <c r="I34" i="1"/>
  <c r="I18" i="1"/>
  <c r="I19" i="1"/>
  <c r="I35" i="1"/>
  <c r="I20" i="1"/>
  <c r="I21" i="1"/>
  <c r="I37" i="1"/>
  <c r="I22" i="1"/>
  <c r="I38" i="1"/>
  <c r="I23" i="1"/>
  <c r="I39" i="1"/>
  <c r="I24" i="1"/>
  <c r="I40" i="1"/>
  <c r="I25" i="1"/>
  <c r="I41" i="1"/>
  <c r="I26" i="1"/>
  <c r="I29" i="1"/>
  <c r="I30" i="1"/>
  <c r="I32" i="1"/>
  <c r="E37" i="1" l="1"/>
  <c r="F17" i="1"/>
  <c r="E18" i="1"/>
  <c r="E34" i="1"/>
  <c r="E30" i="1"/>
  <c r="D34" i="1"/>
  <c r="B37" i="1"/>
  <c r="B41" i="1" s="1"/>
  <c r="B30" i="1"/>
  <c r="B35" i="1" s="1"/>
  <c r="B38" i="1" s="1"/>
  <c r="F37" i="1" l="1"/>
  <c r="G17" i="1"/>
  <c r="F18" i="1"/>
  <c r="F34" i="1"/>
  <c r="F30" i="1"/>
  <c r="G37" i="1" l="1"/>
  <c r="G18" i="1"/>
  <c r="G34" i="1"/>
  <c r="G30" i="1"/>
  <c r="C49" i="1"/>
  <c r="C48" i="1"/>
  <c r="D49" i="1" l="1"/>
  <c r="D48" i="1"/>
  <c r="E48" i="1" l="1"/>
  <c r="E49" i="1"/>
  <c r="F49" i="1" l="1"/>
  <c r="F48" i="1"/>
  <c r="G48" i="1" l="1"/>
  <c r="G49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6" i="1"/>
  <c r="D26" i="1"/>
  <c r="E26" i="1"/>
  <c r="F26" i="1"/>
  <c r="G26" i="1"/>
  <c r="C29" i="1"/>
  <c r="D29" i="1"/>
  <c r="E29" i="1"/>
  <c r="F29" i="1"/>
  <c r="G29" i="1"/>
  <c r="C32" i="1"/>
  <c r="D32" i="1"/>
  <c r="E32" i="1"/>
  <c r="F32" i="1"/>
  <c r="G32" i="1"/>
  <c r="C33" i="1"/>
  <c r="D33" i="1"/>
  <c r="E33" i="1"/>
  <c r="F33" i="1"/>
  <c r="G33" i="1"/>
  <c r="C35" i="1"/>
  <c r="D35" i="1"/>
  <c r="E35" i="1"/>
  <c r="F35" i="1"/>
  <c r="G35" i="1"/>
  <c r="C38" i="1"/>
  <c r="D38" i="1"/>
  <c r="E38" i="1"/>
  <c r="F38" i="1"/>
  <c r="G38" i="1"/>
  <c r="C40" i="1"/>
  <c r="D40" i="1"/>
  <c r="E40" i="1"/>
  <c r="F40" i="1"/>
  <c r="G40" i="1"/>
  <c r="C41" i="1"/>
  <c r="D41" i="1"/>
  <c r="E41" i="1"/>
  <c r="F41" i="1"/>
  <c r="G41" i="1"/>
  <c r="C46" i="1"/>
  <c r="D46" i="1"/>
  <c r="E46" i="1"/>
  <c r="F46" i="1"/>
  <c r="G46" i="1"/>
  <c r="C47" i="1"/>
  <c r="D47" i="1"/>
  <c r="E47" i="1"/>
  <c r="F47" i="1"/>
  <c r="G47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8" i="1"/>
  <c r="D58" i="1"/>
  <c r="E58" i="1"/>
  <c r="F58" i="1"/>
  <c r="G58" i="1"/>
</calcChain>
</file>

<file path=xl/sharedStrings.xml><?xml version="1.0" encoding="utf-8"?>
<sst xmlns="http://schemas.openxmlformats.org/spreadsheetml/2006/main" count="68" uniqueCount="56">
  <si>
    <t>EXERCISE 5--MODELING DIVIDENDS ON A PER-SHARE BASIS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</si>
  <si>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</si>
  <si>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</si>
  <si>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</si>
  <si>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</si>
  <si>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</si>
  <si>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</si>
  <si>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</si>
  <si>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</si>
  <si>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</si>
  <si>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Year 1 dividend per share</t>
  </si>
  <si>
    <t>Number of shares</t>
  </si>
  <si>
    <t>Dividend annual growth rate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</si>
  <si>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</si>
  <si>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</si>
  <si>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</si>
  <si>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</si>
  <si>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</si>
  <si>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</si>
  <si>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</si>
  <si>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</si>
  <si>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</si>
  <si>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</si>
  <si>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</si>
  <si>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</si>
  <si>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</si>
  <si>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</si>
  <si>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</si>
  <si>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</si>
  <si>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</si>
  <si>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</si>
  <si>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</si>
  <si>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</si>
  <si>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</si>
  <si>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</si>
  <si>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</si>
  <si>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</si>
  <si>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</si>
  <si>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</si>
  <si>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</si>
  <si>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</si>
  <si>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</si>
  <si>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</si>
  <si>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</si>
  <si>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</si>
  <si>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</si>
  <si>
    <t>Part b:</t>
  </si>
  <si>
    <t xml:space="preserve">Table:  Debt/Equity (book values) ratio as a function of dividend growth rate </t>
  </si>
  <si>
    <t>Year 1</t>
  </si>
  <si>
    <t>Year 2</t>
  </si>
  <si>
    <t>Year 3</t>
  </si>
  <si>
    <t>Year 4</t>
  </si>
  <si>
    <t>Year 5</t>
  </si>
  <si>
    <t>Dividend growth rate</t>
  </si>
  <si>
    <t>if</t>
    <phoneticPr fontId="1" type="noConversion"/>
  </si>
  <si>
    <t>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</si>
</sst>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7" formatCode="_(* #,##0_);_(* \(#,##0\);_(* &quot;-&quot;??_);_(@_)"/>
    <numFmt numFmtId="178" formatCode="0_);\(0\)"/>
    <numFmt numFmtId="179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0" fillId="2" borderId="0" xfId="0" applyFill="1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177" fontId="0" fillId="0" borderId="0" xfId="1" applyNumberFormat="1" applyFont="1" applyAlignment="1"/>
    <xf numFmtId="177" fontId="0" fillId="2" borderId="0" xfId="1" applyNumberFormat="1" applyFont="1" applyFill="1" applyAlignment="1"/>
    <xf numFmtId="0" fontId="4" fillId="0" borderId="0" xfId="0" applyFont="1" applyAlignment="1"/>
    <xf numFmtId="178" fontId="5" fillId="0" borderId="0" xfId="0" applyNumberFormat="1" applyFont="1" applyAlignment="1"/>
    <xf numFmtId="178" fontId="5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4" fillId="0" borderId="0" xfId="0" applyNumberFormat="1" applyFont="1" applyAlignment="1"/>
    <xf numFmtId="179" fontId="4" fillId="0" borderId="0" xfId="0" applyNumberFormat="1" applyFont="1" applyAlignment="1"/>
    <xf numFmtId="179" fontId="4" fillId="0" borderId="0" xfId="0" applyNumberFormat="1" applyFont="1" applyAlignment="1">
      <alignment horizontal="right"/>
    </xf>
    <xf numFmtId="9" fontId="4" fillId="0" borderId="0" xfId="2" applyFont="1" applyAlignment="1">
      <alignment horizontal="right"/>
    </xf>
    <xf numFmtId="179" fontId="4" fillId="0" borderId="0" xfId="0" quotePrefix="1" applyNumberFormat="1" applyFont="1" applyAlignment="1">
      <alignment horizontal="right"/>
    </xf>
    <xf numFmtId="3" fontId="0" fillId="0" borderId="0" xfId="0" applyNumberFormat="1" applyAlignment="1"/>
    <xf numFmtId="3" fontId="0" fillId="0" borderId="0" xfId="0" quotePrefix="1" applyNumberFormat="1" applyAlignment="1"/>
    <xf numFmtId="43" fontId="0" fillId="0" borderId="0" xfId="1" applyFont="1" applyAlignment="1"/>
    <xf numFmtId="9" fontId="5" fillId="0" borderId="0" xfId="0" applyNumberFormat="1" applyFont="1" applyAlignment="1"/>
    <xf numFmtId="0" fontId="5" fillId="0" borderId="0" xfId="0" applyFont="1" applyAlignment="1">
      <alignment horizontal="right"/>
    </xf>
    <xf numFmtId="0" fontId="0" fillId="3" borderId="0" xfId="0" applyFill="1" applyAlignment="1"/>
    <xf numFmtId="9" fontId="0" fillId="3" borderId="0" xfId="0" applyNumberFormat="1" applyFill="1" applyAlignment="1"/>
    <xf numFmtId="0" fontId="0" fillId="4" borderId="0" xfId="0" applyFill="1" applyAlignment="1"/>
    <xf numFmtId="9" fontId="0" fillId="4" borderId="0" xfId="0" applyNumberFormat="1" applyFill="1" applyAlignment="1"/>
    <xf numFmtId="10" fontId="0" fillId="4" borderId="0" xfId="0" applyNumberFormat="1" applyFill="1" applyAlignment="1"/>
    <xf numFmtId="3" fontId="0" fillId="3" borderId="0" xfId="0" applyNumberFormat="1" applyFill="1" applyAlignment="1"/>
    <xf numFmtId="9" fontId="0" fillId="3" borderId="0" xfId="2" applyFont="1" applyFill="1" applyAlignment="1"/>
    <xf numFmtId="177" fontId="0" fillId="4" borderId="0" xfId="1" applyNumberFormat="1" applyFont="1" applyFill="1" applyAlignment="1"/>
    <xf numFmtId="178" fontId="0" fillId="4" borderId="0" xfId="0" applyNumberFormat="1" applyFill="1" applyAlignment="1"/>
    <xf numFmtId="179" fontId="6" fillId="0" borderId="0" xfId="0" applyNumberFormat="1" applyFont="1" applyAlignment="1"/>
    <xf numFmtId="0" fontId="7" fillId="0" borderId="0" xfId="0" applyFont="1">
      <alignment vertic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18"/>
  <sheetViews>
    <sheetView tabSelected="1" topLeftCell="A37" zoomScale="145" zoomScaleNormal="145" workbookViewId="0">
      <selection activeCell="L60" sqref="L60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1.5546875" style="2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8" x14ac:dyDescent="0.25">
      <c r="A2" s="24" t="s">
        <v>1</v>
      </c>
      <c r="B2" s="25">
        <v>0.2</v>
      </c>
      <c r="C2" s="2" t="s">
        <v>54</v>
      </c>
    </row>
    <row r="3" spans="1:8" x14ac:dyDescent="0.25">
      <c r="A3" s="24" t="s">
        <v>2</v>
      </c>
      <c r="B3" s="25">
        <v>0.2</v>
      </c>
      <c r="C3" s="2" t="s">
        <v>54</v>
      </c>
    </row>
    <row r="4" spans="1:8" x14ac:dyDescent="0.25">
      <c r="A4" s="24" t="s">
        <v>3</v>
      </c>
      <c r="B4" s="25">
        <v>0.08</v>
      </c>
      <c r="C4" s="2" t="s">
        <v>54</v>
      </c>
    </row>
    <row r="5" spans="1:8" x14ac:dyDescent="0.25">
      <c r="A5" s="24" t="s">
        <v>4</v>
      </c>
      <c r="B5" s="25">
        <v>0.8</v>
      </c>
      <c r="C5" s="2" t="s">
        <v>54</v>
      </c>
    </row>
    <row r="6" spans="1:8" x14ac:dyDescent="0.25">
      <c r="A6" s="24" t="s">
        <v>5</v>
      </c>
      <c r="B6" s="25">
        <v>0.5</v>
      </c>
      <c r="C6" s="2" t="s">
        <v>54</v>
      </c>
    </row>
    <row r="7" spans="1:8" x14ac:dyDescent="0.25">
      <c r="A7" s="26" t="s">
        <v>6</v>
      </c>
      <c r="B7" s="27">
        <v>0.1</v>
      </c>
      <c r="C7" s="2" t="s">
        <v>55</v>
      </c>
    </row>
    <row r="8" spans="1:8" x14ac:dyDescent="0.25">
      <c r="A8" s="26" t="s">
        <v>7</v>
      </c>
      <c r="B8" s="28">
        <v>0.1</v>
      </c>
      <c r="C8" s="2" t="s">
        <v>55</v>
      </c>
    </row>
    <row r="9" spans="1:8" x14ac:dyDescent="0.25">
      <c r="A9" s="26" t="s">
        <v>8</v>
      </c>
      <c r="B9" s="28">
        <v>0.08</v>
      </c>
      <c r="C9" s="2" t="s">
        <v>55</v>
      </c>
    </row>
    <row r="10" spans="1:8" x14ac:dyDescent="0.25">
      <c r="A10" s="24" t="s">
        <v>9</v>
      </c>
      <c r="B10" s="25">
        <v>0.4</v>
      </c>
      <c r="C10" s="2" t="s">
        <v>54</v>
      </c>
    </row>
    <row r="11" spans="1:8" x14ac:dyDescent="0.25">
      <c r="A11" s="24" t="s">
        <v>10</v>
      </c>
      <c r="B11" s="24">
        <v>0.15</v>
      </c>
      <c r="C11" s="2" t="s">
        <v>54</v>
      </c>
    </row>
    <row r="12" spans="1:8" x14ac:dyDescent="0.25">
      <c r="A12" s="24" t="s">
        <v>11</v>
      </c>
      <c r="B12" s="29">
        <v>1000</v>
      </c>
      <c r="C12" s="2" t="s">
        <v>54</v>
      </c>
    </row>
    <row r="13" spans="1:8" x14ac:dyDescent="0.25">
      <c r="A13" s="24" t="s">
        <v>12</v>
      </c>
      <c r="B13" s="30">
        <v>0.12</v>
      </c>
      <c r="C13" s="2" t="s">
        <v>54</v>
      </c>
    </row>
    <row r="15" spans="1:8" x14ac:dyDescent="0.25">
      <c r="A15" s="5" t="s">
        <v>13</v>
      </c>
      <c r="B15" s="6">
        <v>0</v>
      </c>
      <c r="C15" s="6">
        <v>1</v>
      </c>
      <c r="D15" s="6">
        <v>2</v>
      </c>
      <c r="E15" s="6">
        <v>3</v>
      </c>
      <c r="F15" s="6">
        <v>4</v>
      </c>
      <c r="G15" s="6">
        <v>5</v>
      </c>
      <c r="H15" s="5"/>
    </row>
    <row r="16" spans="1:8" x14ac:dyDescent="0.25">
      <c r="A16" s="5" t="s">
        <v>14</v>
      </c>
    </row>
    <row r="17" spans="1:9" x14ac:dyDescent="0.25">
      <c r="A17" s="24" t="s">
        <v>15</v>
      </c>
      <c r="B17" s="7">
        <f>1000</f>
        <v>1000</v>
      </c>
      <c r="C17" s="7">
        <f>B17*(1+$B$2)</f>
        <v>1200</v>
      </c>
      <c r="D17" s="7">
        <f t="shared" ref="D17:G17" si="0">C17*(1+$B$2)</f>
        <v>1440</v>
      </c>
      <c r="E17" s="7">
        <f t="shared" si="0"/>
        <v>1728</v>
      </c>
      <c r="F17" s="7">
        <f t="shared" si="0"/>
        <v>2073.6</v>
      </c>
      <c r="G17" s="7">
        <f t="shared" si="0"/>
        <v>2488.3199999999997</v>
      </c>
      <c r="I17" t="str">
        <f t="shared" ref="I17:I41" ca="1" si="1">_xlfn.FORMULATEXT(G17)</f>
        <v>=F17*(1+$B$2)</v>
      </c>
    </row>
    <row r="18" spans="1:9" x14ac:dyDescent="0.25">
      <c r="A18" s="24" t="s">
        <v>16</v>
      </c>
      <c r="B18" s="7"/>
      <c r="C18" s="7">
        <f>-C17*$B$6</f>
        <v>-600</v>
      </c>
      <c r="D18" s="7">
        <f t="shared" ref="D18:G18" si="2">-D17*$B$6</f>
        <v>-720</v>
      </c>
      <c r="E18" s="7">
        <f t="shared" si="2"/>
        <v>-864</v>
      </c>
      <c r="F18" s="7">
        <f t="shared" si="2"/>
        <v>-1036.8</v>
      </c>
      <c r="G18" s="7">
        <f t="shared" si="2"/>
        <v>-1244.1599999999999</v>
      </c>
      <c r="I18" t="str">
        <f t="shared" ca="1" si="1"/>
        <v>=-G17*$B$6</v>
      </c>
    </row>
    <row r="19" spans="1:9" x14ac:dyDescent="0.25">
      <c r="A19" s="2" t="s">
        <v>17</v>
      </c>
      <c r="B19" s="7"/>
      <c r="C19" s="7">
        <f ca="1">-$B$8*(B38+C38)/2</f>
        <v>-40</v>
      </c>
      <c r="D19" s="7">
        <f t="shared" ref="D19:G19" ca="1" si="3">-$B$8*(C38+D38)/2</f>
        <v>-43.321201645816856</v>
      </c>
      <c r="E19" s="7">
        <f t="shared" ca="1" si="3"/>
        <v>-50.733748896855083</v>
      </c>
      <c r="F19" s="7">
        <f t="shared" ca="1" si="3"/>
        <v>-59.178721179915115</v>
      </c>
      <c r="G19" s="7">
        <f t="shared" ca="1" si="3"/>
        <v>-68.100091340476055</v>
      </c>
      <c r="I19" t="str">
        <f t="shared" ca="1" si="1"/>
        <v>=-$B$8*(F38+G38)/2</v>
      </c>
    </row>
    <row r="20" spans="1:9" x14ac:dyDescent="0.25">
      <c r="A20" s="2" t="s">
        <v>18</v>
      </c>
      <c r="B20" s="7"/>
      <c r="C20" s="31">
        <f ca="1">$B$9*(B29+C29)/2</f>
        <v>3.5849870578084575</v>
      </c>
      <c r="D20" s="31">
        <f t="shared" ref="D20:G20" ca="1" si="4">$B$9*(C29+D29)/2</f>
        <v>0.38498705791563226</v>
      </c>
      <c r="E20" s="31">
        <f t="shared" ca="1" si="4"/>
        <v>2.1437881514430045E-9</v>
      </c>
      <c r="F20" s="31">
        <f t="shared" ca="1" si="4"/>
        <v>2.1652040231856519E-8</v>
      </c>
      <c r="G20" s="31">
        <f t="shared" ca="1" si="4"/>
        <v>1.4791463399888018E-7</v>
      </c>
      <c r="I20" t="str">
        <f t="shared" ca="1" si="1"/>
        <v>=$B$9*(F29+G29)/2</v>
      </c>
    </row>
    <row r="21" spans="1:9" x14ac:dyDescent="0.25">
      <c r="A21" s="2" t="s">
        <v>19</v>
      </c>
      <c r="B21" s="7"/>
      <c r="C21" s="7">
        <f ca="1">-$B$7*(B32+C32)/2</f>
        <v>-124.21052631578948</v>
      </c>
      <c r="D21" s="7">
        <f t="shared" ref="D21:G21" ca="1" si="5">-$B$7*(C32+D32)/2</f>
        <v>-155.81163434903047</v>
      </c>
      <c r="E21" s="7">
        <f t="shared" ca="1" si="5"/>
        <v>-194.44443796471788</v>
      </c>
      <c r="F21" s="7">
        <f t="shared" ca="1" si="5"/>
        <v>-241.59016827679343</v>
      </c>
      <c r="G21" s="7">
        <f t="shared" ca="1" si="5"/>
        <v>-299.03418599014014</v>
      </c>
      <c r="I21" t="str">
        <f t="shared" ca="1" si="1"/>
        <v>=-$B$7*(F32+G32)/2</v>
      </c>
    </row>
    <row r="22" spans="1:9" x14ac:dyDescent="0.25">
      <c r="A22" s="2" t="s">
        <v>20</v>
      </c>
      <c r="B22" s="7"/>
      <c r="C22" s="7">
        <f ca="1">SUM(C17:C21)</f>
        <v>439.37446074201898</v>
      </c>
      <c r="D22" s="7">
        <f t="shared" ref="D22:G22" ca="1" si="6">SUM(D17:D21)</f>
        <v>521.25215106306837</v>
      </c>
      <c r="E22" s="7">
        <f t="shared" ca="1" si="6"/>
        <v>618.82181314057084</v>
      </c>
      <c r="F22" s="7">
        <f t="shared" ca="1" si="6"/>
        <v>736.03111056494345</v>
      </c>
      <c r="G22" s="7">
        <f t="shared" ca="1" si="6"/>
        <v>877.02572281729829</v>
      </c>
      <c r="I22" t="str">
        <f t="shared" ca="1" si="1"/>
        <v>=SUM(G17:G21)</v>
      </c>
    </row>
    <row r="23" spans="1:9" x14ac:dyDescent="0.25">
      <c r="A23" s="2" t="s">
        <v>21</v>
      </c>
      <c r="B23" s="7"/>
      <c r="C23" s="7">
        <f ca="1">-$B$10*C22</f>
        <v>-175.7497842968076</v>
      </c>
      <c r="D23" s="7">
        <f t="shared" ref="D23:G23" ca="1" si="7">-$B$10*D22</f>
        <v>-208.50086042522736</v>
      </c>
      <c r="E23" s="7">
        <f t="shared" ca="1" si="7"/>
        <v>-247.52872525622834</v>
      </c>
      <c r="F23" s="7">
        <f t="shared" ca="1" si="7"/>
        <v>-294.41244422597737</v>
      </c>
      <c r="G23" s="7">
        <f t="shared" ca="1" si="7"/>
        <v>-350.81028912691932</v>
      </c>
      <c r="I23" t="str">
        <f t="shared" ca="1" si="1"/>
        <v>=-$B$10*G22</v>
      </c>
    </row>
    <row r="24" spans="1:9" x14ac:dyDescent="0.25">
      <c r="A24" s="2" t="s">
        <v>22</v>
      </c>
      <c r="B24" s="7"/>
      <c r="C24" s="7">
        <f ca="1">SUM(C22:C23)</f>
        <v>263.62467644521138</v>
      </c>
      <c r="D24" s="7">
        <f t="shared" ref="D24:G24" ca="1" si="8">SUM(D22:D23)</f>
        <v>312.75129063784101</v>
      </c>
      <c r="E24" s="7">
        <f t="shared" ca="1" si="8"/>
        <v>371.29308788434253</v>
      </c>
      <c r="F24" s="7">
        <f t="shared" ca="1" si="8"/>
        <v>441.61866633896608</v>
      </c>
      <c r="G24" s="7">
        <f t="shared" ca="1" si="8"/>
        <v>526.21543369037897</v>
      </c>
      <c r="I24" t="str">
        <f t="shared" ca="1" si="1"/>
        <v>=SUM(G22:G23)</v>
      </c>
    </row>
    <row r="25" spans="1:9" x14ac:dyDescent="0.25">
      <c r="A25" s="4" t="s">
        <v>23</v>
      </c>
      <c r="B25" s="8"/>
      <c r="C25" s="8">
        <f>-$B$11*$B$12</f>
        <v>-150</v>
      </c>
      <c r="D25" s="8">
        <f>C25*(1+$B$13)</f>
        <v>-168.00000000000003</v>
      </c>
      <c r="E25" s="8">
        <f t="shared" ref="E25:G25" si="9">D25*(1+$B$13)</f>
        <v>-188.16000000000005</v>
      </c>
      <c r="F25" s="8">
        <f t="shared" si="9"/>
        <v>-210.73920000000007</v>
      </c>
      <c r="G25" s="8">
        <f t="shared" si="9"/>
        <v>-236.02790400000009</v>
      </c>
      <c r="H25" s="8"/>
      <c r="I25" t="str">
        <f t="shared" ca="1" si="1"/>
        <v>=F25*(1+$B$13)</v>
      </c>
    </row>
    <row r="26" spans="1:9" x14ac:dyDescent="0.25">
      <c r="A26" s="2" t="s">
        <v>24</v>
      </c>
      <c r="B26" s="7"/>
      <c r="C26" s="7">
        <f ca="1">SUM(C24:C25)</f>
        <v>113.62467644521138</v>
      </c>
      <c r="D26" s="7">
        <f t="shared" ref="D26:G26" ca="1" si="10">SUM(D24:D25)</f>
        <v>144.75129063784098</v>
      </c>
      <c r="E26" s="7">
        <f t="shared" ca="1" si="10"/>
        <v>183.13308788434247</v>
      </c>
      <c r="F26" s="7">
        <f t="shared" ca="1" si="10"/>
        <v>230.87946633896601</v>
      </c>
      <c r="G26" s="7">
        <f t="shared" ca="1" si="10"/>
        <v>290.18752969037888</v>
      </c>
      <c r="I26" t="str">
        <f t="shared" ca="1" si="1"/>
        <v>=SUM(G24:G25)</v>
      </c>
    </row>
    <row r="27" spans="1:9" x14ac:dyDescent="0.25">
      <c r="B27" s="7"/>
      <c r="C27" s="7"/>
      <c r="D27" s="7"/>
      <c r="E27" s="7"/>
      <c r="F27" s="7"/>
      <c r="G27" s="7"/>
    </row>
    <row r="28" spans="1:9" x14ac:dyDescent="0.25">
      <c r="A28" s="5" t="s">
        <v>25</v>
      </c>
      <c r="B28" s="7"/>
      <c r="C28" s="7"/>
      <c r="D28" s="7"/>
      <c r="E28" s="7"/>
      <c r="F28" s="7"/>
      <c r="G28" s="7"/>
    </row>
    <row r="29" spans="1:9" x14ac:dyDescent="0.25">
      <c r="A29" s="9" t="s">
        <v>26</v>
      </c>
      <c r="B29" s="7">
        <v>80</v>
      </c>
      <c r="C29" s="31">
        <f ca="1">C41-C30-C34</f>
        <v>9.6246764452114348</v>
      </c>
      <c r="D29" s="31">
        <f t="shared" ref="D29:G29" ca="1" si="11">D41-D30-D34</f>
        <v>-9.4087226898409426E-10</v>
      </c>
      <c r="E29" s="31">
        <f t="shared" ca="1" si="11"/>
        <v>-1.8625996744958684E-8</v>
      </c>
      <c r="F29" s="31">
        <f t="shared" ca="1" si="11"/>
        <v>-1.8665718926058616E-7</v>
      </c>
      <c r="G29" s="31">
        <f t="shared" ca="1" si="11"/>
        <v>-1.2683237855526386E-6</v>
      </c>
      <c r="I29" t="str">
        <f t="shared" ca="1" si="1"/>
        <v>=G41-G30-G34</v>
      </c>
    </row>
    <row r="30" spans="1:9" x14ac:dyDescent="0.25">
      <c r="A30" s="24" t="s">
        <v>27</v>
      </c>
      <c r="B30" s="7">
        <f>$B$3*B17</f>
        <v>200</v>
      </c>
      <c r="C30" s="7">
        <f>C17*$B$3</f>
        <v>240</v>
      </c>
      <c r="D30" s="7">
        <f t="shared" ref="D30:G30" si="12">D17*$B$3</f>
        <v>288</v>
      </c>
      <c r="E30" s="7">
        <f t="shared" si="12"/>
        <v>345.6</v>
      </c>
      <c r="F30" s="7">
        <f t="shared" si="12"/>
        <v>414.72</v>
      </c>
      <c r="G30" s="7">
        <f t="shared" si="12"/>
        <v>497.66399999999999</v>
      </c>
      <c r="I30" t="str">
        <f t="shared" ca="1" si="1"/>
        <v>=G17*$B$3</v>
      </c>
    </row>
    <row r="31" spans="1:9" x14ac:dyDescent="0.25">
      <c r="A31" s="2" t="s">
        <v>28</v>
      </c>
      <c r="B31" s="7"/>
      <c r="C31" s="7"/>
      <c r="D31" s="7"/>
      <c r="E31" s="7"/>
      <c r="F31" s="7"/>
      <c r="G31" s="7"/>
    </row>
    <row r="32" spans="1:9" x14ac:dyDescent="0.25">
      <c r="A32" s="2" t="s">
        <v>29</v>
      </c>
      <c r="B32" s="7">
        <f t="shared" ref="B32:G32" si="13">B34-B33</f>
        <v>1100</v>
      </c>
      <c r="C32" s="7">
        <f t="shared" ca="1" si="13"/>
        <v>1384.2105263157896</v>
      </c>
      <c r="D32" s="7">
        <f t="shared" ref="D32:G32" ca="1" si="14">D34-D33</f>
        <v>1732.0221606648199</v>
      </c>
      <c r="E32" s="7">
        <f t="shared" ca="1" si="14"/>
        <v>2156.8665986295377</v>
      </c>
      <c r="F32" s="7">
        <f t="shared" ca="1" si="14"/>
        <v>2674.9367669063313</v>
      </c>
      <c r="G32" s="7">
        <f t="shared" ca="1" si="14"/>
        <v>3305.7469528964712</v>
      </c>
      <c r="I32" t="str">
        <f t="shared" ca="1" si="1"/>
        <v>=G34-G33</v>
      </c>
    </row>
    <row r="33" spans="1:9" x14ac:dyDescent="0.25">
      <c r="A33" s="2" t="s">
        <v>30</v>
      </c>
      <c r="B33" s="7">
        <v>-300</v>
      </c>
      <c r="C33" s="7">
        <f ca="1">B33+C21</f>
        <v>-424.21052631578948</v>
      </c>
      <c r="D33" s="7">
        <f t="shared" ref="D33:G33" ca="1" si="15">C33+D21</f>
        <v>-580.02216066481992</v>
      </c>
      <c r="E33" s="7">
        <f t="shared" ca="1" si="15"/>
        <v>-774.46659862953777</v>
      </c>
      <c r="F33" s="7">
        <f t="shared" ca="1" si="15"/>
        <v>-1016.0567669063312</v>
      </c>
      <c r="G33" s="7">
        <f t="shared" ca="1" si="15"/>
        <v>-1315.0909528964712</v>
      </c>
      <c r="I33" t="str">
        <f t="shared" ca="1" si="1"/>
        <v>=F33+G21</v>
      </c>
    </row>
    <row r="34" spans="1:9" x14ac:dyDescent="0.25">
      <c r="A34" s="24" t="s">
        <v>31</v>
      </c>
      <c r="B34" s="7">
        <f t="shared" ref="B34:G34" si="16">B17*$B$5</f>
        <v>800</v>
      </c>
      <c r="C34" s="7">
        <f>C17*$B$5</f>
        <v>960</v>
      </c>
      <c r="D34" s="7">
        <f t="shared" ref="D34:G34" si="17">D17*$B$5</f>
        <v>1152</v>
      </c>
      <c r="E34" s="7">
        <f t="shared" si="17"/>
        <v>1382.4</v>
      </c>
      <c r="F34" s="7">
        <f t="shared" si="17"/>
        <v>1658.88</v>
      </c>
      <c r="G34" s="7">
        <f t="shared" si="17"/>
        <v>1990.6559999999999</v>
      </c>
      <c r="I34" t="str">
        <f t="shared" ca="1" si="1"/>
        <v>=G17*$B$5</v>
      </c>
    </row>
    <row r="35" spans="1:9" x14ac:dyDescent="0.25">
      <c r="A35" s="5" t="s">
        <v>32</v>
      </c>
      <c r="B35" s="7">
        <f>B29+B30+B34</f>
        <v>1080</v>
      </c>
      <c r="C35" s="7">
        <f ca="1">C29+C30+C34</f>
        <v>1209.6246764452114</v>
      </c>
      <c r="D35" s="7">
        <f t="shared" ref="D35:G35" ca="1" si="18">D29+D30+D34</f>
        <v>1439.9999999990591</v>
      </c>
      <c r="E35" s="7">
        <f t="shared" ca="1" si="18"/>
        <v>1727.999999981374</v>
      </c>
      <c r="F35" s="7">
        <f t="shared" ca="1" si="18"/>
        <v>2073.5999998133429</v>
      </c>
      <c r="G35" s="7">
        <f t="shared" ca="1" si="18"/>
        <v>2488.3199987316762</v>
      </c>
      <c r="I35" t="str">
        <f t="shared" ca="1" si="1"/>
        <v>=G29+G30+G34</v>
      </c>
    </row>
    <row r="36" spans="1:9" x14ac:dyDescent="0.25">
      <c r="B36" s="7"/>
      <c r="C36" s="7"/>
      <c r="D36" s="7"/>
      <c r="E36" s="7"/>
      <c r="F36" s="7"/>
      <c r="G36" s="7"/>
    </row>
    <row r="37" spans="1:9" x14ac:dyDescent="0.25">
      <c r="A37" s="24" t="s">
        <v>33</v>
      </c>
      <c r="B37" s="7">
        <f t="shared" ref="B37:G37" si="19">B17*$B$4</f>
        <v>80</v>
      </c>
      <c r="C37" s="7">
        <f>C17*$B$4</f>
        <v>96</v>
      </c>
      <c r="D37" s="7">
        <f t="shared" ref="D37:G37" si="20">D17*$B$4</f>
        <v>115.2</v>
      </c>
      <c r="E37" s="7">
        <f t="shared" si="20"/>
        <v>138.24</v>
      </c>
      <c r="F37" s="7">
        <f t="shared" si="20"/>
        <v>165.88800000000001</v>
      </c>
      <c r="G37" s="7">
        <f t="shared" si="20"/>
        <v>199.06559999999999</v>
      </c>
      <c r="I37" t="str">
        <f t="shared" ca="1" si="1"/>
        <v>=G17*$B$4</v>
      </c>
    </row>
    <row r="38" spans="1:9" x14ac:dyDescent="0.25">
      <c r="A38" s="2" t="s">
        <v>34</v>
      </c>
      <c r="B38" s="31">
        <f>B35-B37-B39-B40</f>
        <v>400</v>
      </c>
      <c r="C38" s="31">
        <f ca="1">MAX(C30+C34-C37-C39-C40,B38)</f>
        <v>400</v>
      </c>
      <c r="D38" s="31">
        <f t="shared" ref="D38:G38" ca="1" si="21">MAX(D30+D34-D37-D39-D40,C38)</f>
        <v>466.42403291727783</v>
      </c>
      <c r="E38" s="31">
        <f t="shared" ca="1" si="21"/>
        <v>548.25094503939079</v>
      </c>
      <c r="F38" s="31">
        <f t="shared" ca="1" si="21"/>
        <v>635.32347876419522</v>
      </c>
      <c r="G38" s="31">
        <f t="shared" ca="1" si="21"/>
        <v>726.67834950030692</v>
      </c>
      <c r="I38" s="34" t="str">
        <f t="shared" ca="1" si="1"/>
        <v>=MAX(G30+G34-G37-G39-G40,F38)</v>
      </c>
    </row>
    <row r="39" spans="1:9" x14ac:dyDescent="0.25">
      <c r="A39" s="2" t="s">
        <v>35</v>
      </c>
      <c r="B39" s="7">
        <v>450</v>
      </c>
      <c r="C39" s="7">
        <f>B39</f>
        <v>450</v>
      </c>
      <c r="D39" s="7">
        <f t="shared" ref="D39:G39" si="22">C39</f>
        <v>450</v>
      </c>
      <c r="E39" s="7">
        <f t="shared" si="22"/>
        <v>450</v>
      </c>
      <c r="F39" s="7">
        <f t="shared" si="22"/>
        <v>450</v>
      </c>
      <c r="G39" s="7">
        <f t="shared" si="22"/>
        <v>450</v>
      </c>
      <c r="I39" t="str">
        <f t="shared" ca="1" si="1"/>
        <v>=F39</v>
      </c>
    </row>
    <row r="40" spans="1:9" x14ac:dyDescent="0.25">
      <c r="A40" s="2" t="s">
        <v>36</v>
      </c>
      <c r="B40" s="7">
        <v>150</v>
      </c>
      <c r="C40" s="7">
        <f ca="1">B40+C26</f>
        <v>263.62467644521138</v>
      </c>
      <c r="D40" s="7">
        <f t="shared" ref="D40:G40" ca="1" si="23">C40+D26</f>
        <v>408.37596708305239</v>
      </c>
      <c r="E40" s="7">
        <f t="shared" ca="1" si="23"/>
        <v>591.50905496739483</v>
      </c>
      <c r="F40" s="7">
        <f t="shared" ca="1" si="23"/>
        <v>822.38852130636087</v>
      </c>
      <c r="G40" s="7">
        <f t="shared" ca="1" si="23"/>
        <v>1112.5760509967397</v>
      </c>
      <c r="I40" t="str">
        <f t="shared" ca="1" si="1"/>
        <v>=F40+G26</v>
      </c>
    </row>
    <row r="41" spans="1:9" x14ac:dyDescent="0.25">
      <c r="A41" s="5" t="s">
        <v>37</v>
      </c>
      <c r="B41" s="7">
        <f t="shared" ref="B41:G41" si="24">SUM(B37:B40)</f>
        <v>1080</v>
      </c>
      <c r="C41" s="7">
        <f t="shared" ca="1" si="24"/>
        <v>1209.6246764452114</v>
      </c>
      <c r="D41" s="7">
        <f t="shared" ref="D41:G41" ca="1" si="25">SUM(D37:D40)</f>
        <v>1440.0000000003301</v>
      </c>
      <c r="E41" s="7">
        <f t="shared" ca="1" si="25"/>
        <v>1728.0000000067855</v>
      </c>
      <c r="F41" s="7">
        <f t="shared" ca="1" si="25"/>
        <v>2073.6000000705562</v>
      </c>
      <c r="G41" s="7">
        <f t="shared" ca="1" si="25"/>
        <v>2488.3200004970467</v>
      </c>
      <c r="I41" t="str">
        <f t="shared" ca="1" si="1"/>
        <v>=SUM(G37:G40)</v>
      </c>
    </row>
    <row r="44" spans="1:9" x14ac:dyDescent="0.25">
      <c r="A44" s="10" t="s">
        <v>13</v>
      </c>
      <c r="B44" s="11">
        <v>0</v>
      </c>
      <c r="C44" s="11">
        <v>1</v>
      </c>
      <c r="D44" s="11">
        <v>2</v>
      </c>
      <c r="E44" s="11">
        <v>3</v>
      </c>
      <c r="F44" s="11">
        <v>4</v>
      </c>
      <c r="G44" s="11">
        <v>5</v>
      </c>
      <c r="H44" s="5"/>
    </row>
    <row r="45" spans="1:9" x14ac:dyDescent="0.25">
      <c r="A45" s="10" t="s">
        <v>38</v>
      </c>
      <c r="B45" s="12"/>
      <c r="C45" s="12"/>
      <c r="D45" s="12"/>
      <c r="E45" s="12"/>
      <c r="F45" s="12"/>
      <c r="G45" s="12"/>
    </row>
    <row r="46" spans="1:9" x14ac:dyDescent="0.25">
      <c r="A46" s="12" t="s">
        <v>22</v>
      </c>
      <c r="B46" s="12"/>
      <c r="C46" s="12">
        <f ca="1">C24</f>
        <v>263.62467644521138</v>
      </c>
      <c r="D46" s="12">
        <f ca="1">D24</f>
        <v>312.75129063784101</v>
      </c>
      <c r="E46" s="12">
        <f ca="1">E24</f>
        <v>371.29308788434253</v>
      </c>
      <c r="F46" s="12">
        <f ca="1">F24</f>
        <v>441.61866633896608</v>
      </c>
      <c r="G46" s="12">
        <f ca="1">G24</f>
        <v>526.21543369037897</v>
      </c>
    </row>
    <row r="47" spans="1:9" x14ac:dyDescent="0.25">
      <c r="A47" s="12" t="s">
        <v>39</v>
      </c>
      <c r="B47" s="12"/>
      <c r="C47" s="12">
        <f ca="1">-C21</f>
        <v>124.21052631578948</v>
      </c>
      <c r="D47" s="12">
        <f ca="1">-D21</f>
        <v>155.81163434903047</v>
      </c>
      <c r="E47" s="12">
        <f ca="1">-E21</f>
        <v>194.44443796471788</v>
      </c>
      <c r="F47" s="12">
        <f ca="1">-F21</f>
        <v>241.59016827679343</v>
      </c>
      <c r="G47" s="12">
        <f ca="1">-G21</f>
        <v>299.03418599014014</v>
      </c>
    </row>
    <row r="48" spans="1:9" x14ac:dyDescent="0.25">
      <c r="A48" s="12" t="s">
        <v>40</v>
      </c>
      <c r="B48" s="12"/>
      <c r="C48" s="12">
        <f>-(C30-B30)</f>
        <v>-40</v>
      </c>
      <c r="D48" s="12">
        <f>-(D30-C30)</f>
        <v>-48</v>
      </c>
      <c r="E48" s="12">
        <f>-(E30-D30)</f>
        <v>-57.600000000000023</v>
      </c>
      <c r="F48" s="12">
        <f>-(F30-E30)</f>
        <v>-69.12</v>
      </c>
      <c r="G48" s="12">
        <f>-(G30-F30)</f>
        <v>-82.94399999999996</v>
      </c>
    </row>
    <row r="49" spans="1:9" x14ac:dyDescent="0.25">
      <c r="A49" s="12" t="s">
        <v>41</v>
      </c>
      <c r="B49" s="12"/>
      <c r="C49" s="12">
        <f>C37-B37</f>
        <v>16</v>
      </c>
      <c r="D49" s="12">
        <f>D37-C37</f>
        <v>19.200000000000003</v>
      </c>
      <c r="E49" s="12">
        <f>E37-D37</f>
        <v>23.040000000000006</v>
      </c>
      <c r="F49" s="12">
        <f>F37-E37</f>
        <v>27.647999999999996</v>
      </c>
      <c r="G49" s="12">
        <f>G37-F37</f>
        <v>33.177599999999984</v>
      </c>
    </row>
    <row r="50" spans="1:9" x14ac:dyDescent="0.25">
      <c r="A50" s="12" t="s">
        <v>42</v>
      </c>
      <c r="B50" s="12"/>
      <c r="C50" s="12">
        <f ca="1">-(C32-B32)</f>
        <v>-284.21052631578959</v>
      </c>
      <c r="D50" s="12">
        <f ca="1">-(D32-C32)</f>
        <v>-347.81163434903033</v>
      </c>
      <c r="E50" s="12">
        <f ca="1">-(E32-D32)</f>
        <v>-424.84443796471783</v>
      </c>
      <c r="F50" s="12">
        <f ca="1">-(F32-E32)</f>
        <v>-518.07016827679354</v>
      </c>
      <c r="G50" s="12">
        <f ca="1">-(G32-F32)</f>
        <v>-630.81018599013987</v>
      </c>
    </row>
    <row r="51" spans="1:9" x14ac:dyDescent="0.25">
      <c r="A51" s="12" t="s">
        <v>43</v>
      </c>
      <c r="B51" s="12"/>
      <c r="C51" s="12">
        <f t="shared" ref="C51:G52" ca="1" si="26">-(1-$B$10)*C19</f>
        <v>24</v>
      </c>
      <c r="D51" s="12">
        <f t="shared" ca="1" si="26"/>
        <v>25.992720987490113</v>
      </c>
      <c r="E51" s="12">
        <f t="shared" ca="1" si="26"/>
        <v>30.440249338113048</v>
      </c>
      <c r="F51" s="12">
        <f t="shared" ca="1" si="26"/>
        <v>35.507232707949065</v>
      </c>
      <c r="G51" s="12">
        <f t="shared" ca="1" si="26"/>
        <v>40.860054804285632</v>
      </c>
    </row>
    <row r="52" spans="1:9" x14ac:dyDescent="0.25">
      <c r="A52" s="12" t="s">
        <v>44</v>
      </c>
      <c r="B52" s="12"/>
      <c r="C52" s="12">
        <f t="shared" ca="1" si="26"/>
        <v>-2.1509922346850745</v>
      </c>
      <c r="D52" s="12">
        <f t="shared" ca="1" si="26"/>
        <v>-0.23099223474937935</v>
      </c>
      <c r="E52" s="12">
        <f t="shared" ca="1" si="26"/>
        <v>-1.2862728908658027E-9</v>
      </c>
      <c r="F52" s="12">
        <f t="shared" ca="1" si="26"/>
        <v>-1.2991224139113911E-8</v>
      </c>
      <c r="G52" s="12">
        <f t="shared" ca="1" si="26"/>
        <v>-8.8748780399328103E-8</v>
      </c>
    </row>
    <row r="53" spans="1:9" x14ac:dyDescent="0.25">
      <c r="A53" s="10" t="s">
        <v>45</v>
      </c>
      <c r="B53" s="12"/>
      <c r="C53" s="32">
        <f ca="1">SUM(C46:C52)</f>
        <v>101.47368421052619</v>
      </c>
      <c r="D53" s="32">
        <f ca="1">SUM(D46:D52)</f>
        <v>117.71301939058191</v>
      </c>
      <c r="E53" s="32">
        <f ca="1">SUM(E46:E52)</f>
        <v>136.77333722116927</v>
      </c>
      <c r="F53" s="32">
        <f ca="1">SUM(F46:F52)</f>
        <v>159.17389903392387</v>
      </c>
      <c r="G53" s="32">
        <f ca="1">SUM(G46:G52)</f>
        <v>185.53308840591612</v>
      </c>
    </row>
    <row r="56" spans="1:9" x14ac:dyDescent="0.25">
      <c r="A56" s="5" t="s">
        <v>46</v>
      </c>
      <c r="C56" s="5" t="s">
        <v>47</v>
      </c>
    </row>
    <row r="57" spans="1:9" ht="17.399999999999999" x14ac:dyDescent="0.3">
      <c r="A57" s="13"/>
      <c r="C57" s="6" t="s">
        <v>48</v>
      </c>
      <c r="D57" s="6" t="s">
        <v>49</v>
      </c>
      <c r="E57" s="6" t="s">
        <v>50</v>
      </c>
      <c r="F57" s="6" t="s">
        <v>51</v>
      </c>
      <c r="G57" s="6" t="s">
        <v>52</v>
      </c>
    </row>
    <row r="58" spans="1:9" x14ac:dyDescent="0.25">
      <c r="A58" s="9"/>
      <c r="B58" s="14"/>
      <c r="C58" s="15">
        <f ca="1">(C38-C29)/(C39+C40)</f>
        <v>0.54703170509653709</v>
      </c>
      <c r="D58" s="15">
        <f ca="1">(D38-D29)/(D39+D40)</f>
        <v>0.54337965041499081</v>
      </c>
      <c r="E58" s="15">
        <f ca="1">(E38-E29)/(E39+E40)</f>
        <v>0.52640055546629905</v>
      </c>
      <c r="F58" s="15">
        <f ca="1">(F38-F29)/(F39+F40)</f>
        <v>0.49931563222416214</v>
      </c>
      <c r="G58" s="15">
        <f ca="1">(G38-G29)/(G39+G40)</f>
        <v>0.46505150920820487</v>
      </c>
      <c r="H58" s="9"/>
      <c r="I58" s="33" t="str">
        <f ca="1">_xlfn.FORMULATEXT(C58)</f>
        <v>=(C38-C29)/(C39+C40)</v>
      </c>
    </row>
    <row r="59" spans="1:9" x14ac:dyDescent="0.25">
      <c r="A59" s="9"/>
      <c r="B59" s="3">
        <v>0</v>
      </c>
      <c r="C59" s="16">
        <f t="dataTable" ref="C59:G68" dt2D="0" dtr="0" r1="B13" ca="1"/>
        <v>0.54703170509653709</v>
      </c>
      <c r="D59" s="16">
        <v>0.51072031886196856</v>
      </c>
      <c r="E59" s="16">
        <v>0.44450911968324169</v>
      </c>
      <c r="F59" s="16">
        <v>0.36489057958980248</v>
      </c>
      <c r="G59" s="16">
        <v>0.28299895330903824</v>
      </c>
    </row>
    <row r="60" spans="1:9" x14ac:dyDescent="0.25">
      <c r="A60" s="10" t="s">
        <v>53</v>
      </c>
      <c r="B60" s="17">
        <v>0.02</v>
      </c>
      <c r="C60" s="16">
        <v>0.54703170509653709</v>
      </c>
      <c r="D60" s="16">
        <v>0.5160672147507418</v>
      </c>
      <c r="E60" s="16">
        <v>0.45712880380090321</v>
      </c>
      <c r="F60" s="16">
        <v>0.38428884694756682</v>
      </c>
      <c r="G60" s="16">
        <v>0.30755826836842115</v>
      </c>
      <c r="H60" s="5"/>
    </row>
    <row r="61" spans="1:9" x14ac:dyDescent="0.25">
      <c r="B61" s="3">
        <v>0.04</v>
      </c>
      <c r="C61" s="16">
        <v>0.54703170509653709</v>
      </c>
      <c r="D61" s="16">
        <v>0.52145209363066625</v>
      </c>
      <c r="E61" s="16">
        <v>0.47013909888978828</v>
      </c>
      <c r="F61" s="16">
        <v>0.40477372966471281</v>
      </c>
      <c r="G61" s="16">
        <v>0.33412109880148733</v>
      </c>
    </row>
    <row r="62" spans="1:9" x14ac:dyDescent="0.25">
      <c r="B62" s="17">
        <v>0.06</v>
      </c>
      <c r="C62" s="16">
        <v>0.54703170509653709</v>
      </c>
      <c r="D62" s="16">
        <v>0.52687536168065341</v>
      </c>
      <c r="E62" s="16">
        <v>0.483555069449839</v>
      </c>
      <c r="F62" s="16">
        <v>0.42642555880804045</v>
      </c>
      <c r="G62" s="18">
        <v>0.36288183249755296</v>
      </c>
    </row>
    <row r="63" spans="1:9" x14ac:dyDescent="0.25">
      <c r="B63" s="3">
        <v>0.08</v>
      </c>
      <c r="C63" s="16">
        <v>0.54703170509653709</v>
      </c>
      <c r="D63" s="16">
        <v>0.53233743088777685</v>
      </c>
      <c r="E63" s="16">
        <v>0.49739261505362381</v>
      </c>
      <c r="F63" s="16">
        <v>0.44933286196347694</v>
      </c>
      <c r="G63" s="16">
        <v>0.39409007310552668</v>
      </c>
    </row>
    <row r="64" spans="1:9" x14ac:dyDescent="0.25">
      <c r="B64" s="17">
        <v>0.1</v>
      </c>
      <c r="C64" s="16">
        <v>0.54703170509653709</v>
      </c>
      <c r="D64" s="16">
        <v>0.53783871915545534</v>
      </c>
      <c r="E64" s="16">
        <v>0.5116685279385712</v>
      </c>
      <c r="F64" s="16">
        <v>0.4735934423005066</v>
      </c>
      <c r="G64" s="16">
        <v>0.42803461827549621</v>
      </c>
    </row>
    <row r="65" spans="1:8" x14ac:dyDescent="0.25">
      <c r="B65" s="3">
        <v>0.12</v>
      </c>
      <c r="C65" s="16">
        <v>0.54703170509653709</v>
      </c>
      <c r="D65" s="16">
        <v>0.54337965041003899</v>
      </c>
      <c r="E65" s="16">
        <v>0.5264005553901322</v>
      </c>
      <c r="F65" s="16">
        <v>0.49931563163303994</v>
      </c>
      <c r="G65" s="16">
        <v>0.4650515061010973</v>
      </c>
    </row>
    <row r="66" spans="1:8" x14ac:dyDescent="0.25">
      <c r="B66" s="17">
        <v>0.14000000000000001</v>
      </c>
      <c r="C66" s="16">
        <v>0.54703170509653709</v>
      </c>
      <c r="D66" s="16">
        <v>0.54896065470970601</v>
      </c>
      <c r="E66" s="16">
        <v>0.54160746746024424</v>
      </c>
      <c r="F66" s="16">
        <v>0.5266197518211766</v>
      </c>
      <c r="G66" s="16">
        <v>0.50553412716960866</v>
      </c>
    </row>
    <row r="67" spans="1:8" x14ac:dyDescent="0.25">
      <c r="B67" s="3">
        <v>0.16</v>
      </c>
      <c r="C67" s="16">
        <v>0.54703170509653709</v>
      </c>
      <c r="D67" s="16">
        <v>0.55458216835573226</v>
      </c>
      <c r="E67" s="16">
        <v>0.55730913056025155</v>
      </c>
      <c r="F67" s="16">
        <v>0.55563982609936591</v>
      </c>
      <c r="G67" s="16">
        <v>0.54994604846879136</v>
      </c>
    </row>
    <row r="68" spans="1:8" x14ac:dyDescent="0.25">
      <c r="B68" s="17">
        <v>0.18</v>
      </c>
      <c r="C68" s="16">
        <v>0.54703170509653709</v>
      </c>
      <c r="D68" s="16">
        <v>0.56024463400619051</v>
      </c>
      <c r="E68" s="16">
        <v>0.57352658753064578</v>
      </c>
      <c r="F68" s="16">
        <v>0.58652559168066087</v>
      </c>
      <c r="G68" s="16">
        <v>0.59883743729566785</v>
      </c>
    </row>
    <row r="69" spans="1:8" x14ac:dyDescent="0.25">
      <c r="B69" s="19"/>
    </row>
    <row r="70" spans="1:8" x14ac:dyDescent="0.25">
      <c r="B70" s="19"/>
    </row>
    <row r="71" spans="1:8" ht="17.399999999999999" x14ac:dyDescent="0.3">
      <c r="A71" s="13"/>
      <c r="B71" s="19"/>
    </row>
    <row r="72" spans="1:8" x14ac:dyDescent="0.25">
      <c r="B72" s="19"/>
    </row>
    <row r="73" spans="1:8" x14ac:dyDescent="0.25">
      <c r="B73" s="19"/>
    </row>
    <row r="74" spans="1:8" x14ac:dyDescent="0.25">
      <c r="B74" s="19"/>
    </row>
    <row r="75" spans="1:8" x14ac:dyDescent="0.25">
      <c r="B75" s="19"/>
    </row>
    <row r="77" spans="1:8" ht="17.399999999999999" x14ac:dyDescent="0.3">
      <c r="A77" s="13"/>
    </row>
    <row r="78" spans="1:8" x14ac:dyDescent="0.25">
      <c r="A78" s="9"/>
      <c r="B78" s="14"/>
      <c r="C78" s="9"/>
      <c r="D78" s="9"/>
      <c r="E78" s="9"/>
      <c r="F78" s="9"/>
      <c r="G78" s="9"/>
      <c r="H78" s="9"/>
    </row>
    <row r="79" spans="1:8" x14ac:dyDescent="0.25">
      <c r="A79" s="9"/>
    </row>
    <row r="80" spans="1:8" x14ac:dyDescent="0.25">
      <c r="A80" s="10"/>
      <c r="B80" s="11"/>
      <c r="C80" s="11"/>
      <c r="D80" s="11"/>
      <c r="E80" s="11"/>
      <c r="F80" s="11"/>
      <c r="G80" s="11"/>
      <c r="H80" s="5"/>
    </row>
    <row r="81" spans="2:7" x14ac:dyDescent="0.25">
      <c r="C81" s="12"/>
      <c r="D81" s="12"/>
      <c r="E81" s="12"/>
      <c r="F81" s="12"/>
      <c r="G81" s="12"/>
    </row>
    <row r="82" spans="2:7" x14ac:dyDescent="0.25">
      <c r="G82" s="20"/>
    </row>
    <row r="83" spans="2:7" x14ac:dyDescent="0.25">
      <c r="C83" s="12"/>
      <c r="D83" s="12"/>
      <c r="E83" s="12"/>
      <c r="F83" s="12"/>
      <c r="G83" s="19"/>
    </row>
    <row r="85" spans="2:7" x14ac:dyDescent="0.25">
      <c r="B85" s="19"/>
    </row>
    <row r="86" spans="2:7" x14ac:dyDescent="0.25">
      <c r="B86" s="19"/>
    </row>
    <row r="87" spans="2:7" x14ac:dyDescent="0.25">
      <c r="B87" s="19"/>
    </row>
    <row r="88" spans="2:7" x14ac:dyDescent="0.25">
      <c r="B88" s="19"/>
    </row>
    <row r="89" spans="2:7" x14ac:dyDescent="0.25">
      <c r="B89" s="19"/>
    </row>
    <row r="93" spans="2:7" x14ac:dyDescent="0.25">
      <c r="C93" s="19"/>
    </row>
    <row r="94" spans="2:7" x14ac:dyDescent="0.25">
      <c r="B94" s="3"/>
      <c r="C94" s="19"/>
    </row>
    <row r="95" spans="2:7" x14ac:dyDescent="0.25">
      <c r="B95" s="3"/>
      <c r="C95" s="19"/>
    </row>
    <row r="96" spans="2:7" x14ac:dyDescent="0.25">
      <c r="B96" s="3"/>
      <c r="C96" s="19"/>
    </row>
    <row r="97" spans="1:8" x14ac:dyDescent="0.25">
      <c r="B97" s="3"/>
      <c r="C97" s="19"/>
    </row>
    <row r="98" spans="1:8" x14ac:dyDescent="0.25">
      <c r="B98" s="3"/>
      <c r="C98" s="19"/>
    </row>
    <row r="99" spans="1:8" x14ac:dyDescent="0.25">
      <c r="B99" s="3"/>
      <c r="C99" s="19"/>
    </row>
    <row r="100" spans="1:8" x14ac:dyDescent="0.25">
      <c r="B100" s="3"/>
      <c r="C100" s="19"/>
    </row>
    <row r="101" spans="1:8" x14ac:dyDescent="0.25">
      <c r="B101" s="3"/>
      <c r="C101" s="19"/>
    </row>
    <row r="102" spans="1:8" x14ac:dyDescent="0.25">
      <c r="B102" s="3"/>
      <c r="C102" s="19"/>
    </row>
    <row r="108" spans="1:8" x14ac:dyDescent="0.25">
      <c r="C108" s="5"/>
    </row>
    <row r="109" spans="1:8" x14ac:dyDescent="0.25">
      <c r="B109" s="21"/>
      <c r="C109" s="22"/>
      <c r="D109" s="22"/>
      <c r="E109" s="22"/>
      <c r="F109" s="22"/>
      <c r="G109" s="22"/>
      <c r="H109" s="22"/>
    </row>
    <row r="110" spans="1:8" x14ac:dyDescent="0.25">
      <c r="B110" s="22"/>
      <c r="C110" s="21"/>
      <c r="D110" s="21"/>
      <c r="E110" s="21"/>
      <c r="F110" s="21"/>
      <c r="G110" s="21"/>
      <c r="H110" s="21"/>
    </row>
    <row r="111" spans="1:8" x14ac:dyDescent="0.25">
      <c r="A111" s="23"/>
      <c r="B111" s="22"/>
      <c r="C111" s="21"/>
      <c r="D111" s="21"/>
      <c r="E111" s="21"/>
      <c r="F111" s="21"/>
      <c r="G111" s="21"/>
      <c r="H111" s="21"/>
    </row>
    <row r="112" spans="1:8" x14ac:dyDescent="0.25">
      <c r="B112" s="22"/>
      <c r="C112" s="21"/>
      <c r="D112" s="21"/>
      <c r="E112" s="21"/>
      <c r="F112" s="21"/>
      <c r="G112" s="21"/>
      <c r="H112" s="21"/>
    </row>
    <row r="113" spans="2:8" x14ac:dyDescent="0.25">
      <c r="B113" s="22"/>
      <c r="C113" s="21"/>
      <c r="D113" s="21"/>
      <c r="E113" s="21"/>
      <c r="F113" s="21"/>
      <c r="G113" s="21"/>
      <c r="H113" s="21"/>
    </row>
    <row r="114" spans="2:8" x14ac:dyDescent="0.25">
      <c r="B114" s="22"/>
      <c r="C114" s="21"/>
      <c r="D114" s="21"/>
      <c r="E114" s="21"/>
      <c r="F114" s="21"/>
      <c r="G114" s="21"/>
      <c r="H114" s="21"/>
    </row>
    <row r="115" spans="2:8" x14ac:dyDescent="0.25">
      <c r="B115" s="22"/>
      <c r="C115" s="21"/>
      <c r="D115" s="21"/>
      <c r="E115" s="21"/>
      <c r="F115" s="21"/>
      <c r="G115" s="21"/>
      <c r="H115" s="21"/>
    </row>
    <row r="116" spans="2:8" x14ac:dyDescent="0.25">
      <c r="B116" s="22"/>
      <c r="C116" s="21"/>
      <c r="D116" s="21"/>
      <c r="E116" s="21"/>
      <c r="F116" s="21"/>
      <c r="G116" s="21"/>
      <c r="H116" s="21"/>
    </row>
    <row r="117" spans="2:8" x14ac:dyDescent="0.25">
      <c r="B117" s="22"/>
      <c r="C117" s="21"/>
      <c r="D117" s="21"/>
      <c r="E117" s="21"/>
      <c r="F117" s="21"/>
      <c r="G117" s="21"/>
      <c r="H117" s="21"/>
    </row>
    <row r="118" spans="2:8" x14ac:dyDescent="0.25">
      <c r="B118" s="22"/>
      <c r="C118" s="21"/>
      <c r="D118" s="21"/>
      <c r="E118" s="21"/>
      <c r="F118" s="21"/>
      <c r="G118" s="21"/>
      <c r="H118" s="21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2024-10-14T03:45:40Z</dcterms:modified>
</cp:coreProperties>
</file>