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6\"/>
    </mc:Choice>
  </mc:AlternateContent>
  <xr:revisionPtr revIDLastSave="0" documentId="13_ncr:1_{FF0A005A-F726-41B3-971F-A9B25D8354D6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definedNames>
    <definedName name="solver_adj" localSheetId="0" hidden="1">Sheet1!$B$4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Sheet1!$B$21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0.0722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9" i="1" l="1"/>
  <c r="C16" i="1"/>
  <c r="D16" i="1"/>
  <c r="E16" i="1"/>
  <c r="F16" i="1"/>
  <c r="G16" i="1"/>
  <c r="H16" i="1"/>
  <c r="H15" i="1"/>
  <c r="G15" i="1"/>
  <c r="F15" i="1"/>
  <c r="E15" i="1"/>
  <c r="D15" i="1"/>
  <c r="C15" i="1"/>
  <c r="B14" i="1"/>
  <c r="B16" i="1" s="1"/>
  <c r="G11" i="1"/>
  <c r="G19" i="1" s="1"/>
  <c r="F11" i="1"/>
  <c r="F19" i="1" s="1"/>
  <c r="E11" i="1"/>
  <c r="E19" i="1" s="1"/>
  <c r="D11" i="1"/>
  <c r="D19" i="1" s="1"/>
  <c r="C11" i="1"/>
  <c r="C19" i="1" s="1"/>
  <c r="B11" i="1"/>
  <c r="B5" i="1"/>
  <c r="C21" i="1"/>
  <c r="B19" i="1" l="1"/>
  <c r="B21" i="1" s="1"/>
  <c r="G26" i="1" l="1" a="1"/>
  <c r="G29" i="1" l="1"/>
  <c r="G28" i="1"/>
  <c r="G31" i="1"/>
  <c r="B31" i="1" s="1"/>
  <c r="G30" i="1"/>
  <c r="B30" i="1" s="1"/>
  <c r="G27" i="1"/>
  <c r="G26" i="1"/>
  <c r="B26" i="1" l="1"/>
  <c r="B27" i="1"/>
  <c r="D27" i="1" s="1"/>
  <c r="B29" i="1"/>
  <c r="D30" i="1"/>
  <c r="E30" i="1"/>
  <c r="D31" i="1"/>
  <c r="E31" i="1"/>
  <c r="B28" i="1"/>
  <c r="E26" i="1" l="1"/>
  <c r="D26" i="1"/>
  <c r="D29" i="1"/>
  <c r="E29" i="1"/>
  <c r="C30" i="1"/>
  <c r="F30" i="1"/>
  <c r="E27" i="1"/>
  <c r="F27" i="1" s="1"/>
  <c r="E28" i="1"/>
  <c r="C27" i="1"/>
  <c r="D28" i="1"/>
  <c r="C31" i="1"/>
  <c r="F31" i="1"/>
  <c r="F26" i="1" l="1"/>
  <c r="C26" i="1"/>
  <c r="F29" i="1"/>
  <c r="C29" i="1"/>
  <c r="F28" i="1"/>
  <c r="C28" i="1"/>
</calcChain>
</file>

<file path=xl/sharedStrings.xml><?xml version="1.0" encoding="utf-8"?>
<sst xmlns="http://schemas.openxmlformats.org/spreadsheetml/2006/main" count="25" uniqueCount="23">
  <si>
    <t>THE LESSOR'S PROBLEM
Calculating the lowest acceptable lease rate</t>
  </si>
  <si>
    <t>Asset cost</t>
  </si>
  <si>
    <t>Interest rate</t>
  </si>
  <si>
    <t>Lowest acceptable lease payment</t>
  </si>
  <si>
    <r>
      <t xml:space="preserve">&lt;-- Computed either with </t>
    </r>
    <r>
      <rPr>
        <b/>
        <sz val="10"/>
        <rFont val="Arial"/>
        <family val="2"/>
      </rPr>
      <t>Goal Seek</t>
    </r>
    <r>
      <rPr>
        <sz val="11"/>
        <color theme="1"/>
        <rFont val="等线"/>
        <family val="2"/>
        <charset val="134"/>
        <scheme val="minor"/>
      </rPr>
      <t xml:space="preserve"> or </t>
    </r>
    <r>
      <rPr>
        <b/>
        <sz val="10"/>
        <rFont val="Arial"/>
        <family val="2"/>
      </rPr>
      <t>Solver</t>
    </r>
  </si>
  <si>
    <t>Annual depreciation</t>
  </si>
  <si>
    <t>Tax rate</t>
  </si>
  <si>
    <t>Year</t>
  </si>
  <si>
    <t>Lessor after-tax cash flows from leasing</t>
  </si>
  <si>
    <t>After-tax lease rental</t>
  </si>
  <si>
    <t>Lessor after-tax cash flows from buying the asset</t>
  </si>
  <si>
    <t>Depreciation tax shield</t>
  </si>
  <si>
    <t>Net cash from buying</t>
  </si>
  <si>
    <t>Lessor cash flows</t>
  </si>
  <si>
    <t>Lease + buy</t>
  </si>
  <si>
    <t>IRR of differential cash flow</t>
  </si>
  <si>
    <t>Split of loan repayment between:</t>
  </si>
  <si>
    <t>Principal at beg. year</t>
  </si>
  <si>
    <t>Loan payment, end year</t>
  </si>
  <si>
    <t>Interest</t>
  </si>
  <si>
    <t>Repayment of principal</t>
  </si>
  <si>
    <t>After-tax loan repayment</t>
  </si>
  <si>
    <t>Lease minus buy cash flows, years 1-6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</si>
</sst>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_(* #,##0_);_(* \(#,##0\);_(* &quot;-&quot;??_);_(@_)"/>
    <numFmt numFmtId="177" formatCode="0.000%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/>
    <xf numFmtId="3" fontId="0" fillId="0" borderId="0" xfId="0" applyNumberFormat="1" applyAlignment="1"/>
    <xf numFmtId="9" fontId="0" fillId="0" borderId="0" xfId="0" applyNumberFormat="1" applyAlignment="1"/>
    <xf numFmtId="3" fontId="2" fillId="0" borderId="0" xfId="1" applyNumberFormat="1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10" fontId="0" fillId="0" borderId="0" xfId="0" applyNumberFormat="1" applyAlignment="1"/>
    <xf numFmtId="0" fontId="0" fillId="0" borderId="0" xfId="0" applyAlignment="1">
      <alignment horizont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76" fontId="2" fillId="0" borderId="0" xfId="1" applyNumberFormat="1" applyAlignment="1"/>
    <xf numFmtId="177" fontId="0" fillId="0" borderId="0" xfId="0" applyNumberFormat="1" applyAlignment="1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 wrapText="1"/>
    </xf>
    <xf numFmtId="3" fontId="0" fillId="3" borderId="0" xfId="0" applyNumberFormat="1" applyFill="1" applyAlignment="1"/>
    <xf numFmtId="0" fontId="0" fillId="3" borderId="0" xfId="0" applyFill="1" applyAlignment="1"/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31</xdr:row>
      <xdr:rowOff>91440</xdr:rowOff>
    </xdr:from>
    <xdr:ext cx="2007730" cy="193643"/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7DE3E78C-9405-4042-9736-6A68718FDD4D}"/>
            </a:ext>
          </a:extLst>
        </xdr:cNvPr>
        <xdr:cNvSpPr txBox="1">
          <a:spLocks noChangeArrowheads="1"/>
        </xdr:cNvSpPr>
      </xdr:nvSpPr>
      <xdr:spPr bwMode="auto">
        <a:xfrm>
          <a:off x="91440" y="6505575"/>
          <a:ext cx="2007730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1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=NPV((1-$B$6)*$B$3,G28:$G$33)</a:t>
          </a:r>
        </a:p>
      </xdr:txBody>
    </xdr:sp>
    <xdr:clientData/>
  </xdr:oneCellAnchor>
  <xdr:oneCellAnchor>
    <xdr:from>
      <xdr:col>1</xdr:col>
      <xdr:colOff>28575</xdr:colOff>
      <xdr:row>33</xdr:row>
      <xdr:rowOff>62865</xdr:rowOff>
    </xdr:from>
    <xdr:ext cx="920894" cy="193643"/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3DE52805-7170-4587-A251-6F0B2B521221}"/>
            </a:ext>
          </a:extLst>
        </xdr:cNvPr>
        <xdr:cNvSpPr txBox="1">
          <a:spLocks noChangeArrowheads="1"/>
        </xdr:cNvSpPr>
      </xdr:nvSpPr>
      <xdr:spPr bwMode="auto">
        <a:xfrm>
          <a:off x="2017395" y="6812280"/>
          <a:ext cx="920894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1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=D28+B28-B29</a:t>
          </a:r>
        </a:p>
      </xdr:txBody>
    </xdr:sp>
    <xdr:clientData/>
  </xdr:oneCellAnchor>
  <xdr:oneCellAnchor>
    <xdr:from>
      <xdr:col>2</xdr:col>
      <xdr:colOff>238125</xdr:colOff>
      <xdr:row>32</xdr:row>
      <xdr:rowOff>19050</xdr:rowOff>
    </xdr:from>
    <xdr:ext cx="689291" cy="193643"/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BCEB4CB1-AA3B-4905-8D03-80C984AD13E9}"/>
            </a:ext>
          </a:extLst>
        </xdr:cNvPr>
        <xdr:cNvSpPr txBox="1">
          <a:spLocks noChangeArrowheads="1"/>
        </xdr:cNvSpPr>
      </xdr:nvSpPr>
      <xdr:spPr bwMode="auto">
        <a:xfrm>
          <a:off x="3078480" y="6597015"/>
          <a:ext cx="689291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1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=$B$3*B28</a:t>
          </a:r>
        </a:p>
      </xdr:txBody>
    </xdr:sp>
    <xdr:clientData/>
  </xdr:oneCellAnchor>
  <xdr:oneCellAnchor>
    <xdr:from>
      <xdr:col>3</xdr:col>
      <xdr:colOff>428625</xdr:colOff>
      <xdr:row>31</xdr:row>
      <xdr:rowOff>133350</xdr:rowOff>
    </xdr:from>
    <xdr:ext cx="610809" cy="193643"/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67977D13-786F-42B6-9F0D-6AF02F7CEE49}"/>
            </a:ext>
          </a:extLst>
        </xdr:cNvPr>
        <xdr:cNvSpPr txBox="1">
          <a:spLocks noChangeArrowheads="1"/>
        </xdr:cNvSpPr>
      </xdr:nvSpPr>
      <xdr:spPr bwMode="auto">
        <a:xfrm>
          <a:off x="4116705" y="6539865"/>
          <a:ext cx="610809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1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=B28-B29</a:t>
          </a:r>
        </a:p>
      </xdr:txBody>
    </xdr:sp>
    <xdr:clientData/>
  </xdr:oneCellAnchor>
  <xdr:oneCellAnchor>
    <xdr:from>
      <xdr:col>5</xdr:col>
      <xdr:colOff>114300</xdr:colOff>
      <xdr:row>31</xdr:row>
      <xdr:rowOff>133350</xdr:rowOff>
    </xdr:from>
    <xdr:ext cx="1198790" cy="193643"/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6F128D81-92E4-474C-9521-BC319CAB4A64}"/>
            </a:ext>
          </a:extLst>
        </xdr:cNvPr>
        <xdr:cNvSpPr txBox="1">
          <a:spLocks noChangeArrowheads="1"/>
        </xdr:cNvSpPr>
      </xdr:nvSpPr>
      <xdr:spPr bwMode="auto">
        <a:xfrm>
          <a:off x="5495925" y="6539865"/>
          <a:ext cx="1198790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1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=(1-$B$6)*D28+E28</a:t>
          </a:r>
        </a:p>
      </xdr:txBody>
    </xdr:sp>
    <xdr:clientData/>
  </xdr:oneCellAnchor>
  <xdr:twoCellAnchor>
    <xdr:from>
      <xdr:col>0</xdr:col>
      <xdr:colOff>220980</xdr:colOff>
      <xdr:row>25</xdr:row>
      <xdr:rowOff>68580</xdr:rowOff>
    </xdr:from>
    <xdr:to>
      <xdr:col>1</xdr:col>
      <xdr:colOff>243840</xdr:colOff>
      <xdr:row>31</xdr:row>
      <xdr:rowOff>91440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2DB528E4-E0DB-48D5-8751-1DB649670E49}"/>
            </a:ext>
          </a:extLst>
        </xdr:cNvPr>
        <xdr:cNvSpPr>
          <a:spLocks noChangeShapeType="1"/>
        </xdr:cNvSpPr>
      </xdr:nvSpPr>
      <xdr:spPr bwMode="auto">
        <a:xfrm flipV="1">
          <a:off x="219075" y="5448300"/>
          <a:ext cx="2019300" cy="1057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434340</xdr:colOff>
      <xdr:row>25</xdr:row>
      <xdr:rowOff>99060</xdr:rowOff>
    </xdr:from>
    <xdr:to>
      <xdr:col>2</xdr:col>
      <xdr:colOff>243840</xdr:colOff>
      <xdr:row>33</xdr:row>
      <xdr:rowOff>60960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A1CC187B-6313-4D9B-A838-22459C3D7B43}"/>
            </a:ext>
          </a:extLst>
        </xdr:cNvPr>
        <xdr:cNvSpPr>
          <a:spLocks noChangeShapeType="1"/>
        </xdr:cNvSpPr>
      </xdr:nvSpPr>
      <xdr:spPr bwMode="auto">
        <a:xfrm flipV="1">
          <a:off x="2428875" y="5476875"/>
          <a:ext cx="657225" cy="1333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25</xdr:row>
      <xdr:rowOff>76200</xdr:rowOff>
    </xdr:from>
    <xdr:to>
      <xdr:col>3</xdr:col>
      <xdr:colOff>289560</xdr:colOff>
      <xdr:row>32</xdr:row>
      <xdr:rowOff>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16199792-C913-4A49-9A94-905512420021}"/>
            </a:ext>
          </a:extLst>
        </xdr:cNvPr>
        <xdr:cNvSpPr>
          <a:spLocks noChangeShapeType="1"/>
        </xdr:cNvSpPr>
      </xdr:nvSpPr>
      <xdr:spPr bwMode="auto">
        <a:xfrm flipV="1">
          <a:off x="3333750" y="5457825"/>
          <a:ext cx="638175" cy="11239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609600</xdr:colOff>
      <xdr:row>25</xdr:row>
      <xdr:rowOff>60960</xdr:rowOff>
    </xdr:from>
    <xdr:to>
      <xdr:col>4</xdr:col>
      <xdr:colOff>289560</xdr:colOff>
      <xdr:row>31</xdr:row>
      <xdr:rowOff>106680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CAF8D81B-EB31-43E4-BC03-DC8E61A30672}"/>
            </a:ext>
          </a:extLst>
        </xdr:cNvPr>
        <xdr:cNvSpPr>
          <a:spLocks noChangeShapeType="1"/>
        </xdr:cNvSpPr>
      </xdr:nvSpPr>
      <xdr:spPr bwMode="auto">
        <a:xfrm flipV="1">
          <a:off x="4295775" y="5438775"/>
          <a:ext cx="523875" cy="107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655320</xdr:colOff>
      <xdr:row>25</xdr:row>
      <xdr:rowOff>83820</xdr:rowOff>
    </xdr:from>
    <xdr:to>
      <xdr:col>6</xdr:col>
      <xdr:colOff>320040</xdr:colOff>
      <xdr:row>32</xdr:row>
      <xdr:rowOff>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432E811A-F6FC-4418-972A-7BFCA15A983F}"/>
            </a:ext>
          </a:extLst>
        </xdr:cNvPr>
        <xdr:cNvSpPr>
          <a:spLocks noChangeShapeType="1"/>
        </xdr:cNvSpPr>
      </xdr:nvSpPr>
      <xdr:spPr bwMode="auto">
        <a:xfrm flipH="1" flipV="1">
          <a:off x="6038850" y="5467350"/>
          <a:ext cx="514350" cy="11144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9</xdr:col>
      <xdr:colOff>476250</xdr:colOff>
      <xdr:row>2</xdr:row>
      <xdr:rowOff>133350</xdr:rowOff>
    </xdr:from>
    <xdr:to>
      <xdr:col>22</xdr:col>
      <xdr:colOff>472440</xdr:colOff>
      <xdr:row>41</xdr:row>
      <xdr:rowOff>95250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55CE6984-515C-211C-1324-B01AADFBF2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010650" y="523875"/>
          <a:ext cx="7915275" cy="7143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31"/>
  <sheetViews>
    <sheetView tabSelected="1" zoomScale="175" zoomScaleNormal="175" workbookViewId="0">
      <selection activeCell="E21" sqref="E21"/>
    </sheetView>
  </sheetViews>
  <sheetFormatPr defaultRowHeight="13.8" x14ac:dyDescent="0.25"/>
  <cols>
    <col min="1" max="1" width="30.109375" style="1" customWidth="1"/>
    <col min="2" max="8" width="12.33203125" style="1" customWidth="1"/>
  </cols>
  <sheetData>
    <row r="1" spans="1:8" ht="17.399999999999999" x14ac:dyDescent="0.25">
      <c r="A1" s="13" t="s">
        <v>0</v>
      </c>
      <c r="B1" s="14"/>
      <c r="C1" s="14"/>
      <c r="D1" s="14"/>
      <c r="E1" s="14"/>
      <c r="F1" s="14"/>
      <c r="G1" s="14"/>
      <c r="H1" s="14"/>
    </row>
    <row r="2" spans="1:8" x14ac:dyDescent="0.25">
      <c r="A2" s="1" t="s">
        <v>1</v>
      </c>
      <c r="B2" s="2">
        <v>600000</v>
      </c>
    </row>
    <row r="3" spans="1:8" x14ac:dyDescent="0.25">
      <c r="A3" s="1" t="s">
        <v>2</v>
      </c>
      <c r="B3" s="3">
        <v>0.12</v>
      </c>
    </row>
    <row r="4" spans="1:8" x14ac:dyDescent="0.25">
      <c r="A4" s="1" t="s">
        <v>3</v>
      </c>
      <c r="B4" s="16">
        <v>134821.93917027264</v>
      </c>
      <c r="C4" s="1" t="s">
        <v>4</v>
      </c>
    </row>
    <row r="5" spans="1:8" x14ac:dyDescent="0.25">
      <c r="A5" s="1" t="s">
        <v>5</v>
      </c>
      <c r="B5" s="4">
        <f>B2/6</f>
        <v>100000</v>
      </c>
    </row>
    <row r="6" spans="1:8" x14ac:dyDescent="0.25">
      <c r="A6" s="1" t="s">
        <v>6</v>
      </c>
      <c r="B6" s="3">
        <v>0.4</v>
      </c>
      <c r="C6" s="12"/>
    </row>
    <row r="7" spans="1:8" x14ac:dyDescent="0.25">
      <c r="B7" s="3"/>
    </row>
    <row r="8" spans="1:8" x14ac:dyDescent="0.25">
      <c r="A8" s="5" t="s">
        <v>7</v>
      </c>
      <c r="B8" s="6">
        <v>0</v>
      </c>
      <c r="C8" s="6">
        <v>1</v>
      </c>
      <c r="D8" s="6">
        <v>2</v>
      </c>
      <c r="E8" s="6">
        <v>3</v>
      </c>
      <c r="F8" s="6">
        <v>4</v>
      </c>
      <c r="G8" s="6">
        <v>5</v>
      </c>
      <c r="H8" s="6">
        <v>6</v>
      </c>
    </row>
    <row r="9" spans="1:8" x14ac:dyDescent="0.25">
      <c r="A9" s="5"/>
      <c r="B9" s="6"/>
      <c r="C9" s="6"/>
      <c r="D9" s="6"/>
      <c r="E9" s="6"/>
      <c r="F9" s="6"/>
      <c r="G9" s="6"/>
      <c r="H9" s="6"/>
    </row>
    <row r="10" spans="1:8" x14ac:dyDescent="0.25">
      <c r="A10" s="5" t="s">
        <v>8</v>
      </c>
    </row>
    <row r="11" spans="1:8" x14ac:dyDescent="0.25">
      <c r="A11" s="1" t="s">
        <v>9</v>
      </c>
      <c r="B11" s="4">
        <f t="shared" ref="B11:G11" si="0">$B$4*(1-$B$6)</f>
        <v>80893.163502163588</v>
      </c>
      <c r="C11" s="4">
        <f t="shared" si="0"/>
        <v>80893.163502163588</v>
      </c>
      <c r="D11" s="4">
        <f t="shared" si="0"/>
        <v>80893.163502163588</v>
      </c>
      <c r="E11" s="4">
        <f t="shared" si="0"/>
        <v>80893.163502163588</v>
      </c>
      <c r="F11" s="4">
        <f t="shared" si="0"/>
        <v>80893.163502163588</v>
      </c>
      <c r="G11" s="4">
        <f t="shared" si="0"/>
        <v>80893.163502163588</v>
      </c>
      <c r="H11" s="4"/>
    </row>
    <row r="12" spans="1:8" x14ac:dyDescent="0.25">
      <c r="B12" s="2"/>
      <c r="C12" s="2"/>
      <c r="D12" s="2"/>
      <c r="E12" s="2"/>
      <c r="F12" s="2"/>
      <c r="G12" s="2"/>
      <c r="H12" s="2"/>
    </row>
    <row r="13" spans="1:8" x14ac:dyDescent="0.25">
      <c r="A13" s="5" t="s">
        <v>10</v>
      </c>
      <c r="B13" s="2"/>
      <c r="C13" s="2"/>
      <c r="D13" s="2"/>
      <c r="E13" s="2"/>
      <c r="F13" s="2"/>
      <c r="G13" s="2"/>
      <c r="H13" s="2"/>
    </row>
    <row r="14" spans="1:8" x14ac:dyDescent="0.25">
      <c r="A14" s="1" t="s">
        <v>1</v>
      </c>
      <c r="B14" s="2">
        <f>-B2</f>
        <v>-600000</v>
      </c>
      <c r="C14" s="2"/>
      <c r="D14" s="2"/>
      <c r="E14" s="2"/>
      <c r="F14" s="2"/>
      <c r="G14" s="2"/>
      <c r="H14" s="2"/>
    </row>
    <row r="15" spans="1:8" x14ac:dyDescent="0.25">
      <c r="A15" s="1" t="s">
        <v>11</v>
      </c>
      <c r="B15" s="2"/>
      <c r="C15" s="4">
        <f t="shared" ref="C15:H15" si="1">$B$5*$B$6</f>
        <v>40000</v>
      </c>
      <c r="D15" s="4">
        <f t="shared" si="1"/>
        <v>40000</v>
      </c>
      <c r="E15" s="4">
        <f t="shared" si="1"/>
        <v>40000</v>
      </c>
      <c r="F15" s="4">
        <f t="shared" si="1"/>
        <v>40000</v>
      </c>
      <c r="G15" s="4">
        <f t="shared" si="1"/>
        <v>40000</v>
      </c>
      <c r="H15" s="4">
        <f t="shared" si="1"/>
        <v>40000</v>
      </c>
    </row>
    <row r="16" spans="1:8" x14ac:dyDescent="0.25">
      <c r="A16" s="1" t="s">
        <v>12</v>
      </c>
      <c r="B16" s="2">
        <f t="shared" ref="B16:H16" si="2">B14+B15</f>
        <v>-600000</v>
      </c>
      <c r="C16" s="2">
        <f t="shared" si="2"/>
        <v>40000</v>
      </c>
      <c r="D16" s="2">
        <f t="shared" si="2"/>
        <v>40000</v>
      </c>
      <c r="E16" s="2">
        <f t="shared" si="2"/>
        <v>40000</v>
      </c>
      <c r="F16" s="2">
        <f t="shared" si="2"/>
        <v>40000</v>
      </c>
      <c r="G16" s="2">
        <f t="shared" si="2"/>
        <v>40000</v>
      </c>
      <c r="H16" s="2">
        <f t="shared" si="2"/>
        <v>40000</v>
      </c>
    </row>
    <row r="18" spans="1:8" x14ac:dyDescent="0.25">
      <c r="A18" s="5" t="s">
        <v>13</v>
      </c>
    </row>
    <row r="19" spans="1:8" x14ac:dyDescent="0.25">
      <c r="A19" s="1" t="s">
        <v>14</v>
      </c>
      <c r="B19" s="2">
        <f t="shared" ref="B19:H19" si="3">B11+B16</f>
        <v>-519106.8364978364</v>
      </c>
      <c r="C19" s="2">
        <f t="shared" si="3"/>
        <v>120893.16350216359</v>
      </c>
      <c r="D19" s="2">
        <f t="shared" si="3"/>
        <v>120893.16350216359</v>
      </c>
      <c r="E19" s="2">
        <f t="shared" si="3"/>
        <v>120893.16350216359</v>
      </c>
      <c r="F19" s="2">
        <f t="shared" si="3"/>
        <v>120893.16350216359</v>
      </c>
      <c r="G19" s="2">
        <f t="shared" si="3"/>
        <v>120893.16350216359</v>
      </c>
      <c r="H19" s="2">
        <f t="shared" si="3"/>
        <v>40000</v>
      </c>
    </row>
    <row r="21" spans="1:8" x14ac:dyDescent="0.25">
      <c r="A21" s="17" t="s">
        <v>15</v>
      </c>
      <c r="B21" s="7">
        <f>IRR(B19:H19,0)</f>
        <v>7.219999925398235E-2</v>
      </c>
      <c r="C21" s="1" t="str">
        <f ca="1">[1]!getformula(B21)</f>
        <v>&lt;--  =IRR(B19:H19,0)</v>
      </c>
    </row>
    <row r="22" spans="1:8" x14ac:dyDescent="0.25">
      <c r="D22" s="8"/>
    </row>
    <row r="24" spans="1:8" x14ac:dyDescent="0.25">
      <c r="D24" s="15" t="s">
        <v>16</v>
      </c>
      <c r="E24" s="15"/>
    </row>
    <row r="25" spans="1:8" ht="52.8" x14ac:dyDescent="0.25">
      <c r="A25" s="9" t="s">
        <v>7</v>
      </c>
      <c r="B25" s="9" t="s">
        <v>17</v>
      </c>
      <c r="C25" s="9" t="s">
        <v>18</v>
      </c>
      <c r="D25" s="9" t="s">
        <v>19</v>
      </c>
      <c r="E25" s="9" t="s">
        <v>20</v>
      </c>
      <c r="F25" s="9" t="s">
        <v>21</v>
      </c>
      <c r="G25" s="9" t="s">
        <v>22</v>
      </c>
      <c r="H25" s="10"/>
    </row>
    <row r="26" spans="1:8" x14ac:dyDescent="0.25">
      <c r="A26" s="8">
        <v>1</v>
      </c>
      <c r="B26" s="11">
        <f>NPV((1-$B$6)*$B$3,G26:$G$31)</f>
        <v>-519399.40077705996</v>
      </c>
      <c r="C26" s="11">
        <f>D26+B26-B27</f>
        <v>-145824.33473946236</v>
      </c>
      <c r="D26" s="11">
        <f t="shared" ref="D26:D31" si="4">$B$3*B26</f>
        <v>-62327.928093247196</v>
      </c>
      <c r="E26" s="11">
        <f>B26-B27</f>
        <v>-83496.406646215124</v>
      </c>
      <c r="F26" s="11">
        <f t="shared" ref="F26:F31" si="5">(1-$B$6)*D26+E26</f>
        <v>-120893.16350216344</v>
      </c>
      <c r="G26" s="11">
        <f t="array" ref="G26:G31">-TRANSPOSE(C19:H19)</f>
        <v>-120893.16350216359</v>
      </c>
    </row>
    <row r="27" spans="1:8" x14ac:dyDescent="0.25">
      <c r="A27" s="8">
        <v>2</v>
      </c>
      <c r="B27" s="11">
        <f>NPV((1-$B$6)*$B$3,G27:$G$31)</f>
        <v>-435902.99413084483</v>
      </c>
      <c r="C27" s="11">
        <f>D27+B27-B28</f>
        <v>-141816.50722044415</v>
      </c>
      <c r="D27" s="11">
        <f t="shared" si="4"/>
        <v>-52308.359295701375</v>
      </c>
      <c r="E27" s="11">
        <f>B27-B28</f>
        <v>-89508.147924742778</v>
      </c>
      <c r="F27" s="11">
        <f t="shared" si="5"/>
        <v>-120893.1635021636</v>
      </c>
      <c r="G27" s="11">
        <v>-120893.16350216359</v>
      </c>
    </row>
    <row r="28" spans="1:8" x14ac:dyDescent="0.25">
      <c r="A28" s="8">
        <v>3</v>
      </c>
      <c r="B28" s="11">
        <f>NPV((1-$B$6)*$B$3,G28:$G$31)</f>
        <v>-346394.84620610205</v>
      </c>
      <c r="C28" s="11">
        <f>D28+B28-B29</f>
        <v>-137520.11612005645</v>
      </c>
      <c r="D28" s="11">
        <f t="shared" si="4"/>
        <v>-41567.381544732249</v>
      </c>
      <c r="E28" s="11">
        <f>B28-B29</f>
        <v>-95952.734575324197</v>
      </c>
      <c r="F28" s="11">
        <f t="shared" si="5"/>
        <v>-120893.16350216354</v>
      </c>
      <c r="G28" s="11">
        <v>-120893.16350216359</v>
      </c>
    </row>
    <row r="29" spans="1:8" x14ac:dyDescent="0.25">
      <c r="A29" s="8">
        <v>4</v>
      </c>
      <c r="B29" s="11">
        <f>NPV((1-$B$6)*$B$3,G29:$G$31)</f>
        <v>-250442.11163077786</v>
      </c>
      <c r="C29" s="11">
        <f>D29+B29-B30</f>
        <v>-132914.38486044088</v>
      </c>
      <c r="D29" s="11">
        <f t="shared" si="4"/>
        <v>-30053.053395693343</v>
      </c>
      <c r="E29" s="11">
        <f>B29-B30</f>
        <v>-102861.33146474755</v>
      </c>
      <c r="F29" s="11">
        <f t="shared" si="5"/>
        <v>-120893.16350216356</v>
      </c>
      <c r="G29" s="11">
        <v>-120893.16350216359</v>
      </c>
    </row>
    <row r="30" spans="1:8" x14ac:dyDescent="0.25">
      <c r="A30" s="8">
        <v>5</v>
      </c>
      <c r="B30" s="11">
        <f>NPV((1-$B$6)*$B$3,G30:$G$31)</f>
        <v>-147580.78016603031</v>
      </c>
      <c r="C30" s="11">
        <f>D30+B30-B31</f>
        <v>-127977.04095013306</v>
      </c>
      <c r="D30" s="11">
        <f t="shared" si="4"/>
        <v>-17709.693619923637</v>
      </c>
      <c r="E30" s="11">
        <f>B30-B31</f>
        <v>-110267.34733020942</v>
      </c>
      <c r="F30" s="11">
        <f t="shared" si="5"/>
        <v>-120893.1635021636</v>
      </c>
      <c r="G30" s="11">
        <v>-120893.16350216359</v>
      </c>
    </row>
    <row r="31" spans="1:8" x14ac:dyDescent="0.25">
      <c r="A31" s="8">
        <v>6</v>
      </c>
      <c r="B31" s="11">
        <f>NPV((1-$B$6)*$B$3,G31:$G$31)</f>
        <v>-37313.432835820895</v>
      </c>
      <c r="C31" s="11">
        <f>D31+B31-K10</f>
        <v>-41791.044776119401</v>
      </c>
      <c r="D31" s="11">
        <f t="shared" si="4"/>
        <v>-4477.6119402985069</v>
      </c>
      <c r="E31" s="11">
        <f>B31-K10</f>
        <v>-37313.432835820895</v>
      </c>
      <c r="F31" s="11">
        <f t="shared" si="5"/>
        <v>-40000</v>
      </c>
      <c r="G31" s="11">
        <v>-40000</v>
      </c>
    </row>
  </sheetData>
  <mergeCells count="2">
    <mergeCell ref="A1:H1"/>
    <mergeCell ref="D24:E24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2024-10-22T09:01:25Z</dcterms:modified>
</cp:coreProperties>
</file>