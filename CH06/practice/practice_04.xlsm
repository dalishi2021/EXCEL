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practice\"/>
    </mc:Choice>
  </mc:AlternateContent>
  <xr:revisionPtr revIDLastSave="0" documentId="13_ncr:1_{C2997DB2-AB0E-41C7-B24F-C9F64CCD0D6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H23" i="1" s="1"/>
  <c r="B20" i="1"/>
  <c r="I19" i="1"/>
  <c r="I20" i="1" s="1"/>
  <c r="I23" i="1" s="1"/>
  <c r="H18" i="1"/>
  <c r="G18" i="1"/>
  <c r="G20" i="1" s="1"/>
  <c r="G23" i="1" s="1"/>
  <c r="F18" i="1"/>
  <c r="F20" i="1" s="1"/>
  <c r="F23" i="1" s="1"/>
  <c r="E18" i="1"/>
  <c r="E20" i="1" s="1"/>
  <c r="E23" i="1" s="1"/>
  <c r="B17" i="1"/>
  <c r="G14" i="1"/>
  <c r="F14" i="1"/>
  <c r="E14" i="1"/>
  <c r="D14" i="1"/>
  <c r="C14" i="1"/>
  <c r="B14" i="1"/>
  <c r="B23" i="1" s="1"/>
  <c r="B6" i="1"/>
  <c r="D18" i="1" s="1"/>
  <c r="D20" i="1" s="1"/>
  <c r="A1" i="1"/>
  <c r="J19" i="1"/>
  <c r="D23" i="1" l="1"/>
  <c r="C18" i="1"/>
  <c r="C20" i="1" s="1"/>
  <c r="C23" i="1" s="1"/>
  <c r="B25" i="1" s="1"/>
  <c r="B27" i="1" l="1"/>
  <c r="C30" i="1"/>
</calcChain>
</file>

<file path=xl/sharedStrings.xml><?xml version="1.0" encoding="utf-8"?>
<sst xmlns="http://schemas.openxmlformats.org/spreadsheetml/2006/main" count="26" uniqueCount="26">
  <si>
    <t>Asset cost</t>
  </si>
  <si>
    <t>Interest rate</t>
  </si>
  <si>
    <t>Annual depreciation</t>
  </si>
  <si>
    <t>asset fully depreciated over 6 years</t>
  </si>
  <si>
    <t>Tax rate</t>
  </si>
  <si>
    <t>Anticipated residual value</t>
  </si>
  <si>
    <t>anticipated to be realized in year 7; fully taxed</t>
  </si>
  <si>
    <t>CE factor</t>
  </si>
  <si>
    <t>certainty-equivalence factor</t>
  </si>
  <si>
    <t>year</t>
  </si>
  <si>
    <t>After-tax cash flows from leasing</t>
  </si>
  <si>
    <t>after-tax lease rental</t>
  </si>
  <si>
    <t>After-tax cash flows from buying the asset</t>
  </si>
  <si>
    <t>asset cost</t>
  </si>
  <si>
    <t>depreciation tax shield</t>
  </si>
  <si>
    <t>after-tax residual*CE factor</t>
  </si>
  <si>
    <t>net cash flow from buying</t>
  </si>
  <si>
    <t>Differential cash flow</t>
  </si>
  <si>
    <t>lease minus buy</t>
  </si>
  <si>
    <t>IRR of differential cash flow</t>
  </si>
  <si>
    <t>decision??</t>
  </si>
  <si>
    <t>Requested Data Table, sensitivity of IRR on CE factor</t>
  </si>
  <si>
    <t>Certainty</t>
  </si>
  <si>
    <t>Equivalent</t>
  </si>
  <si>
    <t>Factor</t>
  </si>
  <si>
    <t>Lease rental payment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</si>
</sst>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#,##0.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/>
    <xf numFmtId="3" fontId="0" fillId="0" borderId="0" xfId="0" applyNumberFormat="1" applyAlignment="1"/>
    <xf numFmtId="0" fontId="3" fillId="0" borderId="0" xfId="0" applyFont="1" applyAlignment="1">
      <alignment horizontal="center"/>
    </xf>
    <xf numFmtId="9" fontId="0" fillId="0" borderId="0" xfId="0" applyNumberFormat="1" applyAlignment="1"/>
    <xf numFmtId="3" fontId="0" fillId="0" borderId="0" xfId="1" applyNumberFormat="1" applyFont="1" applyAlignment="1"/>
    <xf numFmtId="177" fontId="0" fillId="0" borderId="0" xfId="1" applyNumberFormat="1" applyFont="1" applyAlignment="1"/>
    <xf numFmtId="178" fontId="0" fillId="0" borderId="0" xfId="0" applyNumberFormat="1" applyAlignment="1"/>
    <xf numFmtId="177" fontId="0" fillId="0" borderId="0" xfId="0" applyNumberForma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/>
    <xf numFmtId="0" fontId="0" fillId="2" borderId="0" xfId="0" applyFill="1" applyAlignment="1"/>
    <xf numFmtId="10" fontId="0" fillId="2" borderId="0" xfId="0" applyNumberFormat="1" applyFill="1" applyAlignment="1"/>
    <xf numFmtId="10" fontId="0" fillId="2" borderId="0" xfId="2" applyNumberFormat="1" applyFont="1" applyFill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CE Factor and IRR of Lease</a:t>
            </a:r>
          </a:p>
        </c:rich>
      </c:tx>
      <c:layout>
        <c:manualLayout>
          <c:xMode val="edge"/>
          <c:yMode val="edge"/>
          <c:x val="0.22327112590631729"/>
          <c:y val="4.59773125460105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709084823004"/>
          <c:y val="0.25287521900305787"/>
          <c:w val="0.64780073150283601"/>
          <c:h val="0.4559416827479376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Sheet1!$B$31:$B$40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Sheet1!$C$31:$C$40</c:f>
              <c:numCache>
                <c:formatCode>0.00%</c:formatCode>
                <c:ptCount val="10"/>
                <c:pt idx="0">
                  <c:v>7.7249429127210334E-2</c:v>
                </c:pt>
                <c:pt idx="1">
                  <c:v>8.0030064672121703E-2</c:v>
                </c:pt>
                <c:pt idx="2">
                  <c:v>8.2746971187604101E-2</c:v>
                </c:pt>
                <c:pt idx="3">
                  <c:v>8.5403469373591445E-2</c:v>
                </c:pt>
                <c:pt idx="4">
                  <c:v>8.8002612459488594E-2</c:v>
                </c:pt>
                <c:pt idx="5">
                  <c:v>9.0547215003954129E-2</c:v>
                </c:pt>
                <c:pt idx="6">
                  <c:v>9.3039877852496788E-2</c:v>
                </c:pt>
                <c:pt idx="7">
                  <c:v>9.5483009859145929E-2</c:v>
                </c:pt>
                <c:pt idx="8">
                  <c:v>9.7878846868799885E-2</c:v>
                </c:pt>
                <c:pt idx="9">
                  <c:v>0.10022946836941538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3-4FD3-B4A2-33AF16D9B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653704"/>
        <c:axId val="1"/>
      </c:scatterChart>
      <c:valAx>
        <c:axId val="90165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CE factor</a:t>
                </a:r>
              </a:p>
            </c:rich>
          </c:tx>
          <c:layout>
            <c:manualLayout>
              <c:xMode val="edge"/>
              <c:yMode val="edge"/>
              <c:x val="0.50314619922550374"/>
              <c:y val="0.827591625828189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0000000000000007E-2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IRR</a:t>
                </a:r>
              </a:p>
            </c:rich>
          </c:tx>
          <c:layout>
            <c:manualLayout>
              <c:xMode val="edge"/>
              <c:yMode val="edge"/>
              <c:x val="7.861659362898496E-2"/>
              <c:y val="0.440615911899267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016537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28</xdr:row>
      <xdr:rowOff>121920</xdr:rowOff>
    </xdr:from>
    <xdr:to>
      <xdr:col>9</xdr:col>
      <xdr:colOff>0</xdr:colOff>
      <xdr:row>43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219D3BD-E8DC-48FD-ABA8-79979618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459819</xdr:colOff>
      <xdr:row>2</xdr:row>
      <xdr:rowOff>85488</xdr:rowOff>
    </xdr:from>
    <xdr:to>
      <xdr:col>22</xdr:col>
      <xdr:colOff>440769</xdr:colOff>
      <xdr:row>46</xdr:row>
      <xdr:rowOff>96917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683E384-C63A-6FF6-3507-1FD960237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734538" y="430769"/>
          <a:ext cx="7267575" cy="76076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40</xdr:row>
      <xdr:rowOff>107156</xdr:rowOff>
    </xdr:from>
    <xdr:to>
      <xdr:col>3</xdr:col>
      <xdr:colOff>429320</xdr:colOff>
      <xdr:row>53</xdr:row>
      <xdr:rowOff>80558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119D77C-B04B-EC21-293A-9ACF3EFA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12781"/>
          <a:ext cx="3280867" cy="221773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660797</xdr:colOff>
      <xdr:row>30</xdr:row>
      <xdr:rowOff>148828</xdr:rowOff>
    </xdr:from>
    <xdr:to>
      <xdr:col>2</xdr:col>
      <xdr:colOff>95250</xdr:colOff>
      <xdr:row>40</xdr:row>
      <xdr:rowOff>101203</xdr:rowOff>
    </xdr:to>
    <xdr:cxnSp macro="">
      <xdr:nvCxnSpPr>
        <xdr:cNvPr id="6" name="直接箭头连接符 5">
          <a:extLst>
            <a:ext uri="{FF2B5EF4-FFF2-40B4-BE49-F238E27FC236}">
              <a16:creationId xmlns:a16="http://schemas.microsoft.com/office/drawing/2014/main" id="{78416FB4-C50E-CE6F-7C62-8008FEE96917}"/>
            </a:ext>
          </a:extLst>
        </xdr:cNvPr>
        <xdr:cNvCxnSpPr/>
      </xdr:nvCxnSpPr>
      <xdr:spPr>
        <a:xfrm flipV="1">
          <a:off x="660797" y="5328047"/>
          <a:ext cx="1678781" cy="167878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</sheetNames>
    <sheetDataSet>
      <sheetData sheetId="0"/>
      <sheetData sheetId="1"/>
      <sheetData sheetId="2"/>
      <sheetData sheetId="3"/>
      <sheetData sheetId="4"/>
      <sheetData sheetId="5"/>
      <sheetData sheetId="6">
        <row r="31">
          <cell r="B31">
            <v>0.1</v>
          </cell>
          <cell r="C31">
            <v>7.7249429127210334E-2</v>
          </cell>
        </row>
        <row r="32">
          <cell r="B32">
            <v>0.2</v>
          </cell>
          <cell r="C32">
            <v>8.0030064672121703E-2</v>
          </cell>
        </row>
        <row r="33">
          <cell r="B33">
            <v>0.3</v>
          </cell>
          <cell r="C33">
            <v>8.2746971187604101E-2</v>
          </cell>
        </row>
        <row r="34">
          <cell r="B34">
            <v>0.4</v>
          </cell>
          <cell r="C34">
            <v>8.5403469373591445E-2</v>
          </cell>
        </row>
        <row r="35">
          <cell r="B35">
            <v>0.5</v>
          </cell>
          <cell r="C35">
            <v>8.8002612459488594E-2</v>
          </cell>
        </row>
        <row r="36">
          <cell r="B36">
            <v>0.6</v>
          </cell>
          <cell r="C36">
            <v>9.0547215003954129E-2</v>
          </cell>
        </row>
        <row r="37">
          <cell r="B37">
            <v>0.7</v>
          </cell>
          <cell r="C37">
            <v>9.3039877852496788E-2</v>
          </cell>
        </row>
        <row r="38">
          <cell r="B38">
            <v>0.8</v>
          </cell>
          <cell r="C38">
            <v>9.5483009859145929E-2</v>
          </cell>
        </row>
        <row r="39">
          <cell r="B39">
            <v>0.9</v>
          </cell>
          <cell r="C39">
            <v>9.7878846868799885E-2</v>
          </cell>
        </row>
        <row r="40">
          <cell r="B40">
            <v>1</v>
          </cell>
          <cell r="C40">
            <v>0.10022946836941538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40"/>
  <sheetViews>
    <sheetView tabSelected="1" topLeftCell="A13" zoomScale="160" zoomScaleNormal="160" workbookViewId="0">
      <selection activeCell="J26" sqref="J26"/>
    </sheetView>
  </sheetViews>
  <sheetFormatPr defaultRowHeight="13.8" x14ac:dyDescent="0.25"/>
  <cols>
    <col min="1" max="1" width="23.88671875" style="2" customWidth="1"/>
    <col min="2" max="9" width="8.88671875" style="2"/>
    <col min="10" max="10" width="11.33203125" style="2" customWidth="1"/>
  </cols>
  <sheetData>
    <row r="1" spans="1:10" x14ac:dyDescent="0.25">
      <c r="A1" s="1" t="str">
        <f>"Data table starts in row "&amp;ROW(A30)</f>
        <v>Data table starts in row 30</v>
      </c>
    </row>
    <row r="3" spans="1:10" x14ac:dyDescent="0.25">
      <c r="A3" s="2" t="s">
        <v>0</v>
      </c>
      <c r="B3" s="3">
        <v>540000</v>
      </c>
      <c r="J3" s="4"/>
    </row>
    <row r="4" spans="1:10" x14ac:dyDescent="0.25">
      <c r="A4" s="2" t="s">
        <v>1</v>
      </c>
      <c r="B4" s="5">
        <v>0.12</v>
      </c>
      <c r="J4" s="4"/>
    </row>
    <row r="5" spans="1:10" x14ac:dyDescent="0.25">
      <c r="A5" s="2" t="s">
        <v>25</v>
      </c>
      <c r="B5" s="3">
        <v>121048.03740335358</v>
      </c>
      <c r="J5" s="4"/>
    </row>
    <row r="6" spans="1:10" x14ac:dyDescent="0.25">
      <c r="A6" s="2" t="s">
        <v>2</v>
      </c>
      <c r="B6" s="6">
        <f>B3/6</f>
        <v>90000</v>
      </c>
      <c r="C6" s="2" t="s">
        <v>3</v>
      </c>
      <c r="J6" s="7"/>
    </row>
    <row r="7" spans="1:10" x14ac:dyDescent="0.25">
      <c r="A7" s="2" t="s">
        <v>4</v>
      </c>
      <c r="B7" s="5">
        <v>0.38</v>
      </c>
      <c r="J7" s="7"/>
    </row>
    <row r="8" spans="1:10" x14ac:dyDescent="0.25">
      <c r="A8" s="2" t="s">
        <v>5</v>
      </c>
      <c r="B8" s="3">
        <v>100000</v>
      </c>
      <c r="C8" s="2" t="s">
        <v>6</v>
      </c>
      <c r="J8" s="7"/>
    </row>
    <row r="9" spans="1:10" x14ac:dyDescent="0.25">
      <c r="A9" s="2" t="s">
        <v>7</v>
      </c>
      <c r="B9" s="8">
        <v>0.7</v>
      </c>
      <c r="C9" s="2" t="s">
        <v>8</v>
      </c>
      <c r="J9" s="7"/>
    </row>
    <row r="10" spans="1:10" x14ac:dyDescent="0.25">
      <c r="B10" s="5"/>
      <c r="J10" s="7"/>
    </row>
    <row r="11" spans="1:10" x14ac:dyDescent="0.25">
      <c r="A11" s="2" t="s">
        <v>9</v>
      </c>
      <c r="B11" s="2">
        <v>0</v>
      </c>
      <c r="C11" s="2">
        <v>1</v>
      </c>
      <c r="D11" s="2">
        <v>2</v>
      </c>
      <c r="E11" s="2">
        <v>3</v>
      </c>
      <c r="F11" s="2">
        <v>4</v>
      </c>
      <c r="G11" s="2">
        <v>5</v>
      </c>
      <c r="H11" s="2">
        <v>6</v>
      </c>
      <c r="I11" s="2">
        <v>7</v>
      </c>
      <c r="J11" s="7"/>
    </row>
    <row r="12" spans="1:10" x14ac:dyDescent="0.25">
      <c r="J12" s="7"/>
    </row>
    <row r="13" spans="1:10" x14ac:dyDescent="0.25">
      <c r="A13" s="1" t="s">
        <v>10</v>
      </c>
    </row>
    <row r="14" spans="1:10" x14ac:dyDescent="0.25">
      <c r="A14" s="2" t="s">
        <v>11</v>
      </c>
      <c r="B14" s="6">
        <f t="shared" ref="B14:G14" si="0">-$B$5*(1-$B$7)</f>
        <v>-75049.783190079223</v>
      </c>
      <c r="C14" s="6">
        <f t="shared" si="0"/>
        <v>-75049.783190079223</v>
      </c>
      <c r="D14" s="6">
        <f t="shared" si="0"/>
        <v>-75049.783190079223</v>
      </c>
      <c r="E14" s="6">
        <f t="shared" si="0"/>
        <v>-75049.783190079223</v>
      </c>
      <c r="F14" s="6">
        <f t="shared" si="0"/>
        <v>-75049.783190079223</v>
      </c>
      <c r="G14" s="6">
        <f t="shared" si="0"/>
        <v>-75049.783190079223</v>
      </c>
      <c r="H14" s="6"/>
    </row>
    <row r="15" spans="1:10" x14ac:dyDescent="0.25">
      <c r="B15" s="3"/>
      <c r="C15" s="3"/>
      <c r="D15" s="3"/>
      <c r="E15" s="3"/>
      <c r="F15" s="3"/>
      <c r="G15" s="3"/>
      <c r="H15" s="3"/>
    </row>
    <row r="16" spans="1:10" x14ac:dyDescent="0.25">
      <c r="A16" s="1" t="s">
        <v>12</v>
      </c>
      <c r="B16" s="3"/>
      <c r="C16" s="3"/>
      <c r="D16" s="3"/>
      <c r="E16" s="3"/>
      <c r="F16" s="3"/>
      <c r="G16" s="3"/>
      <c r="H16" s="3"/>
    </row>
    <row r="17" spans="1:10" x14ac:dyDescent="0.25">
      <c r="A17" s="2" t="s">
        <v>13</v>
      </c>
      <c r="B17" s="3">
        <f>-B3</f>
        <v>-540000</v>
      </c>
      <c r="C17" s="3"/>
      <c r="D17" s="3"/>
      <c r="E17" s="3"/>
      <c r="F17" s="3"/>
      <c r="G17" s="3"/>
      <c r="H17" s="3"/>
    </row>
    <row r="18" spans="1:10" x14ac:dyDescent="0.25">
      <c r="A18" s="2" t="s">
        <v>14</v>
      </c>
      <c r="B18" s="3"/>
      <c r="C18" s="6">
        <f t="shared" ref="C18:H18" si="1">$B$6*$B$7</f>
        <v>34200</v>
      </c>
      <c r="D18" s="6">
        <f t="shared" si="1"/>
        <v>34200</v>
      </c>
      <c r="E18" s="6">
        <f t="shared" si="1"/>
        <v>34200</v>
      </c>
      <c r="F18" s="6">
        <f t="shared" si="1"/>
        <v>34200</v>
      </c>
      <c r="G18" s="6">
        <f t="shared" si="1"/>
        <v>34200</v>
      </c>
      <c r="H18" s="6">
        <f t="shared" si="1"/>
        <v>34200</v>
      </c>
    </row>
    <row r="19" spans="1:10" x14ac:dyDescent="0.25">
      <c r="A19" s="2" t="s">
        <v>15</v>
      </c>
      <c r="B19" s="3"/>
      <c r="C19" s="6"/>
      <c r="D19" s="6"/>
      <c r="E19" s="6"/>
      <c r="F19" s="6"/>
      <c r="G19" s="6"/>
      <c r="H19" s="6"/>
      <c r="I19" s="7">
        <f>(1-B7)*B8*B9</f>
        <v>43400</v>
      </c>
      <c r="J19" s="13" t="str">
        <f ca="1">_xlfn.FORMULATEXT(I19)</f>
        <v>=(1-B7)*B8*B9</v>
      </c>
    </row>
    <row r="20" spans="1:10" x14ac:dyDescent="0.25">
      <c r="A20" s="2" t="s">
        <v>16</v>
      </c>
      <c r="B20" s="3">
        <f>B17+B18</f>
        <v>-540000</v>
      </c>
      <c r="C20" s="3">
        <f t="shared" ref="C20:H20" si="2">C17+C18</f>
        <v>34200</v>
      </c>
      <c r="D20" s="3">
        <f t="shared" si="2"/>
        <v>34200</v>
      </c>
      <c r="E20" s="3">
        <f t="shared" si="2"/>
        <v>34200</v>
      </c>
      <c r="F20" s="3">
        <f t="shared" si="2"/>
        <v>34200</v>
      </c>
      <c r="G20" s="3">
        <f t="shared" si="2"/>
        <v>34200</v>
      </c>
      <c r="H20" s="3">
        <f t="shared" si="2"/>
        <v>34200</v>
      </c>
      <c r="I20" s="9">
        <f>I19</f>
        <v>43400</v>
      </c>
    </row>
    <row r="22" spans="1:10" x14ac:dyDescent="0.25">
      <c r="A22" s="1" t="s">
        <v>17</v>
      </c>
    </row>
    <row r="23" spans="1:10" x14ac:dyDescent="0.25">
      <c r="A23" s="2" t="s">
        <v>18</v>
      </c>
      <c r="B23" s="3">
        <f t="shared" ref="B23:I23" si="3">B14-B20</f>
        <v>464950.21680992079</v>
      </c>
      <c r="C23" s="3">
        <f t="shared" si="3"/>
        <v>-109249.78319007922</v>
      </c>
      <c r="D23" s="3">
        <f t="shared" si="3"/>
        <v>-109249.78319007922</v>
      </c>
      <c r="E23" s="3">
        <f t="shared" si="3"/>
        <v>-109249.78319007922</v>
      </c>
      <c r="F23" s="3">
        <f t="shared" si="3"/>
        <v>-109249.78319007922</v>
      </c>
      <c r="G23" s="3">
        <f t="shared" si="3"/>
        <v>-109249.78319007922</v>
      </c>
      <c r="H23" s="3">
        <f t="shared" si="3"/>
        <v>-34200</v>
      </c>
      <c r="I23" s="3">
        <f t="shared" si="3"/>
        <v>-43400</v>
      </c>
    </row>
    <row r="25" spans="1:10" x14ac:dyDescent="0.25">
      <c r="A25" s="2" t="s">
        <v>19</v>
      </c>
      <c r="B25" s="10">
        <f>IRR(B23:I23,0)</f>
        <v>9.3039877852496788E-2</v>
      </c>
    </row>
    <row r="26" spans="1:10" x14ac:dyDescent="0.25">
      <c r="D26" s="11"/>
    </row>
    <row r="27" spans="1:10" x14ac:dyDescent="0.25">
      <c r="A27" s="2" t="s">
        <v>20</v>
      </c>
      <c r="B27" s="11" t="str">
        <f>IF(B25&lt;(1-B7)*B4,"lease","buy")</f>
        <v>buy</v>
      </c>
    </row>
    <row r="28" spans="1:10" x14ac:dyDescent="0.25">
      <c r="B28" s="11"/>
    </row>
    <row r="29" spans="1:10" x14ac:dyDescent="0.25">
      <c r="A29" s="1" t="s">
        <v>21</v>
      </c>
      <c r="B29" s="11"/>
    </row>
    <row r="30" spans="1:10" x14ac:dyDescent="0.25">
      <c r="B30" s="14"/>
      <c r="C30" s="15">
        <f>B25</f>
        <v>9.3039877852496788E-2</v>
      </c>
    </row>
    <row r="31" spans="1:10" x14ac:dyDescent="0.25">
      <c r="B31" s="14">
        <v>0.1</v>
      </c>
      <c r="C31" s="16">
        <f t="dataTable" ref="C31:C40" dt2D="0" dtr="0" r1="B9"/>
        <v>7.7249429127210334E-2</v>
      </c>
    </row>
    <row r="32" spans="1:10" x14ac:dyDescent="0.25">
      <c r="A32" s="12" t="s">
        <v>22</v>
      </c>
      <c r="B32" s="14">
        <v>0.2</v>
      </c>
      <c r="C32" s="16">
        <v>8.0030064672121703E-2</v>
      </c>
    </row>
    <row r="33" spans="1:3" x14ac:dyDescent="0.25">
      <c r="A33" s="12" t="s">
        <v>23</v>
      </c>
      <c r="B33" s="14">
        <v>0.3</v>
      </c>
      <c r="C33" s="16">
        <v>8.2746971187604101E-2</v>
      </c>
    </row>
    <row r="34" spans="1:3" x14ac:dyDescent="0.25">
      <c r="A34" s="12" t="s">
        <v>24</v>
      </c>
      <c r="B34" s="14">
        <v>0.4</v>
      </c>
      <c r="C34" s="16">
        <v>8.5403469373591445E-2</v>
      </c>
    </row>
    <row r="35" spans="1:3" x14ac:dyDescent="0.25">
      <c r="B35" s="14">
        <v>0.5</v>
      </c>
      <c r="C35" s="16">
        <v>8.8002612459488594E-2</v>
      </c>
    </row>
    <row r="36" spans="1:3" x14ac:dyDescent="0.25">
      <c r="B36" s="14">
        <v>0.6</v>
      </c>
      <c r="C36" s="16">
        <v>9.0547215003954129E-2</v>
      </c>
    </row>
    <row r="37" spans="1:3" x14ac:dyDescent="0.25">
      <c r="B37" s="14">
        <v>0.7</v>
      </c>
      <c r="C37" s="16">
        <v>9.3039877852496788E-2</v>
      </c>
    </row>
    <row r="38" spans="1:3" x14ac:dyDescent="0.25">
      <c r="B38" s="14">
        <v>0.8</v>
      </c>
      <c r="C38" s="16">
        <v>9.5483009859145929E-2</v>
      </c>
    </row>
    <row r="39" spans="1:3" x14ac:dyDescent="0.25">
      <c r="B39" s="14">
        <v>0.9</v>
      </c>
      <c r="C39" s="16">
        <v>9.7878846868799885E-2</v>
      </c>
    </row>
    <row r="40" spans="1:3" x14ac:dyDescent="0.25">
      <c r="B40" s="14">
        <v>1</v>
      </c>
      <c r="C40" s="16">
        <v>0.10022946836941538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2024-10-23T03:02:44Z</dcterms:modified>
</cp:coreProperties>
</file>