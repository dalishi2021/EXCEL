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6\practice\"/>
    </mc:Choice>
  </mc:AlternateContent>
  <xr:revisionPtr revIDLastSave="0" documentId="13_ncr:1_{66743121-E34A-45A0-9C97-9F2ADC63B393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9" i="1" l="1"/>
  <c r="H46" i="1"/>
  <c r="C43" i="1"/>
  <c r="D43" i="1"/>
  <c r="E43" i="1"/>
  <c r="F43" i="1"/>
  <c r="G43" i="1"/>
  <c r="H43" i="1"/>
  <c r="B43" i="1"/>
  <c r="D42" i="1"/>
  <c r="E42" i="1"/>
  <c r="F42" i="1"/>
  <c r="G42" i="1"/>
  <c r="H42" i="1"/>
  <c r="C42" i="1"/>
  <c r="B41" i="1"/>
  <c r="B23" i="1"/>
  <c r="H20" i="1"/>
  <c r="C17" i="1"/>
  <c r="D17" i="1"/>
  <c r="E17" i="1"/>
  <c r="F17" i="1"/>
  <c r="G17" i="1"/>
  <c r="H17" i="1"/>
  <c r="B17" i="1"/>
  <c r="B15" i="1"/>
  <c r="C12" i="1"/>
  <c r="C20" i="1" s="1"/>
  <c r="D12" i="1"/>
  <c r="D20" i="1" s="1"/>
  <c r="E12" i="1"/>
  <c r="E20" i="1" s="1"/>
  <c r="F12" i="1"/>
  <c r="F20" i="1" s="1"/>
  <c r="G12" i="1"/>
  <c r="G20" i="1" s="1"/>
  <c r="B12" i="1"/>
  <c r="B20" i="1" s="1"/>
  <c r="C38" i="1"/>
  <c r="C46" i="1" s="1"/>
  <c r="B29" i="1"/>
  <c r="A1" i="1"/>
  <c r="G38" i="1" l="1"/>
  <c r="G46" i="1" s="1"/>
  <c r="F38" i="1"/>
  <c r="F46" i="1" s="1"/>
  <c r="E38" i="1"/>
  <c r="E46" i="1" s="1"/>
  <c r="B38" i="1"/>
  <c r="B46" i="1" s="1"/>
  <c r="D38" i="1"/>
  <c r="D46" i="1" s="1"/>
  <c r="B22" i="1"/>
  <c r="B24" i="1" s="1"/>
  <c r="B48" i="1" l="1"/>
  <c r="B50" i="1" s="1"/>
</calcChain>
</file>

<file path=xl/sharedStrings.xml><?xml version="1.0" encoding="utf-8"?>
<sst xmlns="http://schemas.openxmlformats.org/spreadsheetml/2006/main" count="40" uniqueCount="31">
  <si>
    <t>Lessee's problem</t>
  </si>
  <si>
    <t>Asset cost</t>
  </si>
  <si>
    <t>Interest rate</t>
  </si>
  <si>
    <t>Lease rental payment</t>
  </si>
  <si>
    <t>Annual depreciation</t>
  </si>
  <si>
    <t>Tax rate</t>
  </si>
  <si>
    <t>Year</t>
  </si>
  <si>
    <t>After-tax cash flows from leasing</t>
  </si>
  <si>
    <t>After-tax lease rental</t>
  </si>
  <si>
    <t>After-tax cash flows from buying the asset</t>
  </si>
  <si>
    <t>depreciation tax shield</t>
  </si>
  <si>
    <t>net cash flow from buying</t>
  </si>
  <si>
    <t>differential cash flow</t>
  </si>
  <si>
    <t>lease minus buy</t>
  </si>
  <si>
    <t>IRR of differential cash flow</t>
  </si>
  <si>
    <t>decision??</t>
  </si>
  <si>
    <t>&lt;-- =IF(B23&lt;(1-B8)*B5,"lease","buy")</t>
  </si>
  <si>
    <t>Lessor's problem</t>
  </si>
  <si>
    <t>asset cost</t>
  </si>
  <si>
    <t>interest rate</t>
  </si>
  <si>
    <t>lease rental payment</t>
  </si>
  <si>
    <t>annual depreciation</t>
  </si>
  <si>
    <t>tax rate</t>
  </si>
  <si>
    <t>year</t>
  </si>
  <si>
    <t>after-tax lease rental</t>
  </si>
  <si>
    <t>Differential cash flow</t>
  </si>
  <si>
    <t>&lt;-- =IF(B50&gt;(1-B35)*B32,"lease","don't lease")</t>
  </si>
  <si>
    <t>borrowing cost</t>
    <phoneticPr fontId="1" type="noConversion"/>
  </si>
  <si>
    <t>lease add buy</t>
    <phoneticPr fontId="1" type="noConversion"/>
  </si>
  <si>
    <t>MAX</t>
    <phoneticPr fontId="1" type="noConversion"/>
  </si>
  <si>
    <t>MIN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</si>
</sst>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0.0%"/>
    <numFmt numFmtId="177" formatCode="0.000%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/>
    <xf numFmtId="3" fontId="0" fillId="0" borderId="0" xfId="0" applyNumberFormat="1" applyAlignment="1"/>
    <xf numFmtId="9" fontId="0" fillId="0" borderId="0" xfId="0" applyNumberFormat="1" applyAlignment="1"/>
    <xf numFmtId="3" fontId="0" fillId="0" borderId="0" xfId="1" applyNumberFormat="1" applyFont="1" applyAlignment="1"/>
    <xf numFmtId="10" fontId="0" fillId="0" borderId="0" xfId="0" applyNumberFormat="1" applyAlignment="1"/>
    <xf numFmtId="0" fontId="0" fillId="0" borderId="0" xfId="0" applyAlignment="1">
      <alignment horizontal="center"/>
    </xf>
    <xf numFmtId="10" fontId="0" fillId="3" borderId="0" xfId="0" applyNumberFormat="1" applyFill="1" applyAlignment="1"/>
    <xf numFmtId="176" fontId="0" fillId="0" borderId="0" xfId="0" applyNumberFormat="1" applyAlignment="1"/>
    <xf numFmtId="176" fontId="0" fillId="3" borderId="0" xfId="0" applyNumberFormat="1" applyFill="1" applyAlignment="1"/>
    <xf numFmtId="177" fontId="0" fillId="3" borderId="0" xfId="0" applyNumberFormat="1" applyFill="1" applyAlignment="1"/>
    <xf numFmtId="0" fontId="3" fillId="2" borderId="0" xfId="0" applyFont="1" applyFill="1" applyAlignment="1">
      <alignment horizontal="center"/>
    </xf>
    <xf numFmtId="3" fontId="0" fillId="3" borderId="0" xfId="0" applyNumberFormat="1" applyFill="1" applyAlignment="1"/>
    <xf numFmtId="0" fontId="0" fillId="3" borderId="0" xfId="0" applyFill="1" applyAlignment="1">
      <alignment horizontal="center"/>
    </xf>
    <xf numFmtId="0" fontId="0" fillId="3" borderId="0" xfId="0" applyFill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435531</xdr:colOff>
      <xdr:row>0</xdr:row>
      <xdr:rowOff>115253</xdr:rowOff>
    </xdr:from>
    <xdr:to>
      <xdr:col>24</xdr:col>
      <xdr:colOff>534590</xdr:colOff>
      <xdr:row>51</xdr:row>
      <xdr:rowOff>92393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F1E3985-EC49-5B89-D9A3-EB2DF7E67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639062" y="115253"/>
          <a:ext cx="6778466" cy="87894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50"/>
  <sheetViews>
    <sheetView tabSelected="1" zoomScale="160" zoomScaleNormal="160" workbookViewId="0">
      <selection activeCell="H11" sqref="H11"/>
    </sheetView>
  </sheetViews>
  <sheetFormatPr defaultRowHeight="13.8" x14ac:dyDescent="0.25"/>
  <cols>
    <col min="1" max="1" width="23.88671875" style="1" customWidth="1"/>
    <col min="2" max="2" width="12.88671875" style="1" customWidth="1"/>
    <col min="3" max="9" width="8.88671875" style="1"/>
  </cols>
  <sheetData>
    <row r="1" spans="1:8" x14ac:dyDescent="0.25">
      <c r="A1" s="12" t="str">
        <f>"Lessee's problem below, Lessor's problem in row "&amp;ROW(A28)</f>
        <v>Lessee's problem below, Lessor's problem in row 28</v>
      </c>
      <c r="B1" s="12"/>
      <c r="C1" s="12"/>
      <c r="D1" s="12"/>
      <c r="E1" s="12"/>
      <c r="F1" s="12"/>
      <c r="G1" s="12"/>
      <c r="H1" s="12"/>
    </row>
    <row r="2" spans="1:8" x14ac:dyDescent="0.25">
      <c r="A2" s="2" t="s">
        <v>0</v>
      </c>
    </row>
    <row r="3" spans="1:8" x14ac:dyDescent="0.25">
      <c r="A3" s="1" t="s">
        <v>1</v>
      </c>
      <c r="B3" s="3">
        <v>1000000</v>
      </c>
    </row>
    <row r="4" spans="1:8" x14ac:dyDescent="0.25">
      <c r="A4" s="1" t="s">
        <v>2</v>
      </c>
      <c r="B4" s="4">
        <v>0.1</v>
      </c>
    </row>
    <row r="5" spans="1:8" x14ac:dyDescent="0.25">
      <c r="A5" s="1" t="s">
        <v>3</v>
      </c>
      <c r="B5" s="13">
        <v>208735.29595451933</v>
      </c>
      <c r="C5" s="14" t="s">
        <v>29</v>
      </c>
    </row>
    <row r="6" spans="1:8" x14ac:dyDescent="0.25">
      <c r="A6" s="1" t="s">
        <v>4</v>
      </c>
      <c r="B6" s="5"/>
      <c r="C6" s="4">
        <v>0.2</v>
      </c>
      <c r="D6" s="4">
        <v>0.32</v>
      </c>
      <c r="E6" s="6">
        <v>0.192</v>
      </c>
      <c r="F6" s="6">
        <v>0.1152</v>
      </c>
      <c r="G6" s="6">
        <v>0.1152</v>
      </c>
      <c r="H6" s="6">
        <v>5.7599999999999998E-2</v>
      </c>
    </row>
    <row r="7" spans="1:8" x14ac:dyDescent="0.25">
      <c r="A7" s="1" t="s">
        <v>5</v>
      </c>
      <c r="B7" s="4">
        <v>0</v>
      </c>
    </row>
    <row r="8" spans="1:8" x14ac:dyDescent="0.25">
      <c r="B8" s="4"/>
    </row>
    <row r="9" spans="1:8" x14ac:dyDescent="0.25">
      <c r="A9" s="1" t="s">
        <v>6</v>
      </c>
      <c r="B9" s="1">
        <v>0</v>
      </c>
      <c r="C9" s="1">
        <v>1</v>
      </c>
      <c r="D9" s="1">
        <v>2</v>
      </c>
      <c r="E9" s="1">
        <v>3</v>
      </c>
      <c r="F9" s="1">
        <v>4</v>
      </c>
      <c r="G9" s="1">
        <v>5</v>
      </c>
      <c r="H9" s="1">
        <v>6</v>
      </c>
    </row>
    <row r="11" spans="1:8" x14ac:dyDescent="0.25">
      <c r="A11" s="2" t="s">
        <v>7</v>
      </c>
    </row>
    <row r="12" spans="1:8" x14ac:dyDescent="0.25">
      <c r="A12" s="1" t="s">
        <v>8</v>
      </c>
      <c r="B12" s="5">
        <f>-$B$5</f>
        <v>-208735.29595451933</v>
      </c>
      <c r="C12" s="5">
        <f t="shared" ref="C12:G12" si="0">-$B$5</f>
        <v>-208735.29595451933</v>
      </c>
      <c r="D12" s="5">
        <f t="shared" si="0"/>
        <v>-208735.29595451933</v>
      </c>
      <c r="E12" s="5">
        <f t="shared" si="0"/>
        <v>-208735.29595451933</v>
      </c>
      <c r="F12" s="5">
        <f t="shared" si="0"/>
        <v>-208735.29595451933</v>
      </c>
      <c r="G12" s="5">
        <f t="shared" si="0"/>
        <v>-208735.29595451933</v>
      </c>
      <c r="H12" s="5"/>
    </row>
    <row r="13" spans="1:8" x14ac:dyDescent="0.25">
      <c r="B13" s="3"/>
      <c r="C13" s="3"/>
      <c r="D13" s="3"/>
      <c r="E13" s="3"/>
      <c r="F13" s="3"/>
      <c r="G13" s="3"/>
      <c r="H13" s="3"/>
    </row>
    <row r="14" spans="1:8" x14ac:dyDescent="0.25">
      <c r="A14" s="2" t="s">
        <v>9</v>
      </c>
      <c r="B14" s="3"/>
      <c r="C14" s="3"/>
      <c r="D14" s="3"/>
      <c r="E14" s="3"/>
      <c r="F14" s="3"/>
      <c r="G14" s="3"/>
      <c r="H14" s="3"/>
    </row>
    <row r="15" spans="1:8" x14ac:dyDescent="0.25">
      <c r="A15" s="1" t="s">
        <v>1</v>
      </c>
      <c r="B15" s="3">
        <f>-$B$3</f>
        <v>-1000000</v>
      </c>
      <c r="C15" s="3"/>
      <c r="D15" s="3"/>
      <c r="E15" s="3"/>
      <c r="F15" s="3"/>
      <c r="G15" s="3"/>
      <c r="H15" s="3"/>
    </row>
    <row r="16" spans="1:8" x14ac:dyDescent="0.25">
      <c r="A16" s="1" t="s">
        <v>10</v>
      </c>
      <c r="B16" s="3"/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1:8" x14ac:dyDescent="0.25">
      <c r="A17" s="1" t="s">
        <v>11</v>
      </c>
      <c r="B17" s="3">
        <f>SUM(B15:B16)</f>
        <v>-1000000</v>
      </c>
      <c r="C17" s="3">
        <f t="shared" ref="C17:H17" si="1">SUM(C15:C16)</f>
        <v>0</v>
      </c>
      <c r="D17" s="3">
        <f t="shared" si="1"/>
        <v>0</v>
      </c>
      <c r="E17" s="3">
        <f t="shared" si="1"/>
        <v>0</v>
      </c>
      <c r="F17" s="3">
        <f t="shared" si="1"/>
        <v>0</v>
      </c>
      <c r="G17" s="3">
        <f t="shared" si="1"/>
        <v>0</v>
      </c>
      <c r="H17" s="3">
        <f t="shared" si="1"/>
        <v>0</v>
      </c>
    </row>
    <row r="19" spans="1:8" x14ac:dyDescent="0.25">
      <c r="A19" s="2" t="s">
        <v>12</v>
      </c>
    </row>
    <row r="20" spans="1:8" x14ac:dyDescent="0.25">
      <c r="A20" s="1" t="s">
        <v>13</v>
      </c>
      <c r="B20" s="3">
        <f t="shared" ref="B20:H20" si="2">B12-B17</f>
        <v>791264.7040454807</v>
      </c>
      <c r="C20" s="3">
        <f t="shared" si="2"/>
        <v>-208735.29595451933</v>
      </c>
      <c r="D20" s="3">
        <f t="shared" si="2"/>
        <v>-208735.29595451933</v>
      </c>
      <c r="E20" s="3">
        <f t="shared" si="2"/>
        <v>-208735.29595451933</v>
      </c>
      <c r="F20" s="3">
        <f t="shared" si="2"/>
        <v>-208735.29595451933</v>
      </c>
      <c r="G20" s="3">
        <f t="shared" si="2"/>
        <v>-208735.29595451933</v>
      </c>
      <c r="H20" s="3">
        <f t="shared" si="2"/>
        <v>0</v>
      </c>
    </row>
    <row r="22" spans="1:8" x14ac:dyDescent="0.25">
      <c r="A22" s="1" t="s">
        <v>14</v>
      </c>
      <c r="B22" s="8">
        <f>IRR(B20:H20,0)</f>
        <v>0.10000311374267024</v>
      </c>
      <c r="D22" s="9"/>
    </row>
    <row r="23" spans="1:8" x14ac:dyDescent="0.25">
      <c r="A23" s="1" t="s">
        <v>27</v>
      </c>
      <c r="B23" s="10">
        <f>B4*(1-B7)</f>
        <v>0.1</v>
      </c>
      <c r="D23" s="7"/>
    </row>
    <row r="24" spans="1:8" x14ac:dyDescent="0.25">
      <c r="A24" s="1" t="s">
        <v>15</v>
      </c>
      <c r="B24" s="7" t="str">
        <f>IF(B22&lt;(1-B7)*B4,"lease","buy")</f>
        <v>buy</v>
      </c>
      <c r="C24" s="1" t="s">
        <v>16</v>
      </c>
    </row>
    <row r="28" spans="1:8" x14ac:dyDescent="0.25">
      <c r="A28" s="12" t="s">
        <v>17</v>
      </c>
      <c r="B28" s="12"/>
      <c r="C28" s="12"/>
      <c r="D28" s="12"/>
      <c r="E28" s="12"/>
      <c r="F28" s="12"/>
      <c r="G28" s="12"/>
      <c r="H28" s="12"/>
    </row>
    <row r="29" spans="1:8" x14ac:dyDescent="0.25">
      <c r="A29" s="1" t="s">
        <v>18</v>
      </c>
      <c r="B29" s="3">
        <f>B3</f>
        <v>1000000</v>
      </c>
    </row>
    <row r="30" spans="1:8" x14ac:dyDescent="0.25">
      <c r="A30" s="1" t="s">
        <v>19</v>
      </c>
      <c r="B30" s="4">
        <v>7.0000000000000007E-2</v>
      </c>
    </row>
    <row r="31" spans="1:8" x14ac:dyDescent="0.25">
      <c r="A31" s="1" t="s">
        <v>20</v>
      </c>
      <c r="B31" s="13">
        <v>197427.0089605081</v>
      </c>
      <c r="C31" s="15" t="s">
        <v>30</v>
      </c>
    </row>
    <row r="32" spans="1:8" x14ac:dyDescent="0.25">
      <c r="A32" s="1" t="s">
        <v>21</v>
      </c>
      <c r="B32" s="5"/>
      <c r="C32" s="4">
        <v>0.2</v>
      </c>
      <c r="D32" s="4">
        <v>0.32</v>
      </c>
      <c r="E32" s="6">
        <v>0.192</v>
      </c>
      <c r="F32" s="6">
        <v>0.1152</v>
      </c>
      <c r="G32" s="6">
        <v>0.1152</v>
      </c>
      <c r="H32" s="6">
        <v>5.7599999999999998E-2</v>
      </c>
    </row>
    <row r="33" spans="1:8" x14ac:dyDescent="0.25">
      <c r="A33" s="1" t="s">
        <v>22</v>
      </c>
      <c r="B33" s="4">
        <v>0.4</v>
      </c>
    </row>
    <row r="34" spans="1:8" x14ac:dyDescent="0.25">
      <c r="B34" s="4"/>
    </row>
    <row r="35" spans="1:8" x14ac:dyDescent="0.25">
      <c r="A35" s="1" t="s">
        <v>23</v>
      </c>
      <c r="B35" s="1">
        <v>0</v>
      </c>
      <c r="C35" s="1">
        <v>1</v>
      </c>
      <c r="D35" s="1">
        <v>2</v>
      </c>
      <c r="E35" s="1">
        <v>3</v>
      </c>
      <c r="F35" s="1">
        <v>4</v>
      </c>
      <c r="G35" s="1">
        <v>5</v>
      </c>
      <c r="H35" s="1">
        <v>6</v>
      </c>
    </row>
    <row r="37" spans="1:8" x14ac:dyDescent="0.25">
      <c r="A37" s="2" t="s">
        <v>7</v>
      </c>
    </row>
    <row r="38" spans="1:8" x14ac:dyDescent="0.25">
      <c r="A38" s="1" t="s">
        <v>24</v>
      </c>
      <c r="B38" s="5">
        <f>$B$31*(1-$B$33)</f>
        <v>118456.20537630486</v>
      </c>
      <c r="C38" s="5">
        <f t="shared" ref="C38:G38" si="3">$B$31*(1-$B$33)</f>
        <v>118456.20537630486</v>
      </c>
      <c r="D38" s="5">
        <f t="shared" si="3"/>
        <v>118456.20537630486</v>
      </c>
      <c r="E38" s="5">
        <f t="shared" si="3"/>
        <v>118456.20537630486</v>
      </c>
      <c r="F38" s="5">
        <f t="shared" si="3"/>
        <v>118456.20537630486</v>
      </c>
      <c r="G38" s="5">
        <f t="shared" si="3"/>
        <v>118456.20537630486</v>
      </c>
      <c r="H38" s="5"/>
    </row>
    <row r="39" spans="1:8" x14ac:dyDescent="0.25">
      <c r="B39" s="3"/>
      <c r="C39" s="3"/>
      <c r="D39" s="3"/>
      <c r="E39" s="3"/>
      <c r="F39" s="3"/>
      <c r="G39" s="3"/>
      <c r="H39" s="3"/>
    </row>
    <row r="40" spans="1:8" x14ac:dyDescent="0.25">
      <c r="A40" s="2" t="s">
        <v>9</v>
      </c>
      <c r="B40" s="3"/>
      <c r="C40" s="3"/>
      <c r="D40" s="3"/>
      <c r="E40" s="3"/>
      <c r="F40" s="3"/>
      <c r="G40" s="3"/>
      <c r="H40" s="3"/>
    </row>
    <row r="41" spans="1:8" x14ac:dyDescent="0.25">
      <c r="A41" s="1" t="s">
        <v>18</v>
      </c>
      <c r="B41" s="3">
        <f>-B29</f>
        <v>-1000000</v>
      </c>
      <c r="C41" s="3"/>
      <c r="D41" s="3"/>
      <c r="E41" s="3"/>
      <c r="F41" s="3"/>
      <c r="G41" s="3"/>
      <c r="H41" s="3"/>
    </row>
    <row r="42" spans="1:8" x14ac:dyDescent="0.25">
      <c r="A42" s="1" t="s">
        <v>10</v>
      </c>
      <c r="B42" s="3"/>
      <c r="C42" s="5">
        <f>$B$29*C32*$B$33</f>
        <v>80000</v>
      </c>
      <c r="D42" s="5">
        <f t="shared" ref="D42:H42" si="4">$B$29*D32*$B$33</f>
        <v>128000</v>
      </c>
      <c r="E42" s="5">
        <f t="shared" si="4"/>
        <v>76800</v>
      </c>
      <c r="F42" s="5">
        <f t="shared" si="4"/>
        <v>46080</v>
      </c>
      <c r="G42" s="5">
        <f t="shared" si="4"/>
        <v>46080</v>
      </c>
      <c r="H42" s="5">
        <f t="shared" si="4"/>
        <v>23040</v>
      </c>
    </row>
    <row r="43" spans="1:8" x14ac:dyDescent="0.25">
      <c r="A43" s="1" t="s">
        <v>11</v>
      </c>
      <c r="B43" s="3">
        <f>SUM(B41:B42)</f>
        <v>-1000000</v>
      </c>
      <c r="C43" s="3">
        <f t="shared" ref="C43:H43" si="5">SUM(C41:C42)</f>
        <v>80000</v>
      </c>
      <c r="D43" s="3">
        <f t="shared" si="5"/>
        <v>128000</v>
      </c>
      <c r="E43" s="3">
        <f t="shared" si="5"/>
        <v>76800</v>
      </c>
      <c r="F43" s="3">
        <f t="shared" si="5"/>
        <v>46080</v>
      </c>
      <c r="G43" s="3">
        <f t="shared" si="5"/>
        <v>46080</v>
      </c>
      <c r="H43" s="3">
        <f t="shared" si="5"/>
        <v>23040</v>
      </c>
    </row>
    <row r="45" spans="1:8" x14ac:dyDescent="0.25">
      <c r="A45" s="2" t="s">
        <v>25</v>
      </c>
    </row>
    <row r="46" spans="1:8" x14ac:dyDescent="0.25">
      <c r="A46" s="1" t="s">
        <v>28</v>
      </c>
      <c r="B46" s="3">
        <f>SUM(B43,B38)</f>
        <v>-881543.79462369508</v>
      </c>
      <c r="C46" s="3">
        <f t="shared" ref="C46:H46" si="6">SUM(C43,C38)</f>
        <v>198456.20537630486</v>
      </c>
      <c r="D46" s="3">
        <f t="shared" si="6"/>
        <v>246456.20537630486</v>
      </c>
      <c r="E46" s="3">
        <f t="shared" si="6"/>
        <v>195256.20537630486</v>
      </c>
      <c r="F46" s="3">
        <f t="shared" si="6"/>
        <v>164536.20537630486</v>
      </c>
      <c r="G46" s="3">
        <f t="shared" si="6"/>
        <v>164536.20537630486</v>
      </c>
      <c r="H46" s="3">
        <f t="shared" si="6"/>
        <v>23040</v>
      </c>
    </row>
    <row r="48" spans="1:8" x14ac:dyDescent="0.25">
      <c r="A48" s="1" t="s">
        <v>14</v>
      </c>
      <c r="B48" s="8">
        <f>IRR(B46:H46,0)</f>
        <v>4.1999990888087257E-2</v>
      </c>
    </row>
    <row r="49" spans="1:4" x14ac:dyDescent="0.25">
      <c r="A49" s="1" t="s">
        <v>27</v>
      </c>
      <c r="B49" s="11">
        <f>B30*(1-B33)</f>
        <v>4.2000000000000003E-2</v>
      </c>
      <c r="D49" s="7"/>
    </row>
    <row r="50" spans="1:4" x14ac:dyDescent="0.25">
      <c r="A50" s="1" t="s">
        <v>15</v>
      </c>
      <c r="B50" s="7" t="str">
        <f>IF(B48&gt;(1-B33)*B30,"lease","don't lease")</f>
        <v>don't lease</v>
      </c>
      <c r="C50" s="1" t="s">
        <v>26</v>
      </c>
    </row>
  </sheetData>
  <mergeCells count="2">
    <mergeCell ref="A1:H1"/>
    <mergeCell ref="A28:H2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2024-10-23T02:20:50Z</dcterms:modified>
</cp:coreProperties>
</file>