
<file path=[Content_Types].xml><?xml version="1.0" encoding="utf-8"?>
<Types xmlns="http://schemas.openxmlformats.org/package/2006/content-types"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6\practice\"/>
    </mc:Choice>
  </mc:AlternateContent>
  <xr:revisionPtr revIDLastSave="0" documentId="13_ncr:1_{74A7F6F7-EFBA-46BC-82C6-D5EC093AABDD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Sheet2" sheetId="3" r:id="rId2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9" i="3" l="1"/>
  <c r="H20" i="3"/>
  <c r="C12" i="3"/>
  <c r="C20" i="3" s="1"/>
  <c r="D12" i="3"/>
  <c r="D20" i="3" s="1"/>
  <c r="E12" i="3"/>
  <c r="E20" i="3" s="1"/>
  <c r="F12" i="3"/>
  <c r="F20" i="3" s="1"/>
  <c r="G12" i="3"/>
  <c r="G20" i="3" s="1"/>
  <c r="B12" i="3"/>
  <c r="B20" i="3" s="1"/>
  <c r="B26" i="3"/>
  <c r="D16" i="3"/>
  <c r="D17" i="3" s="1"/>
  <c r="B15" i="3"/>
  <c r="B17" i="3" s="1"/>
  <c r="B6" i="3"/>
  <c r="H16" i="3" s="1"/>
  <c r="H17" i="3" s="1"/>
  <c r="D16" i="1"/>
  <c r="D17" i="1" s="1"/>
  <c r="D20" i="1" s="1"/>
  <c r="E16" i="1"/>
  <c r="E17" i="1" s="1"/>
  <c r="E20" i="1" s="1"/>
  <c r="F16" i="1"/>
  <c r="F17" i="1" s="1"/>
  <c r="F20" i="1" s="1"/>
  <c r="G16" i="1"/>
  <c r="G17" i="1" s="1"/>
  <c r="G20" i="1" s="1"/>
  <c r="H16" i="1"/>
  <c r="H17" i="1" s="1"/>
  <c r="H20" i="1" s="1"/>
  <c r="C16" i="1"/>
  <c r="C17" i="1" s="1"/>
  <c r="C20" i="1" s="1"/>
  <c r="B20" i="1"/>
  <c r="B17" i="1"/>
  <c r="B15" i="1"/>
  <c r="C12" i="1"/>
  <c r="D12" i="1"/>
  <c r="E12" i="1"/>
  <c r="F12" i="1"/>
  <c r="G12" i="1"/>
  <c r="B12" i="1"/>
  <c r="B26" i="1"/>
  <c r="B6" i="1"/>
  <c r="C16" i="3" l="1"/>
  <c r="C17" i="3" s="1"/>
  <c r="B22" i="3" s="1"/>
  <c r="B24" i="3" s="1"/>
  <c r="E16" i="3"/>
  <c r="E17" i="3" s="1"/>
  <c r="F16" i="3"/>
  <c r="F17" i="3" s="1"/>
  <c r="G16" i="3"/>
  <c r="G17" i="3" s="1"/>
  <c r="B22" i="1"/>
  <c r="B24" i="1" s="1"/>
</calcChain>
</file>

<file path=xl/sharedStrings.xml><?xml version="1.0" encoding="utf-8"?>
<sst xmlns="http://schemas.openxmlformats.org/spreadsheetml/2006/main" count="40" uniqueCount="19">
  <si>
    <t>Part a</t>
  </si>
  <si>
    <t>Asset cost</t>
  </si>
  <si>
    <t>Interest rate</t>
  </si>
  <si>
    <t>Lease rental payment</t>
  </si>
  <si>
    <t>Annual depreciation</t>
  </si>
  <si>
    <t>Tax rate</t>
  </si>
  <si>
    <t>Year</t>
  </si>
  <si>
    <t>After-tax cash flows from leasing</t>
  </si>
  <si>
    <t>After-tax lease rental</t>
  </si>
  <si>
    <t>After-tax cash flows from buying the asset</t>
  </si>
  <si>
    <t>Depreciation tax shield</t>
  </si>
  <si>
    <t>Net cash flow from buying</t>
  </si>
  <si>
    <t>Differential cash flow</t>
  </si>
  <si>
    <t>Lease minus buy</t>
  </si>
  <si>
    <t>IRR of differential cash flow</t>
  </si>
  <si>
    <t>Decision??</t>
  </si>
  <si>
    <t>&lt;-- =IF(ABS(B22-(1-B7)*B4)&lt;0.01,"indifferent",IF(B22&lt;(1-B7)*B4,"lease","buy"))</t>
  </si>
  <si>
    <t>Break-even IRR</t>
  </si>
  <si>
    <t xml:space="preserve">To answer part b:  use Solver to find lease payment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</si>
</sst>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_(* #,##0_);_(* \(#,##0\);_(* &quot;-&quot;??_);_(@_)"/>
    <numFmt numFmtId="177" formatCode="#,##0.0000000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0" borderId="0" xfId="0" applyFont="1" applyAlignment="1"/>
    <xf numFmtId="0" fontId="0" fillId="0" borderId="0" xfId="0" applyAlignment="1"/>
    <xf numFmtId="0" fontId="3" fillId="0" borderId="0" xfId="0" applyFont="1" applyAlignment="1">
      <alignment horizontal="center"/>
    </xf>
    <xf numFmtId="3" fontId="0" fillId="0" borderId="0" xfId="0" applyNumberFormat="1" applyAlignment="1"/>
    <xf numFmtId="9" fontId="0" fillId="0" borderId="0" xfId="0" applyNumberFormat="1" applyAlignment="1"/>
    <xf numFmtId="0" fontId="0" fillId="0" borderId="0" xfId="0" applyAlignment="1">
      <alignment horizontal="center"/>
    </xf>
    <xf numFmtId="176" fontId="0" fillId="0" borderId="0" xfId="1" applyNumberFormat="1" applyFont="1" applyAlignment="1"/>
    <xf numFmtId="3" fontId="0" fillId="0" borderId="0" xfId="1" applyNumberFormat="1" applyFont="1" applyAlignment="1"/>
    <xf numFmtId="10" fontId="0" fillId="0" borderId="0" xfId="0" applyNumberFormat="1" applyAlignment="1"/>
    <xf numFmtId="10" fontId="0" fillId="0" borderId="0" xfId="2" applyNumberFormat="1" applyFont="1" applyAlignment="1"/>
    <xf numFmtId="177" fontId="0" fillId="0" borderId="0" xfId="0" applyNumberFormat="1" applyAlignment="1"/>
    <xf numFmtId="3" fontId="0" fillId="2" borderId="0" xfId="0" applyNumberFormat="1" applyFill="1" applyAlignment="1"/>
    <xf numFmtId="0" fontId="0" fillId="2" borderId="0" xfId="0" applyFill="1" applyAlignment="1">
      <alignment horizontal="center"/>
    </xf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551260</xdr:colOff>
      <xdr:row>0</xdr:row>
      <xdr:rowOff>125016</xdr:rowOff>
    </xdr:from>
    <xdr:to>
      <xdr:col>23</xdr:col>
      <xdr:colOff>360760</xdr:colOff>
      <xdr:row>32</xdr:row>
      <xdr:rowOff>9525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F64DD8F0-EA96-7A80-C097-61F9249EAF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647385" y="125016"/>
          <a:ext cx="7953375" cy="540900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551260</xdr:colOff>
      <xdr:row>0</xdr:row>
      <xdr:rowOff>125016</xdr:rowOff>
    </xdr:from>
    <xdr:to>
      <xdr:col>23</xdr:col>
      <xdr:colOff>364570</xdr:colOff>
      <xdr:row>32</xdr:row>
      <xdr:rowOff>19050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98A58948-7010-4F8E-BA0B-B41CF131F8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670245" y="126921"/>
          <a:ext cx="7981950" cy="537090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 editAs="oneCell">
    <xdr:from>
      <xdr:col>4</xdr:col>
      <xdr:colOff>482202</xdr:colOff>
      <xdr:row>24</xdr:row>
      <xdr:rowOff>142875</xdr:rowOff>
    </xdr:from>
    <xdr:to>
      <xdr:col>8</xdr:col>
      <xdr:colOff>227235</xdr:colOff>
      <xdr:row>34</xdr:row>
      <xdr:rowOff>152166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C358DFAF-E102-B468-7FE4-4A990A26E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83843" y="4286250"/>
          <a:ext cx="2173908" cy="17356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2:K52"/>
  <sheetViews>
    <sheetView zoomScale="160" zoomScaleNormal="160" workbookViewId="0">
      <selection activeCell="D19" sqref="D19"/>
    </sheetView>
  </sheetViews>
  <sheetFormatPr defaultRowHeight="13.8" x14ac:dyDescent="0.25"/>
  <cols>
    <col min="1" max="1" width="23.88671875" style="2" customWidth="1"/>
    <col min="2" max="2" width="11" style="2" customWidth="1"/>
    <col min="3" max="9" width="8.88671875" style="2"/>
    <col min="10" max="10" width="6.6640625" style="6" customWidth="1"/>
    <col min="11" max="11" width="12.44140625" style="2" customWidth="1"/>
  </cols>
  <sheetData>
    <row r="2" spans="1:11" x14ac:dyDescent="0.25">
      <c r="A2" s="1" t="s">
        <v>0</v>
      </c>
      <c r="J2" s="3"/>
      <c r="K2" s="3"/>
    </row>
    <row r="3" spans="1:11" x14ac:dyDescent="0.25">
      <c r="A3" s="2" t="s">
        <v>1</v>
      </c>
      <c r="B3" s="4">
        <v>1000000</v>
      </c>
      <c r="J3" s="3"/>
      <c r="K3" s="3"/>
    </row>
    <row r="4" spans="1:11" x14ac:dyDescent="0.25">
      <c r="A4" s="2" t="s">
        <v>2</v>
      </c>
      <c r="B4" s="5">
        <v>0.1</v>
      </c>
      <c r="J4" s="3"/>
      <c r="K4" s="3"/>
    </row>
    <row r="5" spans="1:11" x14ac:dyDescent="0.25">
      <c r="A5" s="2" t="s">
        <v>3</v>
      </c>
      <c r="B5" s="4">
        <v>300000</v>
      </c>
      <c r="K5" s="7"/>
    </row>
    <row r="6" spans="1:11" x14ac:dyDescent="0.25">
      <c r="A6" s="2" t="s">
        <v>4</v>
      </c>
      <c r="B6" s="8">
        <f>B3/6</f>
        <v>166666.66666666666</v>
      </c>
      <c r="K6" s="7"/>
    </row>
    <row r="7" spans="1:11" x14ac:dyDescent="0.25">
      <c r="A7" s="2" t="s">
        <v>5</v>
      </c>
      <c r="B7" s="5">
        <v>0.4</v>
      </c>
      <c r="K7" s="7"/>
    </row>
    <row r="8" spans="1:11" x14ac:dyDescent="0.25">
      <c r="B8" s="5"/>
      <c r="K8" s="7"/>
    </row>
    <row r="9" spans="1:11" x14ac:dyDescent="0.25">
      <c r="A9" s="2" t="s">
        <v>6</v>
      </c>
      <c r="B9" s="2">
        <v>0</v>
      </c>
      <c r="C9" s="2">
        <v>1</v>
      </c>
      <c r="D9" s="2">
        <v>2</v>
      </c>
      <c r="E9" s="2">
        <v>3</v>
      </c>
      <c r="F9" s="2">
        <v>4</v>
      </c>
      <c r="G9" s="2">
        <v>5</v>
      </c>
      <c r="H9" s="2">
        <v>6</v>
      </c>
      <c r="K9" s="7"/>
    </row>
    <row r="10" spans="1:11" x14ac:dyDescent="0.25">
      <c r="K10" s="7"/>
    </row>
    <row r="11" spans="1:11" x14ac:dyDescent="0.25">
      <c r="A11" s="1" t="s">
        <v>7</v>
      </c>
    </row>
    <row r="12" spans="1:11" x14ac:dyDescent="0.25">
      <c r="A12" s="2" t="s">
        <v>8</v>
      </c>
      <c r="B12" s="8">
        <f>-$B$5* (1-$B$7)</f>
        <v>-180000</v>
      </c>
      <c r="C12" s="8">
        <f t="shared" ref="C12:G12" si="0">-$B$5* (1-$B$7)</f>
        <v>-180000</v>
      </c>
      <c r="D12" s="8">
        <f t="shared" si="0"/>
        <v>-180000</v>
      </c>
      <c r="E12" s="8">
        <f t="shared" si="0"/>
        <v>-180000</v>
      </c>
      <c r="F12" s="8">
        <f t="shared" si="0"/>
        <v>-180000</v>
      </c>
      <c r="G12" s="8">
        <f t="shared" si="0"/>
        <v>-180000</v>
      </c>
      <c r="H12" s="8"/>
    </row>
    <row r="13" spans="1:11" x14ac:dyDescent="0.25">
      <c r="B13" s="4"/>
      <c r="C13" s="4"/>
      <c r="D13" s="4"/>
      <c r="E13" s="4"/>
      <c r="F13" s="4"/>
      <c r="G13" s="4"/>
      <c r="H13" s="4"/>
    </row>
    <row r="14" spans="1:11" x14ac:dyDescent="0.25">
      <c r="A14" s="1" t="s">
        <v>9</v>
      </c>
      <c r="B14" s="4"/>
      <c r="C14" s="4"/>
      <c r="D14" s="4"/>
      <c r="E14" s="4"/>
      <c r="F14" s="4"/>
      <c r="G14" s="4"/>
      <c r="H14" s="4"/>
    </row>
    <row r="15" spans="1:11" x14ac:dyDescent="0.25">
      <c r="A15" s="2" t="s">
        <v>1</v>
      </c>
      <c r="B15" s="4">
        <f>-$B$3</f>
        <v>-1000000</v>
      </c>
      <c r="C15" s="4"/>
      <c r="D15" s="4"/>
      <c r="E15" s="4"/>
      <c r="F15" s="4"/>
      <c r="G15" s="4"/>
      <c r="H15" s="4"/>
    </row>
    <row r="16" spans="1:11" x14ac:dyDescent="0.25">
      <c r="A16" s="2" t="s">
        <v>10</v>
      </c>
      <c r="B16" s="4"/>
      <c r="C16" s="8">
        <f>$B$6*$B$7</f>
        <v>66666.666666666672</v>
      </c>
      <c r="D16" s="8">
        <f t="shared" ref="D16:H16" si="1">$B$6*$B$7</f>
        <v>66666.666666666672</v>
      </c>
      <c r="E16" s="8">
        <f t="shared" si="1"/>
        <v>66666.666666666672</v>
      </c>
      <c r="F16" s="8">
        <f t="shared" si="1"/>
        <v>66666.666666666672</v>
      </c>
      <c r="G16" s="8">
        <f t="shared" si="1"/>
        <v>66666.666666666672</v>
      </c>
      <c r="H16" s="8">
        <f t="shared" si="1"/>
        <v>66666.666666666672</v>
      </c>
    </row>
    <row r="17" spans="1:10" x14ac:dyDescent="0.25">
      <c r="A17" s="2" t="s">
        <v>11</v>
      </c>
      <c r="B17" s="4">
        <f>SUM(B15:B16)</f>
        <v>-1000000</v>
      </c>
      <c r="C17" s="4">
        <f t="shared" ref="C17:H17" si="2">SUM(C15:C16)</f>
        <v>66666.666666666672</v>
      </c>
      <c r="D17" s="4">
        <f t="shared" si="2"/>
        <v>66666.666666666672</v>
      </c>
      <c r="E17" s="4">
        <f t="shared" si="2"/>
        <v>66666.666666666672</v>
      </c>
      <c r="F17" s="4">
        <f t="shared" si="2"/>
        <v>66666.666666666672</v>
      </c>
      <c r="G17" s="4">
        <f t="shared" si="2"/>
        <v>66666.666666666672</v>
      </c>
      <c r="H17" s="4">
        <f t="shared" si="2"/>
        <v>66666.666666666672</v>
      </c>
    </row>
    <row r="19" spans="1:10" x14ac:dyDescent="0.25">
      <c r="A19" s="1" t="s">
        <v>12</v>
      </c>
    </row>
    <row r="20" spans="1:10" x14ac:dyDescent="0.25">
      <c r="A20" s="2" t="s">
        <v>13</v>
      </c>
      <c r="B20" s="4">
        <f>B12-B17</f>
        <v>820000</v>
      </c>
      <c r="C20" s="4">
        <f t="shared" ref="C20:H20" si="3">C12-C17</f>
        <v>-246666.66666666669</v>
      </c>
      <c r="D20" s="4">
        <f t="shared" si="3"/>
        <v>-246666.66666666669</v>
      </c>
      <c r="E20" s="4">
        <f t="shared" si="3"/>
        <v>-246666.66666666669</v>
      </c>
      <c r="F20" s="4">
        <f t="shared" si="3"/>
        <v>-246666.66666666669</v>
      </c>
      <c r="G20" s="4">
        <f t="shared" si="3"/>
        <v>-246666.66666666669</v>
      </c>
      <c r="H20" s="4">
        <f t="shared" si="3"/>
        <v>-66666.666666666672</v>
      </c>
    </row>
    <row r="22" spans="1:10" x14ac:dyDescent="0.25">
      <c r="A22" s="2" t="s">
        <v>14</v>
      </c>
      <c r="B22" s="9">
        <f>IRR(B20:H20,0)</f>
        <v>0.16752711513818164</v>
      </c>
    </row>
    <row r="23" spans="1:10" x14ac:dyDescent="0.25">
      <c r="D23" s="6"/>
    </row>
    <row r="24" spans="1:10" x14ac:dyDescent="0.25">
      <c r="A24" s="2" t="s">
        <v>15</v>
      </c>
      <c r="B24" s="13" t="str">
        <f>IF(ABS(B22-(1-B7)*B4)&lt;0.01,"indifferent",IF(B22&lt;(1-B7)*B4,"lease","buy"))</f>
        <v>buy</v>
      </c>
      <c r="C24" s="2" t="s">
        <v>16</v>
      </c>
    </row>
    <row r="26" spans="1:10" x14ac:dyDescent="0.25">
      <c r="A26" s="2" t="s">
        <v>17</v>
      </c>
      <c r="B26" s="10">
        <f>(1-B7)*B4</f>
        <v>0.06</v>
      </c>
    </row>
    <row r="28" spans="1:10" x14ac:dyDescent="0.25">
      <c r="A28" s="1"/>
    </row>
    <row r="29" spans="1:10" x14ac:dyDescent="0.25">
      <c r="A29" s="2" t="s">
        <v>18</v>
      </c>
      <c r="B29" s="11"/>
      <c r="D29" s="4">
        <v>214930.67828285447</v>
      </c>
      <c r="J29" s="3"/>
    </row>
    <row r="30" spans="1:10" x14ac:dyDescent="0.25">
      <c r="B30" s="5"/>
      <c r="J30" s="3"/>
    </row>
    <row r="31" spans="1:10" x14ac:dyDescent="0.25">
      <c r="B31" s="4"/>
    </row>
    <row r="32" spans="1:10" x14ac:dyDescent="0.25">
      <c r="B32" s="8"/>
    </row>
    <row r="33" spans="1:8" x14ac:dyDescent="0.25">
      <c r="B33" s="5"/>
    </row>
    <row r="34" spans="1:8" x14ac:dyDescent="0.25">
      <c r="B34" s="5"/>
    </row>
    <row r="37" spans="1:8" x14ac:dyDescent="0.25">
      <c r="A37" s="1"/>
    </row>
    <row r="38" spans="1:8" x14ac:dyDescent="0.25">
      <c r="B38" s="8"/>
      <c r="C38" s="8"/>
      <c r="D38" s="8"/>
      <c r="E38" s="8"/>
      <c r="F38" s="8"/>
      <c r="G38" s="8"/>
      <c r="H38" s="8"/>
    </row>
    <row r="39" spans="1:8" x14ac:dyDescent="0.25">
      <c r="B39" s="4"/>
      <c r="C39" s="4"/>
      <c r="D39" s="4"/>
      <c r="E39" s="4"/>
      <c r="F39" s="4"/>
      <c r="G39" s="4"/>
      <c r="H39" s="4"/>
    </row>
    <row r="40" spans="1:8" x14ac:dyDescent="0.25">
      <c r="A40" s="1"/>
      <c r="B40" s="4"/>
      <c r="C40" s="4"/>
      <c r="D40" s="4"/>
      <c r="E40" s="4"/>
      <c r="F40" s="4"/>
      <c r="G40" s="4"/>
      <c r="H40" s="4"/>
    </row>
    <row r="41" spans="1:8" x14ac:dyDescent="0.25">
      <c r="B41" s="4"/>
      <c r="C41" s="4"/>
      <c r="D41" s="4"/>
      <c r="E41" s="4"/>
      <c r="F41" s="4"/>
      <c r="G41" s="4"/>
      <c r="H41" s="4"/>
    </row>
    <row r="42" spans="1:8" x14ac:dyDescent="0.25">
      <c r="B42" s="4"/>
      <c r="C42" s="8"/>
      <c r="D42" s="8"/>
      <c r="E42" s="8"/>
      <c r="F42" s="8"/>
      <c r="G42" s="8"/>
      <c r="H42" s="8"/>
    </row>
    <row r="43" spans="1:8" x14ac:dyDescent="0.25">
      <c r="B43" s="4"/>
      <c r="C43" s="4"/>
      <c r="D43" s="4"/>
      <c r="E43" s="4"/>
      <c r="F43" s="4"/>
      <c r="G43" s="4"/>
      <c r="H43" s="4"/>
    </row>
    <row r="45" spans="1:8" x14ac:dyDescent="0.25">
      <c r="A45" s="1"/>
    </row>
    <row r="46" spans="1:8" x14ac:dyDescent="0.25">
      <c r="B46" s="4"/>
      <c r="C46" s="4"/>
      <c r="D46" s="4"/>
      <c r="E46" s="4"/>
      <c r="F46" s="4"/>
      <c r="G46" s="4"/>
      <c r="H46" s="4"/>
    </row>
    <row r="48" spans="1:8" x14ac:dyDescent="0.25">
      <c r="B48" s="9"/>
    </row>
    <row r="49" spans="2:4" x14ac:dyDescent="0.25">
      <c r="D49" s="6"/>
    </row>
    <row r="50" spans="2:4" x14ac:dyDescent="0.25">
      <c r="B50" s="6"/>
    </row>
    <row r="52" spans="2:4" x14ac:dyDescent="0.25">
      <c r="B52" s="10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1C856-4C04-4ACD-A914-8F306C7E7484}">
  <dimension ref="A2:K52"/>
  <sheetViews>
    <sheetView tabSelected="1" zoomScale="160" zoomScaleNormal="160" workbookViewId="0">
      <selection activeCell="J15" sqref="J15"/>
    </sheetView>
  </sheetViews>
  <sheetFormatPr defaultRowHeight="13.8" x14ac:dyDescent="0.25"/>
  <cols>
    <col min="1" max="1" width="23.88671875" style="2" customWidth="1"/>
    <col min="2" max="2" width="11" style="2" customWidth="1"/>
    <col min="3" max="9" width="8.88671875" style="2"/>
    <col min="10" max="10" width="6.6640625" style="6" customWidth="1"/>
    <col min="11" max="11" width="12.44140625" style="2" customWidth="1"/>
  </cols>
  <sheetData>
    <row r="2" spans="1:11" x14ac:dyDescent="0.25">
      <c r="A2" s="1" t="s">
        <v>0</v>
      </c>
      <c r="J2" s="3"/>
      <c r="K2" s="3"/>
    </row>
    <row r="3" spans="1:11" x14ac:dyDescent="0.25">
      <c r="A3" s="2" t="s">
        <v>1</v>
      </c>
      <c r="B3" s="4">
        <v>1000000</v>
      </c>
      <c r="J3" s="3"/>
      <c r="K3" s="3"/>
    </row>
    <row r="4" spans="1:11" x14ac:dyDescent="0.25">
      <c r="A4" s="2" t="s">
        <v>2</v>
      </c>
      <c r="B4" s="5">
        <v>0.1</v>
      </c>
      <c r="J4" s="3"/>
      <c r="K4" s="3"/>
    </row>
    <row r="5" spans="1:11" x14ac:dyDescent="0.25">
      <c r="A5" s="2" t="s">
        <v>3</v>
      </c>
      <c r="B5" s="12">
        <v>214936.47564109397</v>
      </c>
      <c r="K5" s="7"/>
    </row>
    <row r="6" spans="1:11" x14ac:dyDescent="0.25">
      <c r="A6" s="2" t="s">
        <v>4</v>
      </c>
      <c r="B6" s="8">
        <f>B3/6</f>
        <v>166666.66666666666</v>
      </c>
      <c r="K6" s="7"/>
    </row>
    <row r="7" spans="1:11" x14ac:dyDescent="0.25">
      <c r="A7" s="2" t="s">
        <v>5</v>
      </c>
      <c r="B7" s="5">
        <v>0.4</v>
      </c>
      <c r="K7" s="7"/>
    </row>
    <row r="8" spans="1:11" x14ac:dyDescent="0.25">
      <c r="B8" s="5"/>
      <c r="K8" s="7"/>
    </row>
    <row r="9" spans="1:11" x14ac:dyDescent="0.25">
      <c r="A9" s="2" t="s">
        <v>6</v>
      </c>
      <c r="B9" s="2">
        <v>0</v>
      </c>
      <c r="C9" s="2">
        <v>1</v>
      </c>
      <c r="D9" s="2">
        <v>2</v>
      </c>
      <c r="E9" s="2">
        <v>3</v>
      </c>
      <c r="F9" s="2">
        <v>4</v>
      </c>
      <c r="G9" s="2">
        <v>5</v>
      </c>
      <c r="H9" s="2">
        <v>6</v>
      </c>
      <c r="K9" s="7"/>
    </row>
    <row r="10" spans="1:11" x14ac:dyDescent="0.25">
      <c r="K10" s="7"/>
    </row>
    <row r="11" spans="1:11" x14ac:dyDescent="0.25">
      <c r="A11" s="1" t="s">
        <v>7</v>
      </c>
    </row>
    <row r="12" spans="1:11" x14ac:dyDescent="0.25">
      <c r="A12" s="2" t="s">
        <v>8</v>
      </c>
      <c r="B12" s="8">
        <f>$B$5* (1-$B$7)</f>
        <v>128961.88538465637</v>
      </c>
      <c r="C12" s="8">
        <f t="shared" ref="C12:G12" si="0">$B$5* (1-$B$7)</f>
        <v>128961.88538465637</v>
      </c>
      <c r="D12" s="8">
        <f t="shared" si="0"/>
        <v>128961.88538465637</v>
      </c>
      <c r="E12" s="8">
        <f t="shared" si="0"/>
        <v>128961.88538465637</v>
      </c>
      <c r="F12" s="8">
        <f t="shared" si="0"/>
        <v>128961.88538465637</v>
      </c>
      <c r="G12" s="8">
        <f t="shared" si="0"/>
        <v>128961.88538465637</v>
      </c>
      <c r="H12" s="8"/>
    </row>
    <row r="13" spans="1:11" x14ac:dyDescent="0.25">
      <c r="B13" s="4"/>
      <c r="C13" s="4"/>
      <c r="D13" s="4"/>
      <c r="E13" s="4"/>
      <c r="F13" s="4"/>
      <c r="G13" s="4"/>
      <c r="H13" s="4"/>
    </row>
    <row r="14" spans="1:11" x14ac:dyDescent="0.25">
      <c r="A14" s="1" t="s">
        <v>9</v>
      </c>
      <c r="B14" s="4"/>
      <c r="C14" s="4"/>
      <c r="D14" s="4"/>
      <c r="E14" s="4"/>
      <c r="F14" s="4"/>
      <c r="G14" s="4"/>
      <c r="H14" s="4"/>
    </row>
    <row r="15" spans="1:11" x14ac:dyDescent="0.25">
      <c r="A15" s="2" t="s">
        <v>1</v>
      </c>
      <c r="B15" s="4">
        <f>-$B$3</f>
        <v>-1000000</v>
      </c>
      <c r="C15" s="4"/>
      <c r="D15" s="4"/>
      <c r="E15" s="4"/>
      <c r="F15" s="4"/>
      <c r="G15" s="4"/>
      <c r="H15" s="4"/>
    </row>
    <row r="16" spans="1:11" x14ac:dyDescent="0.25">
      <c r="A16" s="2" t="s">
        <v>10</v>
      </c>
      <c r="B16" s="4"/>
      <c r="C16" s="8">
        <f>$B$6*$B$7</f>
        <v>66666.666666666672</v>
      </c>
      <c r="D16" s="8">
        <f t="shared" ref="D16:H16" si="1">$B$6*$B$7</f>
        <v>66666.666666666672</v>
      </c>
      <c r="E16" s="8">
        <f t="shared" si="1"/>
        <v>66666.666666666672</v>
      </c>
      <c r="F16" s="8">
        <f t="shared" si="1"/>
        <v>66666.666666666672</v>
      </c>
      <c r="G16" s="8">
        <f t="shared" si="1"/>
        <v>66666.666666666672</v>
      </c>
      <c r="H16" s="8">
        <f t="shared" si="1"/>
        <v>66666.666666666672</v>
      </c>
    </row>
    <row r="17" spans="1:10" x14ac:dyDescent="0.25">
      <c r="A17" s="2" t="s">
        <v>11</v>
      </c>
      <c r="B17" s="4">
        <f>SUM(B15:B16)</f>
        <v>-1000000</v>
      </c>
      <c r="C17" s="4">
        <f t="shared" ref="C17:H17" si="2">SUM(C15:C16)</f>
        <v>66666.666666666672</v>
      </c>
      <c r="D17" s="4">
        <f t="shared" si="2"/>
        <v>66666.666666666672</v>
      </c>
      <c r="E17" s="4">
        <f t="shared" si="2"/>
        <v>66666.666666666672</v>
      </c>
      <c r="F17" s="4">
        <f t="shared" si="2"/>
        <v>66666.666666666672</v>
      </c>
      <c r="G17" s="4">
        <f t="shared" si="2"/>
        <v>66666.666666666672</v>
      </c>
      <c r="H17" s="4">
        <f t="shared" si="2"/>
        <v>66666.666666666672</v>
      </c>
    </row>
    <row r="19" spans="1:10" x14ac:dyDescent="0.25">
      <c r="A19" s="1" t="s">
        <v>12</v>
      </c>
    </row>
    <row r="20" spans="1:10" x14ac:dyDescent="0.25">
      <c r="A20" s="2" t="s">
        <v>13</v>
      </c>
      <c r="B20" s="4">
        <f>B12+B17</f>
        <v>-871038.11461534363</v>
      </c>
      <c r="C20" s="4">
        <f t="shared" ref="C20:H20" si="3">C12+C17</f>
        <v>195628.55205132306</v>
      </c>
      <c r="D20" s="4">
        <f t="shared" si="3"/>
        <v>195628.55205132306</v>
      </c>
      <c r="E20" s="4">
        <f t="shared" si="3"/>
        <v>195628.55205132306</v>
      </c>
      <c r="F20" s="4">
        <f t="shared" si="3"/>
        <v>195628.55205132306</v>
      </c>
      <c r="G20" s="4">
        <f t="shared" si="3"/>
        <v>195628.55205132306</v>
      </c>
      <c r="H20" s="4">
        <f t="shared" si="3"/>
        <v>66666.666666666672</v>
      </c>
    </row>
    <row r="22" spans="1:10" x14ac:dyDescent="0.25">
      <c r="A22" s="2" t="s">
        <v>14</v>
      </c>
      <c r="B22" s="9">
        <f>IRR(B20:H20,0)</f>
        <v>6.0007131002277836E-2</v>
      </c>
    </row>
    <row r="23" spans="1:10" x14ac:dyDescent="0.25">
      <c r="D23" s="6"/>
    </row>
    <row r="24" spans="1:10" x14ac:dyDescent="0.25">
      <c r="A24" s="2" t="s">
        <v>15</v>
      </c>
      <c r="B24" s="6" t="str">
        <f>IF(ABS(B22-(1-B7)*B4)&lt;0.01,"indifferent",IF(B22&lt;(1-B7)*B4,"lease","buy"))</f>
        <v>indifferent</v>
      </c>
      <c r="C24" s="2" t="s">
        <v>16</v>
      </c>
    </row>
    <row r="26" spans="1:10" x14ac:dyDescent="0.25">
      <c r="A26" s="2" t="s">
        <v>17</v>
      </c>
      <c r="B26" s="10">
        <f>(1-B7)*B4</f>
        <v>0.06</v>
      </c>
    </row>
    <row r="28" spans="1:10" x14ac:dyDescent="0.25">
      <c r="A28" s="1"/>
    </row>
    <row r="29" spans="1:10" x14ac:dyDescent="0.25">
      <c r="A29" s="2" t="s">
        <v>18</v>
      </c>
      <c r="B29" s="11"/>
      <c r="D29" s="12">
        <f>B5</f>
        <v>214936.47564109397</v>
      </c>
      <c r="J29" s="3"/>
    </row>
    <row r="30" spans="1:10" x14ac:dyDescent="0.25">
      <c r="B30" s="5"/>
      <c r="J30" s="3"/>
    </row>
    <row r="31" spans="1:10" x14ac:dyDescent="0.25">
      <c r="B31" s="4"/>
    </row>
    <row r="32" spans="1:10" x14ac:dyDescent="0.25">
      <c r="B32" s="8"/>
    </row>
    <row r="33" spans="1:8" x14ac:dyDescent="0.25">
      <c r="B33" s="5"/>
    </row>
    <row r="34" spans="1:8" x14ac:dyDescent="0.25">
      <c r="B34" s="5"/>
    </row>
    <row r="37" spans="1:8" x14ac:dyDescent="0.25">
      <c r="A37" s="1"/>
    </row>
    <row r="38" spans="1:8" x14ac:dyDescent="0.25">
      <c r="B38" s="8"/>
      <c r="C38" s="8"/>
      <c r="D38" s="8"/>
      <c r="E38" s="8"/>
      <c r="F38" s="8"/>
      <c r="G38" s="8"/>
      <c r="H38" s="8"/>
    </row>
    <row r="39" spans="1:8" x14ac:dyDescent="0.25">
      <c r="B39" s="4"/>
      <c r="C39" s="4"/>
      <c r="D39" s="4"/>
      <c r="E39" s="4"/>
      <c r="F39" s="4"/>
      <c r="G39" s="4"/>
      <c r="H39" s="4"/>
    </row>
    <row r="40" spans="1:8" x14ac:dyDescent="0.25">
      <c r="A40" s="1"/>
      <c r="B40" s="4"/>
      <c r="C40" s="4"/>
      <c r="D40" s="4"/>
      <c r="E40" s="4"/>
      <c r="F40" s="4"/>
      <c r="G40" s="4"/>
      <c r="H40" s="4"/>
    </row>
    <row r="41" spans="1:8" x14ac:dyDescent="0.25">
      <c r="B41" s="4"/>
      <c r="C41" s="4"/>
      <c r="D41" s="4"/>
      <c r="E41" s="4"/>
      <c r="F41" s="4"/>
      <c r="G41" s="4"/>
      <c r="H41" s="4"/>
    </row>
    <row r="42" spans="1:8" x14ac:dyDescent="0.25">
      <c r="B42" s="4"/>
      <c r="C42" s="8"/>
      <c r="D42" s="8"/>
      <c r="E42" s="8"/>
      <c r="F42" s="8"/>
      <c r="G42" s="8"/>
      <c r="H42" s="8"/>
    </row>
    <row r="43" spans="1:8" x14ac:dyDescent="0.25">
      <c r="B43" s="4"/>
      <c r="C43" s="4"/>
      <c r="D43" s="4"/>
      <c r="E43" s="4"/>
      <c r="F43" s="4"/>
      <c r="G43" s="4"/>
      <c r="H43" s="4"/>
    </row>
    <row r="45" spans="1:8" x14ac:dyDescent="0.25">
      <c r="A45" s="1"/>
    </row>
    <row r="46" spans="1:8" x14ac:dyDescent="0.25">
      <c r="B46" s="4"/>
      <c r="C46" s="4"/>
      <c r="D46" s="4"/>
      <c r="E46" s="4"/>
      <c r="F46" s="4"/>
      <c r="G46" s="4"/>
      <c r="H46" s="4"/>
    </row>
    <row r="48" spans="1:8" x14ac:dyDescent="0.25">
      <c r="B48" s="9"/>
    </row>
    <row r="49" spans="2:4" x14ac:dyDescent="0.25">
      <c r="D49" s="6"/>
    </row>
    <row r="50" spans="2:4" x14ac:dyDescent="0.25">
      <c r="B50" s="6"/>
    </row>
    <row r="52" spans="2:4" x14ac:dyDescent="0.25">
      <c r="B52" s="10"/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2024-10-23T02:57:28Z</dcterms:modified>
</cp:coreProperties>
</file>