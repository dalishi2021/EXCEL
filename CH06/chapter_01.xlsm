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"/>
    </mc:Choice>
  </mc:AlternateContent>
  <xr:revisionPtr revIDLastSave="0" documentId="13_ncr:1_{E5B4A212-F68F-4A31-BB49-65B3CEECB77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  <c r="B3" i="1"/>
  <c r="B9" i="1" s="1"/>
  <c r="B2" i="1"/>
  <c r="C9" i="1"/>
  <c r="C8" i="1"/>
  <c r="B8" i="1" l="1"/>
</calcChain>
</file>

<file path=xl/sharedStrings.xml><?xml version="1.0" encoding="utf-8"?>
<sst xmlns="http://schemas.openxmlformats.org/spreadsheetml/2006/main" count="8" uniqueCount="8">
  <si>
    <t>HOW NOT TO ANALYZE A LEASE</t>
  </si>
  <si>
    <t>Asset cost</t>
  </si>
  <si>
    <t>Interest rate</t>
  </si>
  <si>
    <t>Lease rental payment</t>
  </si>
  <si>
    <t>Annual depreciation</t>
  </si>
  <si>
    <t>Tax rate</t>
  </si>
  <si>
    <t>NPV(leasing)</t>
  </si>
  <si>
    <t>NPV(buying)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</si>
</sst>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4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3" fontId="0" fillId="0" borderId="0" xfId="0" applyNumberFormat="1" applyAlignment="1"/>
    <xf numFmtId="9" fontId="0" fillId="0" borderId="0" xfId="0" applyNumberFormat="1" applyAlignment="1"/>
    <xf numFmtId="3" fontId="0" fillId="0" borderId="0" xfId="1" applyNumberFormat="1" applyFont="1" applyAlignment="1"/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04"/>
      <sheetName val="Page 204 (中文)"/>
      <sheetName val="Pages 205, 207"/>
      <sheetName val="Pages 205, 207 (中文)"/>
      <sheetName val="Page 209"/>
      <sheetName val="Page 209 (中文)"/>
      <sheetName val="Page 212"/>
      <sheetName val="Page 212 (中文)"/>
      <sheetName val="Page 213"/>
      <sheetName val="Page 213 (中文)"/>
      <sheetName val="Page 214"/>
      <sheetName val="Page 214 (中文)"/>
    </sheetNames>
    <sheetDataSet>
      <sheetData sheetId="0"/>
      <sheetData sheetId="1"/>
      <sheetData sheetId="2">
        <row r="2">
          <cell r="B2">
            <v>600000</v>
          </cell>
        </row>
        <row r="3">
          <cell r="B3">
            <v>0.12</v>
          </cell>
        </row>
        <row r="5">
          <cell r="B5">
            <v>100000</v>
          </cell>
        </row>
        <row r="6">
          <cell r="B6">
            <v>0.4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zoomScale="160" zoomScaleNormal="160" workbookViewId="0">
      <selection activeCell="L11" sqref="L11"/>
    </sheetView>
  </sheetViews>
  <sheetFormatPr defaultRowHeight="13.8" x14ac:dyDescent="0.25"/>
  <cols>
    <col min="1" max="1" width="20.33203125" style="2" customWidth="1"/>
    <col min="2" max="2" width="11.44140625" style="2" customWidth="1"/>
    <col min="3" max="3" width="32.109375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f>'[1]Pages 205, 207'!B2</f>
        <v>600000</v>
      </c>
    </row>
    <row r="3" spans="1:3" x14ac:dyDescent="0.25">
      <c r="A3" s="2" t="s">
        <v>2</v>
      </c>
      <c r="B3" s="4">
        <f>'[1]Pages 205, 207'!B3</f>
        <v>0.12</v>
      </c>
    </row>
    <row r="4" spans="1:3" x14ac:dyDescent="0.25">
      <c r="A4" s="2" t="s">
        <v>3</v>
      </c>
      <c r="B4" s="3">
        <v>140000</v>
      </c>
    </row>
    <row r="5" spans="1:3" x14ac:dyDescent="0.25">
      <c r="A5" s="2" t="s">
        <v>4</v>
      </c>
      <c r="B5" s="3">
        <f>'[1]Pages 205, 207'!B5</f>
        <v>100000</v>
      </c>
    </row>
    <row r="6" spans="1:3" x14ac:dyDescent="0.25">
      <c r="A6" s="2" t="s">
        <v>5</v>
      </c>
      <c r="B6" s="4">
        <f>'[1]Pages 205, 207'!B6</f>
        <v>0.4</v>
      </c>
    </row>
    <row r="8" spans="1:3" x14ac:dyDescent="0.25">
      <c r="A8" s="2" t="s">
        <v>6</v>
      </c>
      <c r="B8" s="3">
        <f>-PV(B3,5,B4*(1-B6))+B4*(1-B6)</f>
        <v>386801.20099698054</v>
      </c>
      <c r="C8" s="2" t="str">
        <f ca="1">[2]!getformula(B8)</f>
        <v>&lt;--  =-PV(B3,5,B4*(1-B6))+B4*(1-B6)</v>
      </c>
    </row>
    <row r="9" spans="1:3" x14ac:dyDescent="0.25">
      <c r="A9" s="2" t="s">
        <v>7</v>
      </c>
      <c r="B9" s="5">
        <f>B2+PV(B3,6,B6*B5)</f>
        <v>435543.70705910691</v>
      </c>
      <c r="C9" s="2" t="str">
        <f ca="1">[2]!getformula(B9)</f>
        <v>&lt;--  =B2+PV(B3,6,B6*B5)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2024-10-22T05:23:04Z</dcterms:modified>
</cp:coreProperties>
</file>