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"/>
    </mc:Choice>
  </mc:AlternateContent>
  <xr:revisionPtr revIDLastSave="0" documentId="13_ncr:1_{40431142-1285-4ADF-A7E8-106D2CACC40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I17" i="1"/>
  <c r="I18" i="1" s="1"/>
  <c r="I21" i="1" s="1"/>
  <c r="H16" i="1"/>
  <c r="H18" i="1" s="1"/>
  <c r="H21" i="1" s="1"/>
  <c r="G16" i="1"/>
  <c r="G18" i="1" s="1"/>
  <c r="G21" i="1" s="1"/>
  <c r="B15" i="1"/>
  <c r="G12" i="1"/>
  <c r="F12" i="1"/>
  <c r="E12" i="1"/>
  <c r="D12" i="1"/>
  <c r="C12" i="1"/>
  <c r="B12" i="1"/>
  <c r="B21" i="1" s="1"/>
  <c r="B5" i="1"/>
  <c r="F16" i="1" s="1"/>
  <c r="F18" i="1" s="1"/>
  <c r="C25" i="1"/>
  <c r="C23" i="1"/>
  <c r="D21" i="1" l="1"/>
  <c r="F21" i="1"/>
  <c r="C16" i="1"/>
  <c r="C18" i="1" s="1"/>
  <c r="C21" i="1" s="1"/>
  <c r="E16" i="1"/>
  <c r="E18" i="1" s="1"/>
  <c r="E21" i="1" s="1"/>
  <c r="D16" i="1"/>
  <c r="D18" i="1" s="1"/>
  <c r="B23" i="1" l="1"/>
  <c r="B25" i="1" s="1"/>
</calcChain>
</file>

<file path=xl/sharedStrings.xml><?xml version="1.0" encoding="utf-8"?>
<sst xmlns="http://schemas.openxmlformats.org/spreadsheetml/2006/main" count="20" uniqueCount="19">
  <si>
    <t>RESIDUAL VALUES IN LEASE ANALYSIS</t>
  </si>
  <si>
    <t>Asset cost</t>
  </si>
  <si>
    <t>Interest rate</t>
  </si>
  <si>
    <t>Lease rental payment</t>
  </si>
  <si>
    <t>Annual depreciation</t>
  </si>
  <si>
    <t>Tax rate</t>
  </si>
  <si>
    <t>&lt;-- Anticipated to be realized in year 7; fully taxed</t>
  </si>
  <si>
    <t>Year</t>
  </si>
  <si>
    <t>After-tax cash flows from leasing</t>
  </si>
  <si>
    <t>After-tax lease rental</t>
  </si>
  <si>
    <t>After-tax cash flows from buying the asset</t>
  </si>
  <si>
    <t>Depreciation tax shield</t>
  </si>
  <si>
    <t>After-tax residual</t>
  </si>
  <si>
    <t>Net cash from buying</t>
  </si>
  <si>
    <t>Differential cash flow</t>
  </si>
  <si>
    <t>Lease minus buy</t>
  </si>
  <si>
    <t>IRR of differential cash flow</t>
  </si>
  <si>
    <t>Decision??</t>
  </si>
  <si>
    <t>Residual 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</si>
</sst>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3" fontId="0" fillId="0" borderId="0" xfId="0" applyNumberFormat="1" applyAlignment="1"/>
    <xf numFmtId="9" fontId="0" fillId="0" borderId="0" xfId="0" applyNumberFormat="1" applyAlignment="1"/>
    <xf numFmtId="3" fontId="2" fillId="0" borderId="0" xfId="1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0" fontId="0" fillId="0" borderId="0" xfId="0" applyNumberFormat="1" applyAlignment="1"/>
    <xf numFmtId="0" fontId="0" fillId="0" borderId="0" xfId="0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542925</xdr:colOff>
      <xdr:row>0</xdr:row>
      <xdr:rowOff>114300</xdr:rowOff>
    </xdr:from>
    <xdr:to>
      <xdr:col>24</xdr:col>
      <xdr:colOff>24765</xdr:colOff>
      <xdr:row>35</xdr:row>
      <xdr:rowOff>167640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067759D-E432-21FE-06C2-60AF35D61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172575" y="114300"/>
          <a:ext cx="802005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04"/>
      <sheetName val="Page 204 (中文)"/>
      <sheetName val="Pages 205, 207"/>
      <sheetName val="Pages 205, 207 (中文)"/>
      <sheetName val="Page 209"/>
      <sheetName val="Page 209 (中文)"/>
      <sheetName val="Page 212"/>
      <sheetName val="Page 212 (中文)"/>
      <sheetName val="Page 213"/>
      <sheetName val="Page 213 (中文)"/>
      <sheetName val="Page 214"/>
      <sheetName val="Page 214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25"/>
  <sheetViews>
    <sheetView tabSelected="1" zoomScale="175" zoomScaleNormal="175" workbookViewId="0">
      <selection activeCell="C26" sqref="C26"/>
    </sheetView>
  </sheetViews>
  <sheetFormatPr defaultRowHeight="13.8" x14ac:dyDescent="0.25"/>
  <cols>
    <col min="1" max="1" width="23.5546875" style="2" customWidth="1"/>
    <col min="2" max="9" width="11.6640625" style="2" customWidth="1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  <c r="B2" s="3">
        <v>600000</v>
      </c>
    </row>
    <row r="3" spans="1:9" x14ac:dyDescent="0.25">
      <c r="A3" s="2" t="s">
        <v>2</v>
      </c>
      <c r="B3" s="4">
        <v>0.12</v>
      </c>
    </row>
    <row r="4" spans="1:9" x14ac:dyDescent="0.25">
      <c r="A4" s="2" t="s">
        <v>3</v>
      </c>
      <c r="B4" s="3">
        <v>140000</v>
      </c>
    </row>
    <row r="5" spans="1:9" x14ac:dyDescent="0.25">
      <c r="A5" s="2" t="s">
        <v>4</v>
      </c>
      <c r="B5" s="5">
        <f>B2/6</f>
        <v>100000</v>
      </c>
    </row>
    <row r="6" spans="1:9" x14ac:dyDescent="0.25">
      <c r="A6" s="2" t="s">
        <v>5</v>
      </c>
      <c r="B6" s="4">
        <v>0.4</v>
      </c>
    </row>
    <row r="7" spans="1:9" x14ac:dyDescent="0.25">
      <c r="A7" s="2" t="s">
        <v>18</v>
      </c>
      <c r="B7" s="3">
        <v>100000</v>
      </c>
      <c r="C7" s="2" t="s">
        <v>6</v>
      </c>
    </row>
    <row r="8" spans="1:9" x14ac:dyDescent="0.25">
      <c r="B8" s="4"/>
    </row>
    <row r="9" spans="1:9" x14ac:dyDescent="0.25">
      <c r="A9" s="6" t="s">
        <v>7</v>
      </c>
      <c r="B9" s="7">
        <v>0</v>
      </c>
      <c r="C9" s="7">
        <v>1</v>
      </c>
      <c r="D9" s="7">
        <v>2</v>
      </c>
      <c r="E9" s="7">
        <v>3</v>
      </c>
      <c r="F9" s="7">
        <v>4</v>
      </c>
      <c r="G9" s="7">
        <v>5</v>
      </c>
      <c r="H9" s="7">
        <v>6</v>
      </c>
      <c r="I9" s="7">
        <v>7</v>
      </c>
    </row>
    <row r="10" spans="1:9" x14ac:dyDescent="0.25">
      <c r="A10" s="6"/>
      <c r="B10" s="7"/>
      <c r="C10" s="7"/>
      <c r="D10" s="7"/>
      <c r="E10" s="7"/>
      <c r="F10" s="7"/>
      <c r="G10" s="7"/>
      <c r="H10" s="7"/>
      <c r="I10" s="6"/>
    </row>
    <row r="11" spans="1:9" x14ac:dyDescent="0.25">
      <c r="A11" s="6" t="s">
        <v>8</v>
      </c>
    </row>
    <row r="12" spans="1:9" x14ac:dyDescent="0.25">
      <c r="A12" s="2" t="s">
        <v>9</v>
      </c>
      <c r="B12" s="5">
        <f t="shared" ref="B12:G12" si="0">-$B$4*(1-$B$6)</f>
        <v>-84000</v>
      </c>
      <c r="C12" s="5">
        <f t="shared" si="0"/>
        <v>-84000</v>
      </c>
      <c r="D12" s="5">
        <f t="shared" si="0"/>
        <v>-84000</v>
      </c>
      <c r="E12" s="5">
        <f t="shared" si="0"/>
        <v>-84000</v>
      </c>
      <c r="F12" s="5">
        <f t="shared" si="0"/>
        <v>-84000</v>
      </c>
      <c r="G12" s="5">
        <f t="shared" si="0"/>
        <v>-84000</v>
      </c>
      <c r="H12" s="5"/>
    </row>
    <row r="13" spans="1:9" x14ac:dyDescent="0.25">
      <c r="B13" s="3"/>
      <c r="C13" s="3"/>
      <c r="D13" s="3"/>
      <c r="E13" s="3"/>
      <c r="F13" s="3"/>
      <c r="G13" s="3"/>
      <c r="H13" s="3"/>
    </row>
    <row r="14" spans="1:9" x14ac:dyDescent="0.25">
      <c r="A14" s="6" t="s">
        <v>10</v>
      </c>
      <c r="B14" s="3"/>
      <c r="C14" s="3"/>
      <c r="D14" s="3"/>
      <c r="E14" s="3"/>
      <c r="F14" s="3"/>
      <c r="G14" s="3"/>
      <c r="H14" s="3"/>
    </row>
    <row r="15" spans="1:9" x14ac:dyDescent="0.25">
      <c r="A15" s="2" t="s">
        <v>1</v>
      </c>
      <c r="B15" s="3">
        <f>-B2</f>
        <v>-600000</v>
      </c>
      <c r="C15" s="3"/>
      <c r="D15" s="3"/>
      <c r="E15" s="3"/>
      <c r="F15" s="3"/>
      <c r="G15" s="3"/>
      <c r="H15" s="3"/>
    </row>
    <row r="16" spans="1:9" x14ac:dyDescent="0.25">
      <c r="A16" s="2" t="s">
        <v>11</v>
      </c>
      <c r="B16" s="3"/>
      <c r="C16" s="5">
        <f t="shared" ref="C16:H16" si="1">$B$5*$B$6</f>
        <v>40000</v>
      </c>
      <c r="D16" s="5">
        <f t="shared" si="1"/>
        <v>40000</v>
      </c>
      <c r="E16" s="5">
        <f t="shared" si="1"/>
        <v>40000</v>
      </c>
      <c r="F16" s="5">
        <f t="shared" si="1"/>
        <v>40000</v>
      </c>
      <c r="G16" s="5">
        <f t="shared" si="1"/>
        <v>40000</v>
      </c>
      <c r="H16" s="5">
        <f t="shared" si="1"/>
        <v>40000</v>
      </c>
    </row>
    <row r="17" spans="1:9" x14ac:dyDescent="0.25">
      <c r="A17" s="2" t="s">
        <v>12</v>
      </c>
      <c r="B17" s="3"/>
      <c r="C17" s="5"/>
      <c r="D17" s="5"/>
      <c r="E17" s="5"/>
      <c r="F17" s="5"/>
      <c r="G17" s="5"/>
      <c r="H17" s="5"/>
      <c r="I17" s="3">
        <f>(1-B6)*B7</f>
        <v>60000</v>
      </c>
    </row>
    <row r="18" spans="1:9" x14ac:dyDescent="0.25">
      <c r="A18" s="2" t="s">
        <v>13</v>
      </c>
      <c r="B18" s="3">
        <f>SUM(B15:B17)</f>
        <v>-600000</v>
      </c>
      <c r="C18" s="3">
        <f t="shared" ref="C18:I18" si="2">SUM(C15:C17)</f>
        <v>40000</v>
      </c>
      <c r="D18" s="3">
        <f t="shared" si="2"/>
        <v>40000</v>
      </c>
      <c r="E18" s="3">
        <f t="shared" si="2"/>
        <v>40000</v>
      </c>
      <c r="F18" s="3">
        <f t="shared" si="2"/>
        <v>40000</v>
      </c>
      <c r="G18" s="3">
        <f t="shared" si="2"/>
        <v>40000</v>
      </c>
      <c r="H18" s="3">
        <f t="shared" si="2"/>
        <v>40000</v>
      </c>
      <c r="I18" s="3">
        <f t="shared" si="2"/>
        <v>60000</v>
      </c>
    </row>
    <row r="20" spans="1:9" x14ac:dyDescent="0.25">
      <c r="A20" s="6" t="s">
        <v>14</v>
      </c>
    </row>
    <row r="21" spans="1:9" x14ac:dyDescent="0.25">
      <c r="A21" s="2" t="s">
        <v>15</v>
      </c>
      <c r="B21" s="3">
        <f t="shared" ref="B21:I21" si="3">B12-B18</f>
        <v>516000</v>
      </c>
      <c r="C21" s="3">
        <f t="shared" si="3"/>
        <v>-124000</v>
      </c>
      <c r="D21" s="3">
        <f t="shared" si="3"/>
        <v>-124000</v>
      </c>
      <c r="E21" s="3">
        <f t="shared" si="3"/>
        <v>-124000</v>
      </c>
      <c r="F21" s="3">
        <f t="shared" si="3"/>
        <v>-124000</v>
      </c>
      <c r="G21" s="3">
        <f t="shared" si="3"/>
        <v>-124000</v>
      </c>
      <c r="H21" s="3">
        <f t="shared" si="3"/>
        <v>-40000</v>
      </c>
      <c r="I21" s="3">
        <f t="shared" si="3"/>
        <v>-60000</v>
      </c>
    </row>
    <row r="23" spans="1:9" x14ac:dyDescent="0.25">
      <c r="A23" s="2" t="s">
        <v>16</v>
      </c>
      <c r="B23" s="8">
        <f>IRR(B21:I21,0)</f>
        <v>0.10494253135808052</v>
      </c>
      <c r="C23" s="2" t="str">
        <f ca="1">[2]!getformula(B23)</f>
        <v>&lt;--  =IRR(B21:I21,0)</v>
      </c>
    </row>
    <row r="24" spans="1:9" x14ac:dyDescent="0.25">
      <c r="D24" s="9"/>
    </row>
    <row r="25" spans="1:9" x14ac:dyDescent="0.25">
      <c r="A25" s="2" t="s">
        <v>17</v>
      </c>
      <c r="B25" s="9" t="str">
        <f>IF(B23&lt;(1-B6)*B3,"Lease","Buy")</f>
        <v>Buy</v>
      </c>
      <c r="C25" s="2" t="str">
        <f ca="1">[2]!getformula(B25)</f>
        <v>&lt;--  =IF(B23&lt;(1-B6)*B3,"Lease","Buy")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2024-10-22T09:30:16Z</dcterms:modified>
</cp:coreProperties>
</file>