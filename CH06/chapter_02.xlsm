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6\"/>
    </mc:Choice>
  </mc:AlternateContent>
  <xr:revisionPtr revIDLastSave="0" documentId="13_ncr:1_{65A497EF-57A0-4781-9E54-3141AA1F79E7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1" l="1"/>
  <c r="H16" i="1" s="1"/>
  <c r="H19" i="1" s="1"/>
  <c r="G15" i="1"/>
  <c r="G16" i="1" s="1"/>
  <c r="G19" i="1" s="1"/>
  <c r="F15" i="1"/>
  <c r="F16" i="1" s="1"/>
  <c r="F19" i="1" s="1"/>
  <c r="E15" i="1"/>
  <c r="E16" i="1" s="1"/>
  <c r="E19" i="1" s="1"/>
  <c r="D15" i="1"/>
  <c r="D16" i="1" s="1"/>
  <c r="D19" i="1" s="1"/>
  <c r="C15" i="1"/>
  <c r="C16" i="1" s="1"/>
  <c r="C19" i="1" s="1"/>
  <c r="B14" i="1"/>
  <c r="B16" i="1" s="1"/>
  <c r="B19" i="1" s="1"/>
  <c r="G11" i="1"/>
  <c r="F11" i="1"/>
  <c r="E11" i="1"/>
  <c r="D11" i="1"/>
  <c r="C11" i="1"/>
  <c r="B11" i="1"/>
  <c r="B5" i="1"/>
  <c r="C23" i="1"/>
  <c r="C21" i="1"/>
  <c r="B21" i="1" l="1"/>
  <c r="B23" i="1" s="1"/>
  <c r="G28" i="1" a="1"/>
  <c r="G32" i="1" l="1"/>
  <c r="G30" i="1"/>
  <c r="B30" i="1" s="1"/>
  <c r="G33" i="1"/>
  <c r="B33" i="1" s="1"/>
  <c r="G31" i="1"/>
  <c r="B31" i="1" s="1"/>
  <c r="G29" i="1"/>
  <c r="B29" i="1" s="1"/>
  <c r="G28" i="1"/>
  <c r="B28" i="1" s="1"/>
  <c r="E30" i="1" l="1"/>
  <c r="D30" i="1"/>
  <c r="E28" i="1"/>
  <c r="D28" i="1"/>
  <c r="D29" i="1"/>
  <c r="E29" i="1"/>
  <c r="D31" i="1"/>
  <c r="E33" i="1"/>
  <c r="D33" i="1"/>
  <c r="B32" i="1"/>
  <c r="E31" i="1" s="1"/>
  <c r="F33" i="1" l="1"/>
  <c r="C33" i="1"/>
  <c r="D32" i="1"/>
  <c r="E32" i="1"/>
  <c r="F31" i="1"/>
  <c r="C31" i="1"/>
  <c r="F29" i="1"/>
  <c r="C29" i="1"/>
  <c r="F28" i="1"/>
  <c r="C28" i="1"/>
  <c r="C30" i="1"/>
  <c r="F30" i="1"/>
  <c r="F32" i="1" l="1"/>
  <c r="C32" i="1"/>
</calcChain>
</file>

<file path=xl/sharedStrings.xml><?xml version="1.0" encoding="utf-8"?>
<sst xmlns="http://schemas.openxmlformats.org/spreadsheetml/2006/main" count="25" uniqueCount="23">
  <si>
    <t>EQUIVALENT LOAN METHOD</t>
  </si>
  <si>
    <t>Asset cost</t>
  </si>
  <si>
    <t>Interest rate</t>
  </si>
  <si>
    <t>Lease rental payment</t>
  </si>
  <si>
    <t>Annual depreciation</t>
  </si>
  <si>
    <t>Tax rate</t>
  </si>
  <si>
    <t>Year</t>
  </si>
  <si>
    <t>After-tax cash flows from leasing</t>
  </si>
  <si>
    <t>After-tax lease rental</t>
  </si>
  <si>
    <t>After-tax cash flows from buying the asset</t>
  </si>
  <si>
    <t>Depreciation tax shield</t>
  </si>
  <si>
    <t>Net cash from buying</t>
  </si>
  <si>
    <t>Lease minus buy</t>
  </si>
  <si>
    <t>IRR of differential cash flow</t>
  </si>
  <si>
    <t>Decision??</t>
  </si>
  <si>
    <t>Principal at beg. year</t>
  </si>
  <si>
    <t>Loan payment, end year</t>
  </si>
  <si>
    <t>Interest</t>
  </si>
  <si>
    <t>Repayment of principal</t>
  </si>
  <si>
    <t>After-tax loan repayment</t>
  </si>
  <si>
    <t>Lease minus buy cash flows, years 1-6</t>
  </si>
  <si>
    <t>Differential cash flow:  Lease saves lessor</t>
    <phoneticPr fontId="1" type="noConversion"/>
  </si>
  <si>
    <t>Split of loan repayment between: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</si>
</sst>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77" formatCode="_(* #,##0_);_(* \(#,##0\);_(* &quot;-&quot;??_);_(@_)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/>
    <xf numFmtId="3" fontId="0" fillId="0" borderId="0" xfId="0" applyNumberFormat="1" applyAlignment="1"/>
    <xf numFmtId="9" fontId="0" fillId="0" borderId="0" xfId="0" applyNumberFormat="1" applyAlignment="1"/>
    <xf numFmtId="3" fontId="0" fillId="0" borderId="0" xfId="1" applyNumberFormat="1" applyFont="1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10" fontId="0" fillId="0" borderId="0" xfId="0" applyNumberFormat="1" applyAlignment="1"/>
    <xf numFmtId="0" fontId="0" fillId="0" borderId="0" xfId="0" applyAlignment="1">
      <alignment horizontal="center"/>
    </xf>
    <xf numFmtId="0" fontId="4" fillId="2" borderId="0" xfId="0" applyFont="1" applyFill="1" applyAlignment="1">
      <alignment horizont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77" fontId="0" fillId="0" borderId="0" xfId="1" applyNumberFormat="1" applyFont="1" applyAlignment="1"/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33</xdr:row>
      <xdr:rowOff>91440</xdr:rowOff>
    </xdr:from>
    <xdr:ext cx="2007730" cy="193643"/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A47E9E20-25B1-416D-BB5A-4743D5A2A585}"/>
            </a:ext>
          </a:extLst>
        </xdr:cNvPr>
        <xdr:cNvSpPr txBox="1">
          <a:spLocks noChangeArrowheads="1"/>
        </xdr:cNvSpPr>
      </xdr:nvSpPr>
      <xdr:spPr bwMode="auto">
        <a:xfrm>
          <a:off x="91440" y="6524625"/>
          <a:ext cx="2007730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1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=NPV((1-$B$6)*$B$3,G28:$G$33)</a:t>
          </a:r>
        </a:p>
      </xdr:txBody>
    </xdr:sp>
    <xdr:clientData/>
  </xdr:oneCellAnchor>
  <xdr:oneCellAnchor>
    <xdr:from>
      <xdr:col>1</xdr:col>
      <xdr:colOff>28575</xdr:colOff>
      <xdr:row>35</xdr:row>
      <xdr:rowOff>72390</xdr:rowOff>
    </xdr:from>
    <xdr:ext cx="920894" cy="193643"/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384755BF-F9AA-4B13-831E-D89F743EA438}"/>
            </a:ext>
          </a:extLst>
        </xdr:cNvPr>
        <xdr:cNvSpPr txBox="1">
          <a:spLocks noChangeArrowheads="1"/>
        </xdr:cNvSpPr>
      </xdr:nvSpPr>
      <xdr:spPr bwMode="auto">
        <a:xfrm>
          <a:off x="1664970" y="6844665"/>
          <a:ext cx="920894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1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=D28+B28-B29</a:t>
          </a:r>
        </a:p>
      </xdr:txBody>
    </xdr:sp>
    <xdr:clientData/>
  </xdr:oneCellAnchor>
  <xdr:oneCellAnchor>
    <xdr:from>
      <xdr:col>2</xdr:col>
      <xdr:colOff>247650</xdr:colOff>
      <xdr:row>34</xdr:row>
      <xdr:rowOff>19050</xdr:rowOff>
    </xdr:from>
    <xdr:ext cx="689292" cy="193643"/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1F247A0E-BB5D-4678-A66E-2704315AD732}"/>
            </a:ext>
          </a:extLst>
        </xdr:cNvPr>
        <xdr:cNvSpPr txBox="1">
          <a:spLocks noChangeArrowheads="1"/>
        </xdr:cNvSpPr>
      </xdr:nvSpPr>
      <xdr:spPr bwMode="auto">
        <a:xfrm>
          <a:off x="2729865" y="6616065"/>
          <a:ext cx="689292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1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=$B$3*B28</a:t>
          </a:r>
        </a:p>
      </xdr:txBody>
    </xdr:sp>
    <xdr:clientData/>
  </xdr:oneCellAnchor>
  <xdr:oneCellAnchor>
    <xdr:from>
      <xdr:col>3</xdr:col>
      <xdr:colOff>428625</xdr:colOff>
      <xdr:row>33</xdr:row>
      <xdr:rowOff>123825</xdr:rowOff>
    </xdr:from>
    <xdr:ext cx="610808" cy="193643"/>
    <xdr:sp macro="" textlink="">
      <xdr:nvSpPr>
        <xdr:cNvPr id="5" name="Text Box 5">
          <a:extLst>
            <a:ext uri="{FF2B5EF4-FFF2-40B4-BE49-F238E27FC236}">
              <a16:creationId xmlns:a16="http://schemas.microsoft.com/office/drawing/2014/main" id="{A3993F6F-6619-4D69-A31F-5FC14FF01FB1}"/>
            </a:ext>
          </a:extLst>
        </xdr:cNvPr>
        <xdr:cNvSpPr txBox="1">
          <a:spLocks noChangeArrowheads="1"/>
        </xdr:cNvSpPr>
      </xdr:nvSpPr>
      <xdr:spPr bwMode="auto">
        <a:xfrm>
          <a:off x="3764280" y="6555105"/>
          <a:ext cx="610808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1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=B28-B29</a:t>
          </a:r>
        </a:p>
      </xdr:txBody>
    </xdr:sp>
    <xdr:clientData/>
  </xdr:oneCellAnchor>
  <xdr:oneCellAnchor>
    <xdr:from>
      <xdr:col>5</xdr:col>
      <xdr:colOff>114300</xdr:colOff>
      <xdr:row>33</xdr:row>
      <xdr:rowOff>123825</xdr:rowOff>
    </xdr:from>
    <xdr:ext cx="1198790" cy="193643"/>
    <xdr:sp macro="" textlink="">
      <xdr:nvSpPr>
        <xdr:cNvPr id="6" name="Text Box 6">
          <a:extLst>
            <a:ext uri="{FF2B5EF4-FFF2-40B4-BE49-F238E27FC236}">
              <a16:creationId xmlns:a16="http://schemas.microsoft.com/office/drawing/2014/main" id="{D637A038-20AB-438F-ADEF-F75FC77B9EFD}"/>
            </a:ext>
          </a:extLst>
        </xdr:cNvPr>
        <xdr:cNvSpPr txBox="1">
          <a:spLocks noChangeArrowheads="1"/>
        </xdr:cNvSpPr>
      </xdr:nvSpPr>
      <xdr:spPr bwMode="auto">
        <a:xfrm>
          <a:off x="5143500" y="6555105"/>
          <a:ext cx="1198790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1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=(1-$B$6)*D28+E28</a:t>
          </a:r>
        </a:p>
      </xdr:txBody>
    </xdr:sp>
    <xdr:clientData/>
  </xdr:oneCellAnchor>
  <xdr:twoCellAnchor>
    <xdr:from>
      <xdr:col>0</xdr:col>
      <xdr:colOff>220980</xdr:colOff>
      <xdr:row>27</xdr:row>
      <xdr:rowOff>68580</xdr:rowOff>
    </xdr:from>
    <xdr:to>
      <xdr:col>1</xdr:col>
      <xdr:colOff>243840</xdr:colOff>
      <xdr:row>33</xdr:row>
      <xdr:rowOff>91440</xdr:rowOff>
    </xdr:to>
    <xdr:sp macro="" textlink="">
      <xdr:nvSpPr>
        <xdr:cNvPr id="7" name="Line 7">
          <a:extLst>
            <a:ext uri="{FF2B5EF4-FFF2-40B4-BE49-F238E27FC236}">
              <a16:creationId xmlns:a16="http://schemas.microsoft.com/office/drawing/2014/main" id="{DBB2896E-B3FF-44A2-9A05-A79C737D421E}"/>
            </a:ext>
          </a:extLst>
        </xdr:cNvPr>
        <xdr:cNvSpPr>
          <a:spLocks noChangeShapeType="1"/>
        </xdr:cNvSpPr>
      </xdr:nvSpPr>
      <xdr:spPr bwMode="auto">
        <a:xfrm flipV="1">
          <a:off x="219075" y="5467350"/>
          <a:ext cx="1666875" cy="1057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434340</xdr:colOff>
      <xdr:row>27</xdr:row>
      <xdr:rowOff>99060</xdr:rowOff>
    </xdr:from>
    <xdr:to>
      <xdr:col>2</xdr:col>
      <xdr:colOff>243840</xdr:colOff>
      <xdr:row>35</xdr:row>
      <xdr:rowOff>60960</xdr:rowOff>
    </xdr:to>
    <xdr:sp macro="" textlink="">
      <xdr:nvSpPr>
        <xdr:cNvPr id="8" name="Line 8">
          <a:extLst>
            <a:ext uri="{FF2B5EF4-FFF2-40B4-BE49-F238E27FC236}">
              <a16:creationId xmlns:a16="http://schemas.microsoft.com/office/drawing/2014/main" id="{06C77CDE-94E4-4B72-B287-E8F1D1A8616E}"/>
            </a:ext>
          </a:extLst>
        </xdr:cNvPr>
        <xdr:cNvSpPr>
          <a:spLocks noChangeShapeType="1"/>
        </xdr:cNvSpPr>
      </xdr:nvSpPr>
      <xdr:spPr bwMode="auto">
        <a:xfrm flipV="1">
          <a:off x="2076450" y="5495925"/>
          <a:ext cx="657225" cy="1333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27</xdr:row>
      <xdr:rowOff>76200</xdr:rowOff>
    </xdr:from>
    <xdr:to>
      <xdr:col>3</xdr:col>
      <xdr:colOff>289560</xdr:colOff>
      <xdr:row>34</xdr:row>
      <xdr:rowOff>0</xdr:rowOff>
    </xdr:to>
    <xdr:sp macro="" textlink="">
      <xdr:nvSpPr>
        <xdr:cNvPr id="9" name="Line 9">
          <a:extLst>
            <a:ext uri="{FF2B5EF4-FFF2-40B4-BE49-F238E27FC236}">
              <a16:creationId xmlns:a16="http://schemas.microsoft.com/office/drawing/2014/main" id="{15ABCB1F-FF9E-4472-89F7-C8E6594C04DD}"/>
            </a:ext>
          </a:extLst>
        </xdr:cNvPr>
        <xdr:cNvSpPr>
          <a:spLocks noChangeShapeType="1"/>
        </xdr:cNvSpPr>
      </xdr:nvSpPr>
      <xdr:spPr bwMode="auto">
        <a:xfrm flipV="1">
          <a:off x="2981325" y="5476875"/>
          <a:ext cx="638175" cy="11239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609600</xdr:colOff>
      <xdr:row>27</xdr:row>
      <xdr:rowOff>60960</xdr:rowOff>
    </xdr:from>
    <xdr:to>
      <xdr:col>4</xdr:col>
      <xdr:colOff>289560</xdr:colOff>
      <xdr:row>33</xdr:row>
      <xdr:rowOff>106680</xdr:rowOff>
    </xdr:to>
    <xdr:sp macro="" textlink="">
      <xdr:nvSpPr>
        <xdr:cNvPr id="10" name="Line 10">
          <a:extLst>
            <a:ext uri="{FF2B5EF4-FFF2-40B4-BE49-F238E27FC236}">
              <a16:creationId xmlns:a16="http://schemas.microsoft.com/office/drawing/2014/main" id="{11E02C23-85A2-4CE6-9E78-0059B6F25DBF}"/>
            </a:ext>
          </a:extLst>
        </xdr:cNvPr>
        <xdr:cNvSpPr>
          <a:spLocks noChangeShapeType="1"/>
        </xdr:cNvSpPr>
      </xdr:nvSpPr>
      <xdr:spPr bwMode="auto">
        <a:xfrm flipV="1">
          <a:off x="3943350" y="5457825"/>
          <a:ext cx="523875" cy="107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655320</xdr:colOff>
      <xdr:row>27</xdr:row>
      <xdr:rowOff>83820</xdr:rowOff>
    </xdr:from>
    <xdr:to>
      <xdr:col>6</xdr:col>
      <xdr:colOff>320040</xdr:colOff>
      <xdr:row>34</xdr:row>
      <xdr:rowOff>0</xdr:rowOff>
    </xdr:to>
    <xdr:sp macro="" textlink="">
      <xdr:nvSpPr>
        <xdr:cNvPr id="11" name="Line 11">
          <a:extLst>
            <a:ext uri="{FF2B5EF4-FFF2-40B4-BE49-F238E27FC236}">
              <a16:creationId xmlns:a16="http://schemas.microsoft.com/office/drawing/2014/main" id="{4B39A888-7DCC-4772-AFB9-F2C439BFB1BA}"/>
            </a:ext>
          </a:extLst>
        </xdr:cNvPr>
        <xdr:cNvSpPr>
          <a:spLocks noChangeShapeType="1"/>
        </xdr:cNvSpPr>
      </xdr:nvSpPr>
      <xdr:spPr bwMode="auto">
        <a:xfrm flipH="1" flipV="1">
          <a:off x="5686425" y="5486400"/>
          <a:ext cx="514350" cy="11144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9</xdr:col>
      <xdr:colOff>0</xdr:colOff>
      <xdr:row>1</xdr:row>
      <xdr:rowOff>76200</xdr:rowOff>
    </xdr:from>
    <xdr:to>
      <xdr:col>21</xdr:col>
      <xdr:colOff>243840</xdr:colOff>
      <xdr:row>40</xdr:row>
      <xdr:rowOff>53340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064E91FF-5FB1-C63D-263D-AF621DC862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181975" y="295275"/>
          <a:ext cx="7562850" cy="7162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6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6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204"/>
      <sheetName val="Page 204 (中文)"/>
      <sheetName val="Pages 205, 207"/>
      <sheetName val="Pages 205, 207 (中文)"/>
      <sheetName val="Page 209"/>
      <sheetName val="Page 209 (中文)"/>
      <sheetName val="Page 212"/>
      <sheetName val="Page 212 (中文)"/>
      <sheetName val="Page 213"/>
      <sheetName val="Page 213 (中文)"/>
      <sheetName val="Page 214"/>
      <sheetName val="Page 214 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33"/>
  <sheetViews>
    <sheetView tabSelected="1" zoomScale="145" zoomScaleNormal="145" workbookViewId="0">
      <selection activeCell="F28" sqref="F28"/>
    </sheetView>
  </sheetViews>
  <sheetFormatPr defaultRowHeight="13.8" x14ac:dyDescent="0.25"/>
  <cols>
    <col min="1" max="1" width="23.88671875" style="2" customWidth="1"/>
    <col min="2" max="8" width="12.33203125" style="2" customWidth="1"/>
  </cols>
  <sheetData>
    <row r="1" spans="1:8" ht="17.399999999999999" x14ac:dyDescent="0.3">
      <c r="A1" s="1" t="s">
        <v>0</v>
      </c>
      <c r="B1" s="1"/>
      <c r="C1" s="1"/>
      <c r="D1" s="1"/>
      <c r="E1" s="1"/>
      <c r="F1" s="1"/>
      <c r="G1" s="1"/>
      <c r="H1" s="1"/>
    </row>
    <row r="2" spans="1:8" x14ac:dyDescent="0.25">
      <c r="A2" s="2" t="s">
        <v>1</v>
      </c>
      <c r="B2" s="3">
        <v>600000</v>
      </c>
    </row>
    <row r="3" spans="1:8" x14ac:dyDescent="0.25">
      <c r="A3" s="2" t="s">
        <v>2</v>
      </c>
      <c r="B3" s="4">
        <v>0.12</v>
      </c>
    </row>
    <row r="4" spans="1:8" x14ac:dyDescent="0.25">
      <c r="A4" s="2" t="s">
        <v>3</v>
      </c>
      <c r="B4" s="3">
        <v>140000</v>
      </c>
    </row>
    <row r="5" spans="1:8" x14ac:dyDescent="0.25">
      <c r="A5" s="2" t="s">
        <v>4</v>
      </c>
      <c r="B5" s="5">
        <f>B2/6</f>
        <v>100000</v>
      </c>
    </row>
    <row r="6" spans="1:8" x14ac:dyDescent="0.25">
      <c r="A6" s="2" t="s">
        <v>5</v>
      </c>
      <c r="B6" s="4">
        <v>0.4</v>
      </c>
    </row>
    <row r="7" spans="1:8" x14ac:dyDescent="0.25">
      <c r="B7" s="4"/>
    </row>
    <row r="8" spans="1:8" x14ac:dyDescent="0.25">
      <c r="A8" s="6" t="s">
        <v>6</v>
      </c>
      <c r="B8" s="7">
        <v>0</v>
      </c>
      <c r="C8" s="7">
        <v>1</v>
      </c>
      <c r="D8" s="7">
        <v>2</v>
      </c>
      <c r="E8" s="7">
        <v>3</v>
      </c>
      <c r="F8" s="7">
        <v>4</v>
      </c>
      <c r="G8" s="7">
        <v>5</v>
      </c>
      <c r="H8" s="7">
        <v>6</v>
      </c>
    </row>
    <row r="9" spans="1:8" x14ac:dyDescent="0.25">
      <c r="A9" s="6"/>
      <c r="B9" s="7"/>
      <c r="C9" s="7"/>
      <c r="D9" s="7"/>
      <c r="E9" s="7"/>
      <c r="F9" s="7"/>
      <c r="G9" s="7"/>
      <c r="H9" s="7"/>
    </row>
    <row r="10" spans="1:8" x14ac:dyDescent="0.25">
      <c r="A10" s="6" t="s">
        <v>7</v>
      </c>
    </row>
    <row r="11" spans="1:8" x14ac:dyDescent="0.25">
      <c r="A11" s="2" t="s">
        <v>8</v>
      </c>
      <c r="B11" s="5">
        <f t="shared" ref="B11:G11" si="0">-$B$4*(1-$B$6)</f>
        <v>-84000</v>
      </c>
      <c r="C11" s="5">
        <f t="shared" si="0"/>
        <v>-84000</v>
      </c>
      <c r="D11" s="5">
        <f t="shared" si="0"/>
        <v>-84000</v>
      </c>
      <c r="E11" s="5">
        <f t="shared" si="0"/>
        <v>-84000</v>
      </c>
      <c r="F11" s="5">
        <f t="shared" si="0"/>
        <v>-84000</v>
      </c>
      <c r="G11" s="5">
        <f t="shared" si="0"/>
        <v>-84000</v>
      </c>
      <c r="H11" s="5"/>
    </row>
    <row r="12" spans="1:8" x14ac:dyDescent="0.25">
      <c r="B12" s="3"/>
      <c r="C12" s="3"/>
      <c r="D12" s="3"/>
      <c r="E12" s="3"/>
      <c r="F12" s="3"/>
      <c r="G12" s="3"/>
      <c r="H12" s="3"/>
    </row>
    <row r="13" spans="1:8" x14ac:dyDescent="0.25">
      <c r="A13" s="6" t="s">
        <v>9</v>
      </c>
      <c r="B13" s="3"/>
      <c r="C13" s="3"/>
      <c r="D13" s="3"/>
      <c r="E13" s="3"/>
      <c r="F13" s="3"/>
      <c r="G13" s="3"/>
      <c r="H13" s="3"/>
    </row>
    <row r="14" spans="1:8" x14ac:dyDescent="0.25">
      <c r="A14" s="2" t="s">
        <v>1</v>
      </c>
      <c r="B14" s="3">
        <f>-B2</f>
        <v>-600000</v>
      </c>
      <c r="C14" s="3"/>
      <c r="D14" s="3"/>
      <c r="E14" s="3"/>
      <c r="F14" s="3"/>
      <c r="G14" s="3"/>
      <c r="H14" s="3"/>
    </row>
    <row r="15" spans="1:8" x14ac:dyDescent="0.25">
      <c r="A15" s="2" t="s">
        <v>10</v>
      </c>
      <c r="B15" s="3"/>
      <c r="C15" s="5">
        <f t="shared" ref="C15:H15" si="1">$B$5*$B$6</f>
        <v>40000</v>
      </c>
      <c r="D15" s="5">
        <f t="shared" si="1"/>
        <v>40000</v>
      </c>
      <c r="E15" s="5">
        <f t="shared" si="1"/>
        <v>40000</v>
      </c>
      <c r="F15" s="5">
        <f t="shared" si="1"/>
        <v>40000</v>
      </c>
      <c r="G15" s="5">
        <f t="shared" si="1"/>
        <v>40000</v>
      </c>
      <c r="H15" s="5">
        <f t="shared" si="1"/>
        <v>40000</v>
      </c>
    </row>
    <row r="16" spans="1:8" x14ac:dyDescent="0.25">
      <c r="A16" s="2" t="s">
        <v>11</v>
      </c>
      <c r="B16" s="3">
        <f>B14+B15</f>
        <v>-600000</v>
      </c>
      <c r="C16" s="3">
        <f t="shared" ref="C16:H16" si="2">C14+C15</f>
        <v>40000</v>
      </c>
      <c r="D16" s="3">
        <f t="shared" si="2"/>
        <v>40000</v>
      </c>
      <c r="E16" s="3">
        <f t="shared" si="2"/>
        <v>40000</v>
      </c>
      <c r="F16" s="3">
        <f t="shared" si="2"/>
        <v>40000</v>
      </c>
      <c r="G16" s="3">
        <f t="shared" si="2"/>
        <v>40000</v>
      </c>
      <c r="H16" s="3">
        <f t="shared" si="2"/>
        <v>40000</v>
      </c>
    </row>
    <row r="18" spans="1:8" x14ac:dyDescent="0.25">
      <c r="A18" s="6" t="s">
        <v>21</v>
      </c>
    </row>
    <row r="19" spans="1:8" x14ac:dyDescent="0.25">
      <c r="A19" s="2" t="s">
        <v>12</v>
      </c>
      <c r="B19" s="3">
        <f>B11-B16</f>
        <v>516000</v>
      </c>
      <c r="C19" s="3">
        <f t="shared" ref="C19:H19" si="3">C11-C16</f>
        <v>-124000</v>
      </c>
      <c r="D19" s="3">
        <f t="shared" si="3"/>
        <v>-124000</v>
      </c>
      <c r="E19" s="3">
        <f t="shared" si="3"/>
        <v>-124000</v>
      </c>
      <c r="F19" s="3">
        <f t="shared" si="3"/>
        <v>-124000</v>
      </c>
      <c r="G19" s="3">
        <f t="shared" si="3"/>
        <v>-124000</v>
      </c>
      <c r="H19" s="3">
        <f t="shared" si="3"/>
        <v>-40000</v>
      </c>
    </row>
    <row r="21" spans="1:8" x14ac:dyDescent="0.25">
      <c r="A21" s="2" t="s">
        <v>13</v>
      </c>
      <c r="B21" s="8">
        <f>IRR(B19:H19,0)</f>
        <v>8.2997673770548008E-2</v>
      </c>
      <c r="C21" s="2" t="str">
        <f ca="1">[2]!getformula(B21)</f>
        <v>&lt;--  =IRR(B19:H19,0)</v>
      </c>
    </row>
    <row r="22" spans="1:8" x14ac:dyDescent="0.25">
      <c r="D22" s="9"/>
    </row>
    <row r="23" spans="1:8" x14ac:dyDescent="0.25">
      <c r="A23" s="2" t="s">
        <v>14</v>
      </c>
      <c r="B23" s="9" t="str">
        <f>IF(B21&lt;(1-B6)*B3,"Lease","Buy")</f>
        <v>Buy</v>
      </c>
      <c r="C23" s="2" t="str">
        <f ca="1">[2]!getformula(B23)</f>
        <v>&lt;--  =IF(B21&lt;(1-B6)*B3,"Lease","Buy")</v>
      </c>
    </row>
    <row r="26" spans="1:8" x14ac:dyDescent="0.25">
      <c r="D26" s="10" t="s">
        <v>22</v>
      </c>
      <c r="E26" s="10"/>
    </row>
    <row r="27" spans="1:8" ht="52.8" x14ac:dyDescent="0.25">
      <c r="A27" s="11" t="s">
        <v>6</v>
      </c>
      <c r="B27" s="11" t="s">
        <v>15</v>
      </c>
      <c r="C27" s="11" t="s">
        <v>16</v>
      </c>
      <c r="D27" s="11" t="s">
        <v>17</v>
      </c>
      <c r="E27" s="11" t="s">
        <v>18</v>
      </c>
      <c r="F27" s="11" t="s">
        <v>19</v>
      </c>
      <c r="G27" s="11" t="s">
        <v>20</v>
      </c>
      <c r="H27" s="12"/>
    </row>
    <row r="28" spans="1:8" x14ac:dyDescent="0.25">
      <c r="A28" s="9">
        <v>1</v>
      </c>
      <c r="B28" s="13">
        <f>NPV((1-$B$6)*$B$3,G28:$G$33)</f>
        <v>532070.11735883297</v>
      </c>
      <c r="C28" s="13">
        <f>D28+B28-B29</f>
        <v>149539.36563322402</v>
      </c>
      <c r="D28" s="13">
        <f t="shared" ref="D28:D33" si="4">$B$3*B28</f>
        <v>63848.414083059957</v>
      </c>
      <c r="E28" s="13">
        <f>B28-B29</f>
        <v>85690.951550164027</v>
      </c>
      <c r="F28" s="13">
        <f t="shared" ref="F28:F33" si="5">(1-$B$6)*D28+E28</f>
        <v>124000</v>
      </c>
      <c r="G28" s="13">
        <f t="array" ref="G28:G33">-TRANSPOSE(C19:H19)</f>
        <v>124000</v>
      </c>
    </row>
    <row r="29" spans="1:8" x14ac:dyDescent="0.25">
      <c r="A29" s="9">
        <v>2</v>
      </c>
      <c r="B29" s="13">
        <f>NPV((1-$B$6)*$B$3,G29:$G$33)</f>
        <v>446379.16580866894</v>
      </c>
      <c r="C29" s="13">
        <f>D29+B29-B30</f>
        <v>145426.19995881605</v>
      </c>
      <c r="D29" s="13">
        <f t="shared" si="4"/>
        <v>53565.499897040274</v>
      </c>
      <c r="E29" s="13">
        <f>B29-B30</f>
        <v>91860.700061775802</v>
      </c>
      <c r="F29" s="13">
        <f t="shared" si="5"/>
        <v>123999.99999999997</v>
      </c>
      <c r="G29" s="13">
        <v>124000</v>
      </c>
    </row>
    <row r="30" spans="1:8" x14ac:dyDescent="0.25">
      <c r="A30" s="9">
        <v>3</v>
      </c>
      <c r="B30" s="13">
        <f>NPV((1-$B$6)*$B$3,G30:$G$33)</f>
        <v>354518.46574689314</v>
      </c>
      <c r="C30" s="13">
        <f>D30+B30-B31</f>
        <v>141016.88635585087</v>
      </c>
      <c r="D30" s="13">
        <f t="shared" si="4"/>
        <v>42542.215889627172</v>
      </c>
      <c r="E30" s="13">
        <f>B30-B31</f>
        <v>98474.670466223703</v>
      </c>
      <c r="F30" s="13">
        <f t="shared" si="5"/>
        <v>124000</v>
      </c>
      <c r="G30" s="13">
        <v>124000</v>
      </c>
    </row>
    <row r="31" spans="1:8" x14ac:dyDescent="0.25">
      <c r="A31" s="9">
        <v>4</v>
      </c>
      <c r="B31" s="13">
        <f>NPV((1-$B$6)*$B$3,G31:$G$33)</f>
        <v>256043.79528066944</v>
      </c>
      <c r="C31" s="13">
        <f>D31+B31-B32</f>
        <v>136290.10217347209</v>
      </c>
      <c r="D31" s="13">
        <f t="shared" si="4"/>
        <v>30725.25543368033</v>
      </c>
      <c r="E31" s="13">
        <f>B31-B32</f>
        <v>105564.84673979174</v>
      </c>
      <c r="F31" s="13">
        <f t="shared" si="5"/>
        <v>123999.99999999994</v>
      </c>
      <c r="G31" s="13">
        <v>124000</v>
      </c>
    </row>
    <row r="32" spans="1:8" x14ac:dyDescent="0.25">
      <c r="A32" s="9">
        <v>5</v>
      </c>
      <c r="B32" s="13">
        <f>NPV((1-$B$6)*$B$3,G32:$G$33)</f>
        <v>150478.9485408777</v>
      </c>
      <c r="C32" s="13">
        <f>D32+B32-B33</f>
        <v>131222.98952996213</v>
      </c>
      <c r="D32" s="13">
        <f t="shared" si="4"/>
        <v>18057.473824905323</v>
      </c>
      <c r="E32" s="13">
        <f>B32-B33</f>
        <v>113165.51570505681</v>
      </c>
      <c r="F32" s="13">
        <f t="shared" si="5"/>
        <v>124000</v>
      </c>
      <c r="G32" s="13">
        <v>124000</v>
      </c>
    </row>
    <row r="33" spans="1:7" x14ac:dyDescent="0.25">
      <c r="A33" s="9">
        <v>6</v>
      </c>
      <c r="B33" s="13">
        <f>NPV((1-$B$6)*$B$3,G33:$G$33)</f>
        <v>37313.432835820895</v>
      </c>
      <c r="C33" s="13">
        <f>D33+B33-K10</f>
        <v>41791.044776119401</v>
      </c>
      <c r="D33" s="13">
        <f t="shared" si="4"/>
        <v>4477.6119402985069</v>
      </c>
      <c r="E33" s="13">
        <f>B33-K10</f>
        <v>37313.432835820895</v>
      </c>
      <c r="F33" s="13">
        <f t="shared" si="5"/>
        <v>40000</v>
      </c>
      <c r="G33" s="13">
        <v>40000</v>
      </c>
    </row>
  </sheetData>
  <mergeCells count="2">
    <mergeCell ref="A1:H1"/>
    <mergeCell ref="D26:E26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2024-10-22T06:10:57Z</dcterms:modified>
</cp:coreProperties>
</file>