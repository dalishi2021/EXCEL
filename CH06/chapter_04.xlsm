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6\"/>
    </mc:Choice>
  </mc:AlternateContent>
  <xr:revisionPtr revIDLastSave="0" documentId="13_ncr:1_{0F0B0785-6141-4B9E-AB26-2B5B29F68105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1" i="1" l="1"/>
  <c r="F31" i="1"/>
  <c r="E31" i="1"/>
  <c r="D31" i="1"/>
  <c r="C31" i="1"/>
  <c r="B31" i="1"/>
  <c r="B25" i="1"/>
  <c r="B36" i="1" s="1"/>
  <c r="B23" i="1"/>
  <c r="B22" i="1"/>
  <c r="B30" i="1" s="1"/>
  <c r="B33" i="1" s="1"/>
  <c r="B19" i="1"/>
  <c r="F16" i="1"/>
  <c r="E16" i="1"/>
  <c r="D16" i="1"/>
  <c r="H13" i="1"/>
  <c r="H16" i="1" s="1"/>
  <c r="G13" i="1"/>
  <c r="F13" i="1"/>
  <c r="E13" i="1"/>
  <c r="D13" i="1"/>
  <c r="C13" i="1"/>
  <c r="B13" i="1"/>
  <c r="B11" i="1"/>
  <c r="G8" i="1"/>
  <c r="G16" i="1" s="1"/>
  <c r="F8" i="1"/>
  <c r="E8" i="1"/>
  <c r="D8" i="1"/>
  <c r="C8" i="1"/>
  <c r="C16" i="1" s="1"/>
  <c r="B8" i="1"/>
  <c r="B16" i="1" s="1"/>
  <c r="C36" i="1"/>
  <c r="C35" i="1"/>
  <c r="C19" i="1"/>
  <c r="C18" i="1"/>
  <c r="B18" i="1" l="1"/>
  <c r="B24" i="1"/>
  <c r="C32" i="1" l="1"/>
  <c r="C33" i="1" s="1"/>
  <c r="F32" i="1"/>
  <c r="F33" i="1" s="1"/>
  <c r="H32" i="1"/>
  <c r="H33" i="1" s="1"/>
  <c r="G32" i="1"/>
  <c r="G33" i="1" s="1"/>
  <c r="E32" i="1"/>
  <c r="E33" i="1" s="1"/>
  <c r="D32" i="1"/>
  <c r="D33" i="1" s="1"/>
  <c r="B35" i="1" l="1"/>
</calcChain>
</file>

<file path=xl/sharedStrings.xml><?xml version="1.0" encoding="utf-8"?>
<sst xmlns="http://schemas.openxmlformats.org/spreadsheetml/2006/main" count="29" uniqueCount="27">
  <si>
    <t>GREENVILLE ELECTRIC CORP.</t>
  </si>
  <si>
    <t>Turbine cost</t>
  </si>
  <si>
    <t>Greenville's borrowing rate</t>
  </si>
  <si>
    <t>Lease payment</t>
  </si>
  <si>
    <t>Year</t>
  </si>
  <si>
    <t>Lessee after-tax lease costs</t>
  </si>
  <si>
    <t>After-tax lease rental</t>
  </si>
  <si>
    <t>Lessee after-tax purchase costs</t>
  </si>
  <si>
    <t>Asset cost</t>
  </si>
  <si>
    <t>Depreciation tax shield (Greenville Electric's tax rate = 0)</t>
  </si>
  <si>
    <t>Net cash from buying</t>
  </si>
  <si>
    <t>Cash saved by leasing</t>
  </si>
  <si>
    <t>Lease - purchase cash flows</t>
  </si>
  <si>
    <t>IRR of differential cash flow</t>
  </si>
  <si>
    <t>Greenville's after-tax borrowing cost</t>
  </si>
  <si>
    <t>UNITED TURBINE LEASING CORPORATION</t>
  </si>
  <si>
    <t>Depreciation (straight line, 5 years)</t>
  </si>
  <si>
    <t>United Turbine's borrowing rate</t>
  </si>
  <si>
    <t>United Turbine's corporate tax rate</t>
  </si>
  <si>
    <t>Lessor cash flows</t>
  </si>
  <si>
    <t>Equipment cost</t>
  </si>
  <si>
    <t>Lease payment, after tax</t>
  </si>
  <si>
    <t>Depreciation tax shield</t>
  </si>
  <si>
    <t>Total lessor cash flow</t>
  </si>
  <si>
    <t>IRR of lessor cash flows</t>
  </si>
  <si>
    <t>United Turbine's after-tax borrowing cost</t>
  </si>
  <si>
    <t>Turbine cost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</si>
</sst>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/>
    <xf numFmtId="3" fontId="0" fillId="0" borderId="0" xfId="0" applyNumberFormat="1" applyAlignment="1"/>
    <xf numFmtId="10" fontId="0" fillId="0" borderId="0" xfId="0" applyNumberFormat="1" applyAlignment="1"/>
    <xf numFmtId="9" fontId="0" fillId="0" borderId="0" xfId="0" applyNumberFormat="1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3" fontId="2" fillId="0" borderId="0" xfId="1" applyNumberFormat="1" applyAlignment="1"/>
    <xf numFmtId="0" fontId="3" fillId="0" borderId="0" xfId="0" applyFont="1" applyAlignment="1">
      <alignment horizontal="center"/>
    </xf>
    <xf numFmtId="10" fontId="0" fillId="0" borderId="0" xfId="2" applyNumberFormat="1" applyFont="1" applyAlignment="1"/>
    <xf numFmtId="0" fontId="5" fillId="0" borderId="0" xfId="0" applyFont="1" applyAlignment="1"/>
    <xf numFmtId="0" fontId="0" fillId="2" borderId="0" xfId="0" applyFill="1" applyAlignment="1"/>
    <xf numFmtId="10" fontId="0" fillId="2" borderId="0" xfId="0" applyNumberFormat="1" applyFill="1" applyAlignment="1"/>
    <xf numFmtId="0" fontId="0" fillId="3" borderId="0" xfId="0" applyFill="1" applyAlignment="1"/>
    <xf numFmtId="10" fontId="0" fillId="3" borderId="0" xfId="0" applyNumberFormat="1" applyFill="1" applyAlignment="1"/>
    <xf numFmtId="10" fontId="0" fillId="3" borderId="0" xfId="2" applyNumberFormat="1" applyFont="1" applyFill="1" applyAlignment="1"/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504825</xdr:colOff>
      <xdr:row>0</xdr:row>
      <xdr:rowOff>0</xdr:rowOff>
    </xdr:from>
    <xdr:to>
      <xdr:col>22</xdr:col>
      <xdr:colOff>472441</xdr:colOff>
      <xdr:row>38</xdr:row>
      <xdr:rowOff>38100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EF334A49-1B41-A63F-FFAE-625425F633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010650" y="0"/>
          <a:ext cx="8496300" cy="6648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6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6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04"/>
      <sheetName val="Page 204 (中文)"/>
      <sheetName val="Pages 205, 207"/>
      <sheetName val="Pages 205, 207 (中文)"/>
      <sheetName val="Page 209"/>
      <sheetName val="Page 209 (中文)"/>
      <sheetName val="Page 212"/>
      <sheetName val="Page 212 (中文)"/>
      <sheetName val="Page 213"/>
      <sheetName val="Page 213 (中文)"/>
      <sheetName val="Page 214"/>
      <sheetName val="Page 214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36"/>
  <sheetViews>
    <sheetView tabSelected="1" topLeftCell="A7" zoomScale="160" zoomScaleNormal="160" workbookViewId="0">
      <selection activeCell="D36" sqref="D36"/>
    </sheetView>
  </sheetViews>
  <sheetFormatPr defaultRowHeight="13.8" x14ac:dyDescent="0.25"/>
  <cols>
    <col min="1" max="1" width="49.109375" style="3" bestFit="1" customWidth="1"/>
    <col min="2" max="2" width="11.6640625" style="3" bestFit="1" customWidth="1"/>
    <col min="3" max="8" width="10.6640625" style="3" customWidth="1"/>
  </cols>
  <sheetData>
    <row r="1" spans="1:8" ht="17.399999999999999" x14ac:dyDescent="0.25">
      <c r="A1" s="1" t="s">
        <v>0</v>
      </c>
      <c r="B1" s="2"/>
      <c r="C1" s="2"/>
      <c r="D1" s="2"/>
      <c r="E1" s="2"/>
      <c r="F1" s="2"/>
      <c r="G1" s="2"/>
      <c r="H1" s="2"/>
    </row>
    <row r="2" spans="1:8" x14ac:dyDescent="0.25">
      <c r="A2" s="3" t="s">
        <v>26</v>
      </c>
      <c r="B2" s="4">
        <v>10000000</v>
      </c>
    </row>
    <row r="3" spans="1:8" x14ac:dyDescent="0.25">
      <c r="A3" s="3" t="s">
        <v>2</v>
      </c>
      <c r="B3" s="5">
        <v>0.06</v>
      </c>
    </row>
    <row r="4" spans="1:8" x14ac:dyDescent="0.25">
      <c r="A4" s="3" t="s">
        <v>3</v>
      </c>
      <c r="B4" s="4">
        <v>1800000</v>
      </c>
    </row>
    <row r="5" spans="1:8" x14ac:dyDescent="0.25">
      <c r="B5" s="6"/>
    </row>
    <row r="6" spans="1:8" x14ac:dyDescent="0.25">
      <c r="A6" s="7" t="s">
        <v>4</v>
      </c>
      <c r="B6" s="8">
        <v>0</v>
      </c>
      <c r="C6" s="8">
        <v>1</v>
      </c>
      <c r="D6" s="8">
        <v>2</v>
      </c>
      <c r="E6" s="8">
        <v>3</v>
      </c>
      <c r="F6" s="8">
        <v>4</v>
      </c>
      <c r="G6" s="8">
        <v>5</v>
      </c>
      <c r="H6" s="8">
        <v>6</v>
      </c>
    </row>
    <row r="7" spans="1:8" x14ac:dyDescent="0.25">
      <c r="A7" s="7" t="s">
        <v>5</v>
      </c>
    </row>
    <row r="8" spans="1:8" x14ac:dyDescent="0.25">
      <c r="A8" s="3" t="s">
        <v>6</v>
      </c>
      <c r="B8" s="9">
        <f t="shared" ref="B8:G8" si="0">-$B$4</f>
        <v>-1800000</v>
      </c>
      <c r="C8" s="9">
        <f t="shared" si="0"/>
        <v>-1800000</v>
      </c>
      <c r="D8" s="9">
        <f t="shared" si="0"/>
        <v>-1800000</v>
      </c>
      <c r="E8" s="9">
        <f t="shared" si="0"/>
        <v>-1800000</v>
      </c>
      <c r="F8" s="9">
        <f t="shared" si="0"/>
        <v>-1800000</v>
      </c>
      <c r="G8" s="9">
        <f t="shared" si="0"/>
        <v>-1800000</v>
      </c>
      <c r="H8" s="9"/>
    </row>
    <row r="9" spans="1:8" x14ac:dyDescent="0.25">
      <c r="B9" s="4"/>
      <c r="C9" s="4"/>
      <c r="D9" s="4"/>
      <c r="E9" s="4"/>
      <c r="F9" s="4"/>
      <c r="G9" s="4"/>
      <c r="H9" s="4"/>
    </row>
    <row r="10" spans="1:8" x14ac:dyDescent="0.25">
      <c r="A10" s="7" t="s">
        <v>7</v>
      </c>
      <c r="B10" s="4"/>
      <c r="C10" s="4"/>
      <c r="D10" s="4"/>
      <c r="E10" s="4"/>
      <c r="F10" s="4"/>
      <c r="G10" s="4"/>
      <c r="H10" s="4"/>
    </row>
    <row r="11" spans="1:8" x14ac:dyDescent="0.25">
      <c r="A11" s="3" t="s">
        <v>8</v>
      </c>
      <c r="B11" s="4">
        <f>-B2</f>
        <v>-10000000</v>
      </c>
      <c r="C11" s="4"/>
      <c r="D11" s="4"/>
      <c r="E11" s="4"/>
      <c r="F11" s="4"/>
      <c r="G11" s="4"/>
      <c r="H11" s="4"/>
    </row>
    <row r="12" spans="1:8" x14ac:dyDescent="0.25">
      <c r="A12" s="15" t="s">
        <v>9</v>
      </c>
      <c r="B12" s="4"/>
      <c r="C12" s="9">
        <v>0</v>
      </c>
      <c r="D12" s="9">
        <v>0</v>
      </c>
      <c r="E12" s="9">
        <v>0</v>
      </c>
      <c r="F12" s="9">
        <v>0</v>
      </c>
      <c r="G12" s="9">
        <v>0</v>
      </c>
      <c r="H12" s="9">
        <v>0</v>
      </c>
    </row>
    <row r="13" spans="1:8" x14ac:dyDescent="0.25">
      <c r="A13" s="3" t="s">
        <v>10</v>
      </c>
      <c r="B13" s="4">
        <f t="shared" ref="B13:H13" si="1">B11+B12</f>
        <v>-10000000</v>
      </c>
      <c r="C13" s="4">
        <f t="shared" si="1"/>
        <v>0</v>
      </c>
      <c r="D13" s="4">
        <f t="shared" si="1"/>
        <v>0</v>
      </c>
      <c r="E13" s="4">
        <f t="shared" si="1"/>
        <v>0</v>
      </c>
      <c r="F13" s="4">
        <f t="shared" si="1"/>
        <v>0</v>
      </c>
      <c r="G13" s="4">
        <f t="shared" si="1"/>
        <v>0</v>
      </c>
      <c r="H13" s="4">
        <f t="shared" si="1"/>
        <v>0</v>
      </c>
    </row>
    <row r="15" spans="1:8" x14ac:dyDescent="0.25">
      <c r="A15" s="7" t="s">
        <v>11</v>
      </c>
    </row>
    <row r="16" spans="1:8" x14ac:dyDescent="0.25">
      <c r="A16" s="3" t="s">
        <v>12</v>
      </c>
      <c r="B16" s="4">
        <f>B8-B13</f>
        <v>8200000</v>
      </c>
      <c r="C16" s="4">
        <f t="shared" ref="C16:H16" si="2">C8+C13</f>
        <v>-1800000</v>
      </c>
      <c r="D16" s="4">
        <f t="shared" si="2"/>
        <v>-1800000</v>
      </c>
      <c r="E16" s="4">
        <f t="shared" si="2"/>
        <v>-1800000</v>
      </c>
      <c r="F16" s="4">
        <f t="shared" si="2"/>
        <v>-1800000</v>
      </c>
      <c r="G16" s="4">
        <f t="shared" si="2"/>
        <v>-1800000</v>
      </c>
      <c r="H16" s="4">
        <f t="shared" si="2"/>
        <v>0</v>
      </c>
    </row>
    <row r="18" spans="1:8" x14ac:dyDescent="0.25">
      <c r="A18" s="13" t="s">
        <v>13</v>
      </c>
      <c r="B18" s="14">
        <f>IRR(B16:H16,0)</f>
        <v>3.1854679441053024E-2</v>
      </c>
      <c r="C18" s="3" t="str">
        <f ca="1">[2]!getformula(B18)</f>
        <v>&lt;--  =IRR(B16:H16,0)</v>
      </c>
    </row>
    <row r="19" spans="1:8" x14ac:dyDescent="0.25">
      <c r="A19" s="13" t="s">
        <v>14</v>
      </c>
      <c r="B19" s="14">
        <f>B3</f>
        <v>0.06</v>
      </c>
      <c r="C19" s="3" t="str">
        <f ca="1">[2]!getformula(B19)</f>
        <v>&lt;--  =B3</v>
      </c>
    </row>
    <row r="21" spans="1:8" ht="17.399999999999999" x14ac:dyDescent="0.3">
      <c r="A21" s="10" t="s">
        <v>15</v>
      </c>
      <c r="B21" s="10"/>
      <c r="C21" s="10"/>
      <c r="D21" s="10"/>
      <c r="E21" s="10"/>
      <c r="F21" s="10"/>
      <c r="G21" s="10"/>
      <c r="H21" s="10"/>
    </row>
    <row r="22" spans="1:8" x14ac:dyDescent="0.25">
      <c r="A22" s="3" t="s">
        <v>1</v>
      </c>
      <c r="B22" s="4">
        <f>B2</f>
        <v>10000000</v>
      </c>
    </row>
    <row r="23" spans="1:8" x14ac:dyDescent="0.25">
      <c r="A23" s="3" t="s">
        <v>3</v>
      </c>
      <c r="B23" s="4">
        <f>B4</f>
        <v>1800000</v>
      </c>
    </row>
    <row r="24" spans="1:8" x14ac:dyDescent="0.25">
      <c r="A24" s="3" t="s">
        <v>16</v>
      </c>
      <c r="B24" s="4">
        <f>B22/5</f>
        <v>2000000</v>
      </c>
    </row>
    <row r="25" spans="1:8" x14ac:dyDescent="0.25">
      <c r="A25" s="3" t="s">
        <v>17</v>
      </c>
      <c r="B25" s="11">
        <f>B3</f>
        <v>0.06</v>
      </c>
    </row>
    <row r="26" spans="1:8" x14ac:dyDescent="0.25">
      <c r="A26" s="3" t="s">
        <v>18</v>
      </c>
      <c r="B26" s="6">
        <v>0.4</v>
      </c>
    </row>
    <row r="28" spans="1:8" x14ac:dyDescent="0.25">
      <c r="A28" s="7" t="s">
        <v>4</v>
      </c>
      <c r="B28" s="8">
        <v>0</v>
      </c>
      <c r="C28" s="8">
        <v>1</v>
      </c>
      <c r="D28" s="8">
        <v>2</v>
      </c>
      <c r="E28" s="8">
        <v>3</v>
      </c>
      <c r="F28" s="8">
        <v>4</v>
      </c>
      <c r="G28" s="8">
        <v>5</v>
      </c>
      <c r="H28" s="8">
        <v>6</v>
      </c>
    </row>
    <row r="29" spans="1:8" x14ac:dyDescent="0.25">
      <c r="A29" s="7" t="s">
        <v>19</v>
      </c>
    </row>
    <row r="30" spans="1:8" x14ac:dyDescent="0.25">
      <c r="A30" s="12" t="s">
        <v>20</v>
      </c>
      <c r="B30" s="4">
        <f>-B22</f>
        <v>-10000000</v>
      </c>
      <c r="C30" s="4"/>
      <c r="D30" s="4"/>
      <c r="E30" s="4"/>
      <c r="F30" s="4"/>
      <c r="G30" s="4"/>
      <c r="H30" s="4"/>
    </row>
    <row r="31" spans="1:8" x14ac:dyDescent="0.25">
      <c r="A31" s="3" t="s">
        <v>21</v>
      </c>
      <c r="B31" s="4">
        <f t="shared" ref="B31:G31" si="3">(1-$B$26)*$B$4</f>
        <v>1080000</v>
      </c>
      <c r="C31" s="4">
        <f t="shared" si="3"/>
        <v>1080000</v>
      </c>
      <c r="D31" s="4">
        <f t="shared" si="3"/>
        <v>1080000</v>
      </c>
      <c r="E31" s="4">
        <f t="shared" si="3"/>
        <v>1080000</v>
      </c>
      <c r="F31" s="4">
        <f t="shared" si="3"/>
        <v>1080000</v>
      </c>
      <c r="G31" s="4">
        <f t="shared" si="3"/>
        <v>1080000</v>
      </c>
      <c r="H31" s="4"/>
    </row>
    <row r="32" spans="1:8" x14ac:dyDescent="0.25">
      <c r="A32" s="3" t="s">
        <v>22</v>
      </c>
      <c r="B32" s="4"/>
      <c r="C32" s="4">
        <f t="shared" ref="C32:H32" si="4">$B$24*$B$26</f>
        <v>800000</v>
      </c>
      <c r="D32" s="4">
        <f t="shared" si="4"/>
        <v>800000</v>
      </c>
      <c r="E32" s="4">
        <f t="shared" si="4"/>
        <v>800000</v>
      </c>
      <c r="F32" s="4">
        <f t="shared" si="4"/>
        <v>800000</v>
      </c>
      <c r="G32" s="4">
        <f t="shared" si="4"/>
        <v>800000</v>
      </c>
      <c r="H32" s="4">
        <f t="shared" si="4"/>
        <v>800000</v>
      </c>
    </row>
    <row r="33" spans="1:8" x14ac:dyDescent="0.25">
      <c r="A33" s="3" t="s">
        <v>23</v>
      </c>
      <c r="B33" s="4">
        <f>SUM(B30:B32)</f>
        <v>-8920000</v>
      </c>
      <c r="C33" s="4">
        <f t="shared" ref="C33:H33" si="5">SUM(C30:C32)</f>
        <v>1880000</v>
      </c>
      <c r="D33" s="4">
        <f t="shared" si="5"/>
        <v>1880000</v>
      </c>
      <c r="E33" s="4">
        <f t="shared" si="5"/>
        <v>1880000</v>
      </c>
      <c r="F33" s="4">
        <f t="shared" si="5"/>
        <v>1880000</v>
      </c>
      <c r="G33" s="4">
        <f t="shared" si="5"/>
        <v>1880000</v>
      </c>
      <c r="H33" s="4">
        <f t="shared" si="5"/>
        <v>800000</v>
      </c>
    </row>
    <row r="35" spans="1:8" x14ac:dyDescent="0.25">
      <c r="A35" s="15" t="s">
        <v>24</v>
      </c>
      <c r="B35" s="16">
        <f>IRR(B33:H33)</f>
        <v>4.3028945191547319E-2</v>
      </c>
      <c r="C35" s="3" t="str">
        <f ca="1">[2]!getformula(B35)</f>
        <v>&lt;--  =IRR(B33:H33)</v>
      </c>
    </row>
    <row r="36" spans="1:8" x14ac:dyDescent="0.25">
      <c r="A36" s="15" t="s">
        <v>25</v>
      </c>
      <c r="B36" s="17">
        <f>B25*(1-B26)</f>
        <v>3.5999999999999997E-2</v>
      </c>
      <c r="C36" s="3" t="str">
        <f ca="1">[2]!getformula(B36)</f>
        <v>&lt;--  =B25*(1-B26)</v>
      </c>
    </row>
  </sheetData>
  <mergeCells count="2">
    <mergeCell ref="A1:H1"/>
    <mergeCell ref="A21:H2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2024-10-22T09:23:59Z</dcterms:modified>
</cp:coreProperties>
</file>