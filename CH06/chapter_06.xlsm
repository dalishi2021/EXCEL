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6\"/>
    </mc:Choice>
  </mc:AlternateContent>
  <xr:revisionPtr revIDLastSave="0" documentId="13_ncr:1_{A9CA9FF3-A3DF-4063-8608-83D3855A4078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9" i="1" l="1"/>
  <c r="I22" i="1" s="1"/>
  <c r="B19" i="1"/>
  <c r="I18" i="1"/>
  <c r="B16" i="1"/>
  <c r="G13" i="1"/>
  <c r="F13" i="1"/>
  <c r="E13" i="1"/>
  <c r="D13" i="1"/>
  <c r="C13" i="1"/>
  <c r="B13" i="1"/>
  <c r="B22" i="1" s="1"/>
  <c r="B5" i="1"/>
  <c r="H17" i="1" s="1"/>
  <c r="H19" i="1" s="1"/>
  <c r="H22" i="1" s="1"/>
  <c r="C26" i="1"/>
  <c r="C24" i="1"/>
  <c r="J18" i="1"/>
  <c r="C17" i="1" l="1"/>
  <c r="C19" i="1" s="1"/>
  <c r="C22" i="1" s="1"/>
  <c r="E17" i="1"/>
  <c r="E19" i="1" s="1"/>
  <c r="E22" i="1" s="1"/>
  <c r="D17" i="1"/>
  <c r="D19" i="1" s="1"/>
  <c r="D22" i="1" s="1"/>
  <c r="F17" i="1"/>
  <c r="F19" i="1" s="1"/>
  <c r="F22" i="1" s="1"/>
  <c r="G17" i="1"/>
  <c r="G19" i="1" s="1"/>
  <c r="G22" i="1" s="1"/>
  <c r="B24" i="1" l="1"/>
  <c r="B26" i="1" s="1"/>
</calcChain>
</file>

<file path=xl/sharedStrings.xml><?xml version="1.0" encoding="utf-8"?>
<sst xmlns="http://schemas.openxmlformats.org/spreadsheetml/2006/main" count="21" uniqueCount="20">
  <si>
    <r>
      <t xml:space="preserve">RESIDUAL VALUES IN LEASE ANALYSIS
</t>
    </r>
    <r>
      <rPr>
        <b/>
        <sz val="12"/>
        <rFont val="Arial"/>
        <family val="2"/>
      </rPr>
      <t>Estimated residual value multiplied by certainty-equivalence factor which represents 
uncertainty about realizing residual</t>
    </r>
  </si>
  <si>
    <t>Asset cost</t>
  </si>
  <si>
    <t>Interest rate</t>
  </si>
  <si>
    <t>Lease rental payment</t>
  </si>
  <si>
    <t>Annual depreciation</t>
  </si>
  <si>
    <t>Tax rate</t>
  </si>
  <si>
    <t>Residual value</t>
  </si>
  <si>
    <t>&lt;-- Anticipated to be realized in year 7; fully taxed</t>
  </si>
  <si>
    <t>Year</t>
  </si>
  <si>
    <t>After-tax cash flows from leasing</t>
  </si>
  <si>
    <t>After-tax lease rental</t>
  </si>
  <si>
    <t>After-tax cash flows from buying the asset</t>
  </si>
  <si>
    <t>Depreciation tax shield</t>
  </si>
  <si>
    <t>After-tax residual</t>
  </si>
  <si>
    <t>Net cash from buying</t>
  </si>
  <si>
    <t>Differential cash flow</t>
  </si>
  <si>
    <t>Lease minus buy</t>
  </si>
  <si>
    <t>IRR of differential cash flow</t>
  </si>
  <si>
    <t>Decision??</t>
  </si>
  <si>
    <t>Certainty-equivalence factor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</si>
</sst>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/>
    <xf numFmtId="3" fontId="0" fillId="0" borderId="0" xfId="0" applyNumberFormat="1" applyAlignment="1"/>
    <xf numFmtId="9" fontId="0" fillId="0" borderId="0" xfId="0" applyNumberFormat="1" applyAlignment="1"/>
    <xf numFmtId="3" fontId="2" fillId="0" borderId="0" xfId="1" applyNumberFormat="1" applyAlignment="1"/>
    <xf numFmtId="0" fontId="5" fillId="0" borderId="0" xfId="0" applyFont="1" applyAlignment="1"/>
    <xf numFmtId="0" fontId="5" fillId="0" borderId="0" xfId="0" applyFont="1" applyAlignment="1">
      <alignment horizontal="center"/>
    </xf>
    <xf numFmtId="10" fontId="0" fillId="0" borderId="0" xfId="0" applyNumberFormat="1" applyAlignment="1"/>
    <xf numFmtId="0" fontId="0" fillId="2" borderId="0" xfId="0" applyFill="1" applyAlignment="1"/>
    <xf numFmtId="4" fontId="0" fillId="2" borderId="0" xfId="0" applyNumberFormat="1" applyFill="1" applyAlignment="1"/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619125</xdr:colOff>
      <xdr:row>1</xdr:row>
      <xdr:rowOff>133350</xdr:rowOff>
    </xdr:from>
    <xdr:to>
      <xdr:col>27</xdr:col>
      <xdr:colOff>20955</xdr:colOff>
      <xdr:row>34</xdr:row>
      <xdr:rowOff>91440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7F542541-9150-B71D-BE34-B0D55EA688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782175" y="352425"/>
          <a:ext cx="10020300" cy="5619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6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6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204"/>
      <sheetName val="Page 204 (中文)"/>
      <sheetName val="Pages 205, 207"/>
      <sheetName val="Pages 205, 207 (中文)"/>
      <sheetName val="Page 209"/>
      <sheetName val="Page 209 (中文)"/>
      <sheetName val="Page 212"/>
      <sheetName val="Page 212 (中文)"/>
      <sheetName val="Page 213"/>
      <sheetName val="Page 213 (中文)"/>
      <sheetName val="Page 214"/>
      <sheetName val="Page 214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K26"/>
  <sheetViews>
    <sheetView tabSelected="1" zoomScale="160" zoomScaleNormal="160" workbookViewId="0">
      <selection activeCell="A9" sqref="A9"/>
    </sheetView>
  </sheetViews>
  <sheetFormatPr defaultRowHeight="13.8" x14ac:dyDescent="0.25"/>
  <cols>
    <col min="1" max="1" width="41.21875" style="4" bestFit="1" customWidth="1"/>
    <col min="2" max="9" width="11.6640625" style="4" customWidth="1"/>
    <col min="10" max="10" width="16.6640625" style="3" bestFit="1" customWidth="1"/>
    <col min="11" max="11" width="12.44140625" style="4" customWidth="1"/>
  </cols>
  <sheetData>
    <row r="1" spans="1:11" ht="17.399999999999999" x14ac:dyDescent="0.25">
      <c r="A1" s="1" t="s">
        <v>0</v>
      </c>
      <c r="B1" s="2"/>
      <c r="C1" s="2"/>
      <c r="D1" s="2"/>
      <c r="E1" s="2"/>
      <c r="F1" s="2"/>
      <c r="G1" s="2"/>
      <c r="H1" s="2"/>
      <c r="I1" s="2"/>
    </row>
    <row r="2" spans="1:11" x14ac:dyDescent="0.25">
      <c r="A2" s="4" t="s">
        <v>1</v>
      </c>
      <c r="B2" s="5">
        <v>600000</v>
      </c>
    </row>
    <row r="3" spans="1:11" x14ac:dyDescent="0.25">
      <c r="A3" s="4" t="s">
        <v>2</v>
      </c>
      <c r="B3" s="6">
        <v>0.12</v>
      </c>
    </row>
    <row r="4" spans="1:11" x14ac:dyDescent="0.25">
      <c r="A4" s="4" t="s">
        <v>3</v>
      </c>
      <c r="B4" s="5">
        <v>140000</v>
      </c>
    </row>
    <row r="5" spans="1:11" x14ac:dyDescent="0.25">
      <c r="A5" s="4" t="s">
        <v>4</v>
      </c>
      <c r="B5" s="7">
        <f>B2/6</f>
        <v>100000</v>
      </c>
    </row>
    <row r="6" spans="1:11" x14ac:dyDescent="0.25">
      <c r="A6" s="4" t="s">
        <v>5</v>
      </c>
      <c r="B6" s="6">
        <v>0.4</v>
      </c>
    </row>
    <row r="7" spans="1:11" x14ac:dyDescent="0.25">
      <c r="A7" s="4" t="s">
        <v>6</v>
      </c>
      <c r="B7" s="5">
        <v>100000</v>
      </c>
      <c r="C7" s="4" t="s">
        <v>7</v>
      </c>
    </row>
    <row r="8" spans="1:11" x14ac:dyDescent="0.25">
      <c r="A8" s="11" t="s">
        <v>19</v>
      </c>
      <c r="B8" s="12">
        <v>0.7</v>
      </c>
    </row>
    <row r="9" spans="1:11" x14ac:dyDescent="0.25">
      <c r="B9" s="6"/>
    </row>
    <row r="10" spans="1:11" x14ac:dyDescent="0.25">
      <c r="A10" s="8" t="s">
        <v>8</v>
      </c>
      <c r="B10" s="9">
        <v>0</v>
      </c>
      <c r="C10" s="9">
        <v>1</v>
      </c>
      <c r="D10" s="9">
        <v>2</v>
      </c>
      <c r="E10" s="9">
        <v>3</v>
      </c>
      <c r="F10" s="9">
        <v>4</v>
      </c>
      <c r="G10" s="9">
        <v>5</v>
      </c>
      <c r="H10" s="9">
        <v>6</v>
      </c>
      <c r="I10" s="9">
        <v>7</v>
      </c>
      <c r="J10" s="9"/>
      <c r="K10" s="8"/>
    </row>
    <row r="11" spans="1:11" x14ac:dyDescent="0.25">
      <c r="A11" s="8"/>
      <c r="B11" s="9"/>
      <c r="C11" s="9"/>
      <c r="D11" s="9"/>
      <c r="E11" s="9"/>
      <c r="F11" s="9"/>
      <c r="G11" s="9"/>
      <c r="H11" s="9"/>
      <c r="I11" s="8"/>
      <c r="J11" s="9"/>
      <c r="K11" s="8"/>
    </row>
    <row r="12" spans="1:11" x14ac:dyDescent="0.25">
      <c r="A12" s="8" t="s">
        <v>9</v>
      </c>
    </row>
    <row r="13" spans="1:11" x14ac:dyDescent="0.25">
      <c r="A13" s="4" t="s">
        <v>10</v>
      </c>
      <c r="B13" s="7">
        <f t="shared" ref="B13:G13" si="0">-$B$4*(1-$B$6)</f>
        <v>-84000</v>
      </c>
      <c r="C13" s="7">
        <f t="shared" si="0"/>
        <v>-84000</v>
      </c>
      <c r="D13" s="7">
        <f t="shared" si="0"/>
        <v>-84000</v>
      </c>
      <c r="E13" s="7">
        <f t="shared" si="0"/>
        <v>-84000</v>
      </c>
      <c r="F13" s="7">
        <f t="shared" si="0"/>
        <v>-84000</v>
      </c>
      <c r="G13" s="7">
        <f t="shared" si="0"/>
        <v>-84000</v>
      </c>
      <c r="H13" s="7"/>
    </row>
    <row r="14" spans="1:11" x14ac:dyDescent="0.25">
      <c r="B14" s="5"/>
      <c r="C14" s="5"/>
      <c r="D14" s="5"/>
      <c r="E14" s="5"/>
      <c r="F14" s="5"/>
      <c r="G14" s="5"/>
      <c r="H14" s="5"/>
    </row>
    <row r="15" spans="1:11" x14ac:dyDescent="0.25">
      <c r="A15" s="8" t="s">
        <v>11</v>
      </c>
      <c r="B15" s="5"/>
      <c r="C15" s="5"/>
      <c r="D15" s="5"/>
      <c r="E15" s="5"/>
      <c r="F15" s="5"/>
      <c r="G15" s="5"/>
      <c r="H15" s="5"/>
    </row>
    <row r="16" spans="1:11" x14ac:dyDescent="0.25">
      <c r="A16" s="4" t="s">
        <v>1</v>
      </c>
      <c r="B16" s="5">
        <f>-B2</f>
        <v>-600000</v>
      </c>
      <c r="C16" s="5"/>
      <c r="D16" s="5"/>
      <c r="E16" s="5"/>
      <c r="F16" s="5"/>
      <c r="G16" s="5"/>
      <c r="H16" s="5"/>
    </row>
    <row r="17" spans="1:10" x14ac:dyDescent="0.25">
      <c r="A17" s="4" t="s">
        <v>12</v>
      </c>
      <c r="B17" s="5"/>
      <c r="C17" s="7">
        <f t="shared" ref="C17:H17" si="1">$B$5*$B$6</f>
        <v>40000</v>
      </c>
      <c r="D17" s="7">
        <f t="shared" si="1"/>
        <v>40000</v>
      </c>
      <c r="E17" s="7">
        <f t="shared" si="1"/>
        <v>40000</v>
      </c>
      <c r="F17" s="7">
        <f t="shared" si="1"/>
        <v>40000</v>
      </c>
      <c r="G17" s="7">
        <f t="shared" si="1"/>
        <v>40000</v>
      </c>
      <c r="H17" s="7">
        <f t="shared" si="1"/>
        <v>40000</v>
      </c>
    </row>
    <row r="18" spans="1:10" x14ac:dyDescent="0.25">
      <c r="A18" s="4" t="s">
        <v>13</v>
      </c>
      <c r="B18" s="5"/>
      <c r="C18" s="7"/>
      <c r="D18" s="7"/>
      <c r="E18" s="7"/>
      <c r="F18" s="7"/>
      <c r="G18" s="7"/>
      <c r="H18" s="7"/>
      <c r="I18" s="5">
        <f>(1-B6)*B7*B8</f>
        <v>42000</v>
      </c>
      <c r="J18" s="3" t="str">
        <f ca="1">[2]!getformula(I18)</f>
        <v>&lt;--  =(1-B6)*B7*B8</v>
      </c>
    </row>
    <row r="19" spans="1:10" x14ac:dyDescent="0.25">
      <c r="A19" s="4" t="s">
        <v>14</v>
      </c>
      <c r="B19" s="5">
        <f t="shared" ref="B19:I19" si="2">SUM(B16:B18)</f>
        <v>-600000</v>
      </c>
      <c r="C19" s="5">
        <f t="shared" si="2"/>
        <v>40000</v>
      </c>
      <c r="D19" s="5">
        <f t="shared" si="2"/>
        <v>40000</v>
      </c>
      <c r="E19" s="5">
        <f t="shared" si="2"/>
        <v>40000</v>
      </c>
      <c r="F19" s="5">
        <f t="shared" si="2"/>
        <v>40000</v>
      </c>
      <c r="G19" s="5">
        <f t="shared" si="2"/>
        <v>40000</v>
      </c>
      <c r="H19" s="5">
        <f t="shared" si="2"/>
        <v>40000</v>
      </c>
      <c r="I19" s="5">
        <f t="shared" si="2"/>
        <v>42000</v>
      </c>
    </row>
    <row r="21" spans="1:10" x14ac:dyDescent="0.25">
      <c r="A21" s="8" t="s">
        <v>15</v>
      </c>
    </row>
    <row r="22" spans="1:10" x14ac:dyDescent="0.25">
      <c r="A22" s="4" t="s">
        <v>16</v>
      </c>
      <c r="B22" s="5">
        <f t="shared" ref="B22:I22" si="3">B13-B19</f>
        <v>516000</v>
      </c>
      <c r="C22" s="5">
        <f t="shared" si="3"/>
        <v>-124000</v>
      </c>
      <c r="D22" s="5">
        <f t="shared" si="3"/>
        <v>-124000</v>
      </c>
      <c r="E22" s="5">
        <f t="shared" si="3"/>
        <v>-124000</v>
      </c>
      <c r="F22" s="5">
        <f t="shared" si="3"/>
        <v>-124000</v>
      </c>
      <c r="G22" s="5">
        <f t="shared" si="3"/>
        <v>-124000</v>
      </c>
      <c r="H22" s="5">
        <f t="shared" si="3"/>
        <v>-40000</v>
      </c>
      <c r="I22" s="5">
        <f t="shared" si="3"/>
        <v>-42000</v>
      </c>
    </row>
    <row r="24" spans="1:10" x14ac:dyDescent="0.25">
      <c r="A24" s="4" t="s">
        <v>17</v>
      </c>
      <c r="B24" s="10">
        <f>IRR(B22:I22,0)</f>
        <v>9.8764186368520912E-2</v>
      </c>
      <c r="C24" s="4" t="str">
        <f ca="1">[2]!getformula(B24)</f>
        <v>&lt;--  =IRR(B22:I22,0)</v>
      </c>
    </row>
    <row r="25" spans="1:10" x14ac:dyDescent="0.25">
      <c r="D25" s="3"/>
    </row>
    <row r="26" spans="1:10" x14ac:dyDescent="0.25">
      <c r="A26" s="4" t="s">
        <v>18</v>
      </c>
      <c r="B26" s="3" t="str">
        <f>IF(B24&lt;(1-B6)*B3,"Lease","Buy")</f>
        <v>Buy</v>
      </c>
      <c r="C26" s="4" t="str">
        <f ca="1">[2]!getformula(B26)</f>
        <v>&lt;--  =IF(B24&lt;(1-B6)*B3,"Lease","Buy")</v>
      </c>
    </row>
  </sheetData>
  <mergeCells count="1">
    <mergeCell ref="A1:I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2024-10-22T09:32:04Z</dcterms:modified>
</cp:coreProperties>
</file>