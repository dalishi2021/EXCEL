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8\"/>
    </mc:Choice>
  </mc:AlternateContent>
  <xr:revisionPtr revIDLastSave="0" documentId="13_ncr:1_{74632688-AB52-4087-B6B4-2A27DBC9A94F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494" sheetId="2" r:id="rId2"/>
  </sheets>
  <externalReferences>
    <externalReference r:id="rId3"/>
    <externalReference r:id="rId4"/>
  </externalReferences>
  <definedNames>
    <definedName name="benny">#REF!</definedName>
    <definedName name="Counter">#REF!</definedName>
    <definedName name="delta">'[1]Page 497'!#REF!</definedName>
    <definedName name="initial_price">#REF!</definedName>
    <definedName name="sbenny">#REF!</definedName>
  </definedNames>
  <calcPr calcId="191029" iterate="1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2" l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E141" i="2" s="1"/>
  <c r="E142" i="2" s="1"/>
  <c r="E143" i="2" s="1"/>
  <c r="E144" i="2" s="1"/>
  <c r="E145" i="2" s="1"/>
  <c r="E146" i="2" s="1"/>
  <c r="E147" i="2" s="1"/>
  <c r="E148" i="2" s="1"/>
  <c r="E149" i="2" s="1"/>
  <c r="E150" i="2" s="1"/>
  <c r="E151" i="2" s="1"/>
  <c r="E152" i="2" s="1"/>
  <c r="E153" i="2" s="1"/>
  <c r="E154" i="2" s="1"/>
  <c r="E155" i="2" s="1"/>
  <c r="E156" i="2" s="1"/>
  <c r="E157" i="2" s="1"/>
  <c r="E158" i="2" s="1"/>
  <c r="E159" i="2" s="1"/>
  <c r="E160" i="2" s="1"/>
  <c r="E161" i="2" s="1"/>
  <c r="E162" i="2" s="1"/>
  <c r="E163" i="2" s="1"/>
  <c r="E164" i="2" s="1"/>
  <c r="E165" i="2" s="1"/>
  <c r="E166" i="2" s="1"/>
  <c r="E167" i="2" s="1"/>
  <c r="E168" i="2" s="1"/>
  <c r="E169" i="2" s="1"/>
  <c r="E170" i="2" s="1"/>
  <c r="E171" i="2" s="1"/>
  <c r="E172" i="2" s="1"/>
  <c r="E173" i="2" s="1"/>
  <c r="E174" i="2" s="1"/>
  <c r="E175" i="2" s="1"/>
  <c r="E176" i="2" s="1"/>
  <c r="E177" i="2" s="1"/>
  <c r="E178" i="2" s="1"/>
  <c r="E179" i="2" s="1"/>
  <c r="E180" i="2" s="1"/>
  <c r="E181" i="2" s="1"/>
  <c r="E182" i="2" s="1"/>
  <c r="E183" i="2" s="1"/>
  <c r="E184" i="2" s="1"/>
  <c r="E185" i="2" s="1"/>
  <c r="E186" i="2" s="1"/>
  <c r="E187" i="2" s="1"/>
  <c r="E188" i="2" s="1"/>
  <c r="E189" i="2" s="1"/>
  <c r="E190" i="2" s="1"/>
  <c r="E191" i="2" s="1"/>
  <c r="E192" i="2" s="1"/>
  <c r="E193" i="2" s="1"/>
  <c r="E194" i="2" s="1"/>
  <c r="E195" i="2" s="1"/>
  <c r="E196" i="2" s="1"/>
  <c r="E197" i="2" s="1"/>
  <c r="E198" i="2" s="1"/>
  <c r="E199" i="2" s="1"/>
  <c r="E200" i="2" s="1"/>
  <c r="E201" i="2" s="1"/>
  <c r="E202" i="2" s="1"/>
  <c r="E203" i="2" s="1"/>
  <c r="E204" i="2" s="1"/>
  <c r="E205" i="2" s="1"/>
  <c r="E206" i="2" s="1"/>
  <c r="E207" i="2" s="1"/>
  <c r="E208" i="2" s="1"/>
  <c r="E209" i="2" s="1"/>
  <c r="E210" i="2" s="1"/>
  <c r="E211" i="2" s="1"/>
  <c r="E212" i="2" s="1"/>
  <c r="E213" i="2" s="1"/>
  <c r="E214" i="2" s="1"/>
  <c r="E215" i="2" s="1"/>
  <c r="E216" i="2" s="1"/>
  <c r="E217" i="2" s="1"/>
  <c r="E218" i="2" s="1"/>
  <c r="E219" i="2" s="1"/>
  <c r="E220" i="2" s="1"/>
  <c r="E221" i="2" s="1"/>
  <c r="E222" i="2" s="1"/>
  <c r="E223" i="2" s="1"/>
  <c r="E224" i="2" s="1"/>
  <c r="E225" i="2" s="1"/>
  <c r="E226" i="2" s="1"/>
  <c r="E227" i="2" s="1"/>
  <c r="E228" i="2" s="1"/>
  <c r="E229" i="2" s="1"/>
  <c r="E230" i="2" s="1"/>
  <c r="E231" i="2" s="1"/>
  <c r="E232" i="2" s="1"/>
  <c r="E233" i="2" s="1"/>
  <c r="E234" i="2" s="1"/>
  <c r="E235" i="2" s="1"/>
  <c r="E236" i="2" s="1"/>
  <c r="E237" i="2" s="1"/>
  <c r="E238" i="2" s="1"/>
  <c r="E239" i="2" s="1"/>
  <c r="E240" i="2" s="1"/>
  <c r="E241" i="2" s="1"/>
  <c r="E242" i="2" s="1"/>
  <c r="E243" i="2" s="1"/>
  <c r="E244" i="2" s="1"/>
  <c r="E245" i="2" s="1"/>
  <c r="E246" i="2" s="1"/>
  <c r="E247" i="2" s="1"/>
  <c r="E248" i="2" s="1"/>
  <c r="E249" i="2" s="1"/>
  <c r="E250" i="2" s="1"/>
  <c r="E251" i="2" s="1"/>
  <c r="E252" i="2" s="1"/>
  <c r="E253" i="2" s="1"/>
  <c r="E5" i="2"/>
  <c r="E4" i="2"/>
  <c r="B5" i="2" l="1"/>
  <c r="E3" i="2"/>
  <c r="F5" i="2"/>
  <c r="F4" i="2"/>
  <c r="F3" i="2"/>
</calcChain>
</file>

<file path=xl/sharedStrings.xml><?xml version="1.0" encoding="utf-8"?>
<sst xmlns="http://schemas.openxmlformats.org/spreadsheetml/2006/main" count="8" uniqueCount="8">
  <si>
    <r>
      <t xml:space="preserve">Conceptualizing the Lognormal Distribution
</t>
    </r>
    <r>
      <rPr>
        <b/>
        <sz val="12"/>
        <rFont val="Arial"/>
        <family val="2"/>
      </rPr>
      <t>A simple example</t>
    </r>
  </si>
  <si>
    <t>Time</t>
  </si>
  <si>
    <t>Normal
deviates</t>
  </si>
  <si>
    <t>Stock
price</t>
  </si>
  <si>
    <t>Mean</t>
  </si>
  <si>
    <t>Sigma</t>
  </si>
  <si>
    <r>
      <t>D</t>
    </r>
    <r>
      <rPr>
        <sz val="11"/>
        <color theme="1"/>
        <rFont val="等线"/>
        <family val="2"/>
        <charset val="134"/>
        <scheme val="minor"/>
      </rPr>
      <t>t</t>
    </r>
  </si>
  <si>
    <t>Initial stock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</si>
</sst>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1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 applyAlignment="1">
      <alignment horizontal="centerContinuous"/>
    </xf>
    <xf numFmtId="0" fontId="2" fillId="0" borderId="0" xfId="1"/>
    <xf numFmtId="0" fontId="5" fillId="0" borderId="0" xfId="1" applyFont="1" applyAlignment="1">
      <alignment horizontal="center"/>
    </xf>
    <xf numFmtId="176" fontId="5" fillId="0" borderId="0" xfId="1" applyNumberFormat="1" applyFont="1" applyAlignment="1">
      <alignment horizontal="center" wrapText="1"/>
    </xf>
    <xf numFmtId="9" fontId="2" fillId="0" borderId="0" xfId="1" applyNumberFormat="1"/>
    <xf numFmtId="0" fontId="2" fillId="0" borderId="0" xfId="1" applyAlignment="1">
      <alignment horizontal="center"/>
    </xf>
    <xf numFmtId="176" fontId="2" fillId="0" borderId="0" xfId="1" applyNumberFormat="1"/>
    <xf numFmtId="0" fontId="6" fillId="0" borderId="0" xfId="1" applyFont="1"/>
    <xf numFmtId="0" fontId="5" fillId="0" borderId="0" xfId="1" applyFont="1"/>
  </cellXfs>
  <cellStyles count="2">
    <cellStyle name="常规" xfId="0" builtinId="0"/>
    <cellStyle name="常规 2" xfId="1" xr:uid="{65A6CE31-1EC9-478E-B13E-0E1161947A1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Simulated Stock Price Path</a:t>
            </a:r>
          </a:p>
        </c:rich>
      </c:tx>
      <c:layout>
        <c:manualLayout>
          <c:xMode val="edge"/>
          <c:yMode val="edge"/>
          <c:x val="0.23701326882094603"/>
          <c:y val="2.41380529602621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03921196385603"/>
          <c:y val="6.2069279040674039E-2"/>
          <c:w val="0.63311763589156811"/>
          <c:h val="0.7586245216082381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'Page 494'!$C$3:$C$253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xVal>
          <c:yVal>
            <c:numRef>
              <c:f>'Page 494'!$E$3:$E$253</c:f>
              <c:numCache>
                <c:formatCode>0.0000</c:formatCode>
                <c:ptCount val="251"/>
                <c:pt idx="0">
                  <c:v>35</c:v>
                </c:pt>
                <c:pt idx="1">
                  <c:v>34.348103594063772</c:v>
                </c:pt>
                <c:pt idx="2">
                  <c:v>34.030032405811674</c:v>
                </c:pt>
                <c:pt idx="3">
                  <c:v>34.402054655615366</c:v>
                </c:pt>
                <c:pt idx="4">
                  <c:v>34.739145724893923</c:v>
                </c:pt>
                <c:pt idx="5">
                  <c:v>34.678579510508143</c:v>
                </c:pt>
                <c:pt idx="6">
                  <c:v>35.015414687231456</c:v>
                </c:pt>
                <c:pt idx="7">
                  <c:v>36.37270594537673</c:v>
                </c:pt>
                <c:pt idx="8">
                  <c:v>37.247929289817066</c:v>
                </c:pt>
                <c:pt idx="9">
                  <c:v>39.22634585308618</c:v>
                </c:pt>
                <c:pt idx="10">
                  <c:v>40.863760736617415</c:v>
                </c:pt>
                <c:pt idx="11">
                  <c:v>39.577540975059101</c:v>
                </c:pt>
                <c:pt idx="12">
                  <c:v>39.532599644231965</c:v>
                </c:pt>
                <c:pt idx="13">
                  <c:v>40.638084348009656</c:v>
                </c:pt>
                <c:pt idx="14">
                  <c:v>40.305096018617206</c:v>
                </c:pt>
                <c:pt idx="15">
                  <c:v>40.308596118323287</c:v>
                </c:pt>
                <c:pt idx="16">
                  <c:v>39.990806809576817</c:v>
                </c:pt>
                <c:pt idx="17">
                  <c:v>41.737594533500705</c:v>
                </c:pt>
                <c:pt idx="18">
                  <c:v>41.533982058241229</c:v>
                </c:pt>
                <c:pt idx="19">
                  <c:v>42.4060419739492</c:v>
                </c:pt>
                <c:pt idx="20">
                  <c:v>42.479309205644846</c:v>
                </c:pt>
                <c:pt idx="21">
                  <c:v>42.593450945439159</c:v>
                </c:pt>
                <c:pt idx="22">
                  <c:v>41.789718101526603</c:v>
                </c:pt>
                <c:pt idx="23">
                  <c:v>42.077290043272761</c:v>
                </c:pt>
                <c:pt idx="24">
                  <c:v>43.146968096404635</c:v>
                </c:pt>
                <c:pt idx="25">
                  <c:v>43.468984724142608</c:v>
                </c:pt>
                <c:pt idx="26">
                  <c:v>42.803959004883744</c:v>
                </c:pt>
                <c:pt idx="27">
                  <c:v>42.544529240527289</c:v>
                </c:pt>
                <c:pt idx="28">
                  <c:v>42.280197924075708</c:v>
                </c:pt>
                <c:pt idx="29">
                  <c:v>42.101073175819629</c:v>
                </c:pt>
                <c:pt idx="30">
                  <c:v>41.509017167198124</c:v>
                </c:pt>
                <c:pt idx="31">
                  <c:v>41.238563565543338</c:v>
                </c:pt>
                <c:pt idx="32">
                  <c:v>41.160642223879748</c:v>
                </c:pt>
                <c:pt idx="33">
                  <c:v>40.853034700710637</c:v>
                </c:pt>
                <c:pt idx="34">
                  <c:v>41.189412997684634</c:v>
                </c:pt>
                <c:pt idx="35">
                  <c:v>41.803199278210229</c:v>
                </c:pt>
                <c:pt idx="36">
                  <c:v>42.044097425963145</c:v>
                </c:pt>
                <c:pt idx="37">
                  <c:v>42.668655682326133</c:v>
                </c:pt>
                <c:pt idx="38">
                  <c:v>41.675927455065654</c:v>
                </c:pt>
                <c:pt idx="39">
                  <c:v>42.017166211318496</c:v>
                </c:pt>
                <c:pt idx="40">
                  <c:v>42.773588086546084</c:v>
                </c:pt>
                <c:pt idx="41">
                  <c:v>41.03334588280989</c:v>
                </c:pt>
                <c:pt idx="42">
                  <c:v>40.882282550635885</c:v>
                </c:pt>
                <c:pt idx="43">
                  <c:v>41.219485822983437</c:v>
                </c:pt>
                <c:pt idx="44">
                  <c:v>42.589298179828482</c:v>
                </c:pt>
                <c:pt idx="45">
                  <c:v>42.437747020357463</c:v>
                </c:pt>
                <c:pt idx="46">
                  <c:v>41.435065353415389</c:v>
                </c:pt>
                <c:pt idx="47">
                  <c:v>43.254700008141917</c:v>
                </c:pt>
                <c:pt idx="48">
                  <c:v>43.506650353840953</c:v>
                </c:pt>
                <c:pt idx="49">
                  <c:v>41.868369099790385</c:v>
                </c:pt>
                <c:pt idx="50">
                  <c:v>40.576025182974789</c:v>
                </c:pt>
                <c:pt idx="51">
                  <c:v>40.457704984769457</c:v>
                </c:pt>
                <c:pt idx="52">
                  <c:v>40.839679379089056</c:v>
                </c:pt>
                <c:pt idx="53">
                  <c:v>42.061317552678567</c:v>
                </c:pt>
                <c:pt idx="54">
                  <c:v>40.742795962196958</c:v>
                </c:pt>
                <c:pt idx="55">
                  <c:v>41.471468089944516</c:v>
                </c:pt>
                <c:pt idx="56">
                  <c:v>41.500243351800499</c:v>
                </c:pt>
                <c:pt idx="57">
                  <c:v>40.287537548648949</c:v>
                </c:pt>
                <c:pt idx="58">
                  <c:v>39.671266480381185</c:v>
                </c:pt>
                <c:pt idx="59">
                  <c:v>41.016526348962834</c:v>
                </c:pt>
                <c:pt idx="60">
                  <c:v>41.708562294209287</c:v>
                </c:pt>
                <c:pt idx="61">
                  <c:v>41.399228157787881</c:v>
                </c:pt>
                <c:pt idx="62">
                  <c:v>41.964029614397262</c:v>
                </c:pt>
                <c:pt idx="63">
                  <c:v>41.565582992654811</c:v>
                </c:pt>
                <c:pt idx="64">
                  <c:v>41.052670516371208</c:v>
                </c:pt>
                <c:pt idx="65">
                  <c:v>40.575138852946893</c:v>
                </c:pt>
                <c:pt idx="66">
                  <c:v>40.233595258764858</c:v>
                </c:pt>
                <c:pt idx="67">
                  <c:v>39.904566879331846</c:v>
                </c:pt>
                <c:pt idx="68">
                  <c:v>40.839163168109259</c:v>
                </c:pt>
                <c:pt idx="69">
                  <c:v>41.131186952418304</c:v>
                </c:pt>
                <c:pt idx="70">
                  <c:v>40.099340107728622</c:v>
                </c:pt>
                <c:pt idx="71">
                  <c:v>39.008082983785307</c:v>
                </c:pt>
                <c:pt idx="72">
                  <c:v>38.530049798613703</c:v>
                </c:pt>
                <c:pt idx="73">
                  <c:v>38.393912986563258</c:v>
                </c:pt>
                <c:pt idx="74">
                  <c:v>37.095516866976389</c:v>
                </c:pt>
                <c:pt idx="75">
                  <c:v>37.386664034412497</c:v>
                </c:pt>
                <c:pt idx="76">
                  <c:v>37.264079751794903</c:v>
                </c:pt>
                <c:pt idx="77">
                  <c:v>37.560010873026947</c:v>
                </c:pt>
                <c:pt idx="78">
                  <c:v>37.837109905187681</c:v>
                </c:pt>
                <c:pt idx="79">
                  <c:v>37.232287530889487</c:v>
                </c:pt>
                <c:pt idx="80">
                  <c:v>37.841910399450242</c:v>
                </c:pt>
                <c:pt idx="81">
                  <c:v>37.455215594668196</c:v>
                </c:pt>
                <c:pt idx="82">
                  <c:v>36.815061023550619</c:v>
                </c:pt>
                <c:pt idx="83">
                  <c:v>36.022908942021154</c:v>
                </c:pt>
                <c:pt idx="84">
                  <c:v>36.888586916445597</c:v>
                </c:pt>
                <c:pt idx="85">
                  <c:v>37.782151434633271</c:v>
                </c:pt>
                <c:pt idx="86">
                  <c:v>36.730031728916458</c:v>
                </c:pt>
                <c:pt idx="87">
                  <c:v>36.116804191736925</c:v>
                </c:pt>
                <c:pt idx="88">
                  <c:v>37.058360849310802</c:v>
                </c:pt>
                <c:pt idx="89">
                  <c:v>36.027391256596367</c:v>
                </c:pt>
                <c:pt idx="90">
                  <c:v>35.85337159890571</c:v>
                </c:pt>
                <c:pt idx="91">
                  <c:v>34.920759628141866</c:v>
                </c:pt>
                <c:pt idx="92">
                  <c:v>34.788103725278908</c:v>
                </c:pt>
                <c:pt idx="93">
                  <c:v>34.933903012029354</c:v>
                </c:pt>
                <c:pt idx="94">
                  <c:v>33.341541505595167</c:v>
                </c:pt>
                <c:pt idx="95">
                  <c:v>32.83315378437603</c:v>
                </c:pt>
                <c:pt idx="96">
                  <c:v>33.395936441651102</c:v>
                </c:pt>
                <c:pt idx="97">
                  <c:v>34.635929786555671</c:v>
                </c:pt>
                <c:pt idx="98">
                  <c:v>34.482925840349068</c:v>
                </c:pt>
                <c:pt idx="99">
                  <c:v>34.097865502262373</c:v>
                </c:pt>
                <c:pt idx="100">
                  <c:v>32.768130857337539</c:v>
                </c:pt>
                <c:pt idx="101">
                  <c:v>33.262965603263112</c:v>
                </c:pt>
                <c:pt idx="102">
                  <c:v>33.565072392831446</c:v>
                </c:pt>
                <c:pt idx="103">
                  <c:v>33.349854428080789</c:v>
                </c:pt>
                <c:pt idx="104">
                  <c:v>32.004789193550259</c:v>
                </c:pt>
                <c:pt idx="105">
                  <c:v>32.979104000546954</c:v>
                </c:pt>
                <c:pt idx="106">
                  <c:v>33.726101518532026</c:v>
                </c:pt>
                <c:pt idx="107">
                  <c:v>33.19553453070742</c:v>
                </c:pt>
                <c:pt idx="108">
                  <c:v>33.354627421955996</c:v>
                </c:pt>
                <c:pt idx="109">
                  <c:v>33.691766933541324</c:v>
                </c:pt>
                <c:pt idx="110">
                  <c:v>32.417585462691491</c:v>
                </c:pt>
                <c:pt idx="111">
                  <c:v>31.709346557368413</c:v>
                </c:pt>
                <c:pt idx="112">
                  <c:v>30.875703768866245</c:v>
                </c:pt>
                <c:pt idx="113">
                  <c:v>30.840867791379161</c:v>
                </c:pt>
                <c:pt idx="114">
                  <c:v>31.889988909635971</c:v>
                </c:pt>
                <c:pt idx="115">
                  <c:v>32.088447637347024</c:v>
                </c:pt>
                <c:pt idx="116">
                  <c:v>31.892682352215367</c:v>
                </c:pt>
                <c:pt idx="117">
                  <c:v>30.839597682334954</c:v>
                </c:pt>
                <c:pt idx="118">
                  <c:v>30.9729243445381</c:v>
                </c:pt>
                <c:pt idx="119">
                  <c:v>31.661046951493091</c:v>
                </c:pt>
                <c:pt idx="120">
                  <c:v>32.485876855836963</c:v>
                </c:pt>
                <c:pt idx="121">
                  <c:v>32.582736688904824</c:v>
                </c:pt>
                <c:pt idx="122">
                  <c:v>32.391995641020763</c:v>
                </c:pt>
                <c:pt idx="123">
                  <c:v>31.807675836556001</c:v>
                </c:pt>
                <c:pt idx="124">
                  <c:v>31.096816107312986</c:v>
                </c:pt>
                <c:pt idx="125">
                  <c:v>31.212049481893008</c:v>
                </c:pt>
                <c:pt idx="126">
                  <c:v>31.94815941490247</c:v>
                </c:pt>
                <c:pt idx="127">
                  <c:v>32.121984845622116</c:v>
                </c:pt>
                <c:pt idx="128">
                  <c:v>32.59137967988665</c:v>
                </c:pt>
                <c:pt idx="129">
                  <c:v>33.132822464421743</c:v>
                </c:pt>
                <c:pt idx="130">
                  <c:v>32.533128974749452</c:v>
                </c:pt>
                <c:pt idx="131">
                  <c:v>31.581476109670646</c:v>
                </c:pt>
                <c:pt idx="132">
                  <c:v>32.451355989022922</c:v>
                </c:pt>
                <c:pt idx="133">
                  <c:v>32.822450046133348</c:v>
                </c:pt>
                <c:pt idx="134">
                  <c:v>32.928266883514766</c:v>
                </c:pt>
                <c:pt idx="135">
                  <c:v>33.249291706415093</c:v>
                </c:pt>
                <c:pt idx="136">
                  <c:v>33.955086108562917</c:v>
                </c:pt>
                <c:pt idx="137">
                  <c:v>34.160757441272573</c:v>
                </c:pt>
                <c:pt idx="138">
                  <c:v>33.423869561598792</c:v>
                </c:pt>
                <c:pt idx="139">
                  <c:v>35.09339840006313</c:v>
                </c:pt>
                <c:pt idx="140">
                  <c:v>35.277522375076572</c:v>
                </c:pt>
                <c:pt idx="141">
                  <c:v>35.085844038448386</c:v>
                </c:pt>
                <c:pt idx="142">
                  <c:v>36.409663458460045</c:v>
                </c:pt>
                <c:pt idx="143">
                  <c:v>37.067904845049455</c:v>
                </c:pt>
                <c:pt idx="144">
                  <c:v>37.166908882678413</c:v>
                </c:pt>
                <c:pt idx="145">
                  <c:v>37.240657347805588</c:v>
                </c:pt>
                <c:pt idx="146">
                  <c:v>37.734369111151217</c:v>
                </c:pt>
                <c:pt idx="147">
                  <c:v>36.954511535729502</c:v>
                </c:pt>
                <c:pt idx="148">
                  <c:v>37.368400163169319</c:v>
                </c:pt>
                <c:pt idx="149">
                  <c:v>37.945342051472885</c:v>
                </c:pt>
                <c:pt idx="150">
                  <c:v>38.161137351297924</c:v>
                </c:pt>
                <c:pt idx="151">
                  <c:v>37.151637676654303</c:v>
                </c:pt>
                <c:pt idx="152">
                  <c:v>36.577782466595401</c:v>
                </c:pt>
                <c:pt idx="153">
                  <c:v>36.916160129675873</c:v>
                </c:pt>
                <c:pt idx="154">
                  <c:v>37.837324821542929</c:v>
                </c:pt>
                <c:pt idx="155">
                  <c:v>37.200403880219156</c:v>
                </c:pt>
                <c:pt idx="156">
                  <c:v>36.749423478406214</c:v>
                </c:pt>
                <c:pt idx="157">
                  <c:v>36.833820278934233</c:v>
                </c:pt>
                <c:pt idx="158">
                  <c:v>38.005157984185921</c:v>
                </c:pt>
                <c:pt idx="159">
                  <c:v>36.952075796607517</c:v>
                </c:pt>
                <c:pt idx="160">
                  <c:v>37.30276119204752</c:v>
                </c:pt>
                <c:pt idx="161">
                  <c:v>37.055436277206041</c:v>
                </c:pt>
                <c:pt idx="162">
                  <c:v>35.818204495603538</c:v>
                </c:pt>
                <c:pt idx="163">
                  <c:v>36.130887914062448</c:v>
                </c:pt>
                <c:pt idx="164">
                  <c:v>37.072165594098543</c:v>
                </c:pt>
                <c:pt idx="165">
                  <c:v>37.575664247231863</c:v>
                </c:pt>
                <c:pt idx="166">
                  <c:v>36.628917688757177</c:v>
                </c:pt>
                <c:pt idx="167">
                  <c:v>36.196797747608649</c:v>
                </c:pt>
                <c:pt idx="168">
                  <c:v>36.100297169611515</c:v>
                </c:pt>
                <c:pt idx="169">
                  <c:v>36.561710611986015</c:v>
                </c:pt>
                <c:pt idx="170">
                  <c:v>35.716742544685971</c:v>
                </c:pt>
                <c:pt idx="171">
                  <c:v>35.361580413042766</c:v>
                </c:pt>
                <c:pt idx="172">
                  <c:v>36.976095504638664</c:v>
                </c:pt>
                <c:pt idx="173">
                  <c:v>36.676313475562985</c:v>
                </c:pt>
                <c:pt idx="174">
                  <c:v>37.551190377053949</c:v>
                </c:pt>
                <c:pt idx="175">
                  <c:v>37.361545748459832</c:v>
                </c:pt>
                <c:pt idx="176">
                  <c:v>36.788964894389558</c:v>
                </c:pt>
                <c:pt idx="177">
                  <c:v>37.2387608250963</c:v>
                </c:pt>
                <c:pt idx="178">
                  <c:v>36.038700499975626</c:v>
                </c:pt>
                <c:pt idx="179">
                  <c:v>35.888600976819816</c:v>
                </c:pt>
                <c:pt idx="180">
                  <c:v>37.089208035839818</c:v>
                </c:pt>
                <c:pt idx="181">
                  <c:v>36.777725411433522</c:v>
                </c:pt>
                <c:pt idx="182">
                  <c:v>37.459710002872789</c:v>
                </c:pt>
                <c:pt idx="183">
                  <c:v>35.808403976066025</c:v>
                </c:pt>
                <c:pt idx="184">
                  <c:v>35.620684234095762</c:v>
                </c:pt>
                <c:pt idx="185">
                  <c:v>36.460983605354151</c:v>
                </c:pt>
                <c:pt idx="186">
                  <c:v>37.365968497458276</c:v>
                </c:pt>
                <c:pt idx="187">
                  <c:v>37.620505201404065</c:v>
                </c:pt>
                <c:pt idx="188">
                  <c:v>37.773657757917462</c:v>
                </c:pt>
                <c:pt idx="189">
                  <c:v>37.792625896449657</c:v>
                </c:pt>
                <c:pt idx="190">
                  <c:v>37.656015188485668</c:v>
                </c:pt>
                <c:pt idx="191">
                  <c:v>37.064642757448269</c:v>
                </c:pt>
                <c:pt idx="192">
                  <c:v>38.870363315771407</c:v>
                </c:pt>
                <c:pt idx="193">
                  <c:v>38.927110022832238</c:v>
                </c:pt>
                <c:pt idx="194">
                  <c:v>39.135506455873823</c:v>
                </c:pt>
                <c:pt idx="195">
                  <c:v>39.357773933658713</c:v>
                </c:pt>
                <c:pt idx="196">
                  <c:v>39.782301277003413</c:v>
                </c:pt>
                <c:pt idx="197">
                  <c:v>41.221233015834535</c:v>
                </c:pt>
                <c:pt idx="198">
                  <c:v>40.760425132368219</c:v>
                </c:pt>
                <c:pt idx="199">
                  <c:v>40.383377713675301</c:v>
                </c:pt>
                <c:pt idx="200">
                  <c:v>39.978484118756391</c:v>
                </c:pt>
                <c:pt idx="201">
                  <c:v>40.989759702007483</c:v>
                </c:pt>
                <c:pt idx="202">
                  <c:v>40.65632066080105</c:v>
                </c:pt>
                <c:pt idx="203">
                  <c:v>41.460216814263987</c:v>
                </c:pt>
                <c:pt idx="204">
                  <c:v>41.939129645291224</c:v>
                </c:pt>
                <c:pt idx="205">
                  <c:v>43.188889325016611</c:v>
                </c:pt>
                <c:pt idx="206">
                  <c:v>43.934471734220828</c:v>
                </c:pt>
                <c:pt idx="207">
                  <c:v>45.151809061913873</c:v>
                </c:pt>
                <c:pt idx="208">
                  <c:v>46.59905701748005</c:v>
                </c:pt>
                <c:pt idx="209">
                  <c:v>46.835920345926162</c:v>
                </c:pt>
                <c:pt idx="210">
                  <c:v>46.856106685109587</c:v>
                </c:pt>
                <c:pt idx="211">
                  <c:v>47.370097148142079</c:v>
                </c:pt>
                <c:pt idx="212">
                  <c:v>47.449595095775308</c:v>
                </c:pt>
                <c:pt idx="213">
                  <c:v>47.743509952335678</c:v>
                </c:pt>
                <c:pt idx="214">
                  <c:v>47.937801772047294</c:v>
                </c:pt>
                <c:pt idx="215">
                  <c:v>49.253074767198747</c:v>
                </c:pt>
                <c:pt idx="216">
                  <c:v>50.951849409378923</c:v>
                </c:pt>
                <c:pt idx="217">
                  <c:v>52.259812263653416</c:v>
                </c:pt>
                <c:pt idx="218">
                  <c:v>52.13000215198938</c:v>
                </c:pt>
                <c:pt idx="219">
                  <c:v>52.274350901750665</c:v>
                </c:pt>
                <c:pt idx="220">
                  <c:v>51.579217487455132</c:v>
                </c:pt>
                <c:pt idx="221">
                  <c:v>50.936080825504746</c:v>
                </c:pt>
                <c:pt idx="222">
                  <c:v>49.98221137212159</c:v>
                </c:pt>
                <c:pt idx="223">
                  <c:v>50.290061939807963</c:v>
                </c:pt>
                <c:pt idx="224">
                  <c:v>48.927018676276944</c:v>
                </c:pt>
                <c:pt idx="225">
                  <c:v>48.88761987686842</c:v>
                </c:pt>
                <c:pt idx="226">
                  <c:v>49.127619553972828</c:v>
                </c:pt>
                <c:pt idx="227">
                  <c:v>50.458877641515819</c:v>
                </c:pt>
                <c:pt idx="228">
                  <c:v>50.336723292892493</c:v>
                </c:pt>
                <c:pt idx="229">
                  <c:v>49.648200740369063</c:v>
                </c:pt>
                <c:pt idx="230">
                  <c:v>50.357735977799045</c:v>
                </c:pt>
                <c:pt idx="231">
                  <c:v>49.084696144241363</c:v>
                </c:pt>
                <c:pt idx="232">
                  <c:v>50.249815391473334</c:v>
                </c:pt>
                <c:pt idx="233">
                  <c:v>52.058787706110493</c:v>
                </c:pt>
                <c:pt idx="234">
                  <c:v>51.906139409561824</c:v>
                </c:pt>
                <c:pt idx="235">
                  <c:v>53.602807769242872</c:v>
                </c:pt>
                <c:pt idx="236">
                  <c:v>52.516155357011314</c:v>
                </c:pt>
                <c:pt idx="237">
                  <c:v>52.285266398793873</c:v>
                </c:pt>
                <c:pt idx="238">
                  <c:v>52.159304905631515</c:v>
                </c:pt>
                <c:pt idx="239">
                  <c:v>52.387437842906373</c:v>
                </c:pt>
                <c:pt idx="240">
                  <c:v>52.684731257730967</c:v>
                </c:pt>
                <c:pt idx="241">
                  <c:v>54.24581420172148</c:v>
                </c:pt>
                <c:pt idx="242">
                  <c:v>55.835700870318881</c:v>
                </c:pt>
                <c:pt idx="243">
                  <c:v>56.989569543613158</c:v>
                </c:pt>
                <c:pt idx="244">
                  <c:v>56.277723738204195</c:v>
                </c:pt>
                <c:pt idx="245">
                  <c:v>56.122973168569885</c:v>
                </c:pt>
                <c:pt idx="246">
                  <c:v>57.209918202945673</c:v>
                </c:pt>
                <c:pt idx="247">
                  <c:v>55.767846609013048</c:v>
                </c:pt>
                <c:pt idx="248">
                  <c:v>55.412247029916074</c:v>
                </c:pt>
                <c:pt idx="249">
                  <c:v>56.128701741074785</c:v>
                </c:pt>
                <c:pt idx="250">
                  <c:v>56.864104214878665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75-4B02-95D4-2F12A5252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8929992"/>
        <c:axId val="1"/>
      </c:scatterChart>
      <c:valAx>
        <c:axId val="898929992"/>
        <c:scaling>
          <c:orientation val="minMax"/>
          <c:max val="25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Day</a:t>
                </a:r>
              </a:p>
            </c:rich>
          </c:tx>
          <c:layout>
            <c:manualLayout>
              <c:xMode val="edge"/>
              <c:yMode val="edge"/>
              <c:x val="0.49026032317757323"/>
              <c:y val="0.910349425929885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2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Stock price ($)</a:t>
                </a:r>
              </a:p>
            </c:rich>
          </c:tx>
          <c:layout>
            <c:manualLayout>
              <c:xMode val="edge"/>
              <c:yMode val="edge"/>
              <c:x val="6.168838503558869E-2"/>
              <c:y val="0.3000015153632578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989299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</xdr:colOff>
      <xdr:row>5</xdr:row>
      <xdr:rowOff>60960</xdr:rowOff>
    </xdr:from>
    <xdr:to>
      <xdr:col>5</xdr:col>
      <xdr:colOff>2987040</xdr:colOff>
      <xdr:row>21</xdr:row>
      <xdr:rowOff>76200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C6EC2B7-053F-4447-9E83-6499A5EA68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8a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8a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 for page 485"/>
      <sheetName val="Page for page 485中文"/>
      <sheetName val="Page 485"/>
      <sheetName val="Page 485 中文"/>
      <sheetName val="Page 486, 488"/>
      <sheetName val="Page 486, 488 中文"/>
      <sheetName val="Page 487, top"/>
      <sheetName val="Page 487, top 中文"/>
      <sheetName val="Page 487, bottom"/>
      <sheetName val="Page 487, bottom 中文"/>
      <sheetName val="Page 490, top"/>
      <sheetName val="Page 490, top 中文"/>
      <sheetName val="Page 490, bottom"/>
      <sheetName val="Page 490, bottom 中文"/>
      <sheetName val="Page 491, top"/>
      <sheetName val="Page 491, top中文"/>
      <sheetName val="Page 491, bottom"/>
      <sheetName val="Page 491, bottom 中文"/>
      <sheetName val="Page 494"/>
      <sheetName val="Page 494 中文"/>
      <sheetName val="Page 496"/>
      <sheetName val="Page 496 中文"/>
      <sheetName val="Page 497"/>
      <sheetName val="Page 497 中文"/>
      <sheetName val="Page 504"/>
      <sheetName val="Page 504 (中文)"/>
      <sheetName val="VBA program, page 18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3">
          <cell r="C3">
            <v>0</v>
          </cell>
          <cell r="E3">
            <v>35</v>
          </cell>
        </row>
        <row r="4">
          <cell r="C4">
            <v>1</v>
          </cell>
          <cell r="E4">
            <v>34.971256290899731</v>
          </cell>
        </row>
        <row r="5">
          <cell r="C5">
            <v>2</v>
          </cell>
          <cell r="E5">
            <v>35.00354806667908</v>
          </cell>
        </row>
        <row r="6">
          <cell r="C6">
            <v>3</v>
          </cell>
          <cell r="E6">
            <v>35.426205006408729</v>
          </cell>
        </row>
        <row r="7">
          <cell r="C7">
            <v>4</v>
          </cell>
          <cell r="E7">
            <v>35.257912946872622</v>
          </cell>
        </row>
        <row r="8">
          <cell r="C8">
            <v>5</v>
          </cell>
          <cell r="E8">
            <v>33.853109336375859</v>
          </cell>
        </row>
        <row r="9">
          <cell r="C9">
            <v>6</v>
          </cell>
          <cell r="E9">
            <v>32.924128247802905</v>
          </cell>
        </row>
        <row r="10">
          <cell r="C10">
            <v>7</v>
          </cell>
          <cell r="E10">
            <v>32.617506212409111</v>
          </cell>
        </row>
        <row r="11">
          <cell r="C11">
            <v>8</v>
          </cell>
          <cell r="E11">
            <v>32.463635947326082</v>
          </cell>
        </row>
        <row r="12">
          <cell r="C12">
            <v>9</v>
          </cell>
          <cell r="E12">
            <v>32.307025081602298</v>
          </cell>
        </row>
        <row r="13">
          <cell r="C13">
            <v>10</v>
          </cell>
          <cell r="E13">
            <v>31.821417598771909</v>
          </cell>
        </row>
        <row r="14">
          <cell r="C14">
            <v>11</v>
          </cell>
          <cell r="E14">
            <v>34.041440816206389</v>
          </cell>
        </row>
        <row r="15">
          <cell r="C15">
            <v>12</v>
          </cell>
          <cell r="E15">
            <v>33.82495592505925</v>
          </cell>
        </row>
        <row r="16">
          <cell r="C16">
            <v>13</v>
          </cell>
          <cell r="E16">
            <v>33.060734915843717</v>
          </cell>
        </row>
        <row r="17">
          <cell r="C17">
            <v>14</v>
          </cell>
          <cell r="E17">
            <v>33.424240597891121</v>
          </cell>
        </row>
        <row r="18">
          <cell r="C18">
            <v>15</v>
          </cell>
          <cell r="E18">
            <v>34.229249987056356</v>
          </cell>
        </row>
        <row r="19">
          <cell r="C19">
            <v>16</v>
          </cell>
          <cell r="E19">
            <v>33.88300105738476</v>
          </cell>
        </row>
        <row r="20">
          <cell r="C20">
            <v>17</v>
          </cell>
          <cell r="E20">
            <v>33.197897595173984</v>
          </cell>
        </row>
        <row r="21">
          <cell r="C21">
            <v>18</v>
          </cell>
          <cell r="E21">
            <v>33.032642381524113</v>
          </cell>
        </row>
        <row r="22">
          <cell r="C22">
            <v>19</v>
          </cell>
          <cell r="E22">
            <v>31.869246019425784</v>
          </cell>
        </row>
        <row r="23">
          <cell r="C23">
            <v>20</v>
          </cell>
          <cell r="E23">
            <v>30.996908869522084</v>
          </cell>
        </row>
        <row r="24">
          <cell r="C24">
            <v>21</v>
          </cell>
          <cell r="E24">
            <v>30.206076106326631</v>
          </cell>
        </row>
        <row r="25">
          <cell r="C25">
            <v>22</v>
          </cell>
          <cell r="E25">
            <v>28.591212725949269</v>
          </cell>
        </row>
        <row r="26">
          <cell r="C26">
            <v>23</v>
          </cell>
          <cell r="E26">
            <v>28.98409587314535</v>
          </cell>
        </row>
        <row r="27">
          <cell r="C27">
            <v>24</v>
          </cell>
          <cell r="E27">
            <v>28.649458072413669</v>
          </cell>
        </row>
        <row r="28">
          <cell r="C28">
            <v>25</v>
          </cell>
          <cell r="E28">
            <v>27.799059049341828</v>
          </cell>
        </row>
        <row r="29">
          <cell r="C29">
            <v>26</v>
          </cell>
          <cell r="E29">
            <v>27.745557049242791</v>
          </cell>
        </row>
        <row r="30">
          <cell r="C30">
            <v>27</v>
          </cell>
          <cell r="E30">
            <v>27.542838143747172</v>
          </cell>
        </row>
        <row r="31">
          <cell r="C31">
            <v>28</v>
          </cell>
          <cell r="E31">
            <v>27.942775960357555</v>
          </cell>
        </row>
        <row r="32">
          <cell r="C32">
            <v>29</v>
          </cell>
          <cell r="E32">
            <v>28.246496443271898</v>
          </cell>
        </row>
        <row r="33">
          <cell r="C33">
            <v>30</v>
          </cell>
          <cell r="E33">
            <v>27.668559035619339</v>
          </cell>
        </row>
        <row r="34">
          <cell r="C34">
            <v>31</v>
          </cell>
          <cell r="E34">
            <v>28.336947513810035</v>
          </cell>
        </row>
        <row r="35">
          <cell r="C35">
            <v>32</v>
          </cell>
          <cell r="E35">
            <v>28.671955684620404</v>
          </cell>
        </row>
        <row r="36">
          <cell r="C36">
            <v>33</v>
          </cell>
          <cell r="E36">
            <v>29.033685528653585</v>
          </cell>
        </row>
        <row r="37">
          <cell r="C37">
            <v>34</v>
          </cell>
          <cell r="E37">
            <v>28.524497915508476</v>
          </cell>
        </row>
        <row r="38">
          <cell r="C38">
            <v>35</v>
          </cell>
          <cell r="E38">
            <v>29.462390615918796</v>
          </cell>
        </row>
        <row r="39">
          <cell r="C39">
            <v>36</v>
          </cell>
          <cell r="E39">
            <v>29.260683553051543</v>
          </cell>
        </row>
        <row r="40">
          <cell r="C40">
            <v>37</v>
          </cell>
          <cell r="E40">
            <v>29.176995333830984</v>
          </cell>
        </row>
        <row r="41">
          <cell r="C41">
            <v>38</v>
          </cell>
          <cell r="E41">
            <v>28.99333555248273</v>
          </cell>
        </row>
        <row r="42">
          <cell r="C42">
            <v>39</v>
          </cell>
          <cell r="E42">
            <v>29.252779265951688</v>
          </cell>
        </row>
        <row r="43">
          <cell r="C43">
            <v>40</v>
          </cell>
          <cell r="E43">
            <v>28.472070661762192</v>
          </cell>
        </row>
        <row r="44">
          <cell r="C44">
            <v>41</v>
          </cell>
          <cell r="E44">
            <v>28.376737988795711</v>
          </cell>
        </row>
        <row r="45">
          <cell r="C45">
            <v>42</v>
          </cell>
          <cell r="E45">
            <v>28.413913055605629</v>
          </cell>
        </row>
        <row r="46">
          <cell r="C46">
            <v>43</v>
          </cell>
          <cell r="E46">
            <v>29.266848719441217</v>
          </cell>
        </row>
        <row r="47">
          <cell r="C47">
            <v>44</v>
          </cell>
          <cell r="E47">
            <v>29.571941531294957</v>
          </cell>
        </row>
        <row r="48">
          <cell r="C48">
            <v>45</v>
          </cell>
          <cell r="E48">
            <v>29.356343200538397</v>
          </cell>
        </row>
        <row r="49">
          <cell r="C49">
            <v>46</v>
          </cell>
          <cell r="E49">
            <v>28.815247590791046</v>
          </cell>
        </row>
        <row r="50">
          <cell r="C50">
            <v>47</v>
          </cell>
          <cell r="E50">
            <v>28.770601725107404</v>
          </cell>
        </row>
        <row r="51">
          <cell r="C51">
            <v>48</v>
          </cell>
          <cell r="E51">
            <v>29.405468071897843</v>
          </cell>
        </row>
        <row r="52">
          <cell r="C52">
            <v>49</v>
          </cell>
          <cell r="E52">
            <v>29.419807012578911</v>
          </cell>
        </row>
        <row r="53">
          <cell r="C53">
            <v>50</v>
          </cell>
          <cell r="E53">
            <v>28.711238351010543</v>
          </cell>
        </row>
        <row r="54">
          <cell r="C54">
            <v>51</v>
          </cell>
          <cell r="E54">
            <v>27.945098319582495</v>
          </cell>
        </row>
        <row r="55">
          <cell r="C55">
            <v>52</v>
          </cell>
          <cell r="E55">
            <v>28.20085092847852</v>
          </cell>
        </row>
        <row r="56">
          <cell r="C56">
            <v>53</v>
          </cell>
          <cell r="E56">
            <v>27.850038835289901</v>
          </cell>
        </row>
        <row r="57">
          <cell r="C57">
            <v>54</v>
          </cell>
          <cell r="E57">
            <v>28.838815324411581</v>
          </cell>
        </row>
        <row r="58">
          <cell r="C58">
            <v>55</v>
          </cell>
          <cell r="E58">
            <v>28.628697809520499</v>
          </cell>
        </row>
        <row r="59">
          <cell r="C59">
            <v>56</v>
          </cell>
          <cell r="E59">
            <v>28.789864207463371</v>
          </cell>
        </row>
        <row r="60">
          <cell r="C60">
            <v>57</v>
          </cell>
          <cell r="E60">
            <v>28.315747670174954</v>
          </cell>
        </row>
        <row r="61">
          <cell r="C61">
            <v>58</v>
          </cell>
          <cell r="E61">
            <v>27.904987142902776</v>
          </cell>
        </row>
        <row r="62">
          <cell r="C62">
            <v>59</v>
          </cell>
          <cell r="E62">
            <v>28.146489506735819</v>
          </cell>
        </row>
        <row r="63">
          <cell r="C63">
            <v>60</v>
          </cell>
          <cell r="E63">
            <v>28.443727708856468</v>
          </cell>
        </row>
        <row r="64">
          <cell r="C64">
            <v>61</v>
          </cell>
          <cell r="E64">
            <v>29.106998802363876</v>
          </cell>
        </row>
        <row r="65">
          <cell r="C65">
            <v>62</v>
          </cell>
          <cell r="E65">
            <v>29.219676144977015</v>
          </cell>
        </row>
        <row r="66">
          <cell r="C66">
            <v>63</v>
          </cell>
          <cell r="E66">
            <v>27.756653109770649</v>
          </cell>
        </row>
        <row r="67">
          <cell r="C67">
            <v>64</v>
          </cell>
          <cell r="E67">
            <v>27.171784879231403</v>
          </cell>
        </row>
        <row r="68">
          <cell r="C68">
            <v>65</v>
          </cell>
          <cell r="E68">
            <v>26.850409928916196</v>
          </cell>
        </row>
        <row r="69">
          <cell r="C69">
            <v>66</v>
          </cell>
          <cell r="E69">
            <v>26.95232726414806</v>
          </cell>
        </row>
        <row r="70">
          <cell r="C70">
            <v>67</v>
          </cell>
          <cell r="E70">
            <v>26.915047682702138</v>
          </cell>
        </row>
        <row r="71">
          <cell r="C71">
            <v>68</v>
          </cell>
          <cell r="E71">
            <v>28.087829899129982</v>
          </cell>
        </row>
        <row r="72">
          <cell r="C72">
            <v>69</v>
          </cell>
          <cell r="E72">
            <v>27.735401146103786</v>
          </cell>
        </row>
        <row r="73">
          <cell r="C73">
            <v>70</v>
          </cell>
          <cell r="E73">
            <v>27.082170799547438</v>
          </cell>
        </row>
        <row r="74">
          <cell r="C74">
            <v>71</v>
          </cell>
          <cell r="E74">
            <v>27.388602401316767</v>
          </cell>
        </row>
        <row r="75">
          <cell r="C75">
            <v>72</v>
          </cell>
          <cell r="E75">
            <v>27.616333511010406</v>
          </cell>
        </row>
        <row r="76">
          <cell r="C76">
            <v>73</v>
          </cell>
          <cell r="E76">
            <v>28.649011108810125</v>
          </cell>
        </row>
        <row r="77">
          <cell r="C77">
            <v>74</v>
          </cell>
          <cell r="E77">
            <v>28.761483227176068</v>
          </cell>
        </row>
        <row r="78">
          <cell r="C78">
            <v>75</v>
          </cell>
          <cell r="E78">
            <v>29.068605514889306</v>
          </cell>
        </row>
        <row r="79">
          <cell r="C79">
            <v>76</v>
          </cell>
          <cell r="E79">
            <v>28.923072528559548</v>
          </cell>
        </row>
        <row r="80">
          <cell r="C80">
            <v>77</v>
          </cell>
          <cell r="E80">
            <v>27.98229895484187</v>
          </cell>
        </row>
        <row r="81">
          <cell r="C81">
            <v>78</v>
          </cell>
          <cell r="E81">
            <v>28.227654705971947</v>
          </cell>
        </row>
        <row r="82">
          <cell r="C82">
            <v>79</v>
          </cell>
          <cell r="E82">
            <v>28.142597896711081</v>
          </cell>
        </row>
        <row r="83">
          <cell r="C83">
            <v>80</v>
          </cell>
          <cell r="E83">
            <v>28.127586897612417</v>
          </cell>
        </row>
        <row r="84">
          <cell r="C84">
            <v>81</v>
          </cell>
          <cell r="E84">
            <v>27.398329013130272</v>
          </cell>
        </row>
        <row r="85">
          <cell r="C85">
            <v>82</v>
          </cell>
          <cell r="E85">
            <v>27.11295765727623</v>
          </cell>
        </row>
        <row r="86">
          <cell r="C86">
            <v>83</v>
          </cell>
          <cell r="E86">
            <v>26.873966981788602</v>
          </cell>
        </row>
        <row r="87">
          <cell r="C87">
            <v>84</v>
          </cell>
          <cell r="E87">
            <v>27.417696966466107</v>
          </cell>
        </row>
        <row r="88">
          <cell r="C88">
            <v>85</v>
          </cell>
          <cell r="E88">
            <v>27.124246320092034</v>
          </cell>
        </row>
        <row r="89">
          <cell r="C89">
            <v>86</v>
          </cell>
          <cell r="E89">
            <v>27.284132521333007</v>
          </cell>
        </row>
        <row r="90">
          <cell r="C90">
            <v>87</v>
          </cell>
          <cell r="E90">
            <v>26.319785203469312</v>
          </cell>
        </row>
        <row r="91">
          <cell r="C91">
            <v>88</v>
          </cell>
          <cell r="E91">
            <v>25.889848775942763</v>
          </cell>
        </row>
        <row r="92">
          <cell r="C92">
            <v>89</v>
          </cell>
          <cell r="E92">
            <v>26.77107193057557</v>
          </cell>
        </row>
        <row r="93">
          <cell r="C93">
            <v>90</v>
          </cell>
          <cell r="E93">
            <v>27.807379567679018</v>
          </cell>
        </row>
        <row r="94">
          <cell r="C94">
            <v>91</v>
          </cell>
          <cell r="E94">
            <v>27.327531626316134</v>
          </cell>
        </row>
        <row r="95">
          <cell r="C95">
            <v>92</v>
          </cell>
          <cell r="E95">
            <v>27.397280942609104</v>
          </cell>
        </row>
        <row r="96">
          <cell r="C96">
            <v>93</v>
          </cell>
          <cell r="E96">
            <v>28.375946429311252</v>
          </cell>
        </row>
        <row r="97">
          <cell r="C97">
            <v>94</v>
          </cell>
          <cell r="E97">
            <v>28.229422976655812</v>
          </cell>
        </row>
        <row r="98">
          <cell r="C98">
            <v>95</v>
          </cell>
          <cell r="E98">
            <v>28.535493407840896</v>
          </cell>
        </row>
        <row r="99">
          <cell r="C99">
            <v>96</v>
          </cell>
          <cell r="E99">
            <v>28.72416992987608</v>
          </cell>
        </row>
        <row r="100">
          <cell r="C100">
            <v>97</v>
          </cell>
          <cell r="E100">
            <v>29.447650668681696</v>
          </cell>
        </row>
        <row r="101">
          <cell r="C101">
            <v>98</v>
          </cell>
          <cell r="E101">
            <v>29.240667617661497</v>
          </cell>
        </row>
        <row r="102">
          <cell r="C102">
            <v>99</v>
          </cell>
          <cell r="E102">
            <v>29.364519486239306</v>
          </cell>
        </row>
        <row r="103">
          <cell r="C103">
            <v>100</v>
          </cell>
          <cell r="E103">
            <v>29.463853461032155</v>
          </cell>
        </row>
        <row r="104">
          <cell r="C104">
            <v>101</v>
          </cell>
          <cell r="E104">
            <v>30.47781647764516</v>
          </cell>
        </row>
        <row r="105">
          <cell r="C105">
            <v>102</v>
          </cell>
          <cell r="E105">
            <v>29.516625649274523</v>
          </cell>
        </row>
        <row r="106">
          <cell r="C106">
            <v>103</v>
          </cell>
          <cell r="E106">
            <v>29.426684472998179</v>
          </cell>
        </row>
        <row r="107">
          <cell r="C107">
            <v>104</v>
          </cell>
          <cell r="E107">
            <v>29.322015233017414</v>
          </cell>
        </row>
        <row r="108">
          <cell r="C108">
            <v>105</v>
          </cell>
          <cell r="E108">
            <v>29.32571155400883</v>
          </cell>
        </row>
        <row r="109">
          <cell r="C109">
            <v>106</v>
          </cell>
          <cell r="E109">
            <v>29.044635630627621</v>
          </cell>
        </row>
        <row r="110">
          <cell r="C110">
            <v>107</v>
          </cell>
          <cell r="E110">
            <v>29.453939134696292</v>
          </cell>
        </row>
        <row r="111">
          <cell r="C111">
            <v>108</v>
          </cell>
          <cell r="E111">
            <v>29.129082757192357</v>
          </cell>
        </row>
        <row r="112">
          <cell r="C112">
            <v>109</v>
          </cell>
          <cell r="E112">
            <v>29.871094789704124</v>
          </cell>
        </row>
        <row r="113">
          <cell r="C113">
            <v>110</v>
          </cell>
          <cell r="E113">
            <v>29.750868212362668</v>
          </cell>
        </row>
        <row r="114">
          <cell r="C114">
            <v>111</v>
          </cell>
          <cell r="E114">
            <v>29.838351070148118</v>
          </cell>
        </row>
        <row r="115">
          <cell r="C115">
            <v>112</v>
          </cell>
          <cell r="E115">
            <v>29.154464389299186</v>
          </cell>
        </row>
        <row r="116">
          <cell r="C116">
            <v>113</v>
          </cell>
          <cell r="E116">
            <v>28.573027272305083</v>
          </cell>
        </row>
        <row r="117">
          <cell r="C117">
            <v>114</v>
          </cell>
          <cell r="E117">
            <v>28.464952192970891</v>
          </cell>
        </row>
        <row r="118">
          <cell r="C118">
            <v>115</v>
          </cell>
          <cell r="E118">
            <v>28.599714991991835</v>
          </cell>
        </row>
        <row r="119">
          <cell r="C119">
            <v>116</v>
          </cell>
          <cell r="E119">
            <v>28.322359363073321</v>
          </cell>
        </row>
        <row r="120">
          <cell r="C120">
            <v>117</v>
          </cell>
          <cell r="E120">
            <v>28.07648468642418</v>
          </cell>
        </row>
        <row r="121">
          <cell r="C121">
            <v>118</v>
          </cell>
          <cell r="E121">
            <v>28.484225426064398</v>
          </cell>
        </row>
        <row r="122">
          <cell r="C122">
            <v>119</v>
          </cell>
          <cell r="E122">
            <v>28.609232289281419</v>
          </cell>
        </row>
        <row r="123">
          <cell r="C123">
            <v>120</v>
          </cell>
          <cell r="E123">
            <v>29.689498115341397</v>
          </cell>
        </row>
        <row r="124">
          <cell r="C124">
            <v>121</v>
          </cell>
          <cell r="E124">
            <v>30.024768766994661</v>
          </cell>
        </row>
        <row r="125">
          <cell r="C125">
            <v>122</v>
          </cell>
          <cell r="E125">
            <v>31.58423439737809</v>
          </cell>
        </row>
        <row r="126">
          <cell r="C126">
            <v>123</v>
          </cell>
          <cell r="E126">
            <v>31.36104841747726</v>
          </cell>
        </row>
        <row r="127">
          <cell r="C127">
            <v>124</v>
          </cell>
          <cell r="E127">
            <v>30.615551859819142</v>
          </cell>
        </row>
        <row r="128">
          <cell r="C128">
            <v>125</v>
          </cell>
          <cell r="E128">
            <v>31.109200884491933</v>
          </cell>
        </row>
        <row r="129">
          <cell r="C129">
            <v>126</v>
          </cell>
          <cell r="E129">
            <v>30.839334383884548</v>
          </cell>
        </row>
        <row r="130">
          <cell r="C130">
            <v>127</v>
          </cell>
          <cell r="E130">
            <v>29.533822062582672</v>
          </cell>
        </row>
        <row r="131">
          <cell r="C131">
            <v>128</v>
          </cell>
          <cell r="E131">
            <v>29.438600008688795</v>
          </cell>
        </row>
        <row r="132">
          <cell r="C132">
            <v>129</v>
          </cell>
          <cell r="E132">
            <v>29.197002337236732</v>
          </cell>
        </row>
        <row r="133">
          <cell r="C133">
            <v>130</v>
          </cell>
          <cell r="E133">
            <v>29.669936482230238</v>
          </cell>
        </row>
        <row r="134">
          <cell r="C134">
            <v>131</v>
          </cell>
          <cell r="E134">
            <v>29.936008094121487</v>
          </cell>
        </row>
        <row r="135">
          <cell r="C135">
            <v>132</v>
          </cell>
          <cell r="E135">
            <v>29.51450405347768</v>
          </cell>
        </row>
        <row r="136">
          <cell r="C136">
            <v>133</v>
          </cell>
          <cell r="E136">
            <v>29.331446555460701</v>
          </cell>
        </row>
        <row r="137">
          <cell r="C137">
            <v>134</v>
          </cell>
          <cell r="E137">
            <v>28.636222492182533</v>
          </cell>
        </row>
        <row r="138">
          <cell r="C138">
            <v>135</v>
          </cell>
          <cell r="E138">
            <v>28.410457116375657</v>
          </cell>
        </row>
        <row r="139">
          <cell r="C139">
            <v>136</v>
          </cell>
          <cell r="E139">
            <v>27.30060492324311</v>
          </cell>
        </row>
        <row r="140">
          <cell r="C140">
            <v>137</v>
          </cell>
          <cell r="E140">
            <v>26.875086482353268</v>
          </cell>
        </row>
        <row r="141">
          <cell r="C141">
            <v>138</v>
          </cell>
          <cell r="E141">
            <v>26.588642605133593</v>
          </cell>
        </row>
        <row r="142">
          <cell r="C142">
            <v>139</v>
          </cell>
          <cell r="E142">
            <v>26.745452412137229</v>
          </cell>
        </row>
        <row r="143">
          <cell r="C143">
            <v>140</v>
          </cell>
          <cell r="E143">
            <v>26.147886902318852</v>
          </cell>
        </row>
        <row r="144">
          <cell r="C144">
            <v>141</v>
          </cell>
          <cell r="E144">
            <v>26.827036546473042</v>
          </cell>
        </row>
        <row r="145">
          <cell r="C145">
            <v>142</v>
          </cell>
          <cell r="E145">
            <v>27.098820636568789</v>
          </cell>
        </row>
        <row r="146">
          <cell r="C146">
            <v>143</v>
          </cell>
          <cell r="E146">
            <v>26.494494904874561</v>
          </cell>
        </row>
        <row r="147">
          <cell r="C147">
            <v>144</v>
          </cell>
          <cell r="E147">
            <v>26.009538418169274</v>
          </cell>
        </row>
        <row r="148">
          <cell r="C148">
            <v>145</v>
          </cell>
          <cell r="E148">
            <v>26.308809209519005</v>
          </cell>
        </row>
        <row r="149">
          <cell r="C149">
            <v>146</v>
          </cell>
          <cell r="E149">
            <v>26.45604084782973</v>
          </cell>
        </row>
        <row r="150">
          <cell r="C150">
            <v>147</v>
          </cell>
          <cell r="E150">
            <v>26.868308133627167</v>
          </cell>
        </row>
        <row r="151">
          <cell r="C151">
            <v>148</v>
          </cell>
          <cell r="E151">
            <v>27.040606769147303</v>
          </cell>
        </row>
        <row r="152">
          <cell r="C152">
            <v>149</v>
          </cell>
          <cell r="E152">
            <v>27.450438166871013</v>
          </cell>
        </row>
        <row r="153">
          <cell r="C153">
            <v>150</v>
          </cell>
          <cell r="E153">
            <v>27.365740430012224</v>
          </cell>
        </row>
        <row r="154">
          <cell r="C154">
            <v>151</v>
          </cell>
          <cell r="E154">
            <v>27.088088443927717</v>
          </cell>
        </row>
        <row r="155">
          <cell r="C155">
            <v>152</v>
          </cell>
          <cell r="E155">
            <v>26.905418586901845</v>
          </cell>
        </row>
        <row r="156">
          <cell r="C156">
            <v>153</v>
          </cell>
          <cell r="E156">
            <v>26.994454098766678</v>
          </cell>
        </row>
        <row r="157">
          <cell r="C157">
            <v>154</v>
          </cell>
          <cell r="E157">
            <v>26.553958544408221</v>
          </cell>
        </row>
        <row r="158">
          <cell r="C158">
            <v>155</v>
          </cell>
          <cell r="E158">
            <v>26.821698020115075</v>
          </cell>
        </row>
        <row r="159">
          <cell r="C159">
            <v>156</v>
          </cell>
          <cell r="E159">
            <v>26.125676600644969</v>
          </cell>
        </row>
        <row r="160">
          <cell r="C160">
            <v>157</v>
          </cell>
          <cell r="E160">
            <v>26.111475558301748</v>
          </cell>
        </row>
        <row r="161">
          <cell r="C161">
            <v>158</v>
          </cell>
          <cell r="E161">
            <v>25.81487401736295</v>
          </cell>
        </row>
        <row r="162">
          <cell r="C162">
            <v>159</v>
          </cell>
          <cell r="E162">
            <v>25.792998140904189</v>
          </cell>
        </row>
        <row r="163">
          <cell r="C163">
            <v>160</v>
          </cell>
          <cell r="E163">
            <v>25.235655730521842</v>
          </cell>
        </row>
        <row r="164">
          <cell r="C164">
            <v>161</v>
          </cell>
          <cell r="E164">
            <v>26.056047389371003</v>
          </cell>
        </row>
        <row r="165">
          <cell r="C165">
            <v>162</v>
          </cell>
          <cell r="E165">
            <v>26.624768392340776</v>
          </cell>
        </row>
        <row r="166">
          <cell r="C166">
            <v>163</v>
          </cell>
          <cell r="E166">
            <v>26.09046456723949</v>
          </cell>
        </row>
        <row r="167">
          <cell r="C167">
            <v>164</v>
          </cell>
          <cell r="E167">
            <v>25.18287815206936</v>
          </cell>
        </row>
        <row r="168">
          <cell r="C168">
            <v>165</v>
          </cell>
          <cell r="E168">
            <v>25.201961073063099</v>
          </cell>
        </row>
        <row r="169">
          <cell r="C169">
            <v>166</v>
          </cell>
          <cell r="E169">
            <v>25.005035867218997</v>
          </cell>
        </row>
        <row r="170">
          <cell r="C170">
            <v>167</v>
          </cell>
          <cell r="E170">
            <v>24.993841908109363</v>
          </cell>
        </row>
        <row r="171">
          <cell r="C171">
            <v>168</v>
          </cell>
          <cell r="E171">
            <v>25.067960115212287</v>
          </cell>
        </row>
        <row r="172">
          <cell r="C172">
            <v>169</v>
          </cell>
          <cell r="E172">
            <v>24.451826672835303</v>
          </cell>
        </row>
        <row r="173">
          <cell r="C173">
            <v>170</v>
          </cell>
          <cell r="E173">
            <v>24.784147832077551</v>
          </cell>
        </row>
        <row r="174">
          <cell r="C174">
            <v>171</v>
          </cell>
          <cell r="E174">
            <v>25.1635977233068</v>
          </cell>
        </row>
        <row r="175">
          <cell r="C175">
            <v>172</v>
          </cell>
          <cell r="E175">
            <v>25.267306089604158</v>
          </cell>
        </row>
        <row r="176">
          <cell r="C176">
            <v>173</v>
          </cell>
          <cell r="E176">
            <v>25.04326657292382</v>
          </cell>
        </row>
        <row r="177">
          <cell r="C177">
            <v>174</v>
          </cell>
          <cell r="E177">
            <v>23.938048742113477</v>
          </cell>
        </row>
        <row r="178">
          <cell r="C178">
            <v>175</v>
          </cell>
          <cell r="E178">
            <v>24.614597044120597</v>
          </cell>
        </row>
        <row r="179">
          <cell r="C179">
            <v>176</v>
          </cell>
          <cell r="E179">
            <v>24.561571751505767</v>
          </cell>
        </row>
        <row r="180">
          <cell r="C180">
            <v>177</v>
          </cell>
          <cell r="E180">
            <v>24.742583177937938</v>
          </cell>
        </row>
        <row r="181">
          <cell r="C181">
            <v>178</v>
          </cell>
          <cell r="E181">
            <v>24.931845825299892</v>
          </cell>
        </row>
        <row r="182">
          <cell r="C182">
            <v>179</v>
          </cell>
          <cell r="E182">
            <v>25.369995537628366</v>
          </cell>
        </row>
        <row r="183">
          <cell r="C183">
            <v>180</v>
          </cell>
          <cell r="E183">
            <v>25.192942570929169</v>
          </cell>
        </row>
        <row r="184">
          <cell r="C184">
            <v>181</v>
          </cell>
          <cell r="E184">
            <v>25.052725867417493</v>
          </cell>
        </row>
        <row r="185">
          <cell r="C185">
            <v>182</v>
          </cell>
          <cell r="E185">
            <v>25.347595783801221</v>
          </cell>
        </row>
        <row r="186">
          <cell r="C186">
            <v>183</v>
          </cell>
          <cell r="E186">
            <v>26.253841279714806</v>
          </cell>
        </row>
        <row r="187">
          <cell r="C187">
            <v>184</v>
          </cell>
          <cell r="E187">
            <v>25.633711182068062</v>
          </cell>
        </row>
        <row r="188">
          <cell r="C188">
            <v>185</v>
          </cell>
          <cell r="E188">
            <v>25.507346432147749</v>
          </cell>
        </row>
        <row r="189">
          <cell r="C189">
            <v>186</v>
          </cell>
          <cell r="E189">
            <v>24.935374813821671</v>
          </cell>
        </row>
        <row r="190">
          <cell r="C190">
            <v>187</v>
          </cell>
          <cell r="E190">
            <v>25.285451922620844</v>
          </cell>
        </row>
        <row r="191">
          <cell r="C191">
            <v>188</v>
          </cell>
          <cell r="E191">
            <v>24.699089586137458</v>
          </cell>
        </row>
        <row r="192">
          <cell r="C192">
            <v>189</v>
          </cell>
          <cell r="E192">
            <v>24.615549927040117</v>
          </cell>
        </row>
        <row r="193">
          <cell r="C193">
            <v>190</v>
          </cell>
          <cell r="E193">
            <v>24.374859312895737</v>
          </cell>
        </row>
        <row r="194">
          <cell r="C194">
            <v>191</v>
          </cell>
          <cell r="E194">
            <v>23.935671915293291</v>
          </cell>
        </row>
        <row r="195">
          <cell r="C195">
            <v>192</v>
          </cell>
          <cell r="E195">
            <v>24.231500488553337</v>
          </cell>
        </row>
        <row r="196">
          <cell r="C196">
            <v>193</v>
          </cell>
          <cell r="E196">
            <v>23.081191168515765</v>
          </cell>
        </row>
        <row r="197">
          <cell r="C197">
            <v>194</v>
          </cell>
          <cell r="E197">
            <v>22.681606331483781</v>
          </cell>
        </row>
        <row r="198">
          <cell r="C198">
            <v>195</v>
          </cell>
          <cell r="E198">
            <v>22.587341171933247</v>
          </cell>
        </row>
        <row r="199">
          <cell r="C199">
            <v>196</v>
          </cell>
          <cell r="E199">
            <v>23.363246177533931</v>
          </cell>
        </row>
        <row r="200">
          <cell r="C200">
            <v>197</v>
          </cell>
          <cell r="E200">
            <v>23.65632878102641</v>
          </cell>
        </row>
        <row r="201">
          <cell r="C201">
            <v>198</v>
          </cell>
          <cell r="E201">
            <v>24.446664093251172</v>
          </cell>
        </row>
        <row r="202">
          <cell r="C202">
            <v>199</v>
          </cell>
          <cell r="E202">
            <v>24.419865041503801</v>
          </cell>
        </row>
        <row r="203">
          <cell r="C203">
            <v>200</v>
          </cell>
          <cell r="E203">
            <v>24.435284033864665</v>
          </cell>
        </row>
        <row r="204">
          <cell r="C204">
            <v>201</v>
          </cell>
          <cell r="E204">
            <v>25.266175703869987</v>
          </cell>
        </row>
        <row r="205">
          <cell r="C205">
            <v>202</v>
          </cell>
          <cell r="E205">
            <v>25.428625422161488</v>
          </cell>
        </row>
        <row r="206">
          <cell r="C206">
            <v>203</v>
          </cell>
          <cell r="E206">
            <v>25.905138396263112</v>
          </cell>
        </row>
        <row r="207">
          <cell r="C207">
            <v>204</v>
          </cell>
          <cell r="E207">
            <v>25.555868624994467</v>
          </cell>
        </row>
        <row r="208">
          <cell r="C208">
            <v>205</v>
          </cell>
          <cell r="E208">
            <v>25.752833794691146</v>
          </cell>
        </row>
        <row r="209">
          <cell r="C209">
            <v>206</v>
          </cell>
          <cell r="E209">
            <v>26.904560343462013</v>
          </cell>
        </row>
        <row r="210">
          <cell r="C210">
            <v>207</v>
          </cell>
          <cell r="E210">
            <v>26.703111492843707</v>
          </cell>
        </row>
        <row r="211">
          <cell r="C211">
            <v>208</v>
          </cell>
          <cell r="E211">
            <v>26.248734345655556</v>
          </cell>
        </row>
        <row r="212">
          <cell r="C212">
            <v>209</v>
          </cell>
          <cell r="E212">
            <v>26.276977249717657</v>
          </cell>
        </row>
        <row r="213">
          <cell r="C213">
            <v>210</v>
          </cell>
          <cell r="E213">
            <v>27.223999132276408</v>
          </cell>
        </row>
        <row r="214">
          <cell r="C214">
            <v>211</v>
          </cell>
          <cell r="E214">
            <v>27.392922216636837</v>
          </cell>
        </row>
        <row r="215">
          <cell r="C215">
            <v>212</v>
          </cell>
          <cell r="E215">
            <v>28.049245004990595</v>
          </cell>
        </row>
        <row r="216">
          <cell r="C216">
            <v>213</v>
          </cell>
          <cell r="E216">
            <v>27.334560188968673</v>
          </cell>
        </row>
        <row r="217">
          <cell r="C217">
            <v>214</v>
          </cell>
          <cell r="E217">
            <v>28.2709014573643</v>
          </cell>
        </row>
        <row r="218">
          <cell r="C218">
            <v>215</v>
          </cell>
          <cell r="E218">
            <v>29.355352232238737</v>
          </cell>
        </row>
        <row r="219">
          <cell r="C219">
            <v>216</v>
          </cell>
          <cell r="E219">
            <v>29.249848964179041</v>
          </cell>
        </row>
        <row r="220">
          <cell r="C220">
            <v>217</v>
          </cell>
          <cell r="E220">
            <v>29.907279645202866</v>
          </cell>
        </row>
        <row r="221">
          <cell r="C221">
            <v>218</v>
          </cell>
          <cell r="E221">
            <v>31.548367227528516</v>
          </cell>
        </row>
        <row r="222">
          <cell r="C222">
            <v>219</v>
          </cell>
          <cell r="E222">
            <v>30.882291716481888</v>
          </cell>
        </row>
        <row r="223">
          <cell r="C223">
            <v>220</v>
          </cell>
          <cell r="E223">
            <v>31.198035598133295</v>
          </cell>
        </row>
        <row r="224">
          <cell r="C224">
            <v>221</v>
          </cell>
          <cell r="E224">
            <v>30.895533838172355</v>
          </cell>
        </row>
        <row r="225">
          <cell r="C225">
            <v>222</v>
          </cell>
          <cell r="E225">
            <v>31.077603292499099</v>
          </cell>
        </row>
        <row r="226">
          <cell r="C226">
            <v>223</v>
          </cell>
          <cell r="E226">
            <v>31.39975168652191</v>
          </cell>
        </row>
        <row r="227">
          <cell r="C227">
            <v>224</v>
          </cell>
          <cell r="E227">
            <v>31.691910877295363</v>
          </cell>
        </row>
        <row r="228">
          <cell r="C228">
            <v>225</v>
          </cell>
          <cell r="E228">
            <v>31.676710773272077</v>
          </cell>
        </row>
        <row r="229">
          <cell r="C229">
            <v>226</v>
          </cell>
          <cell r="E229">
            <v>32.856299222917386</v>
          </cell>
        </row>
        <row r="230">
          <cell r="C230">
            <v>227</v>
          </cell>
          <cell r="E230">
            <v>33.779559355330761</v>
          </cell>
        </row>
        <row r="231">
          <cell r="C231">
            <v>228</v>
          </cell>
          <cell r="E231">
            <v>34.581798112491441</v>
          </cell>
        </row>
        <row r="232">
          <cell r="C232">
            <v>229</v>
          </cell>
          <cell r="E232">
            <v>34.904407921012336</v>
          </cell>
        </row>
        <row r="233">
          <cell r="C233">
            <v>230</v>
          </cell>
          <cell r="E233">
            <v>34.682865951986173</v>
          </cell>
        </row>
        <row r="234">
          <cell r="C234">
            <v>231</v>
          </cell>
          <cell r="E234">
            <v>34.54471903721317</v>
          </cell>
        </row>
        <row r="235">
          <cell r="C235">
            <v>232</v>
          </cell>
          <cell r="E235">
            <v>35.041961978081574</v>
          </cell>
        </row>
        <row r="236">
          <cell r="C236">
            <v>233</v>
          </cell>
          <cell r="E236">
            <v>34.836877849473026</v>
          </cell>
        </row>
        <row r="237">
          <cell r="C237">
            <v>234</v>
          </cell>
          <cell r="E237">
            <v>34.748351381976931</v>
          </cell>
        </row>
        <row r="238">
          <cell r="C238">
            <v>235</v>
          </cell>
          <cell r="E238">
            <v>34.512078131198358</v>
          </cell>
        </row>
        <row r="239">
          <cell r="C239">
            <v>236</v>
          </cell>
          <cell r="E239">
            <v>34.614877736185584</v>
          </cell>
        </row>
        <row r="240">
          <cell r="C240">
            <v>237</v>
          </cell>
          <cell r="E240">
            <v>35.056682285191059</v>
          </cell>
        </row>
        <row r="241">
          <cell r="C241">
            <v>238</v>
          </cell>
          <cell r="E241">
            <v>34.950634807745772</v>
          </cell>
        </row>
        <row r="242">
          <cell r="C242">
            <v>239</v>
          </cell>
          <cell r="E242">
            <v>34.45553756905111</v>
          </cell>
        </row>
        <row r="243">
          <cell r="C243">
            <v>240</v>
          </cell>
          <cell r="E243">
            <v>35.792213531851914</v>
          </cell>
        </row>
        <row r="244">
          <cell r="C244">
            <v>241</v>
          </cell>
          <cell r="E244">
            <v>36.20305545919885</v>
          </cell>
        </row>
        <row r="245">
          <cell r="C245">
            <v>242</v>
          </cell>
          <cell r="E245">
            <v>36.514462196204484</v>
          </cell>
        </row>
        <row r="246">
          <cell r="C246">
            <v>243</v>
          </cell>
          <cell r="E246">
            <v>35.873994479431175</v>
          </cell>
        </row>
        <row r="247">
          <cell r="C247">
            <v>244</v>
          </cell>
          <cell r="E247">
            <v>36.032499476742679</v>
          </cell>
        </row>
        <row r="248">
          <cell r="C248">
            <v>245</v>
          </cell>
          <cell r="E248">
            <v>35.409184006867086</v>
          </cell>
        </row>
        <row r="249">
          <cell r="C249">
            <v>246</v>
          </cell>
          <cell r="E249">
            <v>35.590922554083875</v>
          </cell>
        </row>
        <row r="250">
          <cell r="C250">
            <v>247</v>
          </cell>
          <cell r="E250">
            <v>35.037510405554997</v>
          </cell>
        </row>
        <row r="251">
          <cell r="C251">
            <v>248</v>
          </cell>
          <cell r="E251">
            <v>35.881154939026892</v>
          </cell>
        </row>
        <row r="252">
          <cell r="C252">
            <v>249</v>
          </cell>
          <cell r="E252">
            <v>35.861703747401229</v>
          </cell>
        </row>
        <row r="253">
          <cell r="C253">
            <v>250</v>
          </cell>
          <cell r="E253">
            <v>36.297882561619538</v>
          </cell>
        </row>
      </sheetData>
      <sheetData sheetId="19" refreshError="1"/>
      <sheetData sheetId="20" refreshError="1"/>
      <sheetData sheetId="21" refreshError="1"/>
      <sheetData sheetId="22">
        <row r="3">
          <cell r="D3">
            <v>0</v>
          </cell>
        </row>
      </sheetData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2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60197-A715-415A-B355-A5EF254DBF49}">
  <sheetPr codeName="Sheet1">
    <pageSetUpPr fitToPage="1"/>
  </sheetPr>
  <dimension ref="A1:G253"/>
  <sheetViews>
    <sheetView tabSelected="1" topLeftCell="A2" workbookViewId="0">
      <selection activeCell="F29" sqref="F29"/>
    </sheetView>
  </sheetViews>
  <sheetFormatPr defaultRowHeight="13.2" x14ac:dyDescent="0.25"/>
  <cols>
    <col min="1" max="1" width="23.33203125" style="3" customWidth="1"/>
    <col min="2" max="3" width="8.88671875" style="3"/>
    <col min="4" max="5" width="9.109375" style="8" customWidth="1"/>
    <col min="6" max="6" width="56.6640625" style="3" customWidth="1"/>
    <col min="7" max="256" width="8.88671875" style="3"/>
    <col min="257" max="257" width="23.33203125" style="3" customWidth="1"/>
    <col min="258" max="259" width="8.88671875" style="3"/>
    <col min="260" max="261" width="9.109375" style="3" customWidth="1"/>
    <col min="262" max="262" width="56.6640625" style="3" customWidth="1"/>
    <col min="263" max="512" width="8.88671875" style="3"/>
    <col min="513" max="513" width="23.33203125" style="3" customWidth="1"/>
    <col min="514" max="515" width="8.88671875" style="3"/>
    <col min="516" max="517" width="9.109375" style="3" customWidth="1"/>
    <col min="518" max="518" width="56.6640625" style="3" customWidth="1"/>
    <col min="519" max="768" width="8.88671875" style="3"/>
    <col min="769" max="769" width="23.33203125" style="3" customWidth="1"/>
    <col min="770" max="771" width="8.88671875" style="3"/>
    <col min="772" max="773" width="9.109375" style="3" customWidth="1"/>
    <col min="774" max="774" width="56.6640625" style="3" customWidth="1"/>
    <col min="775" max="1024" width="8.88671875" style="3"/>
    <col min="1025" max="1025" width="23.33203125" style="3" customWidth="1"/>
    <col min="1026" max="1027" width="8.88671875" style="3"/>
    <col min="1028" max="1029" width="9.109375" style="3" customWidth="1"/>
    <col min="1030" max="1030" width="56.6640625" style="3" customWidth="1"/>
    <col min="1031" max="1280" width="8.88671875" style="3"/>
    <col min="1281" max="1281" width="23.33203125" style="3" customWidth="1"/>
    <col min="1282" max="1283" width="8.88671875" style="3"/>
    <col min="1284" max="1285" width="9.109375" style="3" customWidth="1"/>
    <col min="1286" max="1286" width="56.6640625" style="3" customWidth="1"/>
    <col min="1287" max="1536" width="8.88671875" style="3"/>
    <col min="1537" max="1537" width="23.33203125" style="3" customWidth="1"/>
    <col min="1538" max="1539" width="8.88671875" style="3"/>
    <col min="1540" max="1541" width="9.109375" style="3" customWidth="1"/>
    <col min="1542" max="1542" width="56.6640625" style="3" customWidth="1"/>
    <col min="1543" max="1792" width="8.88671875" style="3"/>
    <col min="1793" max="1793" width="23.33203125" style="3" customWidth="1"/>
    <col min="1794" max="1795" width="8.88671875" style="3"/>
    <col min="1796" max="1797" width="9.109375" style="3" customWidth="1"/>
    <col min="1798" max="1798" width="56.6640625" style="3" customWidth="1"/>
    <col min="1799" max="2048" width="8.88671875" style="3"/>
    <col min="2049" max="2049" width="23.33203125" style="3" customWidth="1"/>
    <col min="2050" max="2051" width="8.88671875" style="3"/>
    <col min="2052" max="2053" width="9.109375" style="3" customWidth="1"/>
    <col min="2054" max="2054" width="56.6640625" style="3" customWidth="1"/>
    <col min="2055" max="2304" width="8.88671875" style="3"/>
    <col min="2305" max="2305" width="23.33203125" style="3" customWidth="1"/>
    <col min="2306" max="2307" width="8.88671875" style="3"/>
    <col min="2308" max="2309" width="9.109375" style="3" customWidth="1"/>
    <col min="2310" max="2310" width="56.6640625" style="3" customWidth="1"/>
    <col min="2311" max="2560" width="8.88671875" style="3"/>
    <col min="2561" max="2561" width="23.33203125" style="3" customWidth="1"/>
    <col min="2562" max="2563" width="8.88671875" style="3"/>
    <col min="2564" max="2565" width="9.109375" style="3" customWidth="1"/>
    <col min="2566" max="2566" width="56.6640625" style="3" customWidth="1"/>
    <col min="2567" max="2816" width="8.88671875" style="3"/>
    <col min="2817" max="2817" width="23.33203125" style="3" customWidth="1"/>
    <col min="2818" max="2819" width="8.88671875" style="3"/>
    <col min="2820" max="2821" width="9.109375" style="3" customWidth="1"/>
    <col min="2822" max="2822" width="56.6640625" style="3" customWidth="1"/>
    <col min="2823" max="3072" width="8.88671875" style="3"/>
    <col min="3073" max="3073" width="23.33203125" style="3" customWidth="1"/>
    <col min="3074" max="3075" width="8.88671875" style="3"/>
    <col min="3076" max="3077" width="9.109375" style="3" customWidth="1"/>
    <col min="3078" max="3078" width="56.6640625" style="3" customWidth="1"/>
    <col min="3079" max="3328" width="8.88671875" style="3"/>
    <col min="3329" max="3329" width="23.33203125" style="3" customWidth="1"/>
    <col min="3330" max="3331" width="8.88671875" style="3"/>
    <col min="3332" max="3333" width="9.109375" style="3" customWidth="1"/>
    <col min="3334" max="3334" width="56.6640625" style="3" customWidth="1"/>
    <col min="3335" max="3584" width="8.88671875" style="3"/>
    <col min="3585" max="3585" width="23.33203125" style="3" customWidth="1"/>
    <col min="3586" max="3587" width="8.88671875" style="3"/>
    <col min="3588" max="3589" width="9.109375" style="3" customWidth="1"/>
    <col min="3590" max="3590" width="56.6640625" style="3" customWidth="1"/>
    <col min="3591" max="3840" width="8.88671875" style="3"/>
    <col min="3841" max="3841" width="23.33203125" style="3" customWidth="1"/>
    <col min="3842" max="3843" width="8.88671875" style="3"/>
    <col min="3844" max="3845" width="9.109375" style="3" customWidth="1"/>
    <col min="3846" max="3846" width="56.6640625" style="3" customWidth="1"/>
    <col min="3847" max="4096" width="8.88671875" style="3"/>
    <col min="4097" max="4097" width="23.33203125" style="3" customWidth="1"/>
    <col min="4098" max="4099" width="8.88671875" style="3"/>
    <col min="4100" max="4101" width="9.109375" style="3" customWidth="1"/>
    <col min="4102" max="4102" width="56.6640625" style="3" customWidth="1"/>
    <col min="4103" max="4352" width="8.88671875" style="3"/>
    <col min="4353" max="4353" width="23.33203125" style="3" customWidth="1"/>
    <col min="4354" max="4355" width="8.88671875" style="3"/>
    <col min="4356" max="4357" width="9.109375" style="3" customWidth="1"/>
    <col min="4358" max="4358" width="56.6640625" style="3" customWidth="1"/>
    <col min="4359" max="4608" width="8.88671875" style="3"/>
    <col min="4609" max="4609" width="23.33203125" style="3" customWidth="1"/>
    <col min="4610" max="4611" width="8.88671875" style="3"/>
    <col min="4612" max="4613" width="9.109375" style="3" customWidth="1"/>
    <col min="4614" max="4614" width="56.6640625" style="3" customWidth="1"/>
    <col min="4615" max="4864" width="8.88671875" style="3"/>
    <col min="4865" max="4865" width="23.33203125" style="3" customWidth="1"/>
    <col min="4866" max="4867" width="8.88671875" style="3"/>
    <col min="4868" max="4869" width="9.109375" style="3" customWidth="1"/>
    <col min="4870" max="4870" width="56.6640625" style="3" customWidth="1"/>
    <col min="4871" max="5120" width="8.88671875" style="3"/>
    <col min="5121" max="5121" width="23.33203125" style="3" customWidth="1"/>
    <col min="5122" max="5123" width="8.88671875" style="3"/>
    <col min="5124" max="5125" width="9.109375" style="3" customWidth="1"/>
    <col min="5126" max="5126" width="56.6640625" style="3" customWidth="1"/>
    <col min="5127" max="5376" width="8.88671875" style="3"/>
    <col min="5377" max="5377" width="23.33203125" style="3" customWidth="1"/>
    <col min="5378" max="5379" width="8.88671875" style="3"/>
    <col min="5380" max="5381" width="9.109375" style="3" customWidth="1"/>
    <col min="5382" max="5382" width="56.6640625" style="3" customWidth="1"/>
    <col min="5383" max="5632" width="8.88671875" style="3"/>
    <col min="5633" max="5633" width="23.33203125" style="3" customWidth="1"/>
    <col min="5634" max="5635" width="8.88671875" style="3"/>
    <col min="5636" max="5637" width="9.109375" style="3" customWidth="1"/>
    <col min="5638" max="5638" width="56.6640625" style="3" customWidth="1"/>
    <col min="5639" max="5888" width="8.88671875" style="3"/>
    <col min="5889" max="5889" width="23.33203125" style="3" customWidth="1"/>
    <col min="5890" max="5891" width="8.88671875" style="3"/>
    <col min="5892" max="5893" width="9.109375" style="3" customWidth="1"/>
    <col min="5894" max="5894" width="56.6640625" style="3" customWidth="1"/>
    <col min="5895" max="6144" width="8.88671875" style="3"/>
    <col min="6145" max="6145" width="23.33203125" style="3" customWidth="1"/>
    <col min="6146" max="6147" width="8.88671875" style="3"/>
    <col min="6148" max="6149" width="9.109375" style="3" customWidth="1"/>
    <col min="6150" max="6150" width="56.6640625" style="3" customWidth="1"/>
    <col min="6151" max="6400" width="8.88671875" style="3"/>
    <col min="6401" max="6401" width="23.33203125" style="3" customWidth="1"/>
    <col min="6402" max="6403" width="8.88671875" style="3"/>
    <col min="6404" max="6405" width="9.109375" style="3" customWidth="1"/>
    <col min="6406" max="6406" width="56.6640625" style="3" customWidth="1"/>
    <col min="6407" max="6656" width="8.88671875" style="3"/>
    <col min="6657" max="6657" width="23.33203125" style="3" customWidth="1"/>
    <col min="6658" max="6659" width="8.88671875" style="3"/>
    <col min="6660" max="6661" width="9.109375" style="3" customWidth="1"/>
    <col min="6662" max="6662" width="56.6640625" style="3" customWidth="1"/>
    <col min="6663" max="6912" width="8.88671875" style="3"/>
    <col min="6913" max="6913" width="23.33203125" style="3" customWidth="1"/>
    <col min="6914" max="6915" width="8.88671875" style="3"/>
    <col min="6916" max="6917" width="9.109375" style="3" customWidth="1"/>
    <col min="6918" max="6918" width="56.6640625" style="3" customWidth="1"/>
    <col min="6919" max="7168" width="8.88671875" style="3"/>
    <col min="7169" max="7169" width="23.33203125" style="3" customWidth="1"/>
    <col min="7170" max="7171" width="8.88671875" style="3"/>
    <col min="7172" max="7173" width="9.109375" style="3" customWidth="1"/>
    <col min="7174" max="7174" width="56.6640625" style="3" customWidth="1"/>
    <col min="7175" max="7424" width="8.88671875" style="3"/>
    <col min="7425" max="7425" width="23.33203125" style="3" customWidth="1"/>
    <col min="7426" max="7427" width="8.88671875" style="3"/>
    <col min="7428" max="7429" width="9.109375" style="3" customWidth="1"/>
    <col min="7430" max="7430" width="56.6640625" style="3" customWidth="1"/>
    <col min="7431" max="7680" width="8.88671875" style="3"/>
    <col min="7681" max="7681" width="23.33203125" style="3" customWidth="1"/>
    <col min="7682" max="7683" width="8.88671875" style="3"/>
    <col min="7684" max="7685" width="9.109375" style="3" customWidth="1"/>
    <col min="7686" max="7686" width="56.6640625" style="3" customWidth="1"/>
    <col min="7687" max="7936" width="8.88671875" style="3"/>
    <col min="7937" max="7937" width="23.33203125" style="3" customWidth="1"/>
    <col min="7938" max="7939" width="8.88671875" style="3"/>
    <col min="7940" max="7941" width="9.109375" style="3" customWidth="1"/>
    <col min="7942" max="7942" width="56.6640625" style="3" customWidth="1"/>
    <col min="7943" max="8192" width="8.88671875" style="3"/>
    <col min="8193" max="8193" width="23.33203125" style="3" customWidth="1"/>
    <col min="8194" max="8195" width="8.88671875" style="3"/>
    <col min="8196" max="8197" width="9.109375" style="3" customWidth="1"/>
    <col min="8198" max="8198" width="56.6640625" style="3" customWidth="1"/>
    <col min="8199" max="8448" width="8.88671875" style="3"/>
    <col min="8449" max="8449" width="23.33203125" style="3" customWidth="1"/>
    <col min="8450" max="8451" width="8.88671875" style="3"/>
    <col min="8452" max="8453" width="9.109375" style="3" customWidth="1"/>
    <col min="8454" max="8454" width="56.6640625" style="3" customWidth="1"/>
    <col min="8455" max="8704" width="8.88671875" style="3"/>
    <col min="8705" max="8705" width="23.33203125" style="3" customWidth="1"/>
    <col min="8706" max="8707" width="8.88671875" style="3"/>
    <col min="8708" max="8709" width="9.109375" style="3" customWidth="1"/>
    <col min="8710" max="8710" width="56.6640625" style="3" customWidth="1"/>
    <col min="8711" max="8960" width="8.88671875" style="3"/>
    <col min="8961" max="8961" width="23.33203125" style="3" customWidth="1"/>
    <col min="8962" max="8963" width="8.88671875" style="3"/>
    <col min="8964" max="8965" width="9.109375" style="3" customWidth="1"/>
    <col min="8966" max="8966" width="56.6640625" style="3" customWidth="1"/>
    <col min="8967" max="9216" width="8.88671875" style="3"/>
    <col min="9217" max="9217" width="23.33203125" style="3" customWidth="1"/>
    <col min="9218" max="9219" width="8.88671875" style="3"/>
    <col min="9220" max="9221" width="9.109375" style="3" customWidth="1"/>
    <col min="9222" max="9222" width="56.6640625" style="3" customWidth="1"/>
    <col min="9223" max="9472" width="8.88671875" style="3"/>
    <col min="9473" max="9473" width="23.33203125" style="3" customWidth="1"/>
    <col min="9474" max="9475" width="8.88671875" style="3"/>
    <col min="9476" max="9477" width="9.109375" style="3" customWidth="1"/>
    <col min="9478" max="9478" width="56.6640625" style="3" customWidth="1"/>
    <col min="9479" max="9728" width="8.88671875" style="3"/>
    <col min="9729" max="9729" width="23.33203125" style="3" customWidth="1"/>
    <col min="9730" max="9731" width="8.88671875" style="3"/>
    <col min="9732" max="9733" width="9.109375" style="3" customWidth="1"/>
    <col min="9734" max="9734" width="56.6640625" style="3" customWidth="1"/>
    <col min="9735" max="9984" width="8.88671875" style="3"/>
    <col min="9985" max="9985" width="23.33203125" style="3" customWidth="1"/>
    <col min="9986" max="9987" width="8.88671875" style="3"/>
    <col min="9988" max="9989" width="9.109375" style="3" customWidth="1"/>
    <col min="9990" max="9990" width="56.6640625" style="3" customWidth="1"/>
    <col min="9991" max="10240" width="8.88671875" style="3"/>
    <col min="10241" max="10241" width="23.33203125" style="3" customWidth="1"/>
    <col min="10242" max="10243" width="8.88671875" style="3"/>
    <col min="10244" max="10245" width="9.109375" style="3" customWidth="1"/>
    <col min="10246" max="10246" width="56.6640625" style="3" customWidth="1"/>
    <col min="10247" max="10496" width="8.88671875" style="3"/>
    <col min="10497" max="10497" width="23.33203125" style="3" customWidth="1"/>
    <col min="10498" max="10499" width="8.88671875" style="3"/>
    <col min="10500" max="10501" width="9.109375" style="3" customWidth="1"/>
    <col min="10502" max="10502" width="56.6640625" style="3" customWidth="1"/>
    <col min="10503" max="10752" width="8.88671875" style="3"/>
    <col min="10753" max="10753" width="23.33203125" style="3" customWidth="1"/>
    <col min="10754" max="10755" width="8.88671875" style="3"/>
    <col min="10756" max="10757" width="9.109375" style="3" customWidth="1"/>
    <col min="10758" max="10758" width="56.6640625" style="3" customWidth="1"/>
    <col min="10759" max="11008" width="8.88671875" style="3"/>
    <col min="11009" max="11009" width="23.33203125" style="3" customWidth="1"/>
    <col min="11010" max="11011" width="8.88671875" style="3"/>
    <col min="11012" max="11013" width="9.109375" style="3" customWidth="1"/>
    <col min="11014" max="11014" width="56.6640625" style="3" customWidth="1"/>
    <col min="11015" max="11264" width="8.88671875" style="3"/>
    <col min="11265" max="11265" width="23.33203125" style="3" customWidth="1"/>
    <col min="11266" max="11267" width="8.88671875" style="3"/>
    <col min="11268" max="11269" width="9.109375" style="3" customWidth="1"/>
    <col min="11270" max="11270" width="56.6640625" style="3" customWidth="1"/>
    <col min="11271" max="11520" width="8.88671875" style="3"/>
    <col min="11521" max="11521" width="23.33203125" style="3" customWidth="1"/>
    <col min="11522" max="11523" width="8.88671875" style="3"/>
    <col min="11524" max="11525" width="9.109375" style="3" customWidth="1"/>
    <col min="11526" max="11526" width="56.6640625" style="3" customWidth="1"/>
    <col min="11527" max="11776" width="8.88671875" style="3"/>
    <col min="11777" max="11777" width="23.33203125" style="3" customWidth="1"/>
    <col min="11778" max="11779" width="8.88671875" style="3"/>
    <col min="11780" max="11781" width="9.109375" style="3" customWidth="1"/>
    <col min="11782" max="11782" width="56.6640625" style="3" customWidth="1"/>
    <col min="11783" max="12032" width="8.88671875" style="3"/>
    <col min="12033" max="12033" width="23.33203125" style="3" customWidth="1"/>
    <col min="12034" max="12035" width="8.88671875" style="3"/>
    <col min="12036" max="12037" width="9.109375" style="3" customWidth="1"/>
    <col min="12038" max="12038" width="56.6640625" style="3" customWidth="1"/>
    <col min="12039" max="12288" width="8.88671875" style="3"/>
    <col min="12289" max="12289" width="23.33203125" style="3" customWidth="1"/>
    <col min="12290" max="12291" width="8.88671875" style="3"/>
    <col min="12292" max="12293" width="9.109375" style="3" customWidth="1"/>
    <col min="12294" max="12294" width="56.6640625" style="3" customWidth="1"/>
    <col min="12295" max="12544" width="8.88671875" style="3"/>
    <col min="12545" max="12545" width="23.33203125" style="3" customWidth="1"/>
    <col min="12546" max="12547" width="8.88671875" style="3"/>
    <col min="12548" max="12549" width="9.109375" style="3" customWidth="1"/>
    <col min="12550" max="12550" width="56.6640625" style="3" customWidth="1"/>
    <col min="12551" max="12800" width="8.88671875" style="3"/>
    <col min="12801" max="12801" width="23.33203125" style="3" customWidth="1"/>
    <col min="12802" max="12803" width="8.88671875" style="3"/>
    <col min="12804" max="12805" width="9.109375" style="3" customWidth="1"/>
    <col min="12806" max="12806" width="56.6640625" style="3" customWidth="1"/>
    <col min="12807" max="13056" width="8.88671875" style="3"/>
    <col min="13057" max="13057" width="23.33203125" style="3" customWidth="1"/>
    <col min="13058" max="13059" width="8.88671875" style="3"/>
    <col min="13060" max="13061" width="9.109375" style="3" customWidth="1"/>
    <col min="13062" max="13062" width="56.6640625" style="3" customWidth="1"/>
    <col min="13063" max="13312" width="8.88671875" style="3"/>
    <col min="13313" max="13313" width="23.33203125" style="3" customWidth="1"/>
    <col min="13314" max="13315" width="8.88671875" style="3"/>
    <col min="13316" max="13317" width="9.109375" style="3" customWidth="1"/>
    <col min="13318" max="13318" width="56.6640625" style="3" customWidth="1"/>
    <col min="13319" max="13568" width="8.88671875" style="3"/>
    <col min="13569" max="13569" width="23.33203125" style="3" customWidth="1"/>
    <col min="13570" max="13571" width="8.88671875" style="3"/>
    <col min="13572" max="13573" width="9.109375" style="3" customWidth="1"/>
    <col min="13574" max="13574" width="56.6640625" style="3" customWidth="1"/>
    <col min="13575" max="13824" width="8.88671875" style="3"/>
    <col min="13825" max="13825" width="23.33203125" style="3" customWidth="1"/>
    <col min="13826" max="13827" width="8.88671875" style="3"/>
    <col min="13828" max="13829" width="9.109375" style="3" customWidth="1"/>
    <col min="13830" max="13830" width="56.6640625" style="3" customWidth="1"/>
    <col min="13831" max="14080" width="8.88671875" style="3"/>
    <col min="14081" max="14081" width="23.33203125" style="3" customWidth="1"/>
    <col min="14082" max="14083" width="8.88671875" style="3"/>
    <col min="14084" max="14085" width="9.109375" style="3" customWidth="1"/>
    <col min="14086" max="14086" width="56.6640625" style="3" customWidth="1"/>
    <col min="14087" max="14336" width="8.88671875" style="3"/>
    <col min="14337" max="14337" width="23.33203125" style="3" customWidth="1"/>
    <col min="14338" max="14339" width="8.88671875" style="3"/>
    <col min="14340" max="14341" width="9.109375" style="3" customWidth="1"/>
    <col min="14342" max="14342" width="56.6640625" style="3" customWidth="1"/>
    <col min="14343" max="14592" width="8.88671875" style="3"/>
    <col min="14593" max="14593" width="23.33203125" style="3" customWidth="1"/>
    <col min="14594" max="14595" width="8.88671875" style="3"/>
    <col min="14596" max="14597" width="9.109375" style="3" customWidth="1"/>
    <col min="14598" max="14598" width="56.6640625" style="3" customWidth="1"/>
    <col min="14599" max="14848" width="8.88671875" style="3"/>
    <col min="14849" max="14849" width="23.33203125" style="3" customWidth="1"/>
    <col min="14850" max="14851" width="8.88671875" style="3"/>
    <col min="14852" max="14853" width="9.109375" style="3" customWidth="1"/>
    <col min="14854" max="14854" width="56.6640625" style="3" customWidth="1"/>
    <col min="14855" max="15104" width="8.88671875" style="3"/>
    <col min="15105" max="15105" width="23.33203125" style="3" customWidth="1"/>
    <col min="15106" max="15107" width="8.88671875" style="3"/>
    <col min="15108" max="15109" width="9.109375" style="3" customWidth="1"/>
    <col min="15110" max="15110" width="56.6640625" style="3" customWidth="1"/>
    <col min="15111" max="15360" width="8.88671875" style="3"/>
    <col min="15361" max="15361" width="23.33203125" style="3" customWidth="1"/>
    <col min="15362" max="15363" width="8.88671875" style="3"/>
    <col min="15364" max="15365" width="9.109375" style="3" customWidth="1"/>
    <col min="15366" max="15366" width="56.6640625" style="3" customWidth="1"/>
    <col min="15367" max="15616" width="8.88671875" style="3"/>
    <col min="15617" max="15617" width="23.33203125" style="3" customWidth="1"/>
    <col min="15618" max="15619" width="8.88671875" style="3"/>
    <col min="15620" max="15621" width="9.109375" style="3" customWidth="1"/>
    <col min="15622" max="15622" width="56.6640625" style="3" customWidth="1"/>
    <col min="15623" max="15872" width="8.88671875" style="3"/>
    <col min="15873" max="15873" width="23.33203125" style="3" customWidth="1"/>
    <col min="15874" max="15875" width="8.88671875" style="3"/>
    <col min="15876" max="15877" width="9.109375" style="3" customWidth="1"/>
    <col min="15878" max="15878" width="56.6640625" style="3" customWidth="1"/>
    <col min="15879" max="16128" width="8.88671875" style="3"/>
    <col min="16129" max="16129" width="23.33203125" style="3" customWidth="1"/>
    <col min="16130" max="16131" width="8.88671875" style="3"/>
    <col min="16132" max="16133" width="9.109375" style="3" customWidth="1"/>
    <col min="16134" max="16134" width="56.6640625" style="3" customWidth="1"/>
    <col min="16135" max="16384" width="8.88671875" style="3"/>
  </cols>
  <sheetData>
    <row r="1" spans="1:7" ht="37.5" customHeight="1" x14ac:dyDescent="0.25">
      <c r="A1" s="1" t="s">
        <v>0</v>
      </c>
      <c r="B1" s="1"/>
      <c r="C1" s="1"/>
      <c r="D1" s="1"/>
      <c r="E1" s="1"/>
      <c r="F1" s="1"/>
      <c r="G1" s="2"/>
    </row>
    <row r="2" spans="1:7" ht="26.4" x14ac:dyDescent="0.25">
      <c r="C2" s="4" t="s">
        <v>1</v>
      </c>
      <c r="D2" s="5" t="s">
        <v>2</v>
      </c>
      <c r="E2" s="5" t="s">
        <v>3</v>
      </c>
    </row>
    <row r="3" spans="1:7" x14ac:dyDescent="0.25">
      <c r="A3" s="3" t="s">
        <v>4</v>
      </c>
      <c r="B3" s="6">
        <v>0.15</v>
      </c>
      <c r="C3" s="7">
        <v>0</v>
      </c>
      <c r="E3" s="8">
        <f>B6</f>
        <v>35</v>
      </c>
      <c r="F3" s="3" t="str">
        <f ca="1">[2]!getformula(E3)</f>
        <v>&lt;--  =B6</v>
      </c>
    </row>
    <row r="4" spans="1:7" ht="13.8" x14ac:dyDescent="0.25">
      <c r="A4" s="3" t="s">
        <v>5</v>
      </c>
      <c r="B4" s="6">
        <v>0.3</v>
      </c>
      <c r="C4" s="7">
        <v>1</v>
      </c>
      <c r="D4">
        <v>-1.0225357982562855</v>
      </c>
      <c r="E4" s="8">
        <f>E3*EXP($B$3*$B$5+D4*$B$4*SQRT($B$5))</f>
        <v>34.348103594063772</v>
      </c>
      <c r="F4" s="3" t="str">
        <f ca="1">[2]!getformula(E4)</f>
        <v>&lt;--  =E3*EXP($B$3*$B$5+D4*$B$4*SQRT($B$5))</v>
      </c>
    </row>
    <row r="5" spans="1:7" ht="13.8" x14ac:dyDescent="0.25">
      <c r="A5" s="9" t="s">
        <v>6</v>
      </c>
      <c r="B5" s="3">
        <f>1/250</f>
        <v>4.0000000000000001E-3</v>
      </c>
      <c r="C5" s="7">
        <v>2</v>
      </c>
      <c r="D5">
        <v>-0.52195332500559743</v>
      </c>
      <c r="E5" s="8">
        <f>E4*EXP($B$3*$B$5+D5*$B$4*SQRT($B$5))</f>
        <v>34.030032405811674</v>
      </c>
      <c r="F5" s="3" t="str">
        <f ca="1">[2]!getformula(E5)</f>
        <v>&lt;--  =E4*EXP($B$3*$B$5+D5*$B$4*SQRT($B$5))</v>
      </c>
    </row>
    <row r="6" spans="1:7" ht="13.8" x14ac:dyDescent="0.25">
      <c r="A6" s="3" t="s">
        <v>7</v>
      </c>
      <c r="B6" s="3">
        <v>35</v>
      </c>
      <c r="C6" s="7">
        <v>3</v>
      </c>
      <c r="D6">
        <v>0.54142674343893304</v>
      </c>
      <c r="E6" s="8">
        <f t="shared" ref="E6:E69" si="0">E5*EXP($B$3*$B$5+D6*$B$4*SQRT($B$5))</f>
        <v>34.402054655615366</v>
      </c>
    </row>
    <row r="7" spans="1:7" ht="13.8" x14ac:dyDescent="0.25">
      <c r="C7" s="7">
        <v>4</v>
      </c>
      <c r="D7">
        <v>0.48229367166641168</v>
      </c>
      <c r="E7" s="8">
        <f t="shared" si="0"/>
        <v>34.739145724893923</v>
      </c>
    </row>
    <row r="8" spans="1:7" ht="13.8" x14ac:dyDescent="0.25">
      <c r="C8" s="7">
        <v>5</v>
      </c>
      <c r="D8">
        <v>-0.12359123502392322</v>
      </c>
      <c r="E8" s="8">
        <f t="shared" si="0"/>
        <v>34.678579510508143</v>
      </c>
    </row>
    <row r="9" spans="1:7" ht="13.8" x14ac:dyDescent="0.25">
      <c r="C9" s="7">
        <v>6</v>
      </c>
      <c r="D9">
        <v>0.47783032641746104</v>
      </c>
      <c r="E9" s="8">
        <f t="shared" si="0"/>
        <v>35.015414687231456</v>
      </c>
    </row>
    <row r="10" spans="1:7" ht="13.8" x14ac:dyDescent="0.25">
      <c r="C10" s="7">
        <v>7</v>
      </c>
      <c r="D10">
        <v>1.9727485778275877</v>
      </c>
      <c r="E10" s="8">
        <f t="shared" si="0"/>
        <v>36.37270594537673</v>
      </c>
    </row>
    <row r="11" spans="1:7" ht="13.8" x14ac:dyDescent="0.25">
      <c r="C11" s="7">
        <v>8</v>
      </c>
      <c r="D11">
        <v>1.2215718925290275</v>
      </c>
      <c r="E11" s="8">
        <f t="shared" si="0"/>
        <v>37.247929289817066</v>
      </c>
    </row>
    <row r="12" spans="1:7" ht="13.8" x14ac:dyDescent="0.25">
      <c r="C12" s="7">
        <v>9</v>
      </c>
      <c r="D12">
        <v>2.6959605747833848</v>
      </c>
      <c r="E12" s="8">
        <f t="shared" si="0"/>
        <v>39.22634585308618</v>
      </c>
    </row>
    <row r="13" spans="1:7" ht="13.8" x14ac:dyDescent="0.25">
      <c r="C13" s="7">
        <v>10</v>
      </c>
      <c r="D13">
        <v>2.1237337932689115</v>
      </c>
      <c r="E13" s="8">
        <f t="shared" si="0"/>
        <v>40.863760736617415</v>
      </c>
    </row>
    <row r="14" spans="1:7" ht="13.8" x14ac:dyDescent="0.25">
      <c r="C14" s="7">
        <v>11</v>
      </c>
      <c r="D14">
        <v>-1.7172123989439569</v>
      </c>
      <c r="E14" s="8">
        <f t="shared" si="0"/>
        <v>39.577540975059101</v>
      </c>
    </row>
    <row r="15" spans="1:7" ht="13.8" x14ac:dyDescent="0.25">
      <c r="C15" s="7">
        <v>12</v>
      </c>
      <c r="D15">
        <v>-9.150426194537431E-2</v>
      </c>
      <c r="E15" s="8">
        <f t="shared" si="0"/>
        <v>39.532599644231965</v>
      </c>
    </row>
    <row r="16" spans="1:7" ht="13.8" x14ac:dyDescent="0.25">
      <c r="C16" s="7">
        <v>13</v>
      </c>
      <c r="D16">
        <v>1.421972228854429</v>
      </c>
      <c r="E16" s="8">
        <f t="shared" si="0"/>
        <v>40.638084348009656</v>
      </c>
    </row>
    <row r="17" spans="1:5" ht="13.8" x14ac:dyDescent="0.25">
      <c r="C17" s="7">
        <v>14</v>
      </c>
      <c r="D17">
        <v>-0.4652633833757136</v>
      </c>
      <c r="E17" s="8">
        <f t="shared" si="0"/>
        <v>40.305096018617206</v>
      </c>
    </row>
    <row r="18" spans="1:5" ht="13.8" x14ac:dyDescent="0.25">
      <c r="A18" s="10"/>
      <c r="C18" s="7">
        <v>15</v>
      </c>
      <c r="D18">
        <v>-2.7046098693972453E-2</v>
      </c>
      <c r="E18" s="8">
        <f t="shared" si="0"/>
        <v>40.308596118323287</v>
      </c>
    </row>
    <row r="19" spans="1:5" ht="13.8" x14ac:dyDescent="0.25">
      <c r="C19" s="7">
        <v>16</v>
      </c>
      <c r="D19">
        <v>-0.44878788685309701</v>
      </c>
      <c r="E19" s="8">
        <f t="shared" si="0"/>
        <v>39.990806809576817</v>
      </c>
    </row>
    <row r="20" spans="1:5" ht="13.8" x14ac:dyDescent="0.25">
      <c r="C20" s="7">
        <v>17</v>
      </c>
      <c r="D20">
        <v>2.2216408979147673</v>
      </c>
      <c r="E20" s="8">
        <f t="shared" si="0"/>
        <v>41.737594533500705</v>
      </c>
    </row>
    <row r="21" spans="1:5" ht="13.8" x14ac:dyDescent="0.25">
      <c r="C21" s="7">
        <v>18</v>
      </c>
      <c r="D21">
        <v>-0.28936597118445206</v>
      </c>
      <c r="E21" s="8">
        <f t="shared" si="0"/>
        <v>41.533982058241229</v>
      </c>
    </row>
    <row r="22" spans="1:5" ht="13.8" x14ac:dyDescent="0.25">
      <c r="C22" s="7">
        <v>19</v>
      </c>
      <c r="D22">
        <v>1.0635221769916825</v>
      </c>
      <c r="E22" s="8">
        <f t="shared" si="0"/>
        <v>42.4060419739492</v>
      </c>
    </row>
    <row r="23" spans="1:5" ht="13.8" x14ac:dyDescent="0.25">
      <c r="C23" s="7">
        <v>20</v>
      </c>
      <c r="D23">
        <v>5.9359308579587378E-2</v>
      </c>
      <c r="E23" s="8">
        <f t="shared" si="0"/>
        <v>42.479309205644846</v>
      </c>
    </row>
    <row r="24" spans="1:5" ht="13.8" x14ac:dyDescent="0.25">
      <c r="A24" s="10"/>
      <c r="C24" s="7">
        <v>21</v>
      </c>
      <c r="D24">
        <v>0.10980443221342284</v>
      </c>
      <c r="E24" s="8">
        <f t="shared" si="0"/>
        <v>42.593450945439159</v>
      </c>
    </row>
    <row r="25" spans="1:5" ht="13.8" x14ac:dyDescent="0.25">
      <c r="C25" s="7">
        <v>22</v>
      </c>
      <c r="D25">
        <v>-1.03565525932936</v>
      </c>
      <c r="E25" s="8">
        <f t="shared" si="0"/>
        <v>41.789718101526603</v>
      </c>
    </row>
    <row r="26" spans="1:5" ht="13.8" x14ac:dyDescent="0.25">
      <c r="C26" s="7">
        <v>23</v>
      </c>
      <c r="D26">
        <v>0.32981688491418026</v>
      </c>
      <c r="E26" s="8">
        <f t="shared" si="0"/>
        <v>42.077290043272761</v>
      </c>
    </row>
    <row r="27" spans="1:5" ht="13.8" x14ac:dyDescent="0.25">
      <c r="C27" s="7">
        <v>24</v>
      </c>
      <c r="D27">
        <v>1.2914733815705404</v>
      </c>
      <c r="E27" s="8">
        <f t="shared" si="0"/>
        <v>43.146968096404635</v>
      </c>
    </row>
    <row r="28" spans="1:5" ht="13.8" x14ac:dyDescent="0.25">
      <c r="C28" s="7">
        <v>25</v>
      </c>
      <c r="D28">
        <v>0.36026449379278347</v>
      </c>
      <c r="E28" s="8">
        <f t="shared" si="0"/>
        <v>43.468984724142608</v>
      </c>
    </row>
    <row r="29" spans="1:5" ht="13.8" x14ac:dyDescent="0.25">
      <c r="C29" s="7">
        <v>26</v>
      </c>
      <c r="D29">
        <v>-0.84417479229159653</v>
      </c>
      <c r="E29" s="8">
        <f t="shared" si="0"/>
        <v>42.803959004883744</v>
      </c>
    </row>
    <row r="30" spans="1:5" ht="13.8" x14ac:dyDescent="0.25">
      <c r="C30" s="7">
        <v>27</v>
      </c>
      <c r="D30">
        <v>-0.35203129300498404</v>
      </c>
      <c r="E30" s="8">
        <f t="shared" si="0"/>
        <v>42.544529240527289</v>
      </c>
    </row>
    <row r="31" spans="1:5" ht="13.8" x14ac:dyDescent="0.25">
      <c r="C31" s="7">
        <v>28</v>
      </c>
      <c r="D31">
        <v>-0.36010078474646434</v>
      </c>
      <c r="E31" s="8">
        <f t="shared" si="0"/>
        <v>42.280197924075708</v>
      </c>
    </row>
    <row r="32" spans="1:5" ht="13.8" x14ac:dyDescent="0.25">
      <c r="C32" s="7">
        <v>29</v>
      </c>
      <c r="D32">
        <v>-0.25538611225783825</v>
      </c>
      <c r="E32" s="8">
        <f t="shared" si="0"/>
        <v>42.101073175819629</v>
      </c>
    </row>
    <row r="33" spans="3:5" ht="13.8" x14ac:dyDescent="0.25">
      <c r="C33" s="7">
        <v>30</v>
      </c>
      <c r="D33">
        <v>-0.77805452747270465</v>
      </c>
      <c r="E33" s="8">
        <f t="shared" si="0"/>
        <v>41.509017167198124</v>
      </c>
    </row>
    <row r="34" spans="3:5" ht="13.8" x14ac:dyDescent="0.25">
      <c r="C34" s="7">
        <v>31</v>
      </c>
      <c r="D34">
        <v>-0.37614540815411601</v>
      </c>
      <c r="E34" s="8">
        <f t="shared" si="0"/>
        <v>41.238563565543338</v>
      </c>
    </row>
    <row r="35" spans="3:5" ht="13.8" x14ac:dyDescent="0.25">
      <c r="C35" s="7">
        <v>32</v>
      </c>
      <c r="D35">
        <v>-0.13130375009495765</v>
      </c>
      <c r="E35" s="8">
        <f t="shared" si="0"/>
        <v>41.160642223879748</v>
      </c>
    </row>
    <row r="36" spans="3:5" ht="13.8" x14ac:dyDescent="0.25">
      <c r="C36" s="7">
        <v>33</v>
      </c>
      <c r="D36">
        <v>-0.42698161450971384</v>
      </c>
      <c r="E36" s="8">
        <f t="shared" si="0"/>
        <v>40.853034700710637</v>
      </c>
    </row>
    <row r="37" spans="3:5" ht="13.8" x14ac:dyDescent="0.25">
      <c r="C37" s="7">
        <v>34</v>
      </c>
      <c r="D37">
        <v>0.4005630671599647</v>
      </c>
      <c r="E37" s="8">
        <f t="shared" si="0"/>
        <v>41.189412997684634</v>
      </c>
    </row>
    <row r="38" spans="3:5" ht="13.8" x14ac:dyDescent="0.25">
      <c r="C38" s="7">
        <v>35</v>
      </c>
      <c r="D38">
        <v>0.74796389526454732</v>
      </c>
      <c r="E38" s="8">
        <f t="shared" si="0"/>
        <v>41.803199278210229</v>
      </c>
    </row>
    <row r="39" spans="3:5" ht="13.8" x14ac:dyDescent="0.25">
      <c r="C39" s="7">
        <v>36</v>
      </c>
      <c r="D39">
        <v>0.27122496248921379</v>
      </c>
      <c r="E39" s="8">
        <f t="shared" si="0"/>
        <v>42.044097425963145</v>
      </c>
    </row>
    <row r="40" spans="3:5" ht="13.8" x14ac:dyDescent="0.25">
      <c r="C40" s="7">
        <v>37</v>
      </c>
      <c r="D40">
        <v>0.74553781814756803</v>
      </c>
      <c r="E40" s="8">
        <f t="shared" si="0"/>
        <v>42.668655682326133</v>
      </c>
    </row>
    <row r="41" spans="3:5" ht="13.8" x14ac:dyDescent="0.25">
      <c r="C41" s="7">
        <v>38</v>
      </c>
      <c r="D41">
        <v>-1.272337613045238</v>
      </c>
      <c r="E41" s="8">
        <f t="shared" si="0"/>
        <v>41.675927455065654</v>
      </c>
    </row>
    <row r="42" spans="3:5" ht="13.8" x14ac:dyDescent="0.25">
      <c r="C42" s="7">
        <v>39</v>
      </c>
      <c r="D42">
        <v>0.39816086427890696</v>
      </c>
      <c r="E42" s="8">
        <f t="shared" si="0"/>
        <v>42.017166211318496</v>
      </c>
    </row>
    <row r="43" spans="3:5" ht="13.8" x14ac:dyDescent="0.25">
      <c r="C43" s="7">
        <v>40</v>
      </c>
      <c r="D43">
        <v>0.90876255853800103</v>
      </c>
      <c r="E43" s="8">
        <f t="shared" si="0"/>
        <v>42.773588086546084</v>
      </c>
    </row>
    <row r="44" spans="3:5" ht="13.8" x14ac:dyDescent="0.25">
      <c r="C44" s="7">
        <v>41</v>
      </c>
      <c r="D44">
        <v>-2.2207495931070298</v>
      </c>
      <c r="E44" s="8">
        <f t="shared" si="0"/>
        <v>41.03334588280989</v>
      </c>
    </row>
    <row r="45" spans="3:5" ht="13.8" x14ac:dyDescent="0.25">
      <c r="C45" s="7">
        <v>42</v>
      </c>
      <c r="D45">
        <v>-0.2260117071273271</v>
      </c>
      <c r="E45" s="8">
        <f t="shared" si="0"/>
        <v>40.882282550635885</v>
      </c>
    </row>
    <row r="46" spans="3:5" ht="13.8" x14ac:dyDescent="0.25">
      <c r="C46" s="7">
        <v>43</v>
      </c>
      <c r="D46">
        <v>0.40130998968379572</v>
      </c>
      <c r="E46" s="8">
        <f t="shared" si="0"/>
        <v>41.219485822983437</v>
      </c>
    </row>
    <row r="47" spans="3:5" ht="13.8" x14ac:dyDescent="0.25">
      <c r="C47" s="7">
        <v>44</v>
      </c>
      <c r="D47">
        <v>1.6913918443606235</v>
      </c>
      <c r="E47" s="8">
        <f t="shared" si="0"/>
        <v>42.589298179828482</v>
      </c>
    </row>
    <row r="48" spans="3:5" ht="13.8" x14ac:dyDescent="0.25">
      <c r="C48" s="7">
        <v>45</v>
      </c>
      <c r="D48">
        <v>-0.21950313566776458</v>
      </c>
      <c r="E48" s="8">
        <f t="shared" si="0"/>
        <v>42.437747020357463</v>
      </c>
    </row>
    <row r="49" spans="3:5" ht="13.8" x14ac:dyDescent="0.25">
      <c r="C49" s="7">
        <v>46</v>
      </c>
      <c r="D49">
        <v>-1.2918280845042318</v>
      </c>
      <c r="E49" s="8">
        <f t="shared" si="0"/>
        <v>41.435065353415389</v>
      </c>
    </row>
    <row r="50" spans="3:5" ht="13.8" x14ac:dyDescent="0.25">
      <c r="C50" s="7">
        <v>47</v>
      </c>
      <c r="D50">
        <v>2.2335370886139572</v>
      </c>
      <c r="E50" s="8">
        <f t="shared" si="0"/>
        <v>43.254700008141917</v>
      </c>
    </row>
    <row r="51" spans="3:5" ht="13.8" x14ac:dyDescent="0.25">
      <c r="C51" s="7">
        <v>48</v>
      </c>
      <c r="D51">
        <v>0.27448095352156088</v>
      </c>
      <c r="E51" s="8">
        <f t="shared" si="0"/>
        <v>43.506650353840953</v>
      </c>
    </row>
    <row r="52" spans="3:5" ht="13.8" x14ac:dyDescent="0.25">
      <c r="C52" s="7">
        <v>49</v>
      </c>
      <c r="D52">
        <v>-2.0545940060401335</v>
      </c>
      <c r="E52" s="8">
        <f t="shared" si="0"/>
        <v>41.868369099790385</v>
      </c>
    </row>
    <row r="53" spans="3:5" ht="13.8" x14ac:dyDescent="0.25">
      <c r="C53" s="7">
        <v>50</v>
      </c>
      <c r="D53">
        <v>-1.684084054431878</v>
      </c>
      <c r="E53" s="8">
        <f t="shared" si="0"/>
        <v>40.576025182974789</v>
      </c>
    </row>
    <row r="54" spans="3:5" ht="13.8" x14ac:dyDescent="0.25">
      <c r="C54" s="7">
        <v>51</v>
      </c>
      <c r="D54">
        <v>-0.18553464542492293</v>
      </c>
      <c r="E54" s="8">
        <f t="shared" si="0"/>
        <v>40.457704984769457</v>
      </c>
    </row>
    <row r="55" spans="3:5" ht="13.8" x14ac:dyDescent="0.25">
      <c r="C55" s="7">
        <v>52</v>
      </c>
      <c r="D55">
        <v>0.46364448280655779</v>
      </c>
      <c r="E55" s="8">
        <f t="shared" si="0"/>
        <v>40.839679379089056</v>
      </c>
    </row>
    <row r="56" spans="3:5" ht="13.8" x14ac:dyDescent="0.25">
      <c r="C56" s="7">
        <v>53</v>
      </c>
      <c r="D56">
        <v>1.5218120097415522</v>
      </c>
      <c r="E56" s="8">
        <f t="shared" si="0"/>
        <v>42.061317552678567</v>
      </c>
    </row>
    <row r="57" spans="3:5" ht="13.8" x14ac:dyDescent="0.25">
      <c r="C57" s="7">
        <v>54</v>
      </c>
      <c r="D57">
        <v>-1.7102365745813586</v>
      </c>
      <c r="E57" s="8">
        <f t="shared" si="0"/>
        <v>40.742795962196958</v>
      </c>
    </row>
    <row r="58" spans="3:5" ht="13.8" x14ac:dyDescent="0.25">
      <c r="C58" s="7">
        <v>55</v>
      </c>
      <c r="D58">
        <v>0.90265302787884139</v>
      </c>
      <c r="E58" s="8">
        <f t="shared" si="0"/>
        <v>41.471468089944516</v>
      </c>
    </row>
    <row r="59" spans="3:5" ht="13.8" x14ac:dyDescent="0.25">
      <c r="C59" s="7">
        <v>56</v>
      </c>
      <c r="D59">
        <v>4.9340087571181357E-3</v>
      </c>
      <c r="E59" s="8">
        <f t="shared" si="0"/>
        <v>41.500243351800499</v>
      </c>
    </row>
    <row r="60" spans="3:5" ht="13.8" x14ac:dyDescent="0.25">
      <c r="C60" s="7">
        <v>57</v>
      </c>
      <c r="D60">
        <v>-1.5946898201946169</v>
      </c>
      <c r="E60" s="8">
        <f t="shared" si="0"/>
        <v>40.287537548648949</v>
      </c>
    </row>
    <row r="61" spans="3:5" ht="13.8" x14ac:dyDescent="0.25">
      <c r="C61" s="7">
        <v>58</v>
      </c>
      <c r="D61">
        <v>-0.84406565292738378</v>
      </c>
      <c r="E61" s="8">
        <f t="shared" si="0"/>
        <v>39.671266480381185</v>
      </c>
    </row>
    <row r="62" spans="3:5" ht="13.8" x14ac:dyDescent="0.25">
      <c r="C62" s="7">
        <v>59</v>
      </c>
      <c r="D62">
        <v>1.7259662854485214</v>
      </c>
      <c r="E62" s="8">
        <f t="shared" si="0"/>
        <v>41.016526348962834</v>
      </c>
    </row>
    <row r="63" spans="3:5" ht="13.8" x14ac:dyDescent="0.25">
      <c r="C63" s="7">
        <v>60</v>
      </c>
      <c r="D63">
        <v>0.85019792095408775</v>
      </c>
      <c r="E63" s="8">
        <f t="shared" si="0"/>
        <v>41.708562294209287</v>
      </c>
    </row>
    <row r="64" spans="3:5" ht="13.8" x14ac:dyDescent="0.25">
      <c r="C64" s="7">
        <v>61</v>
      </c>
      <c r="D64">
        <v>-0.42396663957333658</v>
      </c>
      <c r="E64" s="8">
        <f t="shared" si="0"/>
        <v>41.399228157787881</v>
      </c>
    </row>
    <row r="65" spans="3:5" ht="13.8" x14ac:dyDescent="0.25">
      <c r="C65" s="7">
        <v>62</v>
      </c>
      <c r="D65">
        <v>0.68255531004979275</v>
      </c>
      <c r="E65" s="8">
        <f t="shared" si="0"/>
        <v>41.964029614397262</v>
      </c>
    </row>
    <row r="66" spans="3:5" ht="13.8" x14ac:dyDescent="0.25">
      <c r="C66" s="7">
        <v>63</v>
      </c>
      <c r="D66">
        <v>-0.53444182412931696</v>
      </c>
      <c r="E66" s="8">
        <f t="shared" si="0"/>
        <v>41.565582992654811</v>
      </c>
    </row>
    <row r="67" spans="3:5" ht="13.8" x14ac:dyDescent="0.25">
      <c r="C67" s="7">
        <v>64</v>
      </c>
      <c r="D67">
        <v>-0.68603526415245142</v>
      </c>
      <c r="E67" s="8">
        <f t="shared" si="0"/>
        <v>41.052670516371208</v>
      </c>
    </row>
    <row r="68" spans="3:5" ht="13.8" x14ac:dyDescent="0.25">
      <c r="C68" s="7">
        <v>65</v>
      </c>
      <c r="D68">
        <v>-0.64828554968698882</v>
      </c>
      <c r="E68" s="8">
        <f t="shared" si="0"/>
        <v>40.575138852946893</v>
      </c>
    </row>
    <row r="69" spans="3:5" ht="13.8" x14ac:dyDescent="0.25">
      <c r="C69" s="7">
        <v>66</v>
      </c>
      <c r="D69">
        <v>-0.47714479478599969</v>
      </c>
      <c r="E69" s="8">
        <f t="shared" si="0"/>
        <v>40.233595258764858</v>
      </c>
    </row>
    <row r="70" spans="3:5" ht="13.8" x14ac:dyDescent="0.25">
      <c r="C70" s="7">
        <v>67</v>
      </c>
      <c r="D70">
        <v>-0.46441073209280148</v>
      </c>
      <c r="E70" s="8">
        <f t="shared" ref="E70:E133" si="1">E69*EXP($B$3*$B$5+D70*$B$4*SQRT($B$5))</f>
        <v>39.904566879331846</v>
      </c>
    </row>
    <row r="71" spans="3:5" ht="13.8" x14ac:dyDescent="0.25">
      <c r="C71" s="7">
        <v>68</v>
      </c>
      <c r="D71">
        <v>1.1885276762768626</v>
      </c>
      <c r="E71" s="8">
        <f t="shared" si="1"/>
        <v>40.839163168109259</v>
      </c>
    </row>
    <row r="72" spans="3:5" ht="13.8" x14ac:dyDescent="0.25">
      <c r="C72" s="7">
        <v>69</v>
      </c>
      <c r="D72">
        <v>0.34390495784464292</v>
      </c>
      <c r="E72" s="8">
        <f t="shared" si="1"/>
        <v>41.131186952418304</v>
      </c>
    </row>
    <row r="73" spans="3:5" ht="13.8" x14ac:dyDescent="0.25">
      <c r="C73" s="7">
        <v>70</v>
      </c>
      <c r="D73">
        <v>-1.3706767276744358</v>
      </c>
      <c r="E73" s="8">
        <f t="shared" si="1"/>
        <v>40.099340107728622</v>
      </c>
    </row>
    <row r="74" spans="3:5" ht="13.8" x14ac:dyDescent="0.25">
      <c r="C74" s="7">
        <v>71</v>
      </c>
      <c r="D74">
        <v>-1.4857960195513442</v>
      </c>
      <c r="E74" s="8">
        <f t="shared" si="1"/>
        <v>39.008082983785307</v>
      </c>
    </row>
    <row r="75" spans="3:5" ht="13.8" x14ac:dyDescent="0.25">
      <c r="C75" s="7">
        <v>72</v>
      </c>
      <c r="D75">
        <v>-0.68149347498547286</v>
      </c>
      <c r="E75" s="8">
        <f t="shared" si="1"/>
        <v>38.530049798613703</v>
      </c>
    </row>
    <row r="76" spans="3:5" ht="13.8" x14ac:dyDescent="0.25">
      <c r="C76" s="7">
        <v>73</v>
      </c>
      <c r="D76">
        <v>-0.21817186279804446</v>
      </c>
      <c r="E76" s="8">
        <f t="shared" si="1"/>
        <v>38.393912986563258</v>
      </c>
    </row>
    <row r="77" spans="3:5" ht="13.8" x14ac:dyDescent="0.25">
      <c r="C77" s="7">
        <v>74</v>
      </c>
      <c r="D77">
        <v>-1.8448099581291899</v>
      </c>
      <c r="E77" s="8">
        <f t="shared" si="1"/>
        <v>37.095516866976389</v>
      </c>
    </row>
    <row r="78" spans="3:5" ht="13.8" x14ac:dyDescent="0.25">
      <c r="C78" s="7">
        <v>75</v>
      </c>
      <c r="D78">
        <v>0.38041889638407156</v>
      </c>
      <c r="E78" s="8">
        <f t="shared" si="1"/>
        <v>37.386664034412497</v>
      </c>
    </row>
    <row r="79" spans="3:5" ht="13.8" x14ac:dyDescent="0.25">
      <c r="C79" s="7">
        <v>76</v>
      </c>
      <c r="D79">
        <v>-0.20471588868531398</v>
      </c>
      <c r="E79" s="8">
        <f t="shared" si="1"/>
        <v>37.264079751794903</v>
      </c>
    </row>
    <row r="80" spans="3:5" ht="13.8" x14ac:dyDescent="0.25">
      <c r="C80" s="7">
        <v>77</v>
      </c>
      <c r="D80">
        <v>0.385275598091539</v>
      </c>
      <c r="E80" s="8">
        <f t="shared" si="1"/>
        <v>37.560010873026947</v>
      </c>
    </row>
    <row r="81" spans="3:5" ht="13.8" x14ac:dyDescent="0.25">
      <c r="C81" s="7">
        <v>78</v>
      </c>
      <c r="D81">
        <v>0.3557784111762885</v>
      </c>
      <c r="E81" s="8">
        <f t="shared" si="1"/>
        <v>37.837109905187681</v>
      </c>
    </row>
    <row r="82" spans="3:5" ht="13.8" x14ac:dyDescent="0.25">
      <c r="C82" s="7">
        <v>79</v>
      </c>
      <c r="D82">
        <v>-0.88090700955945067</v>
      </c>
      <c r="E82" s="8">
        <f t="shared" si="1"/>
        <v>37.232287530889487</v>
      </c>
    </row>
    <row r="83" spans="3:5" ht="13.8" x14ac:dyDescent="0.25">
      <c r="C83" s="7">
        <v>80</v>
      </c>
      <c r="D83">
        <v>0.8243478077929467</v>
      </c>
      <c r="E83" s="8">
        <f t="shared" si="1"/>
        <v>37.841910399450242</v>
      </c>
    </row>
    <row r="84" spans="3:5" ht="13.8" x14ac:dyDescent="0.25">
      <c r="C84" s="7">
        <v>81</v>
      </c>
      <c r="D84">
        <v>-0.57296574595966376</v>
      </c>
      <c r="E84" s="8">
        <f t="shared" si="1"/>
        <v>37.455215594668196</v>
      </c>
    </row>
    <row r="85" spans="3:5" ht="13.8" x14ac:dyDescent="0.25">
      <c r="C85" s="7">
        <v>82</v>
      </c>
      <c r="D85">
        <v>-0.94019469543127343</v>
      </c>
      <c r="E85" s="8">
        <f t="shared" si="1"/>
        <v>36.815061023550619</v>
      </c>
    </row>
    <row r="86" spans="3:5" ht="13.8" x14ac:dyDescent="0.25">
      <c r="C86" s="7">
        <v>83</v>
      </c>
      <c r="D86">
        <v>-1.1780502973124385</v>
      </c>
      <c r="E86" s="8">
        <f t="shared" si="1"/>
        <v>36.022908942021154</v>
      </c>
    </row>
    <row r="87" spans="3:5" ht="13.8" x14ac:dyDescent="0.25">
      <c r="C87" s="7">
        <v>84</v>
      </c>
      <c r="D87">
        <v>1.219959813170135</v>
      </c>
      <c r="E87" s="8">
        <f t="shared" si="1"/>
        <v>36.888586916445597</v>
      </c>
    </row>
    <row r="88" spans="3:5" ht="13.8" x14ac:dyDescent="0.25">
      <c r="C88" s="7">
        <v>85</v>
      </c>
      <c r="D88">
        <v>1.2298414731048979</v>
      </c>
      <c r="E88" s="8">
        <f t="shared" si="1"/>
        <v>37.782151434633271</v>
      </c>
    </row>
    <row r="89" spans="3:5" ht="13.8" x14ac:dyDescent="0.25">
      <c r="C89" s="7">
        <v>86</v>
      </c>
      <c r="D89">
        <v>-1.5201112546492368</v>
      </c>
      <c r="E89" s="8">
        <f t="shared" si="1"/>
        <v>36.730031728916458</v>
      </c>
    </row>
    <row r="90" spans="3:5" ht="13.8" x14ac:dyDescent="0.25">
      <c r="C90" s="7">
        <v>87</v>
      </c>
      <c r="D90">
        <v>-0.91898300524917431</v>
      </c>
      <c r="E90" s="8">
        <f t="shared" si="1"/>
        <v>36.116804191736925</v>
      </c>
    </row>
    <row r="91" spans="3:5" ht="13.8" x14ac:dyDescent="0.25">
      <c r="C91" s="7">
        <v>88</v>
      </c>
      <c r="D91">
        <v>1.3247699826024473</v>
      </c>
      <c r="E91" s="8">
        <f t="shared" si="1"/>
        <v>37.058360849310802</v>
      </c>
    </row>
    <row r="92" spans="3:5" ht="13.8" x14ac:dyDescent="0.25">
      <c r="C92" s="7">
        <v>89</v>
      </c>
      <c r="D92">
        <v>-1.5186560631264001</v>
      </c>
      <c r="E92" s="8">
        <f t="shared" si="1"/>
        <v>36.027391256596367</v>
      </c>
    </row>
    <row r="93" spans="3:5" ht="13.8" x14ac:dyDescent="0.25">
      <c r="C93" s="7">
        <v>90</v>
      </c>
      <c r="D93">
        <v>-0.28681370167760178</v>
      </c>
      <c r="E93" s="8">
        <f t="shared" si="1"/>
        <v>35.85337159890571</v>
      </c>
    </row>
    <row r="94" spans="3:5" ht="13.8" x14ac:dyDescent="0.25">
      <c r="C94" s="7">
        <v>91</v>
      </c>
      <c r="D94">
        <v>-1.4207125786924735</v>
      </c>
      <c r="E94" s="8">
        <f t="shared" si="1"/>
        <v>34.920759628141866</v>
      </c>
    </row>
    <row r="95" spans="3:5" ht="13.8" x14ac:dyDescent="0.25">
      <c r="C95" s="7">
        <v>92</v>
      </c>
      <c r="D95">
        <v>-0.2322167347301729</v>
      </c>
      <c r="E95" s="8">
        <f t="shared" si="1"/>
        <v>34.788103725278908</v>
      </c>
    </row>
    <row r="96" spans="3:5" ht="13.8" x14ac:dyDescent="0.25">
      <c r="C96" s="7">
        <v>93</v>
      </c>
      <c r="D96">
        <v>0.18880427887779661</v>
      </c>
      <c r="E96" s="8">
        <f t="shared" si="1"/>
        <v>34.933903012029354</v>
      </c>
    </row>
    <row r="97" spans="3:5" ht="13.8" x14ac:dyDescent="0.25">
      <c r="C97" s="7">
        <v>94</v>
      </c>
      <c r="D97">
        <v>-2.4904875317588449</v>
      </c>
      <c r="E97" s="8">
        <f t="shared" si="1"/>
        <v>33.341541505595167</v>
      </c>
    </row>
    <row r="98" spans="3:5" ht="13.8" x14ac:dyDescent="0.25">
      <c r="C98" s="7">
        <v>95</v>
      </c>
      <c r="D98">
        <v>-0.84144630818627775</v>
      </c>
      <c r="E98" s="8">
        <f t="shared" si="1"/>
        <v>32.83315378437603</v>
      </c>
    </row>
    <row r="99" spans="3:5" ht="13.8" x14ac:dyDescent="0.25">
      <c r="C99" s="7">
        <v>96</v>
      </c>
      <c r="D99">
        <v>0.86411546362796798</v>
      </c>
      <c r="E99" s="8">
        <f t="shared" si="1"/>
        <v>33.395936441651102</v>
      </c>
    </row>
    <row r="100" spans="3:5" ht="13.8" x14ac:dyDescent="0.25">
      <c r="C100" s="7">
        <v>97</v>
      </c>
      <c r="D100">
        <v>1.8898481357609853</v>
      </c>
      <c r="E100" s="8">
        <f t="shared" si="1"/>
        <v>34.635929786555671</v>
      </c>
    </row>
    <row r="101" spans="3:5" ht="13.8" x14ac:dyDescent="0.25">
      <c r="C101" s="7">
        <v>98</v>
      </c>
      <c r="D101">
        <v>-0.26496081773075275</v>
      </c>
      <c r="E101" s="8">
        <f t="shared" si="1"/>
        <v>34.482925840349068</v>
      </c>
    </row>
    <row r="102" spans="3:5" ht="13.8" x14ac:dyDescent="0.25">
      <c r="C102" s="7">
        <v>99</v>
      </c>
      <c r="D102">
        <v>-0.62346998674911447</v>
      </c>
      <c r="E102" s="8">
        <f t="shared" si="1"/>
        <v>34.097865502262373</v>
      </c>
    </row>
    <row r="103" spans="3:5" ht="13.8" x14ac:dyDescent="0.25">
      <c r="C103" s="7">
        <v>100</v>
      </c>
      <c r="D103">
        <v>-2.1281266526784748</v>
      </c>
      <c r="E103" s="8">
        <f t="shared" si="1"/>
        <v>32.768130857337539</v>
      </c>
    </row>
    <row r="104" spans="3:5" ht="13.8" x14ac:dyDescent="0.25">
      <c r="C104" s="7">
        <v>101</v>
      </c>
      <c r="D104">
        <v>0.7583253136544954</v>
      </c>
      <c r="E104" s="8">
        <f t="shared" si="1"/>
        <v>33.262965603263112</v>
      </c>
    </row>
    <row r="105" spans="3:5" ht="13.8" x14ac:dyDescent="0.25">
      <c r="C105" s="7">
        <v>102</v>
      </c>
      <c r="D105">
        <v>0.44489979700301774</v>
      </c>
      <c r="E105" s="8">
        <f t="shared" si="1"/>
        <v>33.565072392831446</v>
      </c>
    </row>
    <row r="106" spans="3:5" ht="13.8" x14ac:dyDescent="0.25">
      <c r="C106" s="7">
        <v>103</v>
      </c>
      <c r="D106">
        <v>-0.37065092328703031</v>
      </c>
      <c r="E106" s="8">
        <f t="shared" si="1"/>
        <v>33.349854428080789</v>
      </c>
    </row>
    <row r="107" spans="3:5" ht="13.8" x14ac:dyDescent="0.25">
      <c r="C107" s="7">
        <v>104</v>
      </c>
      <c r="D107">
        <v>-2.201359166065231</v>
      </c>
      <c r="E107" s="8">
        <f t="shared" si="1"/>
        <v>32.004789193550259</v>
      </c>
    </row>
    <row r="108" spans="3:5" ht="13.8" x14ac:dyDescent="0.25">
      <c r="C108" s="7">
        <v>105</v>
      </c>
      <c r="D108">
        <v>1.5489149518543854</v>
      </c>
      <c r="E108" s="8">
        <f t="shared" si="1"/>
        <v>32.979104000546954</v>
      </c>
    </row>
    <row r="109" spans="3:5" ht="13.8" x14ac:dyDescent="0.25">
      <c r="C109" s="7">
        <v>106</v>
      </c>
      <c r="D109">
        <v>1.1488509699120186</v>
      </c>
      <c r="E109" s="8">
        <f t="shared" si="1"/>
        <v>33.726101518532026</v>
      </c>
    </row>
    <row r="110" spans="3:5" ht="13.8" x14ac:dyDescent="0.25">
      <c r="C110" s="7">
        <v>107</v>
      </c>
      <c r="D110">
        <v>-0.86734416981926188</v>
      </c>
      <c r="E110" s="8">
        <f t="shared" si="1"/>
        <v>33.19553453070742</v>
      </c>
    </row>
    <row r="111" spans="3:5" ht="13.8" x14ac:dyDescent="0.25">
      <c r="C111" s="7">
        <v>108</v>
      </c>
      <c r="D111">
        <v>0.22036601876607165</v>
      </c>
      <c r="E111" s="8">
        <f t="shared" si="1"/>
        <v>33.354627421955996</v>
      </c>
    </row>
    <row r="112" spans="3:5" ht="13.8" x14ac:dyDescent="0.25">
      <c r="C112" s="7">
        <v>109</v>
      </c>
      <c r="D112">
        <v>0.49842697080748621</v>
      </c>
      <c r="E112" s="8">
        <f t="shared" si="1"/>
        <v>33.691766933541324</v>
      </c>
    </row>
    <row r="113" spans="3:5" ht="13.8" x14ac:dyDescent="0.25">
      <c r="C113" s="7">
        <v>110</v>
      </c>
      <c r="D113">
        <v>-2.063516149064526</v>
      </c>
      <c r="E113" s="8">
        <f t="shared" si="1"/>
        <v>32.417585462691491</v>
      </c>
    </row>
    <row r="114" spans="3:5" ht="13.8" x14ac:dyDescent="0.25">
      <c r="C114" s="7">
        <v>111</v>
      </c>
      <c r="D114">
        <v>-1.1958445611526258</v>
      </c>
      <c r="E114" s="8">
        <f t="shared" si="1"/>
        <v>31.709346557368413</v>
      </c>
    </row>
    <row r="115" spans="3:5" ht="13.8" x14ac:dyDescent="0.25">
      <c r="C115" s="7">
        <v>112</v>
      </c>
      <c r="D115">
        <v>-1.4357738109538332</v>
      </c>
      <c r="E115" s="8">
        <f t="shared" si="1"/>
        <v>30.875703768866245</v>
      </c>
    </row>
    <row r="116" spans="3:5" ht="13.8" x14ac:dyDescent="0.25">
      <c r="C116" s="7">
        <v>113</v>
      </c>
      <c r="D116">
        <v>-9.1121137302252464E-2</v>
      </c>
      <c r="E116" s="8">
        <f t="shared" si="1"/>
        <v>30.840867791379161</v>
      </c>
    </row>
    <row r="117" spans="3:5" ht="13.8" x14ac:dyDescent="0.25">
      <c r="C117" s="7">
        <v>114</v>
      </c>
      <c r="D117">
        <v>1.7314232536591589</v>
      </c>
      <c r="E117" s="8">
        <f t="shared" si="1"/>
        <v>31.889988909635971</v>
      </c>
    </row>
    <row r="118" spans="3:5" ht="13.8" x14ac:dyDescent="0.25">
      <c r="C118" s="7">
        <v>115</v>
      </c>
      <c r="D118">
        <v>0.29535385692724958</v>
      </c>
      <c r="E118" s="8">
        <f t="shared" si="1"/>
        <v>32.088447637347024</v>
      </c>
    </row>
    <row r="119" spans="3:5" ht="13.8" x14ac:dyDescent="0.25">
      <c r="C119" s="7">
        <v>116</v>
      </c>
      <c r="D119">
        <v>-0.35414814192336053</v>
      </c>
      <c r="E119" s="8">
        <f t="shared" si="1"/>
        <v>31.892682352215367</v>
      </c>
    </row>
    <row r="120" spans="3:5" ht="13.8" x14ac:dyDescent="0.25">
      <c r="C120" s="7">
        <v>117</v>
      </c>
      <c r="D120">
        <v>-1.8012906366493553</v>
      </c>
      <c r="E120" s="8">
        <f t="shared" si="1"/>
        <v>30.839597682334954</v>
      </c>
    </row>
    <row r="121" spans="3:5" ht="13.8" x14ac:dyDescent="0.25">
      <c r="C121" s="7">
        <v>118</v>
      </c>
      <c r="D121">
        <v>0.1957403128471924</v>
      </c>
      <c r="E121" s="8">
        <f t="shared" si="1"/>
        <v>30.9729243445381</v>
      </c>
    </row>
    <row r="122" spans="3:5" ht="13.8" x14ac:dyDescent="0.25">
      <c r="C122" s="7">
        <v>119</v>
      </c>
      <c r="D122">
        <v>1.1264933164056856</v>
      </c>
      <c r="E122" s="8">
        <f t="shared" si="1"/>
        <v>31.661046951493091</v>
      </c>
    </row>
    <row r="123" spans="3:5" ht="13.8" x14ac:dyDescent="0.25">
      <c r="C123" s="7">
        <v>120</v>
      </c>
      <c r="D123">
        <v>1.3238513929536566</v>
      </c>
      <c r="E123" s="8">
        <f t="shared" si="1"/>
        <v>32.485876855836963</v>
      </c>
    </row>
    <row r="124" spans="3:5" ht="13.8" x14ac:dyDescent="0.25">
      <c r="C124" s="7">
        <v>121</v>
      </c>
      <c r="D124">
        <v>0.12528744264272973</v>
      </c>
      <c r="E124" s="8">
        <f t="shared" si="1"/>
        <v>32.582736688904824</v>
      </c>
    </row>
    <row r="125" spans="3:5" ht="13.8" x14ac:dyDescent="0.25">
      <c r="C125" s="7">
        <v>122</v>
      </c>
      <c r="D125">
        <v>-0.34106506063835695</v>
      </c>
      <c r="E125" s="8">
        <f t="shared" si="1"/>
        <v>32.391995641020763</v>
      </c>
    </row>
    <row r="126" spans="3:5" ht="13.8" x14ac:dyDescent="0.25">
      <c r="C126" s="7">
        <v>123</v>
      </c>
      <c r="D126">
        <v>-0.99104227047064342</v>
      </c>
      <c r="E126" s="8">
        <f t="shared" si="1"/>
        <v>31.807675836556001</v>
      </c>
    </row>
    <row r="127" spans="3:5" ht="13.8" x14ac:dyDescent="0.25">
      <c r="C127" s="7">
        <v>124</v>
      </c>
      <c r="D127">
        <v>-1.2228633750055451</v>
      </c>
      <c r="E127" s="8">
        <f t="shared" si="1"/>
        <v>31.096816107312986</v>
      </c>
    </row>
    <row r="128" spans="3:5" ht="13.8" x14ac:dyDescent="0.25">
      <c r="C128" s="7">
        <v>125</v>
      </c>
      <c r="D128">
        <v>0.16332023733411916</v>
      </c>
      <c r="E128" s="8">
        <f t="shared" si="1"/>
        <v>31.212049481893008</v>
      </c>
    </row>
    <row r="129" spans="3:5" ht="13.8" x14ac:dyDescent="0.25">
      <c r="C129" s="7">
        <v>126</v>
      </c>
      <c r="D129">
        <v>1.1969405022682622</v>
      </c>
      <c r="E129" s="8">
        <f t="shared" si="1"/>
        <v>31.94815941490247</v>
      </c>
    </row>
    <row r="130" spans="3:5" ht="13.8" x14ac:dyDescent="0.25">
      <c r="C130" s="7">
        <v>127</v>
      </c>
      <c r="D130">
        <v>0.25435838324483484</v>
      </c>
      <c r="E130" s="8">
        <f t="shared" si="1"/>
        <v>32.121984845622116</v>
      </c>
    </row>
    <row r="131" spans="3:5" ht="13.8" x14ac:dyDescent="0.25">
      <c r="C131" s="7">
        <v>128</v>
      </c>
      <c r="D131">
        <v>0.7329708751058206</v>
      </c>
      <c r="E131" s="8">
        <f t="shared" si="1"/>
        <v>32.59137967988665</v>
      </c>
    </row>
    <row r="132" spans="3:5" ht="13.8" x14ac:dyDescent="0.25">
      <c r="C132" s="7">
        <v>129</v>
      </c>
      <c r="D132">
        <v>0.83676923168241046</v>
      </c>
      <c r="E132" s="8">
        <f t="shared" si="1"/>
        <v>33.132822464421743</v>
      </c>
    </row>
    <row r="133" spans="3:5" ht="13.8" x14ac:dyDescent="0.25">
      <c r="C133" s="7">
        <v>130</v>
      </c>
      <c r="D133">
        <v>-0.9942982615029905</v>
      </c>
      <c r="E133" s="8">
        <f t="shared" si="1"/>
        <v>32.533128974749452</v>
      </c>
    </row>
    <row r="134" spans="3:5" ht="13.8" x14ac:dyDescent="0.25">
      <c r="C134" s="7">
        <v>131</v>
      </c>
      <c r="D134">
        <v>-1.5963269106578082</v>
      </c>
      <c r="E134" s="8">
        <f t="shared" ref="E134:E197" si="2">E133*EXP($B$3*$B$5+D134*$B$4*SQRT($B$5))</f>
        <v>31.581476109670646</v>
      </c>
    </row>
    <row r="135" spans="3:5" ht="13.8" x14ac:dyDescent="0.25">
      <c r="C135" s="7">
        <v>132</v>
      </c>
      <c r="D135">
        <v>1.4004399417899549</v>
      </c>
      <c r="E135" s="8">
        <f t="shared" si="2"/>
        <v>32.451355989022922</v>
      </c>
    </row>
    <row r="136" spans="3:5" ht="13.8" x14ac:dyDescent="0.25">
      <c r="C136" s="7">
        <v>133</v>
      </c>
      <c r="D136">
        <v>0.56765543376968708</v>
      </c>
      <c r="E136" s="8">
        <f t="shared" si="2"/>
        <v>32.822450046133348</v>
      </c>
    </row>
    <row r="137" spans="3:5" ht="13.8" x14ac:dyDescent="0.25">
      <c r="C137" s="7">
        <v>134</v>
      </c>
      <c r="D137">
        <v>0.13801923159917351</v>
      </c>
      <c r="E137" s="8">
        <f t="shared" si="2"/>
        <v>32.928266883514766</v>
      </c>
    </row>
    <row r="138" spans="3:5" ht="13.8" x14ac:dyDescent="0.25">
      <c r="C138" s="7">
        <v>135</v>
      </c>
      <c r="D138">
        <v>0.47971752792363986</v>
      </c>
      <c r="E138" s="8">
        <f t="shared" si="2"/>
        <v>33.249291706415093</v>
      </c>
    </row>
    <row r="139" spans="3:5" ht="13.8" x14ac:dyDescent="0.25">
      <c r="C139" s="7">
        <v>136</v>
      </c>
      <c r="D139">
        <v>1.07544792626868</v>
      </c>
      <c r="E139" s="8">
        <f t="shared" si="2"/>
        <v>33.955086108562917</v>
      </c>
    </row>
    <row r="140" spans="3:5" ht="13.8" x14ac:dyDescent="0.25">
      <c r="C140" s="7">
        <v>137</v>
      </c>
      <c r="D140">
        <v>0.28665454010479152</v>
      </c>
      <c r="E140" s="8">
        <f t="shared" si="2"/>
        <v>34.160757441272573</v>
      </c>
    </row>
    <row r="141" spans="3:5" ht="13.8" x14ac:dyDescent="0.25">
      <c r="C141" s="7">
        <v>138</v>
      </c>
      <c r="D141">
        <v>-1.1809652278316207</v>
      </c>
      <c r="E141" s="8">
        <f t="shared" si="2"/>
        <v>33.423869561598792</v>
      </c>
    </row>
    <row r="142" spans="3:5" ht="13.8" x14ac:dyDescent="0.25">
      <c r="C142" s="7">
        <v>139</v>
      </c>
      <c r="D142">
        <v>2.5373446987941861</v>
      </c>
      <c r="E142" s="8">
        <f t="shared" si="2"/>
        <v>35.09339840006313</v>
      </c>
    </row>
    <row r="143" spans="3:5" ht="13.8" x14ac:dyDescent="0.25">
      <c r="C143" s="7">
        <v>140</v>
      </c>
      <c r="D143">
        <v>0.24417886379524134</v>
      </c>
      <c r="E143" s="8">
        <f t="shared" si="2"/>
        <v>35.277522375076572</v>
      </c>
    </row>
    <row r="144" spans="3:5" ht="13.8" x14ac:dyDescent="0.25">
      <c r="C144" s="7">
        <v>141</v>
      </c>
      <c r="D144">
        <v>-0.31877107176114805</v>
      </c>
      <c r="E144" s="8">
        <f t="shared" si="2"/>
        <v>35.085844038448386</v>
      </c>
    </row>
    <row r="145" spans="3:5" ht="13.8" x14ac:dyDescent="0.25">
      <c r="C145" s="7">
        <v>142</v>
      </c>
      <c r="D145">
        <v>1.9203707779524848</v>
      </c>
      <c r="E145" s="8">
        <f t="shared" si="2"/>
        <v>36.409663458460045</v>
      </c>
    </row>
    <row r="146" spans="3:5" ht="13.8" x14ac:dyDescent="0.25">
      <c r="C146" s="7">
        <v>143</v>
      </c>
      <c r="D146">
        <v>0.91270067059667781</v>
      </c>
      <c r="E146" s="8">
        <f t="shared" si="2"/>
        <v>37.067904845049455</v>
      </c>
    </row>
    <row r="147" spans="3:5" ht="13.8" x14ac:dyDescent="0.25">
      <c r="C147" s="7">
        <v>144</v>
      </c>
      <c r="D147">
        <v>0.1089574652723968</v>
      </c>
      <c r="E147" s="8">
        <f t="shared" si="2"/>
        <v>37.166908882678413</v>
      </c>
    </row>
    <row r="148" spans="3:5" ht="13.8" x14ac:dyDescent="0.25">
      <c r="C148" s="7">
        <v>145</v>
      </c>
      <c r="D148">
        <v>7.2852799348765984E-2</v>
      </c>
      <c r="E148" s="8">
        <f t="shared" si="2"/>
        <v>37.240657347805588</v>
      </c>
    </row>
    <row r="149" spans="3:5" ht="13.8" x14ac:dyDescent="0.25">
      <c r="C149" s="7">
        <v>146</v>
      </c>
      <c r="D149">
        <v>0.6625089099543402</v>
      </c>
      <c r="E149" s="8">
        <f t="shared" si="2"/>
        <v>37.734369111151217</v>
      </c>
    </row>
    <row r="150" spans="3:5" ht="13.8" x14ac:dyDescent="0.25">
      <c r="C150" s="7">
        <v>147</v>
      </c>
      <c r="D150">
        <v>-1.1322845239192247</v>
      </c>
      <c r="E150" s="8">
        <f t="shared" si="2"/>
        <v>36.954511535729502</v>
      </c>
    </row>
    <row r="151" spans="3:5" ht="13.8" x14ac:dyDescent="0.25">
      <c r="C151" s="7">
        <v>148</v>
      </c>
      <c r="D151">
        <v>0.55538521337439306</v>
      </c>
      <c r="E151" s="8">
        <f t="shared" si="2"/>
        <v>37.368400163169319</v>
      </c>
    </row>
    <row r="152" spans="3:5" ht="13.8" x14ac:dyDescent="0.25">
      <c r="C152" s="7">
        <v>149</v>
      </c>
      <c r="D152">
        <v>0.77588197200384457</v>
      </c>
      <c r="E152" s="8">
        <f t="shared" si="2"/>
        <v>37.945342051472885</v>
      </c>
    </row>
    <row r="153" spans="3:5" ht="13.8" x14ac:dyDescent="0.25">
      <c r="C153" s="7">
        <v>150</v>
      </c>
      <c r="D153">
        <v>0.26725956558948383</v>
      </c>
      <c r="E153" s="8">
        <f t="shared" si="2"/>
        <v>38.161137351297924</v>
      </c>
    </row>
    <row r="154" spans="3:5" ht="13.8" x14ac:dyDescent="0.25">
      <c r="C154" s="7">
        <v>151</v>
      </c>
      <c r="D154">
        <v>-1.4446231944020838</v>
      </c>
      <c r="E154" s="8">
        <f t="shared" si="2"/>
        <v>37.151637676654303</v>
      </c>
    </row>
    <row r="155" spans="3:5" ht="13.8" x14ac:dyDescent="0.25">
      <c r="C155" s="7">
        <v>152</v>
      </c>
      <c r="D155">
        <v>-0.85206693256623112</v>
      </c>
      <c r="E155" s="8">
        <f t="shared" si="2"/>
        <v>36.577782466595401</v>
      </c>
    </row>
    <row r="156" spans="3:5" ht="13.8" x14ac:dyDescent="0.25">
      <c r="C156" s="7">
        <v>153</v>
      </c>
      <c r="D156">
        <v>0.45370143197942525</v>
      </c>
      <c r="E156" s="8">
        <f t="shared" si="2"/>
        <v>36.916160129675873</v>
      </c>
    </row>
    <row r="157" spans="3:5" ht="13.8" x14ac:dyDescent="0.25">
      <c r="C157" s="7">
        <v>154</v>
      </c>
      <c r="D157">
        <v>1.2673694982368033</v>
      </c>
      <c r="E157" s="8">
        <f t="shared" si="2"/>
        <v>37.837324821542929</v>
      </c>
    </row>
    <row r="158" spans="3:5" ht="13.8" x14ac:dyDescent="0.25">
      <c r="C158" s="7">
        <v>155</v>
      </c>
      <c r="D158">
        <v>-0.92635900728055276</v>
      </c>
      <c r="E158" s="8">
        <f t="shared" si="2"/>
        <v>37.200403880219156</v>
      </c>
    </row>
    <row r="159" spans="3:5" ht="13.8" x14ac:dyDescent="0.25">
      <c r="C159" s="7">
        <v>156</v>
      </c>
      <c r="D159">
        <v>-0.67446535467752255</v>
      </c>
      <c r="E159" s="8">
        <f t="shared" si="2"/>
        <v>36.749423478406214</v>
      </c>
    </row>
    <row r="160" spans="3:5" ht="13.8" x14ac:dyDescent="0.25">
      <c r="C160" s="7">
        <v>157</v>
      </c>
      <c r="D160">
        <v>8.9277136794407852E-2</v>
      </c>
      <c r="E160" s="8">
        <f t="shared" si="2"/>
        <v>36.833820278934233</v>
      </c>
    </row>
    <row r="161" spans="3:5" ht="13.8" x14ac:dyDescent="0.25">
      <c r="C161" s="7">
        <v>158</v>
      </c>
      <c r="D161">
        <v>1.6183184925466776</v>
      </c>
      <c r="E161" s="8">
        <f t="shared" si="2"/>
        <v>38.005157984185921</v>
      </c>
    </row>
    <row r="162" spans="3:5" ht="13.8" x14ac:dyDescent="0.25">
      <c r="C162" s="7">
        <v>159</v>
      </c>
      <c r="D162">
        <v>-1.5126261132536456</v>
      </c>
      <c r="E162" s="8">
        <f t="shared" si="2"/>
        <v>36.952075796607517</v>
      </c>
    </row>
    <row r="163" spans="3:5" ht="13.8" x14ac:dyDescent="0.25">
      <c r="C163" s="7">
        <v>160</v>
      </c>
      <c r="D163">
        <v>0.46620016291853972</v>
      </c>
      <c r="E163" s="8">
        <f t="shared" si="2"/>
        <v>37.30276119204752</v>
      </c>
    </row>
    <row r="164" spans="3:5" ht="13.8" x14ac:dyDescent="0.25">
      <c r="C164" s="7">
        <v>161</v>
      </c>
      <c r="D164">
        <v>-0.38222879084059969</v>
      </c>
      <c r="E164" s="8">
        <f t="shared" si="2"/>
        <v>37.055436277206041</v>
      </c>
    </row>
    <row r="165" spans="3:5" ht="13.8" x14ac:dyDescent="0.25">
      <c r="C165" s="7">
        <v>162</v>
      </c>
      <c r="D165">
        <v>-1.8214086594525725</v>
      </c>
      <c r="E165" s="8">
        <f t="shared" si="2"/>
        <v>35.818204495603538</v>
      </c>
    </row>
    <row r="166" spans="3:5" ht="13.8" x14ac:dyDescent="0.25">
      <c r="C166" s="7">
        <v>163</v>
      </c>
      <c r="D166">
        <v>0.42647798181860708</v>
      </c>
      <c r="E166" s="8">
        <f t="shared" si="2"/>
        <v>36.130887914062448</v>
      </c>
    </row>
    <row r="167" spans="3:5" ht="13.8" x14ac:dyDescent="0.25">
      <c r="C167" s="7">
        <v>164</v>
      </c>
      <c r="D167">
        <v>1.3238513929536566</v>
      </c>
      <c r="E167" s="8">
        <f t="shared" si="2"/>
        <v>37.072165594098543</v>
      </c>
    </row>
    <row r="168" spans="3:5" ht="13.8" x14ac:dyDescent="0.25">
      <c r="C168" s="7">
        <v>165</v>
      </c>
      <c r="D168">
        <v>0.6793720785935875</v>
      </c>
      <c r="E168" s="8">
        <f t="shared" si="2"/>
        <v>37.575664247231863</v>
      </c>
    </row>
    <row r="169" spans="3:5" ht="13.8" x14ac:dyDescent="0.25">
      <c r="C169" s="7">
        <v>166</v>
      </c>
      <c r="D169">
        <v>-1.3765702533419244</v>
      </c>
      <c r="E169" s="8">
        <f t="shared" si="2"/>
        <v>36.628917688757177</v>
      </c>
    </row>
    <row r="170" spans="3:5" ht="13.8" x14ac:dyDescent="0.25">
      <c r="C170" s="7">
        <v>167</v>
      </c>
      <c r="D170">
        <v>-0.65708832153177354</v>
      </c>
      <c r="E170" s="8">
        <f t="shared" si="2"/>
        <v>36.196797747608649</v>
      </c>
    </row>
    <row r="171" spans="3:5" ht="13.8" x14ac:dyDescent="0.25">
      <c r="C171" s="7">
        <v>168</v>
      </c>
      <c r="D171">
        <v>-0.1723208242765395</v>
      </c>
      <c r="E171" s="8">
        <f t="shared" si="2"/>
        <v>36.100297169611515</v>
      </c>
    </row>
    <row r="172" spans="3:5" ht="13.8" x14ac:dyDescent="0.25">
      <c r="C172" s="7">
        <v>169</v>
      </c>
      <c r="D172">
        <v>0.63774905356694944</v>
      </c>
      <c r="E172" s="8">
        <f t="shared" si="2"/>
        <v>36.561710611986015</v>
      </c>
    </row>
    <row r="173" spans="3:5" ht="13.8" x14ac:dyDescent="0.25">
      <c r="C173" s="7">
        <v>170</v>
      </c>
      <c r="D173">
        <v>-1.2639611668419093</v>
      </c>
      <c r="E173" s="8">
        <f t="shared" si="2"/>
        <v>35.716742544685971</v>
      </c>
    </row>
    <row r="174" spans="3:5" ht="13.8" x14ac:dyDescent="0.25">
      <c r="C174" s="7">
        <v>171</v>
      </c>
      <c r="D174">
        <v>-0.55833311307651456</v>
      </c>
      <c r="E174" s="8">
        <f t="shared" si="2"/>
        <v>35.361580413042766</v>
      </c>
    </row>
    <row r="175" spans="3:5" ht="13.8" x14ac:dyDescent="0.25">
      <c r="C175" s="7">
        <v>172</v>
      </c>
      <c r="D175">
        <v>2.3214124666992575</v>
      </c>
      <c r="E175" s="8">
        <f t="shared" si="2"/>
        <v>36.976095504638664</v>
      </c>
    </row>
    <row r="176" spans="3:5" ht="13.8" x14ac:dyDescent="0.25">
      <c r="C176" s="7">
        <v>173</v>
      </c>
      <c r="D176">
        <v>-0.46066475078987423</v>
      </c>
      <c r="E176" s="8">
        <f t="shared" si="2"/>
        <v>36.676313475562985</v>
      </c>
    </row>
    <row r="177" spans="3:5" ht="13.8" x14ac:dyDescent="0.25">
      <c r="C177" s="7">
        <v>174</v>
      </c>
      <c r="D177">
        <v>1.2108330338378437</v>
      </c>
      <c r="E177" s="8">
        <f t="shared" si="2"/>
        <v>37.551190377053949</v>
      </c>
    </row>
    <row r="178" spans="3:5" ht="13.8" x14ac:dyDescent="0.25">
      <c r="C178" s="7">
        <v>175</v>
      </c>
      <c r="D178">
        <v>-0.29847115001757629</v>
      </c>
      <c r="E178" s="8">
        <f t="shared" si="2"/>
        <v>37.361545748459832</v>
      </c>
    </row>
    <row r="179" spans="3:5" ht="13.8" x14ac:dyDescent="0.25">
      <c r="C179" s="7">
        <v>176</v>
      </c>
      <c r="D179">
        <v>-0.84559587776311673</v>
      </c>
      <c r="E179" s="8">
        <f t="shared" si="2"/>
        <v>36.788964894389558</v>
      </c>
    </row>
    <row r="180" spans="3:5" ht="13.8" x14ac:dyDescent="0.25">
      <c r="C180" s="7">
        <v>177</v>
      </c>
      <c r="D180">
        <v>0.60885668062837794</v>
      </c>
      <c r="E180" s="8">
        <f t="shared" si="2"/>
        <v>37.2387608250963</v>
      </c>
    </row>
    <row r="181" spans="3:5" ht="13.8" x14ac:dyDescent="0.25">
      <c r="C181" s="7">
        <v>178</v>
      </c>
      <c r="D181">
        <v>-1.7580578060005791</v>
      </c>
      <c r="E181" s="8">
        <f t="shared" si="2"/>
        <v>36.038700499975626</v>
      </c>
    </row>
    <row r="182" spans="3:5" ht="13.8" x14ac:dyDescent="0.25">
      <c r="C182" s="7">
        <v>179</v>
      </c>
      <c r="D182">
        <v>-0.25159351935144514</v>
      </c>
      <c r="E182" s="8">
        <f t="shared" si="2"/>
        <v>35.888600976819816</v>
      </c>
    </row>
    <row r="183" spans="3:5" ht="13.8" x14ac:dyDescent="0.25">
      <c r="C183" s="7">
        <v>180</v>
      </c>
      <c r="D183">
        <v>1.7026923160301521</v>
      </c>
      <c r="E183" s="8">
        <f t="shared" si="2"/>
        <v>37.089208035839818</v>
      </c>
    </row>
    <row r="184" spans="3:5" ht="13.8" x14ac:dyDescent="0.25">
      <c r="C184" s="7">
        <v>181</v>
      </c>
      <c r="D184">
        <v>-0.47611592890461907</v>
      </c>
      <c r="E184" s="8">
        <f t="shared" si="2"/>
        <v>36.777725411433522</v>
      </c>
    </row>
    <row r="185" spans="3:5" ht="13.8" x14ac:dyDescent="0.25">
      <c r="C185" s="7">
        <v>182</v>
      </c>
      <c r="D185">
        <v>0.93674998424830846</v>
      </c>
      <c r="E185" s="8">
        <f t="shared" si="2"/>
        <v>37.459710002872789</v>
      </c>
    </row>
    <row r="186" spans="3:5" ht="13.8" x14ac:dyDescent="0.25">
      <c r="C186" s="7">
        <v>183</v>
      </c>
      <c r="D186">
        <v>-2.4077235138975084</v>
      </c>
      <c r="E186" s="8">
        <f t="shared" si="2"/>
        <v>35.808403976066025</v>
      </c>
    </row>
    <row r="187" spans="3:5" ht="13.8" x14ac:dyDescent="0.25">
      <c r="C187" s="7">
        <v>184</v>
      </c>
      <c r="D187">
        <v>-0.30864498512528371</v>
      </c>
      <c r="E187" s="8">
        <f t="shared" si="2"/>
        <v>35.620684234095762</v>
      </c>
    </row>
    <row r="188" spans="3:5" ht="13.8" x14ac:dyDescent="0.25">
      <c r="C188" s="7">
        <v>185</v>
      </c>
      <c r="D188">
        <v>1.1972520042036194</v>
      </c>
      <c r="E188" s="8">
        <f t="shared" si="2"/>
        <v>36.460983605354151</v>
      </c>
    </row>
    <row r="189" spans="3:5" ht="13.8" x14ac:dyDescent="0.25">
      <c r="C189" s="7">
        <v>186</v>
      </c>
      <c r="D189">
        <v>1.2605687516042963</v>
      </c>
      <c r="E189" s="8">
        <f t="shared" si="2"/>
        <v>37.365968497458276</v>
      </c>
    </row>
    <row r="190" spans="3:5" ht="13.8" x14ac:dyDescent="0.25">
      <c r="C190" s="7">
        <v>187</v>
      </c>
      <c r="D190">
        <v>0.32618345358059742</v>
      </c>
      <c r="E190" s="8">
        <f t="shared" si="2"/>
        <v>37.620505201404065</v>
      </c>
    </row>
    <row r="191" spans="3:5" ht="13.8" x14ac:dyDescent="0.25">
      <c r="C191" s="7">
        <v>188</v>
      </c>
      <c r="D191">
        <v>0.18250148059451021</v>
      </c>
      <c r="E191" s="8">
        <f t="shared" si="2"/>
        <v>37.773657757917462</v>
      </c>
    </row>
    <row r="192" spans="3:5" ht="13.8" x14ac:dyDescent="0.25">
      <c r="C192" s="7">
        <v>189</v>
      </c>
      <c r="D192">
        <v>-5.1636561693158001E-3</v>
      </c>
      <c r="E192" s="8">
        <f t="shared" si="2"/>
        <v>37.792625896449657</v>
      </c>
    </row>
    <row r="193" spans="3:5" ht="13.8" x14ac:dyDescent="0.25">
      <c r="C193" s="7">
        <v>190</v>
      </c>
      <c r="D193">
        <v>-0.22248173081607092</v>
      </c>
      <c r="E193" s="8">
        <f t="shared" si="2"/>
        <v>37.656015188485668</v>
      </c>
    </row>
    <row r="194" spans="3:5" ht="13.8" x14ac:dyDescent="0.25">
      <c r="C194" s="7">
        <v>191</v>
      </c>
      <c r="D194">
        <v>-0.86589579950668849</v>
      </c>
      <c r="E194" s="8">
        <f t="shared" si="2"/>
        <v>37.064642757448269</v>
      </c>
    </row>
    <row r="195" spans="3:5" ht="13.8" x14ac:dyDescent="0.25">
      <c r="C195" s="7">
        <v>192</v>
      </c>
      <c r="D195">
        <v>2.4754626792855561</v>
      </c>
      <c r="E195" s="8">
        <f t="shared" si="2"/>
        <v>38.870363315771407</v>
      </c>
    </row>
    <row r="196" spans="3:5" ht="13.8" x14ac:dyDescent="0.25">
      <c r="C196" s="7">
        <v>193</v>
      </c>
      <c r="D196">
        <v>4.5264414438861422E-2</v>
      </c>
      <c r="E196" s="8">
        <f t="shared" si="2"/>
        <v>38.927110022832238</v>
      </c>
    </row>
    <row r="197" spans="3:5" ht="13.8" x14ac:dyDescent="0.25">
      <c r="C197" s="7">
        <v>194</v>
      </c>
      <c r="D197">
        <v>0.24977907742140815</v>
      </c>
      <c r="E197" s="8">
        <f t="shared" si="2"/>
        <v>39.135506455873823</v>
      </c>
    </row>
    <row r="198" spans="3:5" ht="13.8" x14ac:dyDescent="0.25">
      <c r="C198" s="7">
        <v>195</v>
      </c>
      <c r="D198">
        <v>0.26686279852583539</v>
      </c>
      <c r="E198" s="8">
        <f t="shared" ref="E198:E253" si="3">E197*EXP($B$3*$B$5+D198*$B$4*SQRT($B$5))</f>
        <v>39.357773933658713</v>
      </c>
    </row>
    <row r="199" spans="3:5" ht="13.8" x14ac:dyDescent="0.25">
      <c r="C199" s="7">
        <v>196</v>
      </c>
      <c r="D199">
        <v>0.53382450460048858</v>
      </c>
      <c r="E199" s="8">
        <f t="shared" si="3"/>
        <v>39.782301277003413</v>
      </c>
    </row>
    <row r="200" spans="3:5" ht="13.8" x14ac:dyDescent="0.25">
      <c r="C200" s="7">
        <v>197</v>
      </c>
      <c r="D200">
        <v>1.84104465006385</v>
      </c>
      <c r="E200" s="8">
        <f t="shared" si="3"/>
        <v>41.221233015834535</v>
      </c>
    </row>
    <row r="201" spans="3:5" ht="13.8" x14ac:dyDescent="0.25">
      <c r="C201" s="7">
        <v>198</v>
      </c>
      <c r="D201">
        <v>-0.62412027546088211</v>
      </c>
      <c r="E201" s="8">
        <f t="shared" si="3"/>
        <v>40.760425132368219</v>
      </c>
    </row>
    <row r="202" spans="3:5" ht="13.8" x14ac:dyDescent="0.25">
      <c r="C202" s="7">
        <v>199</v>
      </c>
      <c r="D202">
        <v>-0.52142695494694635</v>
      </c>
      <c r="E202" s="8">
        <f t="shared" si="3"/>
        <v>40.383377713675301</v>
      </c>
    </row>
    <row r="203" spans="3:5" ht="13.8" x14ac:dyDescent="0.25">
      <c r="C203" s="7">
        <v>200</v>
      </c>
      <c r="D203">
        <v>-0.56271915127581451</v>
      </c>
      <c r="E203" s="8">
        <f t="shared" si="3"/>
        <v>39.978484118756391</v>
      </c>
    </row>
    <row r="204" spans="3:5" ht="13.8" x14ac:dyDescent="0.25">
      <c r="C204" s="7">
        <v>201</v>
      </c>
      <c r="D204">
        <v>1.2849841368733905</v>
      </c>
      <c r="E204" s="8">
        <f t="shared" si="3"/>
        <v>40.989759702007483</v>
      </c>
    </row>
    <row r="205" spans="3:5" ht="13.8" x14ac:dyDescent="0.25">
      <c r="C205" s="7">
        <v>202</v>
      </c>
      <c r="D205">
        <v>-0.46211198423407041</v>
      </c>
      <c r="E205" s="8">
        <f t="shared" si="3"/>
        <v>40.65632066080105</v>
      </c>
    </row>
    <row r="206" spans="3:5" ht="13.8" x14ac:dyDescent="0.25">
      <c r="C206" s="7">
        <v>203</v>
      </c>
      <c r="D206">
        <v>1.0003350325860083</v>
      </c>
      <c r="E206" s="8">
        <f t="shared" si="3"/>
        <v>41.460216814263987</v>
      </c>
    </row>
    <row r="207" spans="3:5" ht="13.8" x14ac:dyDescent="0.25">
      <c r="C207" s="7">
        <v>204</v>
      </c>
      <c r="D207">
        <v>0.57368652051081881</v>
      </c>
      <c r="E207" s="8">
        <f t="shared" si="3"/>
        <v>41.939129645291224</v>
      </c>
    </row>
    <row r="208" spans="3:5" ht="13.8" x14ac:dyDescent="0.25">
      <c r="C208" s="7">
        <v>205</v>
      </c>
      <c r="D208">
        <v>1.5159957911237143</v>
      </c>
      <c r="E208" s="8">
        <f t="shared" si="3"/>
        <v>43.188889325016611</v>
      </c>
    </row>
    <row r="209" spans="3:5" ht="13.8" x14ac:dyDescent="0.25">
      <c r="C209" s="7">
        <v>206</v>
      </c>
      <c r="D209">
        <v>0.87046828411985189</v>
      </c>
      <c r="E209" s="8">
        <f t="shared" si="3"/>
        <v>43.934471734220828</v>
      </c>
    </row>
    <row r="210" spans="3:5" ht="13.8" x14ac:dyDescent="0.25">
      <c r="C210" s="7">
        <v>207</v>
      </c>
      <c r="D210">
        <v>1.4088527677813545</v>
      </c>
      <c r="E210" s="8">
        <f t="shared" si="3"/>
        <v>45.151809061913873</v>
      </c>
    </row>
    <row r="211" spans="3:5" ht="13.8" x14ac:dyDescent="0.25">
      <c r="C211" s="7">
        <v>208</v>
      </c>
      <c r="D211">
        <v>1.6312060324708</v>
      </c>
      <c r="E211" s="8">
        <f t="shared" si="3"/>
        <v>46.59905701748005</v>
      </c>
    </row>
    <row r="212" spans="3:5" ht="13.8" x14ac:dyDescent="0.25">
      <c r="C212" s="7">
        <v>209</v>
      </c>
      <c r="D212">
        <v>0.23559664441563655</v>
      </c>
      <c r="E212" s="8">
        <f t="shared" si="3"/>
        <v>46.835920345926162</v>
      </c>
    </row>
    <row r="213" spans="3:5" ht="13.8" x14ac:dyDescent="0.25">
      <c r="C213" s="7">
        <v>210</v>
      </c>
      <c r="D213">
        <v>-8.9119112089974806E-3</v>
      </c>
      <c r="E213" s="8">
        <f t="shared" si="3"/>
        <v>46.856106685109587</v>
      </c>
    </row>
    <row r="214" spans="3:5" ht="13.8" x14ac:dyDescent="0.25">
      <c r="C214" s="7">
        <v>211</v>
      </c>
      <c r="D214">
        <v>0.54337533583748154</v>
      </c>
      <c r="E214" s="8">
        <f t="shared" si="3"/>
        <v>47.370097148142079</v>
      </c>
    </row>
    <row r="215" spans="3:5" ht="13.8" x14ac:dyDescent="0.25">
      <c r="C215" s="7">
        <v>212</v>
      </c>
      <c r="D215">
        <v>5.6753606259007938E-2</v>
      </c>
      <c r="E215" s="8">
        <f t="shared" si="3"/>
        <v>47.449595095775308</v>
      </c>
    </row>
    <row r="216" spans="3:5" ht="13.8" x14ac:dyDescent="0.25">
      <c r="C216" s="7">
        <v>213</v>
      </c>
      <c r="D216">
        <v>0.29383613764366601</v>
      </c>
      <c r="E216" s="8">
        <f t="shared" si="3"/>
        <v>47.743509952335678</v>
      </c>
    </row>
    <row r="217" spans="3:5" ht="13.8" x14ac:dyDescent="0.25">
      <c r="C217" s="7">
        <v>214</v>
      </c>
      <c r="D217">
        <v>0.1824230366764823</v>
      </c>
      <c r="E217" s="8">
        <f t="shared" si="3"/>
        <v>47.937801772047294</v>
      </c>
    </row>
    <row r="218" spans="3:5" ht="13.8" x14ac:dyDescent="0.25">
      <c r="C218" s="7">
        <v>215</v>
      </c>
      <c r="D218">
        <v>1.3949556887382641</v>
      </c>
      <c r="E218" s="8">
        <f t="shared" si="3"/>
        <v>49.253074767198747</v>
      </c>
    </row>
    <row r="219" spans="3:5" ht="13.8" x14ac:dyDescent="0.25">
      <c r="C219" s="7">
        <v>216</v>
      </c>
      <c r="D219">
        <v>1.7555521480971947</v>
      </c>
      <c r="E219" s="8">
        <f t="shared" si="3"/>
        <v>50.951849409378923</v>
      </c>
    </row>
    <row r="220" spans="3:5" ht="13.8" x14ac:dyDescent="0.25">
      <c r="C220" s="7">
        <v>217</v>
      </c>
      <c r="D220">
        <v>1.3042608770774677</v>
      </c>
      <c r="E220" s="8">
        <f t="shared" si="3"/>
        <v>52.259812263653416</v>
      </c>
    </row>
    <row r="221" spans="3:5" ht="13.8" x14ac:dyDescent="0.25">
      <c r="C221" s="7">
        <v>218</v>
      </c>
      <c r="D221">
        <v>-0.16270064406853635</v>
      </c>
      <c r="E221" s="8">
        <f t="shared" si="3"/>
        <v>52.13000215198938</v>
      </c>
    </row>
    <row r="222" spans="3:5" ht="13.8" x14ac:dyDescent="0.25">
      <c r="C222" s="7">
        <v>219</v>
      </c>
      <c r="D222">
        <v>0.11411543709982652</v>
      </c>
      <c r="E222" s="8">
        <f t="shared" si="3"/>
        <v>52.274350901750665</v>
      </c>
    </row>
    <row r="223" spans="3:5" ht="13.8" x14ac:dyDescent="0.25">
      <c r="C223" s="7">
        <v>220</v>
      </c>
      <c r="D223">
        <v>-0.73717956183827482</v>
      </c>
      <c r="E223" s="8">
        <f t="shared" si="3"/>
        <v>51.579217487455132</v>
      </c>
    </row>
    <row r="224" spans="3:5" ht="13.8" x14ac:dyDescent="0.25">
      <c r="C224" s="7">
        <v>221</v>
      </c>
      <c r="D224">
        <v>-0.69292354965000413</v>
      </c>
      <c r="E224" s="8">
        <f t="shared" si="3"/>
        <v>50.936080825504746</v>
      </c>
    </row>
    <row r="225" spans="3:5" ht="13.8" x14ac:dyDescent="0.25">
      <c r="C225" s="7">
        <v>222</v>
      </c>
      <c r="D225">
        <v>-1.0279700290993787</v>
      </c>
      <c r="E225" s="8">
        <f t="shared" si="3"/>
        <v>49.98221137212159</v>
      </c>
    </row>
    <row r="226" spans="3:5" ht="13.8" x14ac:dyDescent="0.25">
      <c r="C226" s="7">
        <v>223</v>
      </c>
      <c r="D226">
        <v>0.29200009521446191</v>
      </c>
      <c r="E226" s="8">
        <f t="shared" si="3"/>
        <v>50.290061939807963</v>
      </c>
    </row>
    <row r="227" spans="3:5" ht="13.8" x14ac:dyDescent="0.25">
      <c r="C227" s="7">
        <v>224</v>
      </c>
      <c r="D227">
        <v>-1.4798251868342049</v>
      </c>
      <c r="E227" s="8">
        <f t="shared" si="3"/>
        <v>48.927018676276944</v>
      </c>
    </row>
    <row r="228" spans="3:5" ht="13.8" x14ac:dyDescent="0.25">
      <c r="C228" s="7">
        <v>225</v>
      </c>
      <c r="D228">
        <v>-7.4080617196159437E-2</v>
      </c>
      <c r="E228" s="8">
        <f t="shared" si="3"/>
        <v>48.88761987686842</v>
      </c>
    </row>
    <row r="229" spans="3:5" ht="13.8" x14ac:dyDescent="0.25">
      <c r="C229" s="7">
        <v>226</v>
      </c>
      <c r="D229">
        <v>0.22648237063549459</v>
      </c>
      <c r="E229" s="8">
        <f t="shared" si="3"/>
        <v>49.127619553972828</v>
      </c>
    </row>
    <row r="230" spans="3:5" ht="13.8" x14ac:dyDescent="0.25">
      <c r="C230" s="7">
        <v>227</v>
      </c>
      <c r="D230">
        <v>1.377557055093348</v>
      </c>
      <c r="E230" s="8">
        <f t="shared" si="3"/>
        <v>50.458877641515819</v>
      </c>
    </row>
    <row r="231" spans="3:5" ht="13.8" x14ac:dyDescent="0.25">
      <c r="C231" s="7">
        <v>228</v>
      </c>
      <c r="D231">
        <v>-0.15936848285491578</v>
      </c>
      <c r="E231" s="8">
        <f t="shared" si="3"/>
        <v>50.336723292892493</v>
      </c>
    </row>
    <row r="232" spans="3:5" ht="13.8" x14ac:dyDescent="0.25">
      <c r="C232" s="7">
        <v>229</v>
      </c>
      <c r="D232">
        <v>-0.75751017902803142</v>
      </c>
      <c r="E232" s="8">
        <f t="shared" si="3"/>
        <v>49.648200740369063</v>
      </c>
    </row>
    <row r="233" spans="3:5" ht="13.8" x14ac:dyDescent="0.25">
      <c r="C233" s="7">
        <v>230</v>
      </c>
      <c r="D233">
        <v>0.71626118369749747</v>
      </c>
      <c r="E233" s="8">
        <f t="shared" si="3"/>
        <v>50.357735977799045</v>
      </c>
    </row>
    <row r="234" spans="3:5" ht="13.8" x14ac:dyDescent="0.25">
      <c r="C234" s="7">
        <v>231</v>
      </c>
      <c r="D234">
        <v>-1.3811222743242979</v>
      </c>
      <c r="E234" s="8">
        <f t="shared" si="3"/>
        <v>49.084696144241363</v>
      </c>
    </row>
    <row r="235" spans="3:5" ht="13.8" x14ac:dyDescent="0.25">
      <c r="C235" s="7">
        <v>232</v>
      </c>
      <c r="D235">
        <v>1.2048053577018436</v>
      </c>
      <c r="E235" s="8">
        <f t="shared" si="3"/>
        <v>50.249815391473334</v>
      </c>
    </row>
    <row r="236" spans="3:5" ht="13.8" x14ac:dyDescent="0.25">
      <c r="C236" s="7">
        <v>233</v>
      </c>
      <c r="D236">
        <v>1.8323680706089363</v>
      </c>
      <c r="E236" s="8">
        <f t="shared" si="3"/>
        <v>52.058787706110493</v>
      </c>
    </row>
    <row r="237" spans="3:5" ht="13.8" x14ac:dyDescent="0.25">
      <c r="C237" s="7">
        <v>234</v>
      </c>
      <c r="D237">
        <v>-0.18639184418134391</v>
      </c>
      <c r="E237" s="8">
        <f t="shared" si="3"/>
        <v>51.906139409561824</v>
      </c>
    </row>
    <row r="238" spans="3:5" ht="13.8" x14ac:dyDescent="0.25">
      <c r="C238" s="7">
        <v>235</v>
      </c>
      <c r="D238">
        <v>1.6635885913274251</v>
      </c>
      <c r="E238" s="8">
        <f t="shared" si="3"/>
        <v>53.602807769242872</v>
      </c>
    </row>
    <row r="239" spans="3:5" ht="13.8" x14ac:dyDescent="0.25">
      <c r="C239" s="7">
        <v>236</v>
      </c>
      <c r="D239">
        <v>-1.1110455488960724</v>
      </c>
      <c r="E239" s="8">
        <f t="shared" si="3"/>
        <v>52.516155357011314</v>
      </c>
    </row>
    <row r="240" spans="3:5" ht="13.8" x14ac:dyDescent="0.25">
      <c r="C240" s="7">
        <v>237</v>
      </c>
      <c r="D240">
        <v>-0.26385123419458978</v>
      </c>
      <c r="E240" s="8">
        <f t="shared" si="3"/>
        <v>52.285266398793873</v>
      </c>
    </row>
    <row r="241" spans="3:5" ht="13.8" x14ac:dyDescent="0.25">
      <c r="C241" s="7">
        <v>238</v>
      </c>
      <c r="D241">
        <v>-0.15874775272095576</v>
      </c>
      <c r="E241" s="8">
        <f t="shared" si="3"/>
        <v>52.159304905631515</v>
      </c>
    </row>
    <row r="242" spans="3:5" ht="13.8" x14ac:dyDescent="0.25">
      <c r="C242" s="7">
        <v>239</v>
      </c>
      <c r="D242">
        <v>0.1983926267712377</v>
      </c>
      <c r="E242" s="8">
        <f t="shared" si="3"/>
        <v>52.387437842906373</v>
      </c>
    </row>
    <row r="243" spans="3:5" ht="13.8" x14ac:dyDescent="0.25">
      <c r="C243" s="7">
        <v>240</v>
      </c>
      <c r="D243">
        <v>0.26662519303499721</v>
      </c>
      <c r="E243" s="8">
        <f t="shared" si="3"/>
        <v>52.684731257730967</v>
      </c>
    </row>
    <row r="244" spans="3:5" ht="13.8" x14ac:dyDescent="0.25">
      <c r="C244" s="7">
        <v>241</v>
      </c>
      <c r="D244">
        <v>1.5073601389303803</v>
      </c>
      <c r="E244" s="8">
        <f t="shared" si="3"/>
        <v>54.24581420172148</v>
      </c>
    </row>
    <row r="245" spans="3:5" ht="13.8" x14ac:dyDescent="0.25">
      <c r="C245" s="7">
        <v>242</v>
      </c>
      <c r="D245">
        <v>1.4908891898812726</v>
      </c>
      <c r="E245" s="8">
        <f t="shared" si="3"/>
        <v>55.835700870318881</v>
      </c>
    </row>
    <row r="246" spans="3:5" ht="13.8" x14ac:dyDescent="0.25">
      <c r="C246" s="7">
        <v>243</v>
      </c>
      <c r="D246">
        <v>1.0464395927556325</v>
      </c>
      <c r="E246" s="8">
        <f t="shared" si="3"/>
        <v>56.989569543613158</v>
      </c>
    </row>
    <row r="247" spans="3:5" ht="13.8" x14ac:dyDescent="0.25">
      <c r="C247" s="7">
        <v>244</v>
      </c>
      <c r="D247">
        <v>-0.69409225034178235</v>
      </c>
      <c r="E247" s="8">
        <f t="shared" si="3"/>
        <v>56.277723738204195</v>
      </c>
    </row>
    <row r="248" spans="3:5" ht="13.8" x14ac:dyDescent="0.25">
      <c r="C248" s="7">
        <v>245</v>
      </c>
      <c r="D248">
        <v>-0.17674778973741923</v>
      </c>
      <c r="E248" s="8">
        <f t="shared" si="3"/>
        <v>56.122973168569885</v>
      </c>
    </row>
    <row r="249" spans="3:5" ht="13.8" x14ac:dyDescent="0.25">
      <c r="C249" s="7">
        <v>246</v>
      </c>
      <c r="D249">
        <v>0.97935981102637015</v>
      </c>
      <c r="E249" s="8">
        <f t="shared" si="3"/>
        <v>57.209918202945673</v>
      </c>
    </row>
    <row r="250" spans="3:5" ht="13.8" x14ac:dyDescent="0.25">
      <c r="C250" s="7">
        <v>247</v>
      </c>
      <c r="D250">
        <v>-1.3771614248980768</v>
      </c>
      <c r="E250" s="8">
        <f t="shared" si="3"/>
        <v>55.767846609013048</v>
      </c>
    </row>
    <row r="251" spans="3:5" ht="13.8" x14ac:dyDescent="0.25">
      <c r="C251" s="7">
        <v>248</v>
      </c>
      <c r="D251">
        <v>-0.36876599551760592</v>
      </c>
      <c r="E251" s="8">
        <f t="shared" si="3"/>
        <v>55.412247029916074</v>
      </c>
    </row>
    <row r="252" spans="3:5" ht="13.8" x14ac:dyDescent="0.25">
      <c r="C252" s="7">
        <v>249</v>
      </c>
      <c r="D252">
        <v>0.64545588429609779</v>
      </c>
      <c r="E252" s="8">
        <f t="shared" si="3"/>
        <v>56.128701741074785</v>
      </c>
    </row>
    <row r="253" spans="3:5" ht="13.8" x14ac:dyDescent="0.25">
      <c r="C253" s="7">
        <v>250</v>
      </c>
      <c r="D253">
        <v>0.65443259700259659</v>
      </c>
      <c r="E253" s="8">
        <f t="shared" si="3"/>
        <v>56.864104214878665</v>
      </c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scale="15" orientation="landscape" verticalDpi="300" r:id="rId1"/>
  <headerFooter alignWithMargins="0">
    <oddHeader>&amp;CUN-12B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494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2024-11-25T09:24:13Z</dcterms:modified>
</cp:coreProperties>
</file>