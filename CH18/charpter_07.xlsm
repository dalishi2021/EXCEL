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18\"/>
    </mc:Choice>
  </mc:AlternateContent>
  <xr:revisionPtr revIDLastSave="0" documentId="13_ncr:1_{BE15AE06-2269-44B3-863E-4C940087A6B3}" xr6:coauthVersionLast="47" xr6:coauthVersionMax="47" xr10:uidLastSave="{00000000-0000-0000-0000-000000000000}"/>
  <bookViews>
    <workbookView xWindow="-38520" yWindow="-120" windowWidth="38640" windowHeight="21120" activeTab="1" xr2:uid="{EA6F33A8-FE0E-48B1-8C74-8B2321C6BA8B}"/>
  </bookViews>
  <sheets>
    <sheet name="Sheet1" sheetId="1" r:id="rId1"/>
    <sheet name="Page 504" sheetId="2" r:id="rId2"/>
  </sheets>
  <externalReferences>
    <externalReference r:id="rId3"/>
    <externalReference r:id="rId4"/>
  </externalReferences>
  <definedNames>
    <definedName name="benny">#REF!</definedName>
    <definedName name="Counter">#REF!</definedName>
    <definedName name="delta">'[1]Page 497'!#REF!</definedName>
    <definedName name="elapsed" localSheetId="1">#REF!</definedName>
    <definedName name="initial_price">#REF!</definedName>
    <definedName name="mean" localSheetId="1">#REF!</definedName>
    <definedName name="output" localSheetId="1">#REF!</definedName>
    <definedName name="runs" localSheetId="1">#REF!</definedName>
    <definedName name="sbenny">#REF!</definedName>
    <definedName name="sigma" localSheetId="1">#REF!</definedName>
    <definedName name="starttime" localSheetId="1">#REF!</definedName>
    <definedName name="stoptime" localSheetId="1">#REF!</definedName>
  </definedNam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7" i="2" l="1"/>
  <c r="C16" i="2"/>
  <c r="C15" i="2"/>
  <c r="C14" i="2"/>
  <c r="C13" i="2"/>
  <c r="C12" i="2"/>
  <c r="C11" i="2"/>
  <c r="C10" i="2"/>
  <c r="C9" i="2"/>
  <c r="C8" i="2"/>
  <c r="C7" i="2"/>
  <c r="C6" i="2"/>
  <c r="C5" i="2"/>
  <c r="C4" i="2"/>
  <c r="C20" i="2" s="1"/>
  <c r="C23" i="2" s="1"/>
  <c r="D23" i="2"/>
  <c r="D22" i="2"/>
  <c r="D20" i="2"/>
  <c r="D19" i="2"/>
  <c r="D6" i="2"/>
  <c r="D5" i="2"/>
  <c r="D4" i="2"/>
  <c r="C19" i="2" l="1"/>
  <c r="C22" i="2" s="1"/>
</calcChain>
</file>

<file path=xl/sharedStrings.xml><?xml version="1.0" encoding="utf-8"?>
<sst xmlns="http://schemas.openxmlformats.org/spreadsheetml/2006/main" count="8" uniqueCount="8">
  <si>
    <t>Calculating Lognormal Mean and Sigma from Stock Price Data for Halliburton Corporation</t>
    <phoneticPr fontId="4" type="noConversion"/>
  </si>
  <si>
    <t>Month</t>
  </si>
  <si>
    <t>Price</t>
  </si>
  <si>
    <t>Monthly
return</t>
  </si>
  <si>
    <t>Monthly average</t>
  </si>
  <si>
    <t>Monthly standard deviation</t>
  </si>
  <si>
    <t>Annual average</t>
  </si>
  <si>
    <t>Annual standard deviation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</si>
</sst>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name val="Arial"/>
      <family val="2"/>
    </font>
    <font>
      <b/>
      <sz val="12"/>
      <name val="Arial"/>
      <family val="2"/>
    </font>
    <font>
      <sz val="8"/>
      <name val="Arial"/>
      <family val="2"/>
    </font>
    <font>
      <b/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>
      <alignment vertical="center"/>
    </xf>
    <xf numFmtId="0" fontId="2" fillId="0" borderId="0"/>
    <xf numFmtId="9" fontId="2" fillId="0" borderId="0" applyFont="0" applyFill="0" applyBorder="0" applyAlignment="0" applyProtection="0"/>
  </cellStyleXfs>
  <cellXfs count="11">
    <xf numFmtId="0" fontId="0" fillId="0" borderId="0" xfId="0">
      <alignment vertical="center"/>
    </xf>
    <xf numFmtId="0" fontId="3" fillId="0" borderId="0" xfId="1" applyFont="1" applyAlignment="1">
      <alignment horizontal="center" vertical="center" wrapText="1"/>
    </xf>
    <xf numFmtId="0" fontId="2" fillId="0" borderId="0" xfId="1"/>
    <xf numFmtId="0" fontId="5" fillId="0" borderId="0" xfId="1" applyFont="1" applyAlignment="1">
      <alignment horizontal="center"/>
    </xf>
    <xf numFmtId="10" fontId="5" fillId="0" borderId="0" xfId="2" applyNumberFormat="1" applyFont="1" applyAlignment="1">
      <alignment horizontal="center" wrapText="1"/>
    </xf>
    <xf numFmtId="15" fontId="2" fillId="0" borderId="0" xfId="1" applyNumberFormat="1" applyAlignment="1">
      <alignment horizontal="center"/>
    </xf>
    <xf numFmtId="10" fontId="2" fillId="0" borderId="0" xfId="2" applyNumberFormat="1"/>
    <xf numFmtId="17" fontId="2" fillId="0" borderId="0" xfId="1" applyNumberFormat="1"/>
    <xf numFmtId="0" fontId="2" fillId="2" borderId="0" xfId="1" applyFill="1"/>
    <xf numFmtId="10" fontId="2" fillId="2" borderId="0" xfId="2" applyNumberFormat="1" applyFill="1"/>
    <xf numFmtId="10" fontId="2" fillId="2" borderId="0" xfId="2" quotePrefix="1" applyNumberFormat="1" applyFont="1" applyFill="1"/>
  </cellXfs>
  <cellStyles count="3">
    <cellStyle name="百分比 2" xfId="2" xr:uid="{270776D4-A637-419A-8761-5289698F78C0}"/>
    <cellStyle name="常规" xfId="0" builtinId="0"/>
    <cellStyle name="常规 2" xfId="1" xr:uid="{46051C96-ED38-4BE1-AA06-3878A417EF5E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2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Chapter%20files\fm3_chapter18a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Chapter%20files/fm3_chapter18a.xls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ata for page 485"/>
      <sheetName val="Page for page 485中文"/>
      <sheetName val="Page 485"/>
      <sheetName val="Page 485 中文"/>
      <sheetName val="Page 486, 488"/>
      <sheetName val="Page 486, 488 中文"/>
      <sheetName val="Page 487, top"/>
      <sheetName val="Page 487, top 中文"/>
      <sheetName val="Page 487, bottom"/>
      <sheetName val="Page 487, bottom 中文"/>
      <sheetName val="Page 490, top"/>
      <sheetName val="Page 490, top 中文"/>
      <sheetName val="Page 490, bottom"/>
      <sheetName val="Page 490, bottom 中文"/>
      <sheetName val="Page 491, top"/>
      <sheetName val="Page 491, top中文"/>
      <sheetName val="Page 491, bottom"/>
      <sheetName val="Page 491, bottom 中文"/>
      <sheetName val="Page 494"/>
      <sheetName val="Page 494 中文"/>
      <sheetName val="Page 496"/>
      <sheetName val="Page 496 中文"/>
      <sheetName val="Page 497"/>
      <sheetName val="Page 497 中文"/>
      <sheetName val="Page 504"/>
      <sheetName val="Page 504 (中文)"/>
      <sheetName val="VBA program, page 187"/>
    </sheetNames>
    <sheetDataSet>
      <sheetData sheetId="0"/>
      <sheetData sheetId="1"/>
      <sheetData sheetId="4"/>
      <sheetData sheetId="5"/>
      <sheetData sheetId="8"/>
      <sheetData sheetId="9"/>
      <sheetData sheetId="12"/>
      <sheetData sheetId="13"/>
      <sheetData sheetId="18"/>
      <sheetData sheetId="19"/>
      <sheetData sheetId="20"/>
      <sheetData sheetId="21"/>
      <sheetData sheetId="22"/>
      <sheetData sheetId="23"/>
      <sheetData sheetId="24"/>
      <sheetData sheetId="2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CAEACE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sheetPr codeName="Sheet1"/>
  <dimension ref="A1"/>
  <sheetViews>
    <sheetView workbookViewId="0">
      <selection activeCell="N23" sqref="N23"/>
    </sheetView>
  </sheetViews>
  <sheetFormatPr defaultRowHeight="13.8" x14ac:dyDescent="0.25"/>
  <sheetData/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FF0E12-1445-4C5E-BD41-841F0EAB957C}">
  <sheetPr codeName="Sheet5"/>
  <dimension ref="A1:G35"/>
  <sheetViews>
    <sheetView tabSelected="1" zoomScale="145" zoomScaleNormal="145" workbookViewId="0">
      <selection activeCell="L17" sqref="L17"/>
    </sheetView>
  </sheetViews>
  <sheetFormatPr defaultRowHeight="13.2" x14ac:dyDescent="0.25"/>
  <cols>
    <col min="1" max="1" width="17.44140625" style="2" customWidth="1"/>
    <col min="2" max="2" width="8.88671875" style="2"/>
    <col min="3" max="3" width="9.109375" style="6" customWidth="1"/>
    <col min="4" max="4" width="22.44140625" style="2" bestFit="1" customWidth="1"/>
    <col min="5" max="256" width="8.88671875" style="2"/>
    <col min="257" max="257" width="17.44140625" style="2" customWidth="1"/>
    <col min="258" max="258" width="8.88671875" style="2"/>
    <col min="259" max="259" width="9.109375" style="2" customWidth="1"/>
    <col min="260" max="260" width="22.44140625" style="2" bestFit="1" customWidth="1"/>
    <col min="261" max="512" width="8.88671875" style="2"/>
    <col min="513" max="513" width="17.44140625" style="2" customWidth="1"/>
    <col min="514" max="514" width="8.88671875" style="2"/>
    <col min="515" max="515" width="9.109375" style="2" customWidth="1"/>
    <col min="516" max="516" width="22.44140625" style="2" bestFit="1" customWidth="1"/>
    <col min="517" max="768" width="8.88671875" style="2"/>
    <col min="769" max="769" width="17.44140625" style="2" customWidth="1"/>
    <col min="770" max="770" width="8.88671875" style="2"/>
    <col min="771" max="771" width="9.109375" style="2" customWidth="1"/>
    <col min="772" max="772" width="22.44140625" style="2" bestFit="1" customWidth="1"/>
    <col min="773" max="1024" width="8.88671875" style="2"/>
    <col min="1025" max="1025" width="17.44140625" style="2" customWidth="1"/>
    <col min="1026" max="1026" width="8.88671875" style="2"/>
    <col min="1027" max="1027" width="9.109375" style="2" customWidth="1"/>
    <col min="1028" max="1028" width="22.44140625" style="2" bestFit="1" customWidth="1"/>
    <col min="1029" max="1280" width="8.88671875" style="2"/>
    <col min="1281" max="1281" width="17.44140625" style="2" customWidth="1"/>
    <col min="1282" max="1282" width="8.88671875" style="2"/>
    <col min="1283" max="1283" width="9.109375" style="2" customWidth="1"/>
    <col min="1284" max="1284" width="22.44140625" style="2" bestFit="1" customWidth="1"/>
    <col min="1285" max="1536" width="8.88671875" style="2"/>
    <col min="1537" max="1537" width="17.44140625" style="2" customWidth="1"/>
    <col min="1538" max="1538" width="8.88671875" style="2"/>
    <col min="1539" max="1539" width="9.109375" style="2" customWidth="1"/>
    <col min="1540" max="1540" width="22.44140625" style="2" bestFit="1" customWidth="1"/>
    <col min="1541" max="1792" width="8.88671875" style="2"/>
    <col min="1793" max="1793" width="17.44140625" style="2" customWidth="1"/>
    <col min="1794" max="1794" width="8.88671875" style="2"/>
    <col min="1795" max="1795" width="9.109375" style="2" customWidth="1"/>
    <col min="1796" max="1796" width="22.44140625" style="2" bestFit="1" customWidth="1"/>
    <col min="1797" max="2048" width="8.88671875" style="2"/>
    <col min="2049" max="2049" width="17.44140625" style="2" customWidth="1"/>
    <col min="2050" max="2050" width="8.88671875" style="2"/>
    <col min="2051" max="2051" width="9.109375" style="2" customWidth="1"/>
    <col min="2052" max="2052" width="22.44140625" style="2" bestFit="1" customWidth="1"/>
    <col min="2053" max="2304" width="8.88671875" style="2"/>
    <col min="2305" max="2305" width="17.44140625" style="2" customWidth="1"/>
    <col min="2306" max="2306" width="8.88671875" style="2"/>
    <col min="2307" max="2307" width="9.109375" style="2" customWidth="1"/>
    <col min="2308" max="2308" width="22.44140625" style="2" bestFit="1" customWidth="1"/>
    <col min="2309" max="2560" width="8.88671875" style="2"/>
    <col min="2561" max="2561" width="17.44140625" style="2" customWidth="1"/>
    <col min="2562" max="2562" width="8.88671875" style="2"/>
    <col min="2563" max="2563" width="9.109375" style="2" customWidth="1"/>
    <col min="2564" max="2564" width="22.44140625" style="2" bestFit="1" customWidth="1"/>
    <col min="2565" max="2816" width="8.88671875" style="2"/>
    <col min="2817" max="2817" width="17.44140625" style="2" customWidth="1"/>
    <col min="2818" max="2818" width="8.88671875" style="2"/>
    <col min="2819" max="2819" width="9.109375" style="2" customWidth="1"/>
    <col min="2820" max="2820" width="22.44140625" style="2" bestFit="1" customWidth="1"/>
    <col min="2821" max="3072" width="8.88671875" style="2"/>
    <col min="3073" max="3073" width="17.44140625" style="2" customWidth="1"/>
    <col min="3074" max="3074" width="8.88671875" style="2"/>
    <col min="3075" max="3075" width="9.109375" style="2" customWidth="1"/>
    <col min="3076" max="3076" width="22.44140625" style="2" bestFit="1" customWidth="1"/>
    <col min="3077" max="3328" width="8.88671875" style="2"/>
    <col min="3329" max="3329" width="17.44140625" style="2" customWidth="1"/>
    <col min="3330" max="3330" width="8.88671875" style="2"/>
    <col min="3331" max="3331" width="9.109375" style="2" customWidth="1"/>
    <col min="3332" max="3332" width="22.44140625" style="2" bestFit="1" customWidth="1"/>
    <col min="3333" max="3584" width="8.88671875" style="2"/>
    <col min="3585" max="3585" width="17.44140625" style="2" customWidth="1"/>
    <col min="3586" max="3586" width="8.88671875" style="2"/>
    <col min="3587" max="3587" width="9.109375" style="2" customWidth="1"/>
    <col min="3588" max="3588" width="22.44140625" style="2" bestFit="1" customWidth="1"/>
    <col min="3589" max="3840" width="8.88671875" style="2"/>
    <col min="3841" max="3841" width="17.44140625" style="2" customWidth="1"/>
    <col min="3842" max="3842" width="8.88671875" style="2"/>
    <col min="3843" max="3843" width="9.109375" style="2" customWidth="1"/>
    <col min="3844" max="3844" width="22.44140625" style="2" bestFit="1" customWidth="1"/>
    <col min="3845" max="4096" width="8.88671875" style="2"/>
    <col min="4097" max="4097" width="17.44140625" style="2" customWidth="1"/>
    <col min="4098" max="4098" width="8.88671875" style="2"/>
    <col min="4099" max="4099" width="9.109375" style="2" customWidth="1"/>
    <col min="4100" max="4100" width="22.44140625" style="2" bestFit="1" customWidth="1"/>
    <col min="4101" max="4352" width="8.88671875" style="2"/>
    <col min="4353" max="4353" width="17.44140625" style="2" customWidth="1"/>
    <col min="4354" max="4354" width="8.88671875" style="2"/>
    <col min="4355" max="4355" width="9.109375" style="2" customWidth="1"/>
    <col min="4356" max="4356" width="22.44140625" style="2" bestFit="1" customWidth="1"/>
    <col min="4357" max="4608" width="8.88671875" style="2"/>
    <col min="4609" max="4609" width="17.44140625" style="2" customWidth="1"/>
    <col min="4610" max="4610" width="8.88671875" style="2"/>
    <col min="4611" max="4611" width="9.109375" style="2" customWidth="1"/>
    <col min="4612" max="4612" width="22.44140625" style="2" bestFit="1" customWidth="1"/>
    <col min="4613" max="4864" width="8.88671875" style="2"/>
    <col min="4865" max="4865" width="17.44140625" style="2" customWidth="1"/>
    <col min="4866" max="4866" width="8.88671875" style="2"/>
    <col min="4867" max="4867" width="9.109375" style="2" customWidth="1"/>
    <col min="4868" max="4868" width="22.44140625" style="2" bestFit="1" customWidth="1"/>
    <col min="4869" max="5120" width="8.88671875" style="2"/>
    <col min="5121" max="5121" width="17.44140625" style="2" customWidth="1"/>
    <col min="5122" max="5122" width="8.88671875" style="2"/>
    <col min="5123" max="5123" width="9.109375" style="2" customWidth="1"/>
    <col min="5124" max="5124" width="22.44140625" style="2" bestFit="1" customWidth="1"/>
    <col min="5125" max="5376" width="8.88671875" style="2"/>
    <col min="5377" max="5377" width="17.44140625" style="2" customWidth="1"/>
    <col min="5378" max="5378" width="8.88671875" style="2"/>
    <col min="5379" max="5379" width="9.109375" style="2" customWidth="1"/>
    <col min="5380" max="5380" width="22.44140625" style="2" bestFit="1" customWidth="1"/>
    <col min="5381" max="5632" width="8.88671875" style="2"/>
    <col min="5633" max="5633" width="17.44140625" style="2" customWidth="1"/>
    <col min="5634" max="5634" width="8.88671875" style="2"/>
    <col min="5635" max="5635" width="9.109375" style="2" customWidth="1"/>
    <col min="5636" max="5636" width="22.44140625" style="2" bestFit="1" customWidth="1"/>
    <col min="5637" max="5888" width="8.88671875" style="2"/>
    <col min="5889" max="5889" width="17.44140625" style="2" customWidth="1"/>
    <col min="5890" max="5890" width="8.88671875" style="2"/>
    <col min="5891" max="5891" width="9.109375" style="2" customWidth="1"/>
    <col min="5892" max="5892" width="22.44140625" style="2" bestFit="1" customWidth="1"/>
    <col min="5893" max="6144" width="8.88671875" style="2"/>
    <col min="6145" max="6145" width="17.44140625" style="2" customWidth="1"/>
    <col min="6146" max="6146" width="8.88671875" style="2"/>
    <col min="6147" max="6147" width="9.109375" style="2" customWidth="1"/>
    <col min="6148" max="6148" width="22.44140625" style="2" bestFit="1" customWidth="1"/>
    <col min="6149" max="6400" width="8.88671875" style="2"/>
    <col min="6401" max="6401" width="17.44140625" style="2" customWidth="1"/>
    <col min="6402" max="6402" width="8.88671875" style="2"/>
    <col min="6403" max="6403" width="9.109375" style="2" customWidth="1"/>
    <col min="6404" max="6404" width="22.44140625" style="2" bestFit="1" customWidth="1"/>
    <col min="6405" max="6656" width="8.88671875" style="2"/>
    <col min="6657" max="6657" width="17.44140625" style="2" customWidth="1"/>
    <col min="6658" max="6658" width="8.88671875" style="2"/>
    <col min="6659" max="6659" width="9.109375" style="2" customWidth="1"/>
    <col min="6660" max="6660" width="22.44140625" style="2" bestFit="1" customWidth="1"/>
    <col min="6661" max="6912" width="8.88671875" style="2"/>
    <col min="6913" max="6913" width="17.44140625" style="2" customWidth="1"/>
    <col min="6914" max="6914" width="8.88671875" style="2"/>
    <col min="6915" max="6915" width="9.109375" style="2" customWidth="1"/>
    <col min="6916" max="6916" width="22.44140625" style="2" bestFit="1" customWidth="1"/>
    <col min="6917" max="7168" width="8.88671875" style="2"/>
    <col min="7169" max="7169" width="17.44140625" style="2" customWidth="1"/>
    <col min="7170" max="7170" width="8.88671875" style="2"/>
    <col min="7171" max="7171" width="9.109375" style="2" customWidth="1"/>
    <col min="7172" max="7172" width="22.44140625" style="2" bestFit="1" customWidth="1"/>
    <col min="7173" max="7424" width="8.88671875" style="2"/>
    <col min="7425" max="7425" width="17.44140625" style="2" customWidth="1"/>
    <col min="7426" max="7426" width="8.88671875" style="2"/>
    <col min="7427" max="7427" width="9.109375" style="2" customWidth="1"/>
    <col min="7428" max="7428" width="22.44140625" style="2" bestFit="1" customWidth="1"/>
    <col min="7429" max="7680" width="8.88671875" style="2"/>
    <col min="7681" max="7681" width="17.44140625" style="2" customWidth="1"/>
    <col min="7682" max="7682" width="8.88671875" style="2"/>
    <col min="7683" max="7683" width="9.109375" style="2" customWidth="1"/>
    <col min="7684" max="7684" width="22.44140625" style="2" bestFit="1" customWidth="1"/>
    <col min="7685" max="7936" width="8.88671875" style="2"/>
    <col min="7937" max="7937" width="17.44140625" style="2" customWidth="1"/>
    <col min="7938" max="7938" width="8.88671875" style="2"/>
    <col min="7939" max="7939" width="9.109375" style="2" customWidth="1"/>
    <col min="7940" max="7940" width="22.44140625" style="2" bestFit="1" customWidth="1"/>
    <col min="7941" max="8192" width="8.88671875" style="2"/>
    <col min="8193" max="8193" width="17.44140625" style="2" customWidth="1"/>
    <col min="8194" max="8194" width="8.88671875" style="2"/>
    <col min="8195" max="8195" width="9.109375" style="2" customWidth="1"/>
    <col min="8196" max="8196" width="22.44140625" style="2" bestFit="1" customWidth="1"/>
    <col min="8197" max="8448" width="8.88671875" style="2"/>
    <col min="8449" max="8449" width="17.44140625" style="2" customWidth="1"/>
    <col min="8450" max="8450" width="8.88671875" style="2"/>
    <col min="8451" max="8451" width="9.109375" style="2" customWidth="1"/>
    <col min="8452" max="8452" width="22.44140625" style="2" bestFit="1" customWidth="1"/>
    <col min="8453" max="8704" width="8.88671875" style="2"/>
    <col min="8705" max="8705" width="17.44140625" style="2" customWidth="1"/>
    <col min="8706" max="8706" width="8.88671875" style="2"/>
    <col min="8707" max="8707" width="9.109375" style="2" customWidth="1"/>
    <col min="8708" max="8708" width="22.44140625" style="2" bestFit="1" customWidth="1"/>
    <col min="8709" max="8960" width="8.88671875" style="2"/>
    <col min="8961" max="8961" width="17.44140625" style="2" customWidth="1"/>
    <col min="8962" max="8962" width="8.88671875" style="2"/>
    <col min="8963" max="8963" width="9.109375" style="2" customWidth="1"/>
    <col min="8964" max="8964" width="22.44140625" style="2" bestFit="1" customWidth="1"/>
    <col min="8965" max="9216" width="8.88671875" style="2"/>
    <col min="9217" max="9217" width="17.44140625" style="2" customWidth="1"/>
    <col min="9218" max="9218" width="8.88671875" style="2"/>
    <col min="9219" max="9219" width="9.109375" style="2" customWidth="1"/>
    <col min="9220" max="9220" width="22.44140625" style="2" bestFit="1" customWidth="1"/>
    <col min="9221" max="9472" width="8.88671875" style="2"/>
    <col min="9473" max="9473" width="17.44140625" style="2" customWidth="1"/>
    <col min="9474" max="9474" width="8.88671875" style="2"/>
    <col min="9475" max="9475" width="9.109375" style="2" customWidth="1"/>
    <col min="9476" max="9476" width="22.44140625" style="2" bestFit="1" customWidth="1"/>
    <col min="9477" max="9728" width="8.88671875" style="2"/>
    <col min="9729" max="9729" width="17.44140625" style="2" customWidth="1"/>
    <col min="9730" max="9730" width="8.88671875" style="2"/>
    <col min="9731" max="9731" width="9.109375" style="2" customWidth="1"/>
    <col min="9732" max="9732" width="22.44140625" style="2" bestFit="1" customWidth="1"/>
    <col min="9733" max="9984" width="8.88671875" style="2"/>
    <col min="9985" max="9985" width="17.44140625" style="2" customWidth="1"/>
    <col min="9986" max="9986" width="8.88671875" style="2"/>
    <col min="9987" max="9987" width="9.109375" style="2" customWidth="1"/>
    <col min="9988" max="9988" width="22.44140625" style="2" bestFit="1" customWidth="1"/>
    <col min="9989" max="10240" width="8.88671875" style="2"/>
    <col min="10241" max="10241" width="17.44140625" style="2" customWidth="1"/>
    <col min="10242" max="10242" width="8.88671875" style="2"/>
    <col min="10243" max="10243" width="9.109375" style="2" customWidth="1"/>
    <col min="10244" max="10244" width="22.44140625" style="2" bestFit="1" customWidth="1"/>
    <col min="10245" max="10496" width="8.88671875" style="2"/>
    <col min="10497" max="10497" width="17.44140625" style="2" customWidth="1"/>
    <col min="10498" max="10498" width="8.88671875" style="2"/>
    <col min="10499" max="10499" width="9.109375" style="2" customWidth="1"/>
    <col min="10500" max="10500" width="22.44140625" style="2" bestFit="1" customWidth="1"/>
    <col min="10501" max="10752" width="8.88671875" style="2"/>
    <col min="10753" max="10753" width="17.44140625" style="2" customWidth="1"/>
    <col min="10754" max="10754" width="8.88671875" style="2"/>
    <col min="10755" max="10755" width="9.109375" style="2" customWidth="1"/>
    <col min="10756" max="10756" width="22.44140625" style="2" bestFit="1" customWidth="1"/>
    <col min="10757" max="11008" width="8.88671875" style="2"/>
    <col min="11009" max="11009" width="17.44140625" style="2" customWidth="1"/>
    <col min="11010" max="11010" width="8.88671875" style="2"/>
    <col min="11011" max="11011" width="9.109375" style="2" customWidth="1"/>
    <col min="11012" max="11012" width="22.44140625" style="2" bestFit="1" customWidth="1"/>
    <col min="11013" max="11264" width="8.88671875" style="2"/>
    <col min="11265" max="11265" width="17.44140625" style="2" customWidth="1"/>
    <col min="11266" max="11266" width="8.88671875" style="2"/>
    <col min="11267" max="11267" width="9.109375" style="2" customWidth="1"/>
    <col min="11268" max="11268" width="22.44140625" style="2" bestFit="1" customWidth="1"/>
    <col min="11269" max="11520" width="8.88671875" style="2"/>
    <col min="11521" max="11521" width="17.44140625" style="2" customWidth="1"/>
    <col min="11522" max="11522" width="8.88671875" style="2"/>
    <col min="11523" max="11523" width="9.109375" style="2" customWidth="1"/>
    <col min="11524" max="11524" width="22.44140625" style="2" bestFit="1" customWidth="1"/>
    <col min="11525" max="11776" width="8.88671875" style="2"/>
    <col min="11777" max="11777" width="17.44140625" style="2" customWidth="1"/>
    <col min="11778" max="11778" width="8.88671875" style="2"/>
    <col min="11779" max="11779" width="9.109375" style="2" customWidth="1"/>
    <col min="11780" max="11780" width="22.44140625" style="2" bestFit="1" customWidth="1"/>
    <col min="11781" max="12032" width="8.88671875" style="2"/>
    <col min="12033" max="12033" width="17.44140625" style="2" customWidth="1"/>
    <col min="12034" max="12034" width="8.88671875" style="2"/>
    <col min="12035" max="12035" width="9.109375" style="2" customWidth="1"/>
    <col min="12036" max="12036" width="22.44140625" style="2" bestFit="1" customWidth="1"/>
    <col min="12037" max="12288" width="8.88671875" style="2"/>
    <col min="12289" max="12289" width="17.44140625" style="2" customWidth="1"/>
    <col min="12290" max="12290" width="8.88671875" style="2"/>
    <col min="12291" max="12291" width="9.109375" style="2" customWidth="1"/>
    <col min="12292" max="12292" width="22.44140625" style="2" bestFit="1" customWidth="1"/>
    <col min="12293" max="12544" width="8.88671875" style="2"/>
    <col min="12545" max="12545" width="17.44140625" style="2" customWidth="1"/>
    <col min="12546" max="12546" width="8.88671875" style="2"/>
    <col min="12547" max="12547" width="9.109375" style="2" customWidth="1"/>
    <col min="12548" max="12548" width="22.44140625" style="2" bestFit="1" customWidth="1"/>
    <col min="12549" max="12800" width="8.88671875" style="2"/>
    <col min="12801" max="12801" width="17.44140625" style="2" customWidth="1"/>
    <col min="12802" max="12802" width="8.88671875" style="2"/>
    <col min="12803" max="12803" width="9.109375" style="2" customWidth="1"/>
    <col min="12804" max="12804" width="22.44140625" style="2" bestFit="1" customWidth="1"/>
    <col min="12805" max="13056" width="8.88671875" style="2"/>
    <col min="13057" max="13057" width="17.44140625" style="2" customWidth="1"/>
    <col min="13058" max="13058" width="8.88671875" style="2"/>
    <col min="13059" max="13059" width="9.109375" style="2" customWidth="1"/>
    <col min="13060" max="13060" width="22.44140625" style="2" bestFit="1" customWidth="1"/>
    <col min="13061" max="13312" width="8.88671875" style="2"/>
    <col min="13313" max="13313" width="17.44140625" style="2" customWidth="1"/>
    <col min="13314" max="13314" width="8.88671875" style="2"/>
    <col min="13315" max="13315" width="9.109375" style="2" customWidth="1"/>
    <col min="13316" max="13316" width="22.44140625" style="2" bestFit="1" customWidth="1"/>
    <col min="13317" max="13568" width="8.88671875" style="2"/>
    <col min="13569" max="13569" width="17.44140625" style="2" customWidth="1"/>
    <col min="13570" max="13570" width="8.88671875" style="2"/>
    <col min="13571" max="13571" width="9.109375" style="2" customWidth="1"/>
    <col min="13572" max="13572" width="22.44140625" style="2" bestFit="1" customWidth="1"/>
    <col min="13573" max="13824" width="8.88671875" style="2"/>
    <col min="13825" max="13825" width="17.44140625" style="2" customWidth="1"/>
    <col min="13826" max="13826" width="8.88671875" style="2"/>
    <col min="13827" max="13827" width="9.109375" style="2" customWidth="1"/>
    <col min="13828" max="13828" width="22.44140625" style="2" bestFit="1" customWidth="1"/>
    <col min="13829" max="14080" width="8.88671875" style="2"/>
    <col min="14081" max="14081" width="17.44140625" style="2" customWidth="1"/>
    <col min="14082" max="14082" width="8.88671875" style="2"/>
    <col min="14083" max="14083" width="9.109375" style="2" customWidth="1"/>
    <col min="14084" max="14084" width="22.44140625" style="2" bestFit="1" customWidth="1"/>
    <col min="14085" max="14336" width="8.88671875" style="2"/>
    <col min="14337" max="14337" width="17.44140625" style="2" customWidth="1"/>
    <col min="14338" max="14338" width="8.88671875" style="2"/>
    <col min="14339" max="14339" width="9.109375" style="2" customWidth="1"/>
    <col min="14340" max="14340" width="22.44140625" style="2" bestFit="1" customWidth="1"/>
    <col min="14341" max="14592" width="8.88671875" style="2"/>
    <col min="14593" max="14593" width="17.44140625" style="2" customWidth="1"/>
    <col min="14594" max="14594" width="8.88671875" style="2"/>
    <col min="14595" max="14595" width="9.109375" style="2" customWidth="1"/>
    <col min="14596" max="14596" width="22.44140625" style="2" bestFit="1" customWidth="1"/>
    <col min="14597" max="14848" width="8.88671875" style="2"/>
    <col min="14849" max="14849" width="17.44140625" style="2" customWidth="1"/>
    <col min="14850" max="14850" width="8.88671875" style="2"/>
    <col min="14851" max="14851" width="9.109375" style="2" customWidth="1"/>
    <col min="14852" max="14852" width="22.44140625" style="2" bestFit="1" customWidth="1"/>
    <col min="14853" max="15104" width="8.88671875" style="2"/>
    <col min="15105" max="15105" width="17.44140625" style="2" customWidth="1"/>
    <col min="15106" max="15106" width="8.88671875" style="2"/>
    <col min="15107" max="15107" width="9.109375" style="2" customWidth="1"/>
    <col min="15108" max="15108" width="22.44140625" style="2" bestFit="1" customWidth="1"/>
    <col min="15109" max="15360" width="8.88671875" style="2"/>
    <col min="15361" max="15361" width="17.44140625" style="2" customWidth="1"/>
    <col min="15362" max="15362" width="8.88671875" style="2"/>
    <col min="15363" max="15363" width="9.109375" style="2" customWidth="1"/>
    <col min="15364" max="15364" width="22.44140625" style="2" bestFit="1" customWidth="1"/>
    <col min="15365" max="15616" width="8.88671875" style="2"/>
    <col min="15617" max="15617" width="17.44140625" style="2" customWidth="1"/>
    <col min="15618" max="15618" width="8.88671875" style="2"/>
    <col min="15619" max="15619" width="9.109375" style="2" customWidth="1"/>
    <col min="15620" max="15620" width="22.44140625" style="2" bestFit="1" customWidth="1"/>
    <col min="15621" max="15872" width="8.88671875" style="2"/>
    <col min="15873" max="15873" width="17.44140625" style="2" customWidth="1"/>
    <col min="15874" max="15874" width="8.88671875" style="2"/>
    <col min="15875" max="15875" width="9.109375" style="2" customWidth="1"/>
    <col min="15876" max="15876" width="22.44140625" style="2" bestFit="1" customWidth="1"/>
    <col min="15877" max="16128" width="8.88671875" style="2"/>
    <col min="16129" max="16129" width="17.44140625" style="2" customWidth="1"/>
    <col min="16130" max="16130" width="8.88671875" style="2"/>
    <col min="16131" max="16131" width="9.109375" style="2" customWidth="1"/>
    <col min="16132" max="16132" width="22.44140625" style="2" bestFit="1" customWidth="1"/>
    <col min="16133" max="16384" width="8.88671875" style="2"/>
  </cols>
  <sheetData>
    <row r="1" spans="1:7" ht="32.25" customHeight="1" x14ac:dyDescent="0.25">
      <c r="A1" s="1" t="s">
        <v>0</v>
      </c>
      <c r="B1" s="1"/>
      <c r="C1" s="1"/>
      <c r="D1" s="1"/>
    </row>
    <row r="2" spans="1:7" ht="26.4" x14ac:dyDescent="0.25">
      <c r="A2" s="3" t="s">
        <v>1</v>
      </c>
      <c r="B2" s="3" t="s">
        <v>2</v>
      </c>
      <c r="C2" s="4" t="s">
        <v>3</v>
      </c>
      <c r="F2" s="3"/>
      <c r="G2" s="3"/>
    </row>
    <row r="3" spans="1:7" x14ac:dyDescent="0.25">
      <c r="A3" s="5">
        <v>38595</v>
      </c>
      <c r="B3" s="2">
        <v>30.74</v>
      </c>
      <c r="C3" s="2"/>
    </row>
    <row r="4" spans="1:7" x14ac:dyDescent="0.25">
      <c r="A4" s="5">
        <v>38596</v>
      </c>
      <c r="B4" s="2">
        <v>33.97</v>
      </c>
      <c r="C4" s="6">
        <f t="shared" ref="C4:C17" si="0">LN(B4/B3)</f>
        <v>9.9913044062042794E-2</v>
      </c>
      <c r="D4" s="2" t="str">
        <f ca="1">[2]!getformula(C4)</f>
        <v>&lt;--  =LN(B4/B3)</v>
      </c>
    </row>
    <row r="5" spans="1:7" x14ac:dyDescent="0.25">
      <c r="A5" s="5">
        <v>38628</v>
      </c>
      <c r="B5" s="2">
        <v>29.3</v>
      </c>
      <c r="C5" s="6">
        <f t="shared" si="0"/>
        <v>-0.14789026614947084</v>
      </c>
      <c r="D5" s="2" t="str">
        <f ca="1">[2]!getformula(C5)</f>
        <v>&lt;--  =LN(B5/B4)</v>
      </c>
    </row>
    <row r="6" spans="1:7" x14ac:dyDescent="0.25">
      <c r="A6" s="5">
        <v>38657</v>
      </c>
      <c r="B6" s="2">
        <v>31.62</v>
      </c>
      <c r="C6" s="6">
        <f t="shared" si="0"/>
        <v>7.6202315758304356E-2</v>
      </c>
      <c r="D6" s="2" t="str">
        <f ca="1">[2]!getformula(C6)</f>
        <v>&lt;--  =LN(B6/B5)</v>
      </c>
    </row>
    <row r="7" spans="1:7" x14ac:dyDescent="0.25">
      <c r="A7" s="5">
        <v>38687</v>
      </c>
      <c r="B7" s="2">
        <v>30.78</v>
      </c>
      <c r="C7" s="6">
        <f t="shared" si="0"/>
        <v>-2.6924703370592835E-2</v>
      </c>
    </row>
    <row r="8" spans="1:7" x14ac:dyDescent="0.25">
      <c r="A8" s="5">
        <v>38720</v>
      </c>
      <c r="B8" s="2">
        <v>39.549999999999997</v>
      </c>
      <c r="C8" s="6">
        <f t="shared" si="0"/>
        <v>0.25070056580292965</v>
      </c>
    </row>
    <row r="9" spans="1:7" x14ac:dyDescent="0.25">
      <c r="A9" s="5">
        <v>38749</v>
      </c>
      <c r="B9" s="2">
        <v>33.86</v>
      </c>
      <c r="C9" s="6">
        <f t="shared" si="0"/>
        <v>-0.1553313175086736</v>
      </c>
    </row>
    <row r="10" spans="1:7" x14ac:dyDescent="0.25">
      <c r="A10" s="5">
        <v>38777</v>
      </c>
      <c r="B10" s="2">
        <v>36.35</v>
      </c>
      <c r="C10" s="6">
        <f t="shared" si="0"/>
        <v>7.0959827274539075E-2</v>
      </c>
    </row>
    <row r="11" spans="1:7" x14ac:dyDescent="0.25">
      <c r="A11" s="5">
        <v>38810</v>
      </c>
      <c r="B11" s="2">
        <v>38.909999999999997</v>
      </c>
      <c r="C11" s="6">
        <f t="shared" si="0"/>
        <v>6.8057083016933695E-2</v>
      </c>
    </row>
    <row r="12" spans="1:7" x14ac:dyDescent="0.25">
      <c r="A12" s="5">
        <v>38838</v>
      </c>
      <c r="B12" s="2">
        <v>37.21</v>
      </c>
      <c r="C12" s="6">
        <f t="shared" si="0"/>
        <v>-4.4673744637930939E-2</v>
      </c>
    </row>
    <row r="13" spans="1:7" x14ac:dyDescent="0.25">
      <c r="A13" s="5">
        <v>38869</v>
      </c>
      <c r="B13" s="2">
        <v>37.020000000000003</v>
      </c>
      <c r="C13" s="6">
        <f t="shared" si="0"/>
        <v>-5.1192352131796369E-3</v>
      </c>
    </row>
    <row r="14" spans="1:7" x14ac:dyDescent="0.25">
      <c r="A14" s="5">
        <v>38901</v>
      </c>
      <c r="B14" s="2">
        <v>33.29</v>
      </c>
      <c r="C14" s="6">
        <f t="shared" si="0"/>
        <v>-0.10620125555841795</v>
      </c>
    </row>
    <row r="15" spans="1:7" x14ac:dyDescent="0.25">
      <c r="A15" s="5">
        <v>38930</v>
      </c>
      <c r="B15" s="2">
        <v>32.619999999999997</v>
      </c>
      <c r="C15" s="6">
        <f t="shared" si="0"/>
        <v>-2.0331454394065789E-2</v>
      </c>
    </row>
    <row r="16" spans="1:7" x14ac:dyDescent="0.25">
      <c r="A16" s="5">
        <v>38961</v>
      </c>
      <c r="B16" s="2">
        <v>28.45</v>
      </c>
      <c r="C16" s="6">
        <f t="shared" si="0"/>
        <v>-0.13677743662052785</v>
      </c>
    </row>
    <row r="17" spans="1:5" x14ac:dyDescent="0.25">
      <c r="A17" s="5">
        <v>38992</v>
      </c>
      <c r="B17" s="2">
        <v>28.78</v>
      </c>
      <c r="C17" s="6">
        <f t="shared" si="0"/>
        <v>1.1532540886881989E-2</v>
      </c>
    </row>
    <row r="18" spans="1:5" x14ac:dyDescent="0.25">
      <c r="E18" s="7"/>
    </row>
    <row r="19" spans="1:5" x14ac:dyDescent="0.25">
      <c r="A19" s="8" t="s">
        <v>4</v>
      </c>
      <c r="B19" s="8"/>
      <c r="C19" s="9">
        <f>AVERAGE(C4:C17)</f>
        <v>-4.7060026179448515E-3</v>
      </c>
      <c r="D19" s="2" t="str">
        <f ca="1">[2]!getformula(C19)</f>
        <v>&lt;--  =AVERAGE(C4:C17)</v>
      </c>
      <c r="E19" s="7"/>
    </row>
    <row r="20" spans="1:5" x14ac:dyDescent="0.25">
      <c r="A20" s="8" t="s">
        <v>5</v>
      </c>
      <c r="B20" s="8"/>
      <c r="C20" s="9">
        <f>STDEVP(C4:C17)</f>
        <v>0.10930840258855327</v>
      </c>
      <c r="D20" s="2" t="str">
        <f ca="1">[2]!getformula(C20)</f>
        <v>&lt;--  =STDEVP(C4:C17)</v>
      </c>
      <c r="E20" s="7"/>
    </row>
    <row r="21" spans="1:5" x14ac:dyDescent="0.25">
      <c r="E21" s="7"/>
    </row>
    <row r="22" spans="1:5" x14ac:dyDescent="0.25">
      <c r="A22" s="8" t="s">
        <v>6</v>
      </c>
      <c r="B22" s="8"/>
      <c r="C22" s="10">
        <f>C19*12</f>
        <v>-5.6472031415338214E-2</v>
      </c>
      <c r="D22" s="2" t="str">
        <f ca="1">[2]!getformula(C22)</f>
        <v>&lt;--  =C19*12</v>
      </c>
      <c r="E22" s="7"/>
    </row>
    <row r="23" spans="1:5" x14ac:dyDescent="0.25">
      <c r="A23" s="8" t="s">
        <v>7</v>
      </c>
      <c r="B23" s="8"/>
      <c r="C23" s="10">
        <f>C20*SQRT(12)</f>
        <v>0.3786554139551353</v>
      </c>
      <c r="D23" s="2" t="str">
        <f ca="1">[2]!getformula(C23)</f>
        <v>&lt;--  =C20*SQRT(12)</v>
      </c>
      <c r="E23" s="7"/>
    </row>
    <row r="24" spans="1:5" x14ac:dyDescent="0.25">
      <c r="E24" s="7"/>
    </row>
    <row r="25" spans="1:5" x14ac:dyDescent="0.25">
      <c r="E25" s="7"/>
    </row>
    <row r="26" spans="1:5" x14ac:dyDescent="0.25">
      <c r="E26" s="7"/>
    </row>
    <row r="27" spans="1:5" x14ac:dyDescent="0.25">
      <c r="E27" s="7"/>
    </row>
    <row r="28" spans="1:5" x14ac:dyDescent="0.25">
      <c r="E28" s="7"/>
    </row>
    <row r="29" spans="1:5" x14ac:dyDescent="0.25">
      <c r="E29" s="7"/>
    </row>
    <row r="30" spans="1:5" x14ac:dyDescent="0.25">
      <c r="E30" s="7"/>
    </row>
    <row r="31" spans="1:5" x14ac:dyDescent="0.25">
      <c r="E31" s="7"/>
    </row>
    <row r="32" spans="1:5" x14ac:dyDescent="0.25">
      <c r="E32" s="7"/>
    </row>
    <row r="33" spans="5:5" x14ac:dyDescent="0.25">
      <c r="E33" s="7"/>
    </row>
    <row r="34" spans="5:5" x14ac:dyDescent="0.25">
      <c r="E34" s="7"/>
    </row>
    <row r="35" spans="5:5" x14ac:dyDescent="0.25">
      <c r="E35" s="7"/>
    </row>
  </sheetData>
  <mergeCells count="1">
    <mergeCell ref="A1:D1"/>
  </mergeCells>
  <phoneticPr fontId="1" type="noConversion"/>
  <printOptions headings="1" gridLines="1"/>
  <pageMargins left="0.75" right="0.75" top="1" bottom="1" header="0.5" footer="0.5"/>
  <pageSetup orientation="portrait" horizontalDpi="4294967292" r:id="rId1"/>
  <headerFooter alignWithMargins="0">
    <oddHeader>&amp;A</oddHeader>
    <oddFooter>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Page 504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2024-11-26T02:49:30Z</dcterms:modified>
</cp:coreProperties>
</file>