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practice\"/>
    </mc:Choice>
  </mc:AlternateContent>
  <xr:revisionPtr revIDLastSave="0" documentId="13_ncr:1_{02538DB7-04A8-4FC8-96B3-5397313665F0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3" sheetId="3" r:id="rId2"/>
    <sheet name="Exercise 2" sheetId="2" r:id="rId3"/>
  </sheets>
  <externalReferences>
    <externalReference r:id="rId4"/>
    <externalReference r:id="rId5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3" l="1"/>
  <c r="C44" i="3"/>
  <c r="C43" i="3"/>
  <c r="B20" i="3"/>
  <c r="B19" i="3"/>
  <c r="B18" i="3"/>
  <c r="B17" i="3"/>
  <c r="B16" i="3"/>
  <c r="B15" i="3"/>
  <c r="B14" i="3"/>
  <c r="B13" i="3"/>
  <c r="B12" i="3"/>
  <c r="B11" i="3"/>
  <c r="B10" i="3"/>
  <c r="B9" i="3"/>
  <c r="D8" i="3"/>
  <c r="C8" i="3"/>
  <c r="B4" i="3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C8" i="2"/>
  <c r="B5" i="2"/>
  <c r="C4" i="3"/>
  <c r="F11" i="3"/>
  <c r="F10" i="3"/>
  <c r="F9" i="3"/>
  <c r="B22" i="3"/>
  <c r="D9" i="2"/>
  <c r="C5" i="2"/>
  <c r="C9" i="3" l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D9" i="3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</calcChain>
</file>

<file path=xl/sharedStrings.xml><?xml version="1.0" encoding="utf-8"?>
<sst xmlns="http://schemas.openxmlformats.org/spreadsheetml/2006/main" count="16" uniqueCount="11">
  <si>
    <t>SIMULATING A LOGNORMAL PRICE PROCESS</t>
  </si>
  <si>
    <t>Initial stock price</t>
  </si>
  <si>
    <t>Mean return, m</t>
  </si>
  <si>
    <t>Return sigma, s</t>
  </si>
  <si>
    <t>Delta t</t>
  </si>
  <si>
    <t>Day</t>
  </si>
  <si>
    <t>Random
number</t>
  </si>
  <si>
    <t>Stock
price</t>
  </si>
  <si>
    <t>Stock price with sigma =</t>
  </si>
  <si>
    <t>Month</t>
  </si>
  <si>
    <t>Legend titles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</si>
</sst>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176" fontId="2" fillId="0" borderId="0" xfId="1" applyNumberFormat="1"/>
    <xf numFmtId="0" fontId="4" fillId="0" borderId="0" xfId="1" applyFont="1" applyAlignment="1">
      <alignment horizontal="center" vertical="center" wrapText="1"/>
    </xf>
    <xf numFmtId="9" fontId="5" fillId="0" borderId="0" xfId="1" applyNumberFormat="1" applyFont="1" applyAlignment="1">
      <alignment horizontal="center"/>
    </xf>
    <xf numFmtId="0" fontId="2" fillId="0" borderId="0" xfId="1" applyAlignment="1">
      <alignment horizontal="center" vertical="center" wrapText="1"/>
    </xf>
  </cellXfs>
  <cellStyles count="2">
    <cellStyle name="常规" xfId="0" builtinId="0"/>
    <cellStyle name="常规 2" xfId="1" xr:uid="{AF0D48FC-BC1E-4A9F-97E1-F776436778F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Effect of Sigma on Lognormal Price Paths</a:t>
            </a:r>
          </a:p>
        </c:rich>
      </c:tx>
      <c:layout>
        <c:manualLayout>
          <c:xMode val="edge"/>
          <c:yMode val="edge"/>
          <c:x val="0.20040485829959517"/>
          <c:y val="3.74331550802139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093117408906882E-2"/>
          <c:y val="0.22192513368983954"/>
          <c:w val="0.80566801619433204"/>
          <c:h val="0.64438502673796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 3'!$C$43</c:f>
              <c:strCache>
                <c:ptCount val="1"/>
                <c:pt idx="0">
                  <c:v>Sigma = 20%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3'!$A$8:$A$20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'Exercise 3'!$C$8:$C$20</c:f>
              <c:numCache>
                <c:formatCode>0.0000</c:formatCode>
                <c:ptCount val="13"/>
                <c:pt idx="0">
                  <c:v>20</c:v>
                </c:pt>
                <c:pt idx="1">
                  <c:v>20.015631944001228</c:v>
                </c:pt>
                <c:pt idx="2">
                  <c:v>20.580509667155841</c:v>
                </c:pt>
                <c:pt idx="3">
                  <c:v>20.840771430740688</c:v>
                </c:pt>
                <c:pt idx="4">
                  <c:v>19.717614433325096</c:v>
                </c:pt>
                <c:pt idx="5">
                  <c:v>20.846480495073362</c:v>
                </c:pt>
                <c:pt idx="6">
                  <c:v>21.102172054199418</c:v>
                </c:pt>
                <c:pt idx="7">
                  <c:v>25.853768686685239</c:v>
                </c:pt>
                <c:pt idx="8">
                  <c:v>24.566936228473431</c:v>
                </c:pt>
                <c:pt idx="9">
                  <c:v>25.98740331631824</c:v>
                </c:pt>
                <c:pt idx="10">
                  <c:v>26.089519453882691</c:v>
                </c:pt>
                <c:pt idx="11">
                  <c:v>24.611450474853712</c:v>
                </c:pt>
                <c:pt idx="12">
                  <c:v>24.040107365112913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C-4112-8D35-5C3466C7F949}"/>
            </c:ext>
          </c:extLst>
        </c:ser>
        <c:ser>
          <c:idx val="1"/>
          <c:order val="1"/>
          <c:tx>
            <c:strRef>
              <c:f>'Exercise 3'!$C$44</c:f>
              <c:strCache>
                <c:ptCount val="1"/>
                <c:pt idx="0">
                  <c:v>Sigma = 40%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'Exercise 3'!$A$8:$A$20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'Exercise 3'!$D$8:$D$20</c:f>
              <c:numCache>
                <c:formatCode>0.0000</c:formatCode>
                <c:ptCount val="13"/>
                <c:pt idx="0">
                  <c:v>20</c:v>
                </c:pt>
                <c:pt idx="1">
                  <c:v>19.831961578416227</c:v>
                </c:pt>
                <c:pt idx="2">
                  <c:v>20.758519007080825</c:v>
                </c:pt>
                <c:pt idx="3">
                  <c:v>21.075056662711994</c:v>
                </c:pt>
                <c:pt idx="4">
                  <c:v>18.67699338734003</c:v>
                </c:pt>
                <c:pt idx="5">
                  <c:v>20.669061982658775</c:v>
                </c:pt>
                <c:pt idx="6">
                  <c:v>20.968465761223072</c:v>
                </c:pt>
                <c:pt idx="7">
                  <c:v>31.161410560195556</c:v>
                </c:pt>
                <c:pt idx="8">
                  <c:v>27.856621465501089</c:v>
                </c:pt>
                <c:pt idx="9">
                  <c:v>30.86094880781063</c:v>
                </c:pt>
                <c:pt idx="10">
                  <c:v>30.794468719811707</c:v>
                </c:pt>
                <c:pt idx="11">
                  <c:v>27.131389145142833</c:v>
                </c:pt>
                <c:pt idx="12">
                  <c:v>25.628752812773122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C-4112-8D35-5C3466C7F949}"/>
            </c:ext>
          </c:extLst>
        </c:ser>
        <c:ser>
          <c:idx val="2"/>
          <c:order val="2"/>
          <c:tx>
            <c:strRef>
              <c:f>'Exercise 3'!$C$45</c:f>
              <c:strCache>
                <c:ptCount val="1"/>
                <c:pt idx="0">
                  <c:v>Sigma = 80%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'Exercise 3'!$A$8:$A$20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'Exercise 3'!$E$8:$E$20</c:f>
              <c:numCache>
                <c:formatCode>0.0000</c:formatCode>
                <c:ptCount val="13"/>
                <c:pt idx="0">
                  <c:v>20</c:v>
                </c:pt>
                <c:pt idx="1">
                  <c:v>19.469661649736803</c:v>
                </c:pt>
                <c:pt idx="2">
                  <c:v>21.119170033438444</c:v>
                </c:pt>
                <c:pt idx="3">
                  <c:v>21.5515580116103</c:v>
                </c:pt>
                <c:pt idx="4">
                  <c:v>16.75761294176726</c:v>
                </c:pt>
                <c:pt idx="5">
                  <c:v>20.31874198366544</c:v>
                </c:pt>
                <c:pt idx="6">
                  <c:v>20.703589352337399</c:v>
                </c:pt>
                <c:pt idx="7">
                  <c:v>45.269282093751386</c:v>
                </c:pt>
                <c:pt idx="8">
                  <c:v>35.816515429179546</c:v>
                </c:pt>
                <c:pt idx="9">
                  <c:v>43.521319021189022</c:v>
                </c:pt>
                <c:pt idx="10">
                  <c:v>42.902834675864696</c:v>
                </c:pt>
                <c:pt idx="11">
                  <c:v>32.971725254916961</c:v>
                </c:pt>
                <c:pt idx="12">
                  <c:v>29.127929262868797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C-4112-8D35-5C3466C7F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64328"/>
        <c:axId val="1"/>
      </c:scatterChart>
      <c:valAx>
        <c:axId val="913464328"/>
        <c:scaling>
          <c:orientation val="minMax"/>
          <c:max val="1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134643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255060728744946"/>
          <c:y val="0.6791443850267378"/>
          <c:w val="0.24898785425101216"/>
          <c:h val="0.147058823529411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953635885064156E-2"/>
          <c:y val="7.0217979938480043E-2"/>
          <c:w val="0.89389741066623762"/>
          <c:h val="0.813560043425148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'Exercise 2'!$A$8:$A$258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xVal>
          <c:yVal>
            <c:numRef>
              <c:f>'Exercise 2'!$C$8:$C$258</c:f>
              <c:numCache>
                <c:formatCode>0.0000</c:formatCode>
                <c:ptCount val="251"/>
                <c:pt idx="0" formatCode="General">
                  <c:v>12</c:v>
                </c:pt>
                <c:pt idx="1">
                  <c:v>11.687057829216021</c:v>
                </c:pt>
                <c:pt idx="2">
                  <c:v>11.645147279220687</c:v>
                </c:pt>
                <c:pt idx="3">
                  <c:v>11.588006277718437</c:v>
                </c:pt>
                <c:pt idx="4">
                  <c:v>10.970615317282965</c:v>
                </c:pt>
                <c:pt idx="5">
                  <c:v>10.65995310453752</c:v>
                </c:pt>
                <c:pt idx="6">
                  <c:v>11.191877357359186</c:v>
                </c:pt>
                <c:pt idx="7">
                  <c:v>11.280349453736827</c:v>
                </c:pt>
                <c:pt idx="8">
                  <c:v>11.174091252565287</c:v>
                </c:pt>
                <c:pt idx="9">
                  <c:v>11.144587726915461</c:v>
                </c:pt>
                <c:pt idx="10">
                  <c:v>11.527327339957488</c:v>
                </c:pt>
                <c:pt idx="11">
                  <c:v>11.43968391365979</c:v>
                </c:pt>
                <c:pt idx="12">
                  <c:v>11.164095067905064</c:v>
                </c:pt>
                <c:pt idx="13">
                  <c:v>11.336771533940102</c:v>
                </c:pt>
                <c:pt idx="14">
                  <c:v>11.752162197474352</c:v>
                </c:pt>
                <c:pt idx="15">
                  <c:v>11.488422728439293</c:v>
                </c:pt>
                <c:pt idx="16">
                  <c:v>11.377004248059869</c:v>
                </c:pt>
                <c:pt idx="17">
                  <c:v>11.238103164192308</c:v>
                </c:pt>
                <c:pt idx="18">
                  <c:v>11.211797201789148</c:v>
                </c:pt>
                <c:pt idx="19">
                  <c:v>11.424390618876062</c:v>
                </c:pt>
                <c:pt idx="20">
                  <c:v>11.44621477612389</c:v>
                </c:pt>
                <c:pt idx="21">
                  <c:v>11.390959831151816</c:v>
                </c:pt>
                <c:pt idx="22">
                  <c:v>11.163929011185159</c:v>
                </c:pt>
                <c:pt idx="23">
                  <c:v>11.005499760385868</c:v>
                </c:pt>
                <c:pt idx="24">
                  <c:v>11.284415956322196</c:v>
                </c:pt>
                <c:pt idx="25">
                  <c:v>11.148787323157105</c:v>
                </c:pt>
                <c:pt idx="26">
                  <c:v>10.807951713753781</c:v>
                </c:pt>
                <c:pt idx="27">
                  <c:v>10.285236034783775</c:v>
                </c:pt>
                <c:pt idx="28">
                  <c:v>10.063083751906261</c:v>
                </c:pt>
                <c:pt idx="29">
                  <c:v>10.092585837294823</c:v>
                </c:pt>
                <c:pt idx="30">
                  <c:v>10.20309553541242</c:v>
                </c:pt>
                <c:pt idx="31">
                  <c:v>10.112247368246887</c:v>
                </c:pt>
                <c:pt idx="32">
                  <c:v>10.426618772340001</c:v>
                </c:pt>
                <c:pt idx="33">
                  <c:v>10.716152006412328</c:v>
                </c:pt>
                <c:pt idx="34">
                  <c:v>10.825471788930948</c:v>
                </c:pt>
                <c:pt idx="35">
                  <c:v>10.896002004850409</c:v>
                </c:pt>
                <c:pt idx="36">
                  <c:v>11.047005756580356</c:v>
                </c:pt>
                <c:pt idx="37">
                  <c:v>10.991019909793922</c:v>
                </c:pt>
                <c:pt idx="38">
                  <c:v>10.946447606727247</c:v>
                </c:pt>
                <c:pt idx="39">
                  <c:v>11.113199330214751</c:v>
                </c:pt>
                <c:pt idx="40">
                  <c:v>10.813100141261589</c:v>
                </c:pt>
                <c:pt idx="41">
                  <c:v>11.189716991764511</c:v>
                </c:pt>
                <c:pt idx="42">
                  <c:v>11.300655110808339</c:v>
                </c:pt>
                <c:pt idx="43">
                  <c:v>11.282502816468437</c:v>
                </c:pt>
                <c:pt idx="44">
                  <c:v>11.403829077781396</c:v>
                </c:pt>
                <c:pt idx="45">
                  <c:v>11.075489317482059</c:v>
                </c:pt>
                <c:pt idx="46">
                  <c:v>10.909895625713002</c:v>
                </c:pt>
                <c:pt idx="47">
                  <c:v>10.870894140119823</c:v>
                </c:pt>
                <c:pt idx="48">
                  <c:v>10.913099035563461</c:v>
                </c:pt>
                <c:pt idx="49">
                  <c:v>11.046439008760247</c:v>
                </c:pt>
                <c:pt idx="50">
                  <c:v>10.695031868316935</c:v>
                </c:pt>
                <c:pt idx="51">
                  <c:v>10.377798140472859</c:v>
                </c:pt>
                <c:pt idx="52">
                  <c:v>10.352307878636312</c:v>
                </c:pt>
                <c:pt idx="53">
                  <c:v>10.199920290596975</c:v>
                </c:pt>
                <c:pt idx="54">
                  <c:v>10.396486064289483</c:v>
                </c:pt>
                <c:pt idx="55">
                  <c:v>10.403111145586179</c:v>
                </c:pt>
                <c:pt idx="56">
                  <c:v>10.318999925555405</c:v>
                </c:pt>
                <c:pt idx="57">
                  <c:v>10.454781066036547</c:v>
                </c:pt>
                <c:pt idx="58">
                  <c:v>10.599044280780904</c:v>
                </c:pt>
                <c:pt idx="59">
                  <c:v>10.786230226694743</c:v>
                </c:pt>
                <c:pt idx="60">
                  <c:v>10.902179047354341</c:v>
                </c:pt>
                <c:pt idx="61">
                  <c:v>10.625672515803032</c:v>
                </c:pt>
                <c:pt idx="62">
                  <c:v>10.532212408813191</c:v>
                </c:pt>
                <c:pt idx="63">
                  <c:v>10.624040410559504</c:v>
                </c:pt>
                <c:pt idx="64">
                  <c:v>10.447757731166577</c:v>
                </c:pt>
                <c:pt idx="65">
                  <c:v>10.275818031109674</c:v>
                </c:pt>
                <c:pt idx="66">
                  <c:v>10.718945358302687</c:v>
                </c:pt>
                <c:pt idx="67">
                  <c:v>10.317449903229789</c:v>
                </c:pt>
                <c:pt idx="68">
                  <c:v>10.243642840058298</c:v>
                </c:pt>
                <c:pt idx="69">
                  <c:v>10.192450996217888</c:v>
                </c:pt>
                <c:pt idx="70">
                  <c:v>10.463807620585603</c:v>
                </c:pt>
                <c:pt idx="71">
                  <c:v>10.744101582819917</c:v>
                </c:pt>
                <c:pt idx="72">
                  <c:v>10.726314055036926</c:v>
                </c:pt>
                <c:pt idx="73">
                  <c:v>10.394587067530532</c:v>
                </c:pt>
                <c:pt idx="74">
                  <c:v>10.491927674110473</c:v>
                </c:pt>
                <c:pt idx="75">
                  <c:v>10.52546341878509</c:v>
                </c:pt>
                <c:pt idx="76">
                  <c:v>10.814555212085995</c:v>
                </c:pt>
                <c:pt idx="77">
                  <c:v>11.187626434804702</c:v>
                </c:pt>
                <c:pt idx="78">
                  <c:v>11.326361230466128</c:v>
                </c:pt>
                <c:pt idx="79">
                  <c:v>11.511163199609049</c:v>
                </c:pt>
                <c:pt idx="80">
                  <c:v>11.549621636429023</c:v>
                </c:pt>
                <c:pt idx="81">
                  <c:v>11.43287080120859</c:v>
                </c:pt>
                <c:pt idx="82">
                  <c:v>11.658697555726295</c:v>
                </c:pt>
                <c:pt idx="83">
                  <c:v>11.703159824285489</c:v>
                </c:pt>
                <c:pt idx="84">
                  <c:v>11.411205949071357</c:v>
                </c:pt>
                <c:pt idx="85">
                  <c:v>12.053457222495844</c:v>
                </c:pt>
                <c:pt idx="86">
                  <c:v>11.734769160756006</c:v>
                </c:pt>
                <c:pt idx="87">
                  <c:v>11.81940164394244</c:v>
                </c:pt>
                <c:pt idx="88">
                  <c:v>11.942337362095586</c:v>
                </c:pt>
                <c:pt idx="89">
                  <c:v>12.12163689382672</c:v>
                </c:pt>
                <c:pt idx="90">
                  <c:v>12.208814113050641</c:v>
                </c:pt>
                <c:pt idx="91">
                  <c:v>11.749813749761548</c:v>
                </c:pt>
                <c:pt idx="92">
                  <c:v>11.684807956929504</c:v>
                </c:pt>
                <c:pt idx="93">
                  <c:v>11.516384712852961</c:v>
                </c:pt>
                <c:pt idx="94">
                  <c:v>11.012688545818641</c:v>
                </c:pt>
                <c:pt idx="95">
                  <c:v>10.76556554159353</c:v>
                </c:pt>
                <c:pt idx="96">
                  <c:v>10.599692558424474</c:v>
                </c:pt>
                <c:pt idx="97">
                  <c:v>10.660313061651426</c:v>
                </c:pt>
                <c:pt idx="98">
                  <c:v>10.452441207682607</c:v>
                </c:pt>
                <c:pt idx="99">
                  <c:v>10.763697295295589</c:v>
                </c:pt>
                <c:pt idx="100">
                  <c:v>10.457956770498999</c:v>
                </c:pt>
                <c:pt idx="101">
                  <c:v>10.41008104099161</c:v>
                </c:pt>
                <c:pt idx="102">
                  <c:v>10.246043342550106</c:v>
                </c:pt>
                <c:pt idx="103">
                  <c:v>10.10523514688437</c:v>
                </c:pt>
                <c:pt idx="104">
                  <c:v>9.7719016132129806</c:v>
                </c:pt>
                <c:pt idx="105">
                  <c:v>10.214303950940987</c:v>
                </c:pt>
                <c:pt idx="106">
                  <c:v>10.274624915910096</c:v>
                </c:pt>
                <c:pt idx="107">
                  <c:v>10.764614018624592</c:v>
                </c:pt>
                <c:pt idx="108">
                  <c:v>10.534395912014462</c:v>
                </c:pt>
                <c:pt idx="109">
                  <c:v>10.294413003296828</c:v>
                </c:pt>
                <c:pt idx="110">
                  <c:v>10.148441065401551</c:v>
                </c:pt>
                <c:pt idx="111">
                  <c:v>9.8841875885882722</c:v>
                </c:pt>
                <c:pt idx="112">
                  <c:v>10.050263237320294</c:v>
                </c:pt>
                <c:pt idx="113">
                  <c:v>10.093146377745866</c:v>
                </c:pt>
                <c:pt idx="114">
                  <c:v>10.280533097013537</c:v>
                </c:pt>
                <c:pt idx="115">
                  <c:v>10.417649633439792</c:v>
                </c:pt>
                <c:pt idx="116">
                  <c:v>10.637418579936551</c:v>
                </c:pt>
                <c:pt idx="117">
                  <c:v>10.367524820642299</c:v>
                </c:pt>
                <c:pt idx="118">
                  <c:v>10.772974460026171</c:v>
                </c:pt>
                <c:pt idx="119">
                  <c:v>10.096700959148357</c:v>
                </c:pt>
                <c:pt idx="120">
                  <c:v>10.037891578332452</c:v>
                </c:pt>
                <c:pt idx="121">
                  <c:v>10.144611152244046</c:v>
                </c:pt>
                <c:pt idx="122">
                  <c:v>9.9136693703340359</c:v>
                </c:pt>
                <c:pt idx="123">
                  <c:v>10.180857912913469</c:v>
                </c:pt>
                <c:pt idx="124">
                  <c:v>9.8998621861398099</c:v>
                </c:pt>
                <c:pt idx="125">
                  <c:v>9.9313525339259598</c:v>
                </c:pt>
                <c:pt idx="126">
                  <c:v>10.08530216478858</c:v>
                </c:pt>
                <c:pt idx="127">
                  <c:v>9.9155515039148252</c:v>
                </c:pt>
                <c:pt idx="128">
                  <c:v>9.9675990532389633</c:v>
                </c:pt>
                <c:pt idx="129">
                  <c:v>9.7854024395473083</c:v>
                </c:pt>
                <c:pt idx="130">
                  <c:v>9.7782931021994344</c:v>
                </c:pt>
                <c:pt idx="131">
                  <c:v>9.7291526560953532</c:v>
                </c:pt>
                <c:pt idx="132">
                  <c:v>10.038805944996955</c:v>
                </c:pt>
                <c:pt idx="133">
                  <c:v>9.8055878834925778</c:v>
                </c:pt>
                <c:pt idx="134">
                  <c:v>10.158336105238547</c:v>
                </c:pt>
                <c:pt idx="135">
                  <c:v>10.327810050156046</c:v>
                </c:pt>
                <c:pt idx="136">
                  <c:v>10.364723727905112</c:v>
                </c:pt>
                <c:pt idx="137">
                  <c:v>10.362172548651364</c:v>
                </c:pt>
                <c:pt idx="138">
                  <c:v>10.670325327702779</c:v>
                </c:pt>
                <c:pt idx="139">
                  <c:v>10.714208085819145</c:v>
                </c:pt>
                <c:pt idx="140">
                  <c:v>10.535528777341264</c:v>
                </c:pt>
                <c:pt idx="141">
                  <c:v>10.804034343451464</c:v>
                </c:pt>
                <c:pt idx="142">
                  <c:v>10.661242460257547</c:v>
                </c:pt>
                <c:pt idx="143">
                  <c:v>10.392214286679689</c:v>
                </c:pt>
                <c:pt idx="144">
                  <c:v>10.684043255652666</c:v>
                </c:pt>
                <c:pt idx="145">
                  <c:v>10.631459605808487</c:v>
                </c:pt>
                <c:pt idx="146">
                  <c:v>10.785200202018961</c:v>
                </c:pt>
                <c:pt idx="147">
                  <c:v>10.394592275023102</c:v>
                </c:pt>
                <c:pt idx="148">
                  <c:v>10.439801082974412</c:v>
                </c:pt>
                <c:pt idx="149">
                  <c:v>10.575045526606308</c:v>
                </c:pt>
                <c:pt idx="150">
                  <c:v>10.268606601361748</c:v>
                </c:pt>
                <c:pt idx="151">
                  <c:v>10.567667613165248</c:v>
                </c:pt>
                <c:pt idx="152">
                  <c:v>10.184888769716643</c:v>
                </c:pt>
                <c:pt idx="153">
                  <c:v>10.023716210498689</c:v>
                </c:pt>
                <c:pt idx="154">
                  <c:v>9.7004811842730305</c:v>
                </c:pt>
                <c:pt idx="155">
                  <c:v>9.7120061188237639</c:v>
                </c:pt>
                <c:pt idx="156">
                  <c:v>9.6774324542059844</c:v>
                </c:pt>
                <c:pt idx="157">
                  <c:v>9.9493677489797161</c:v>
                </c:pt>
                <c:pt idx="158">
                  <c:v>10.269653503969208</c:v>
                </c:pt>
                <c:pt idx="159">
                  <c:v>10.738364765373074</c:v>
                </c:pt>
                <c:pt idx="160">
                  <c:v>11.015104125521376</c:v>
                </c:pt>
                <c:pt idx="161">
                  <c:v>10.74213358948197</c:v>
                </c:pt>
                <c:pt idx="162">
                  <c:v>10.985646581232414</c:v>
                </c:pt>
                <c:pt idx="163">
                  <c:v>11.104398108456754</c:v>
                </c:pt>
                <c:pt idx="164">
                  <c:v>10.862442059304326</c:v>
                </c:pt>
                <c:pt idx="165">
                  <c:v>10.619273114310772</c:v>
                </c:pt>
                <c:pt idx="166">
                  <c:v>10.582361654555175</c:v>
                </c:pt>
                <c:pt idx="167">
                  <c:v>10.754006674534525</c:v>
                </c:pt>
                <c:pt idx="168">
                  <c:v>10.52780318595709</c:v>
                </c:pt>
                <c:pt idx="169">
                  <c:v>10.591489504511646</c:v>
                </c:pt>
                <c:pt idx="170">
                  <c:v>10.714280265560609</c:v>
                </c:pt>
                <c:pt idx="171">
                  <c:v>10.977609224807866</c:v>
                </c:pt>
                <c:pt idx="172">
                  <c:v>11.146607764271842</c:v>
                </c:pt>
                <c:pt idx="173">
                  <c:v>10.960916197311109</c:v>
                </c:pt>
                <c:pt idx="174">
                  <c:v>10.727532087799034</c:v>
                </c:pt>
                <c:pt idx="175">
                  <c:v>10.654475070575907</c:v>
                </c:pt>
                <c:pt idx="176">
                  <c:v>10.81205968372314</c:v>
                </c:pt>
                <c:pt idx="177">
                  <c:v>11.066048512821272</c:v>
                </c:pt>
                <c:pt idx="178">
                  <c:v>11.148176033294176</c:v>
                </c:pt>
                <c:pt idx="179">
                  <c:v>10.920245611865946</c:v>
                </c:pt>
                <c:pt idx="180">
                  <c:v>11.325124462191607</c:v>
                </c:pt>
                <c:pt idx="181">
                  <c:v>10.790835700034711</c:v>
                </c:pt>
                <c:pt idx="182">
                  <c:v>10.53038784679357</c:v>
                </c:pt>
                <c:pt idx="183">
                  <c:v>10.580460823787835</c:v>
                </c:pt>
                <c:pt idx="184">
                  <c:v>11.213684135872462</c:v>
                </c:pt>
                <c:pt idx="185">
                  <c:v>11.011668912127798</c:v>
                </c:pt>
                <c:pt idx="186">
                  <c:v>11.162880411785272</c:v>
                </c:pt>
                <c:pt idx="187">
                  <c:v>11.386736897897784</c:v>
                </c:pt>
                <c:pt idx="188">
                  <c:v>11.332913461659764</c:v>
                </c:pt>
                <c:pt idx="189">
                  <c:v>11.068724601394798</c:v>
                </c:pt>
                <c:pt idx="190">
                  <c:v>11.328092300186126</c:v>
                </c:pt>
                <c:pt idx="191">
                  <c:v>11.298024680026176</c:v>
                </c:pt>
                <c:pt idx="192">
                  <c:v>11.187451256373874</c:v>
                </c:pt>
                <c:pt idx="193">
                  <c:v>11.226686097179851</c:v>
                </c:pt>
                <c:pt idx="194">
                  <c:v>11.221481096757733</c:v>
                </c:pt>
                <c:pt idx="195">
                  <c:v>11.293837625786621</c:v>
                </c:pt>
                <c:pt idx="196">
                  <c:v>11.319610292285313</c:v>
                </c:pt>
                <c:pt idx="197">
                  <c:v>11.199123532763471</c:v>
                </c:pt>
                <c:pt idx="198">
                  <c:v>11.560050739343007</c:v>
                </c:pt>
                <c:pt idx="199">
                  <c:v>11.443438337880524</c:v>
                </c:pt>
                <c:pt idx="200">
                  <c:v>11.700215594300875</c:v>
                </c:pt>
                <c:pt idx="201">
                  <c:v>11.532277240597562</c:v>
                </c:pt>
                <c:pt idx="202">
                  <c:v>11.676169359075338</c:v>
                </c:pt>
                <c:pt idx="203">
                  <c:v>11.533090192364549</c:v>
                </c:pt>
                <c:pt idx="204">
                  <c:v>11.463949301606021</c:v>
                </c:pt>
                <c:pt idx="205">
                  <c:v>11.944102947392425</c:v>
                </c:pt>
                <c:pt idx="206">
                  <c:v>11.798201599819507</c:v>
                </c:pt>
                <c:pt idx="207">
                  <c:v>12.027271227047299</c:v>
                </c:pt>
                <c:pt idx="208">
                  <c:v>12.391485878217653</c:v>
                </c:pt>
                <c:pt idx="209">
                  <c:v>12.342175984106127</c:v>
                </c:pt>
                <c:pt idx="210">
                  <c:v>12.465546912060324</c:v>
                </c:pt>
                <c:pt idx="211">
                  <c:v>12.65626405524738</c:v>
                </c:pt>
                <c:pt idx="212">
                  <c:v>12.532157485766596</c:v>
                </c:pt>
                <c:pt idx="213">
                  <c:v>12.547543498305483</c:v>
                </c:pt>
                <c:pt idx="214">
                  <c:v>12.650117357628853</c:v>
                </c:pt>
                <c:pt idx="215">
                  <c:v>12.654291761569107</c:v>
                </c:pt>
                <c:pt idx="216">
                  <c:v>13.312765216506556</c:v>
                </c:pt>
                <c:pt idx="217">
                  <c:v>13.392269051687254</c:v>
                </c:pt>
                <c:pt idx="218">
                  <c:v>12.817197277288495</c:v>
                </c:pt>
                <c:pt idx="219">
                  <c:v>12.871804820889434</c:v>
                </c:pt>
                <c:pt idx="220">
                  <c:v>13.07764893876835</c:v>
                </c:pt>
                <c:pt idx="221">
                  <c:v>13.149307228066393</c:v>
                </c:pt>
                <c:pt idx="222">
                  <c:v>13.312236481105685</c:v>
                </c:pt>
                <c:pt idx="223">
                  <c:v>13.018030465463369</c:v>
                </c:pt>
                <c:pt idx="224">
                  <c:v>13.088368803138957</c:v>
                </c:pt>
                <c:pt idx="225">
                  <c:v>13.636288372676443</c:v>
                </c:pt>
                <c:pt idx="226">
                  <c:v>13.626056420851899</c:v>
                </c:pt>
                <c:pt idx="227">
                  <c:v>13.156094345208453</c:v>
                </c:pt>
                <c:pt idx="228">
                  <c:v>13.331892115705816</c:v>
                </c:pt>
                <c:pt idx="229">
                  <c:v>12.625701834938765</c:v>
                </c:pt>
                <c:pt idx="230">
                  <c:v>12.538451096978818</c:v>
                </c:pt>
                <c:pt idx="231">
                  <c:v>12.305946922189653</c:v>
                </c:pt>
                <c:pt idx="232">
                  <c:v>12.138071657682246</c:v>
                </c:pt>
                <c:pt idx="233">
                  <c:v>12.263778961141195</c:v>
                </c:pt>
                <c:pt idx="234">
                  <c:v>11.847559864236329</c:v>
                </c:pt>
                <c:pt idx="235">
                  <c:v>11.78796482293146</c:v>
                </c:pt>
                <c:pt idx="236">
                  <c:v>11.853239030455775</c:v>
                </c:pt>
                <c:pt idx="237">
                  <c:v>11.771101545553783</c:v>
                </c:pt>
                <c:pt idx="238">
                  <c:v>11.617633719421004</c:v>
                </c:pt>
                <c:pt idx="239">
                  <c:v>11.275792509053725</c:v>
                </c:pt>
                <c:pt idx="240">
                  <c:v>10.961482072916935</c:v>
                </c:pt>
                <c:pt idx="241">
                  <c:v>10.926208474632148</c:v>
                </c:pt>
                <c:pt idx="242">
                  <c:v>10.856872556437894</c:v>
                </c:pt>
                <c:pt idx="243">
                  <c:v>10.684665341262122</c:v>
                </c:pt>
                <c:pt idx="244">
                  <c:v>10.562334403851429</c:v>
                </c:pt>
                <c:pt idx="245">
                  <c:v>11.181285293427177</c:v>
                </c:pt>
                <c:pt idx="246">
                  <c:v>11.037252963014232</c:v>
                </c:pt>
                <c:pt idx="247">
                  <c:v>11.318460663629006</c:v>
                </c:pt>
                <c:pt idx="248">
                  <c:v>11.624679315515639</c:v>
                </c:pt>
                <c:pt idx="249">
                  <c:v>11.719119186083311</c:v>
                </c:pt>
                <c:pt idx="250">
                  <c:v>12.318229940818316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8A-49F3-B7A9-1C6F9B262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67928"/>
        <c:axId val="1"/>
      </c:scatterChart>
      <c:valAx>
        <c:axId val="913467928"/>
        <c:scaling>
          <c:orientation val="minMax"/>
          <c:max val="2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25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134679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</xdr:colOff>
      <xdr:row>11</xdr:row>
      <xdr:rowOff>38100</xdr:rowOff>
    </xdr:from>
    <xdr:to>
      <xdr:col>8</xdr:col>
      <xdr:colOff>449580</xdr:colOff>
      <xdr:row>32</xdr:row>
      <xdr:rowOff>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51ABA17D-E3B5-4051-8E66-5DD492D8B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</xdr:colOff>
      <xdr:row>11</xdr:row>
      <xdr:rowOff>72390</xdr:rowOff>
    </xdr:from>
    <xdr:to>
      <xdr:col>14</xdr:col>
      <xdr:colOff>520065</xdr:colOff>
      <xdr:row>34</xdr:row>
      <xdr:rowOff>68580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62DC1C81-53B6-41F6-B928-3ED98654B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 data"/>
      <sheetName val="Exercise 6 data 中文"/>
      <sheetName val="Exercise 6"/>
      <sheetName val="Exercise 6 中文"/>
    </sheetNames>
    <sheetDataSet>
      <sheetData sheetId="0" refreshError="1"/>
      <sheetData sheetId="1" refreshError="1"/>
      <sheetData sheetId="2">
        <row r="8">
          <cell r="A8">
            <v>0</v>
          </cell>
          <cell r="C8">
            <v>12</v>
          </cell>
        </row>
        <row r="9">
          <cell r="A9">
            <v>1</v>
          </cell>
          <cell r="C9">
            <v>11.943822770928961</v>
          </cell>
        </row>
        <row r="10">
          <cell r="A10">
            <v>2</v>
          </cell>
          <cell r="C10">
            <v>11.766324742407088</v>
          </cell>
        </row>
        <row r="11">
          <cell r="A11">
            <v>3</v>
          </cell>
          <cell r="C11">
            <v>12.102083629679736</v>
          </cell>
        </row>
        <row r="12">
          <cell r="A12">
            <v>4</v>
          </cell>
          <cell r="C12">
            <v>12.029447031337661</v>
          </cell>
        </row>
        <row r="13">
          <cell r="A13">
            <v>5</v>
          </cell>
          <cell r="C13">
            <v>12.083513237951111</v>
          </cell>
        </row>
        <row r="14">
          <cell r="A14">
            <v>6</v>
          </cell>
          <cell r="C14">
            <v>11.7858391161959</v>
          </cell>
        </row>
        <row r="15">
          <cell r="A15">
            <v>7</v>
          </cell>
          <cell r="C15">
            <v>11.949338149169945</v>
          </cell>
        </row>
        <row r="16">
          <cell r="A16">
            <v>8</v>
          </cell>
          <cell r="C16">
            <v>12.022051970835019</v>
          </cell>
        </row>
        <row r="17">
          <cell r="A17">
            <v>9</v>
          </cell>
          <cell r="C17">
            <v>12.031615209500316</v>
          </cell>
        </row>
        <row r="18">
          <cell r="A18">
            <v>10</v>
          </cell>
          <cell r="C18">
            <v>12.019796620361593</v>
          </cell>
        </row>
        <row r="19">
          <cell r="A19">
            <v>11</v>
          </cell>
          <cell r="C19">
            <v>11.912330269542094</v>
          </cell>
        </row>
        <row r="20">
          <cell r="A20">
            <v>12</v>
          </cell>
          <cell r="C20">
            <v>12.629438073388609</v>
          </cell>
        </row>
        <row r="21">
          <cell r="A21">
            <v>13</v>
          </cell>
          <cell r="C21">
            <v>12.647203187735897</v>
          </cell>
        </row>
        <row r="22">
          <cell r="A22">
            <v>14</v>
          </cell>
          <cell r="C22">
            <v>12.992731242731919</v>
          </cell>
        </row>
        <row r="23">
          <cell r="A23">
            <v>15</v>
          </cell>
          <cell r="C23">
            <v>13.067451654204591</v>
          </cell>
        </row>
        <row r="24">
          <cell r="A24">
            <v>16</v>
          </cell>
          <cell r="C24">
            <v>13.161946915335321</v>
          </cell>
        </row>
        <row r="25">
          <cell r="A25">
            <v>17</v>
          </cell>
          <cell r="C25">
            <v>13.208631173629088</v>
          </cell>
        </row>
        <row r="26">
          <cell r="A26">
            <v>18</v>
          </cell>
          <cell r="C26">
            <v>12.672064467932062</v>
          </cell>
        </row>
        <row r="27">
          <cell r="A27">
            <v>19</v>
          </cell>
          <cell r="C27">
            <v>12.627940227058316</v>
          </cell>
        </row>
        <row r="28">
          <cell r="A28">
            <v>20</v>
          </cell>
          <cell r="C28">
            <v>12.143913008583318</v>
          </cell>
        </row>
        <row r="29">
          <cell r="A29">
            <v>21</v>
          </cell>
          <cell r="C29">
            <v>11.759497303558387</v>
          </cell>
        </row>
        <row r="30">
          <cell r="A30">
            <v>22</v>
          </cell>
          <cell r="C30">
            <v>11.335747098440482</v>
          </cell>
        </row>
        <row r="31">
          <cell r="A31">
            <v>23</v>
          </cell>
          <cell r="C31">
            <v>11.401514280454929</v>
          </cell>
        </row>
        <row r="32">
          <cell r="A32">
            <v>24</v>
          </cell>
          <cell r="C32">
            <v>11.236924489836571</v>
          </cell>
        </row>
        <row r="33">
          <cell r="A33">
            <v>25</v>
          </cell>
          <cell r="C33">
            <v>11.138590435254111</v>
          </cell>
        </row>
        <row r="34">
          <cell r="A34">
            <v>26</v>
          </cell>
          <cell r="C34">
            <v>11.178361254683761</v>
          </cell>
        </row>
        <row r="35">
          <cell r="A35">
            <v>27</v>
          </cell>
          <cell r="C35">
            <v>11.042105108851564</v>
          </cell>
        </row>
        <row r="36">
          <cell r="A36">
            <v>28</v>
          </cell>
          <cell r="C36">
            <v>11.163839981022951</v>
          </cell>
        </row>
        <row r="37">
          <cell r="A37">
            <v>29</v>
          </cell>
          <cell r="C37">
            <v>11.23009900493533</v>
          </cell>
        </row>
        <row r="38">
          <cell r="A38">
            <v>30</v>
          </cell>
          <cell r="C38">
            <v>11.124590462900116</v>
          </cell>
        </row>
        <row r="39">
          <cell r="A39">
            <v>31</v>
          </cell>
          <cell r="C39">
            <v>10.961880179704051</v>
          </cell>
        </row>
        <row r="40">
          <cell r="A40">
            <v>32</v>
          </cell>
          <cell r="C40">
            <v>11.097511226584034</v>
          </cell>
        </row>
        <row r="41">
          <cell r="A41">
            <v>33</v>
          </cell>
          <cell r="C41">
            <v>11.074882142466391</v>
          </cell>
        </row>
        <row r="42">
          <cell r="A42">
            <v>34</v>
          </cell>
          <cell r="C42">
            <v>11.296568237796693</v>
          </cell>
        </row>
        <row r="43">
          <cell r="A43">
            <v>35</v>
          </cell>
          <cell r="C43">
            <v>11.421960147346772</v>
          </cell>
        </row>
        <row r="44">
          <cell r="A44">
            <v>36</v>
          </cell>
          <cell r="C44">
            <v>11.679622977712985</v>
          </cell>
        </row>
        <row r="45">
          <cell r="A45">
            <v>37</v>
          </cell>
          <cell r="C45">
            <v>11.834077830170211</v>
          </cell>
        </row>
        <row r="46">
          <cell r="A46">
            <v>38</v>
          </cell>
          <cell r="C46">
            <v>12.106923763001035</v>
          </cell>
        </row>
        <row r="47">
          <cell r="A47">
            <v>39</v>
          </cell>
          <cell r="C47">
            <v>12.314140313871315</v>
          </cell>
        </row>
        <row r="48">
          <cell r="A48">
            <v>40</v>
          </cell>
          <cell r="C48">
            <v>12.240706281149722</v>
          </cell>
        </row>
        <row r="49">
          <cell r="A49">
            <v>41</v>
          </cell>
          <cell r="C49">
            <v>12.413399469852928</v>
          </cell>
        </row>
        <row r="50">
          <cell r="A50">
            <v>42</v>
          </cell>
          <cell r="C50">
            <v>12.970300973260867</v>
          </cell>
        </row>
        <row r="51">
          <cell r="A51">
            <v>43</v>
          </cell>
          <cell r="C51">
            <v>12.840150096739876</v>
          </cell>
        </row>
        <row r="52">
          <cell r="A52">
            <v>44</v>
          </cell>
          <cell r="C52">
            <v>12.872580852278425</v>
          </cell>
        </row>
        <row r="53">
          <cell r="A53">
            <v>45</v>
          </cell>
          <cell r="C53">
            <v>13.288904894727752</v>
          </cell>
        </row>
        <row r="54">
          <cell r="A54">
            <v>46</v>
          </cell>
          <cell r="C54">
            <v>13.411958882433073</v>
          </cell>
        </row>
        <row r="55">
          <cell r="A55">
            <v>47</v>
          </cell>
          <cell r="C55">
            <v>13.861633470291025</v>
          </cell>
        </row>
        <row r="56">
          <cell r="A56">
            <v>48</v>
          </cell>
          <cell r="C56">
            <v>13.736154885934047</v>
          </cell>
        </row>
        <row r="57">
          <cell r="A57">
            <v>49</v>
          </cell>
          <cell r="C57">
            <v>13.424643217562855</v>
          </cell>
        </row>
        <row r="58">
          <cell r="A58">
            <v>50</v>
          </cell>
          <cell r="C58">
            <v>13.008933760806372</v>
          </cell>
        </row>
        <row r="59">
          <cell r="A59">
            <v>51</v>
          </cell>
          <cell r="C59">
            <v>12.489813891655823</v>
          </cell>
        </row>
        <row r="60">
          <cell r="A60">
            <v>52</v>
          </cell>
          <cell r="C60">
            <v>12.382030407930193</v>
          </cell>
        </row>
        <row r="61">
          <cell r="A61">
            <v>53</v>
          </cell>
          <cell r="C61">
            <v>12.802794733662513</v>
          </cell>
        </row>
        <row r="62">
          <cell r="A62">
            <v>54</v>
          </cell>
          <cell r="C62">
            <v>12.69040757565203</v>
          </cell>
        </row>
        <row r="63">
          <cell r="A63">
            <v>55</v>
          </cell>
          <cell r="C63">
            <v>12.591374573025032</v>
          </cell>
        </row>
        <row r="64">
          <cell r="A64">
            <v>56</v>
          </cell>
          <cell r="C64">
            <v>12.488492411041433</v>
          </cell>
        </row>
        <row r="65">
          <cell r="A65">
            <v>57</v>
          </cell>
          <cell r="C65">
            <v>12.768830623410137</v>
          </cell>
        </row>
        <row r="66">
          <cell r="A66">
            <v>58</v>
          </cell>
          <cell r="C66">
            <v>12.62604580877559</v>
          </cell>
        </row>
        <row r="67">
          <cell r="A67">
            <v>59</v>
          </cell>
          <cell r="C67">
            <v>12.789284726298904</v>
          </cell>
        </row>
        <row r="68">
          <cell r="A68">
            <v>60</v>
          </cell>
          <cell r="C68">
            <v>13.037619642665996</v>
          </cell>
        </row>
        <row r="69">
          <cell r="A69">
            <v>61</v>
          </cell>
          <cell r="C69">
            <v>12.644930011451674</v>
          </cell>
        </row>
        <row r="70">
          <cell r="A70">
            <v>62</v>
          </cell>
          <cell r="C70">
            <v>13.224480322590388</v>
          </cell>
        </row>
        <row r="71">
          <cell r="A71">
            <v>63</v>
          </cell>
          <cell r="C71">
            <v>13.284789456117656</v>
          </cell>
        </row>
        <row r="72">
          <cell r="A72">
            <v>64</v>
          </cell>
          <cell r="C72">
            <v>13.550200116084335</v>
          </cell>
        </row>
        <row r="73">
          <cell r="A73">
            <v>65</v>
          </cell>
          <cell r="C73">
            <v>13.52366151294931</v>
          </cell>
        </row>
        <row r="74">
          <cell r="A74">
            <v>66</v>
          </cell>
          <cell r="C74">
            <v>13.548269761844869</v>
          </cell>
        </row>
        <row r="75">
          <cell r="A75">
            <v>67</v>
          </cell>
          <cell r="C75">
            <v>13.665126394805249</v>
          </cell>
        </row>
        <row r="76">
          <cell r="A76">
            <v>68</v>
          </cell>
          <cell r="C76">
            <v>13.628875038665003</v>
          </cell>
        </row>
        <row r="77">
          <cell r="A77">
            <v>69</v>
          </cell>
          <cell r="C77">
            <v>14.122412430371016</v>
          </cell>
        </row>
        <row r="78">
          <cell r="A78">
            <v>70</v>
          </cell>
          <cell r="C78">
            <v>14.302938283543682</v>
          </cell>
        </row>
        <row r="79">
          <cell r="A79">
            <v>71</v>
          </cell>
          <cell r="C79">
            <v>13.963693103500395</v>
          </cell>
        </row>
        <row r="80">
          <cell r="A80">
            <v>72</v>
          </cell>
          <cell r="C80">
            <v>14.167653329735748</v>
          </cell>
        </row>
        <row r="81">
          <cell r="A81">
            <v>73</v>
          </cell>
          <cell r="C81">
            <v>14.53286403879248</v>
          </cell>
        </row>
        <row r="82">
          <cell r="A82">
            <v>74</v>
          </cell>
          <cell r="C82">
            <v>13.967611788692867</v>
          </cell>
        </row>
        <row r="83">
          <cell r="A83">
            <v>75</v>
          </cell>
          <cell r="C83">
            <v>13.879761991931273</v>
          </cell>
        </row>
        <row r="84">
          <cell r="A84">
            <v>76</v>
          </cell>
          <cell r="C84">
            <v>13.569990087838693</v>
          </cell>
        </row>
        <row r="85">
          <cell r="A85">
            <v>77</v>
          </cell>
          <cell r="C85">
            <v>13.865731795411241</v>
          </cell>
        </row>
        <row r="86">
          <cell r="A86">
            <v>78</v>
          </cell>
          <cell r="C86">
            <v>14.017587745714803</v>
          </cell>
        </row>
        <row r="87">
          <cell r="A87">
            <v>79</v>
          </cell>
          <cell r="C87">
            <v>14.104451053688278</v>
          </cell>
        </row>
        <row r="88">
          <cell r="A88">
            <v>80</v>
          </cell>
          <cell r="C88">
            <v>14.379357618555378</v>
          </cell>
        </row>
        <row r="89">
          <cell r="A89">
            <v>81</v>
          </cell>
          <cell r="C89">
            <v>14.544379193478576</v>
          </cell>
        </row>
        <row r="90">
          <cell r="A90">
            <v>82</v>
          </cell>
          <cell r="C90">
            <v>14.762443311650634</v>
          </cell>
        </row>
        <row r="91">
          <cell r="A91">
            <v>83</v>
          </cell>
          <cell r="C91">
            <v>14.59974418139592</v>
          </cell>
        </row>
        <row r="92">
          <cell r="A92">
            <v>84</v>
          </cell>
          <cell r="C92">
            <v>14.771530486658619</v>
          </cell>
        </row>
        <row r="93">
          <cell r="A93">
            <v>85</v>
          </cell>
          <cell r="C93">
            <v>14.810855238415266</v>
          </cell>
        </row>
        <row r="94">
          <cell r="A94">
            <v>86</v>
          </cell>
          <cell r="C94">
            <v>14.829244023185675</v>
          </cell>
        </row>
        <row r="95">
          <cell r="A95">
            <v>87</v>
          </cell>
          <cell r="C95">
            <v>14.702991193028096</v>
          </cell>
        </row>
        <row r="96">
          <cell r="A96">
            <v>88</v>
          </cell>
          <cell r="C96">
            <v>14.418110923786866</v>
          </cell>
        </row>
        <row r="97">
          <cell r="A97">
            <v>89</v>
          </cell>
          <cell r="C97">
            <v>14.579653453939251</v>
          </cell>
        </row>
        <row r="98">
          <cell r="A98">
            <v>90</v>
          </cell>
          <cell r="C98">
            <v>14.967100544323133</v>
          </cell>
        </row>
        <row r="99">
          <cell r="A99">
            <v>91</v>
          </cell>
          <cell r="C99">
            <v>14.68931733680308</v>
          </cell>
        </row>
        <row r="100">
          <cell r="A100">
            <v>92</v>
          </cell>
          <cell r="C100">
            <v>14.879623186186889</v>
          </cell>
        </row>
        <row r="101">
          <cell r="A101">
            <v>93</v>
          </cell>
          <cell r="C101">
            <v>14.53936901669144</v>
          </cell>
        </row>
        <row r="102">
          <cell r="A102">
            <v>94</v>
          </cell>
          <cell r="C102">
            <v>14.563273534957821</v>
          </cell>
        </row>
        <row r="103">
          <cell r="A103">
            <v>95</v>
          </cell>
          <cell r="C103">
            <v>14.759205676334899</v>
          </cell>
        </row>
        <row r="104">
          <cell r="A104">
            <v>96</v>
          </cell>
          <cell r="C104">
            <v>14.782956043222267</v>
          </cell>
        </row>
        <row r="105">
          <cell r="A105">
            <v>97</v>
          </cell>
          <cell r="C105">
            <v>14.929834450675822</v>
          </cell>
        </row>
        <row r="106">
          <cell r="A106">
            <v>98</v>
          </cell>
          <cell r="C106">
            <v>15.1685475257755</v>
          </cell>
        </row>
        <row r="107">
          <cell r="A107">
            <v>99</v>
          </cell>
          <cell r="C107">
            <v>14.90368622116201</v>
          </cell>
        </row>
        <row r="108">
          <cell r="A108">
            <v>100</v>
          </cell>
          <cell r="C108">
            <v>15.21758404979269</v>
          </cell>
        </row>
        <row r="109">
          <cell r="A109">
            <v>101</v>
          </cell>
          <cell r="C109">
            <v>14.832726311943933</v>
          </cell>
        </row>
        <row r="110">
          <cell r="A110">
            <v>102</v>
          </cell>
          <cell r="C110">
            <v>14.602485479107665</v>
          </cell>
        </row>
        <row r="111">
          <cell r="A111">
            <v>103</v>
          </cell>
          <cell r="C111">
            <v>14.87291558141809</v>
          </cell>
        </row>
        <row r="112">
          <cell r="A112">
            <v>104</v>
          </cell>
          <cell r="C112">
            <v>14.906923084471876</v>
          </cell>
        </row>
        <row r="113">
          <cell r="A113">
            <v>105</v>
          </cell>
          <cell r="C113">
            <v>15.173808526401709</v>
          </cell>
        </row>
        <row r="114">
          <cell r="A114">
            <v>106</v>
          </cell>
          <cell r="C114">
            <v>15.135909323733348</v>
          </cell>
        </row>
        <row r="115">
          <cell r="A115">
            <v>107</v>
          </cell>
          <cell r="C115">
            <v>15.249222360630906</v>
          </cell>
        </row>
        <row r="116">
          <cell r="A116">
            <v>108</v>
          </cell>
          <cell r="C116">
            <v>15.427669938579164</v>
          </cell>
        </row>
        <row r="117">
          <cell r="A117">
            <v>109</v>
          </cell>
          <cell r="C117">
            <v>15.661851047707055</v>
          </cell>
        </row>
        <row r="118">
          <cell r="A118">
            <v>110</v>
          </cell>
          <cell r="C118">
            <v>15.343921833578102</v>
          </cell>
        </row>
        <row r="119">
          <cell r="A119">
            <v>111</v>
          </cell>
          <cell r="C119">
            <v>15.439385433772879</v>
          </cell>
        </row>
        <row r="120">
          <cell r="A120">
            <v>112</v>
          </cell>
          <cell r="C120">
            <v>15.50434384233278</v>
          </cell>
        </row>
        <row r="121">
          <cell r="A121">
            <v>113</v>
          </cell>
          <cell r="C121">
            <v>15.927200230723129</v>
          </cell>
        </row>
        <row r="122">
          <cell r="A122">
            <v>114</v>
          </cell>
          <cell r="C122">
            <v>16.49361764025879</v>
          </cell>
        </row>
        <row r="123">
          <cell r="A123">
            <v>115</v>
          </cell>
          <cell r="C123">
            <v>15.812193219928396</v>
          </cell>
        </row>
        <row r="124">
          <cell r="A124">
            <v>116</v>
          </cell>
          <cell r="C124">
            <v>16.393560879991991</v>
          </cell>
        </row>
        <row r="125">
          <cell r="A125">
            <v>117</v>
          </cell>
          <cell r="C125">
            <v>16.816649638200719</v>
          </cell>
        </row>
        <row r="126">
          <cell r="A126">
            <v>118</v>
          </cell>
          <cell r="C126">
            <v>16.50879157520647</v>
          </cell>
        </row>
        <row r="127">
          <cell r="A127">
            <v>119</v>
          </cell>
          <cell r="C127">
            <v>15.94503718983418</v>
          </cell>
        </row>
        <row r="128">
          <cell r="A128">
            <v>120</v>
          </cell>
          <cell r="C128">
            <v>16.426042065202921</v>
          </cell>
        </row>
        <row r="129">
          <cell r="A129">
            <v>121</v>
          </cell>
          <cell r="C129">
            <v>17.171467979566206</v>
          </cell>
        </row>
        <row r="130">
          <cell r="A130">
            <v>122</v>
          </cell>
          <cell r="C130">
            <v>16.782883758269971</v>
          </cell>
        </row>
        <row r="131">
          <cell r="A131">
            <v>123</v>
          </cell>
          <cell r="C131">
            <v>17.18985191507814</v>
          </cell>
        </row>
        <row r="132">
          <cell r="A132">
            <v>124</v>
          </cell>
          <cell r="C132">
            <v>17.727082826884843</v>
          </cell>
        </row>
        <row r="133">
          <cell r="A133">
            <v>125</v>
          </cell>
          <cell r="C133">
            <v>18.030425026828119</v>
          </cell>
        </row>
        <row r="134">
          <cell r="A134">
            <v>126</v>
          </cell>
          <cell r="C134">
            <v>18.679827338506069</v>
          </cell>
        </row>
        <row r="135">
          <cell r="A135">
            <v>127</v>
          </cell>
          <cell r="C135">
            <v>18.73122166473107</v>
          </cell>
        </row>
        <row r="136">
          <cell r="A136">
            <v>128</v>
          </cell>
          <cell r="C136">
            <v>18.392205494095727</v>
          </cell>
        </row>
        <row r="137">
          <cell r="A137">
            <v>129</v>
          </cell>
          <cell r="C137">
            <v>18.398441702261749</v>
          </cell>
        </row>
        <row r="138">
          <cell r="A138">
            <v>130</v>
          </cell>
          <cell r="C138">
            <v>18.589204258561772</v>
          </cell>
        </row>
        <row r="139">
          <cell r="A139">
            <v>131</v>
          </cell>
          <cell r="C139">
            <v>18.08311815806336</v>
          </cell>
        </row>
        <row r="140">
          <cell r="A140">
            <v>132</v>
          </cell>
          <cell r="C140">
            <v>17.941288891540697</v>
          </cell>
        </row>
        <row r="141">
          <cell r="A141">
            <v>133</v>
          </cell>
          <cell r="C141">
            <v>18.130359281095856</v>
          </cell>
        </row>
        <row r="142">
          <cell r="A142">
            <v>134</v>
          </cell>
          <cell r="C142">
            <v>18.360997741394854</v>
          </cell>
        </row>
        <row r="143">
          <cell r="A143">
            <v>135</v>
          </cell>
          <cell r="C143">
            <v>17.701678741070431</v>
          </cell>
        </row>
        <row r="144">
          <cell r="A144">
            <v>136</v>
          </cell>
          <cell r="C144">
            <v>17.758599277947674</v>
          </cell>
        </row>
        <row r="145">
          <cell r="A145">
            <v>137</v>
          </cell>
          <cell r="C145">
            <v>18.253981655773014</v>
          </cell>
        </row>
        <row r="146">
          <cell r="A146">
            <v>138</v>
          </cell>
          <cell r="C146">
            <v>18.189103641608611</v>
          </cell>
        </row>
        <row r="147">
          <cell r="A147">
            <v>139</v>
          </cell>
          <cell r="C147">
            <v>18.310864309001136</v>
          </cell>
        </row>
        <row r="148">
          <cell r="A148">
            <v>140</v>
          </cell>
          <cell r="C148">
            <v>18.299517535558767</v>
          </cell>
        </row>
        <row r="149">
          <cell r="A149">
            <v>141</v>
          </cell>
          <cell r="C149">
            <v>18.192489231952287</v>
          </cell>
        </row>
        <row r="150">
          <cell r="A150">
            <v>142</v>
          </cell>
          <cell r="C150">
            <v>18.104778698145807</v>
          </cell>
        </row>
        <row r="151">
          <cell r="A151">
            <v>143</v>
          </cell>
          <cell r="C151">
            <v>18.140804678179521</v>
          </cell>
        </row>
        <row r="152">
          <cell r="A152">
            <v>144</v>
          </cell>
          <cell r="C152">
            <v>17.817685261479983</v>
          </cell>
        </row>
        <row r="153">
          <cell r="A153">
            <v>145</v>
          </cell>
          <cell r="C153">
            <v>17.414378012874412</v>
          </cell>
        </row>
        <row r="154">
          <cell r="A154">
            <v>146</v>
          </cell>
          <cell r="C154">
            <v>17.356555406534913</v>
          </cell>
        </row>
        <row r="155">
          <cell r="A155">
            <v>147</v>
          </cell>
          <cell r="C155">
            <v>16.962782328164629</v>
          </cell>
        </row>
        <row r="156">
          <cell r="A156">
            <v>148</v>
          </cell>
          <cell r="C156">
            <v>16.932180601288806</v>
          </cell>
        </row>
        <row r="157">
          <cell r="A157">
            <v>149</v>
          </cell>
          <cell r="C157">
            <v>17.04813155262552</v>
          </cell>
        </row>
        <row r="158">
          <cell r="A158">
            <v>150</v>
          </cell>
          <cell r="C158">
            <v>17.053470569972976</v>
          </cell>
        </row>
        <row r="159">
          <cell r="A159">
            <v>151</v>
          </cell>
          <cell r="C159">
            <v>16.848933848651924</v>
          </cell>
        </row>
        <row r="160">
          <cell r="A160">
            <v>152</v>
          </cell>
          <cell r="C160">
            <v>17.249414666590067</v>
          </cell>
        </row>
        <row r="161">
          <cell r="A161">
            <v>153</v>
          </cell>
          <cell r="C161">
            <v>17.818254259347878</v>
          </cell>
        </row>
        <row r="162">
          <cell r="A162">
            <v>154</v>
          </cell>
          <cell r="C162">
            <v>17.82019883259796</v>
          </cell>
        </row>
        <row r="163">
          <cell r="A163">
            <v>155</v>
          </cell>
          <cell r="C163">
            <v>17.951546009159024</v>
          </cell>
        </row>
        <row r="164">
          <cell r="A164">
            <v>156</v>
          </cell>
          <cell r="C164">
            <v>17.792698407803375</v>
          </cell>
        </row>
        <row r="165">
          <cell r="A165">
            <v>157</v>
          </cell>
          <cell r="C165">
            <v>18.27943129317006</v>
          </cell>
        </row>
        <row r="166">
          <cell r="A166">
            <v>158</v>
          </cell>
          <cell r="C166">
            <v>18.231382877812447</v>
          </cell>
        </row>
        <row r="167">
          <cell r="A167">
            <v>159</v>
          </cell>
          <cell r="C167">
            <v>17.974915977884301</v>
          </cell>
        </row>
        <row r="168">
          <cell r="A168">
            <v>160</v>
          </cell>
          <cell r="C168">
            <v>17.825499418924331</v>
          </cell>
        </row>
        <row r="169">
          <cell r="A169">
            <v>161</v>
          </cell>
          <cell r="C169">
            <v>17.462854627621159</v>
          </cell>
        </row>
        <row r="170">
          <cell r="A170">
            <v>162</v>
          </cell>
          <cell r="C170">
            <v>17.735624402160887</v>
          </cell>
        </row>
        <row r="171">
          <cell r="A171">
            <v>163</v>
          </cell>
          <cell r="C171">
            <v>18.187316860332654</v>
          </cell>
        </row>
        <row r="172">
          <cell r="A172">
            <v>164</v>
          </cell>
          <cell r="C172">
            <v>17.853697298102961</v>
          </cell>
        </row>
        <row r="173">
          <cell r="A173">
            <v>165</v>
          </cell>
          <cell r="C173">
            <v>17.981030299944081</v>
          </cell>
        </row>
        <row r="174">
          <cell r="A174">
            <v>166</v>
          </cell>
          <cell r="C174">
            <v>17.251548546405445</v>
          </cell>
        </row>
        <row r="175">
          <cell r="A175">
            <v>167</v>
          </cell>
          <cell r="C175">
            <v>17.364451917408349</v>
          </cell>
        </row>
        <row r="176">
          <cell r="A176">
            <v>168</v>
          </cell>
          <cell r="C176">
            <v>17.619646844382434</v>
          </cell>
        </row>
        <row r="177">
          <cell r="A177">
            <v>169</v>
          </cell>
          <cell r="C177">
            <v>16.873401324991491</v>
          </cell>
        </row>
        <row r="178">
          <cell r="A178">
            <v>170</v>
          </cell>
          <cell r="C178">
            <v>16.891879597492835</v>
          </cell>
        </row>
        <row r="179">
          <cell r="A179">
            <v>171</v>
          </cell>
          <cell r="C179">
            <v>17.220837363723803</v>
          </cell>
        </row>
        <row r="180">
          <cell r="A180">
            <v>172</v>
          </cell>
          <cell r="C180">
            <v>17.329569363008151</v>
          </cell>
        </row>
        <row r="181">
          <cell r="A181">
            <v>173</v>
          </cell>
          <cell r="C181">
            <v>17.934240578800228</v>
          </cell>
        </row>
        <row r="182">
          <cell r="A182">
            <v>174</v>
          </cell>
          <cell r="C182">
            <v>17.889558335711328</v>
          </cell>
        </row>
        <row r="183">
          <cell r="A183">
            <v>175</v>
          </cell>
          <cell r="C183">
            <v>17.486457964183764</v>
          </cell>
        </row>
        <row r="184">
          <cell r="A184">
            <v>176</v>
          </cell>
          <cell r="C184">
            <v>17.278240399580053</v>
          </cell>
        </row>
        <row r="185">
          <cell r="A185">
            <v>177</v>
          </cell>
          <cell r="C185">
            <v>17.621682198321007</v>
          </cell>
        </row>
        <row r="186">
          <cell r="A186">
            <v>178</v>
          </cell>
          <cell r="C186">
            <v>17.473132433316589</v>
          </cell>
        </row>
        <row r="187">
          <cell r="A187">
            <v>179</v>
          </cell>
          <cell r="C187">
            <v>18.208288297069711</v>
          </cell>
        </row>
        <row r="188">
          <cell r="A188">
            <v>180</v>
          </cell>
          <cell r="C188">
            <v>18.377200440451617</v>
          </cell>
        </row>
        <row r="189">
          <cell r="A189">
            <v>181</v>
          </cell>
          <cell r="C189">
            <v>18.621878201417669</v>
          </cell>
        </row>
        <row r="190">
          <cell r="A190">
            <v>182</v>
          </cell>
          <cell r="C190">
            <v>18.833398301160724</v>
          </cell>
        </row>
        <row r="191">
          <cell r="A191">
            <v>183</v>
          </cell>
          <cell r="C191">
            <v>18.567255137073005</v>
          </cell>
        </row>
        <row r="192">
          <cell r="A192">
            <v>184</v>
          </cell>
          <cell r="C192">
            <v>18.580573502875971</v>
          </cell>
        </row>
        <row r="193">
          <cell r="A193">
            <v>185</v>
          </cell>
          <cell r="C193">
            <v>17.636147694207693</v>
          </cell>
        </row>
        <row r="194">
          <cell r="A194">
            <v>186</v>
          </cell>
          <cell r="C194">
            <v>17.520353460697716</v>
          </cell>
        </row>
        <row r="195">
          <cell r="A195">
            <v>187</v>
          </cell>
          <cell r="C195">
            <v>17.199083971082796</v>
          </cell>
        </row>
        <row r="196">
          <cell r="A196">
            <v>188</v>
          </cell>
          <cell r="C196">
            <v>16.556972252067911</v>
          </cell>
        </row>
        <row r="197">
          <cell r="A197">
            <v>189</v>
          </cell>
          <cell r="C197">
            <v>16.810431404199306</v>
          </cell>
        </row>
        <row r="198">
          <cell r="A198">
            <v>190</v>
          </cell>
          <cell r="C198">
            <v>16.683670246187074</v>
          </cell>
        </row>
        <row r="199">
          <cell r="A199">
            <v>191</v>
          </cell>
          <cell r="C199">
            <v>16.747325978073977</v>
          </cell>
        </row>
        <row r="200">
          <cell r="A200">
            <v>192</v>
          </cell>
          <cell r="C200">
            <v>16.553028389011896</v>
          </cell>
        </row>
        <row r="201">
          <cell r="A201">
            <v>193</v>
          </cell>
          <cell r="C201">
            <v>16.834750631573446</v>
          </cell>
        </row>
        <row r="202">
          <cell r="A202">
            <v>194</v>
          </cell>
          <cell r="C202">
            <v>16.883103900895655</v>
          </cell>
        </row>
        <row r="203">
          <cell r="A203">
            <v>195</v>
          </cell>
          <cell r="C203">
            <v>17.67455763671294</v>
          </cell>
        </row>
        <row r="204">
          <cell r="A204">
            <v>196</v>
          </cell>
          <cell r="C204">
            <v>17.840467232469091</v>
          </cell>
        </row>
        <row r="205">
          <cell r="A205">
            <v>197</v>
          </cell>
          <cell r="C205">
            <v>17.836270233624095</v>
          </cell>
        </row>
        <row r="206">
          <cell r="A206">
            <v>198</v>
          </cell>
          <cell r="C206">
            <v>18.499513414880788</v>
          </cell>
        </row>
        <row r="207">
          <cell r="A207">
            <v>199</v>
          </cell>
          <cell r="C207">
            <v>18.793385503172434</v>
          </cell>
        </row>
        <row r="208">
          <cell r="A208">
            <v>200</v>
          </cell>
          <cell r="C208">
            <v>18.169860366389944</v>
          </cell>
        </row>
        <row r="209">
          <cell r="A209">
            <v>201</v>
          </cell>
          <cell r="C209">
            <v>18.628536725506841</v>
          </cell>
        </row>
        <row r="210">
          <cell r="A210">
            <v>202</v>
          </cell>
          <cell r="C210">
            <v>18.906360258936509</v>
          </cell>
        </row>
        <row r="211">
          <cell r="A211">
            <v>203</v>
          </cell>
          <cell r="C211">
            <v>19.236909156592173</v>
          </cell>
        </row>
        <row r="212">
          <cell r="A212">
            <v>204</v>
          </cell>
          <cell r="C212">
            <v>19.516946739142458</v>
          </cell>
        </row>
        <row r="213">
          <cell r="A213">
            <v>205</v>
          </cell>
          <cell r="C213">
            <v>20.445011742737574</v>
          </cell>
        </row>
        <row r="214">
          <cell r="A214">
            <v>206</v>
          </cell>
          <cell r="C214">
            <v>20.354956930281002</v>
          </cell>
        </row>
        <row r="215">
          <cell r="A215">
            <v>207</v>
          </cell>
          <cell r="C215">
            <v>20.033293289719065</v>
          </cell>
        </row>
        <row r="216">
          <cell r="A216">
            <v>208</v>
          </cell>
          <cell r="C216">
            <v>19.147109599461782</v>
          </cell>
        </row>
        <row r="217">
          <cell r="A217">
            <v>209</v>
          </cell>
          <cell r="C217">
            <v>19.19536999117452</v>
          </cell>
        </row>
        <row r="218">
          <cell r="A218">
            <v>210</v>
          </cell>
          <cell r="C218">
            <v>18.735837419621543</v>
          </cell>
        </row>
        <row r="219">
          <cell r="A219">
            <v>211</v>
          </cell>
          <cell r="C219">
            <v>18.84092380184833</v>
          </cell>
        </row>
        <row r="220">
          <cell r="A220">
            <v>212</v>
          </cell>
          <cell r="C220">
            <v>19.279256760587153</v>
          </cell>
        </row>
        <row r="221">
          <cell r="A221">
            <v>213</v>
          </cell>
          <cell r="C221">
            <v>18.831596735823815</v>
          </cell>
        </row>
        <row r="222">
          <cell r="A222">
            <v>214</v>
          </cell>
          <cell r="C222">
            <v>18.973400102102932</v>
          </cell>
        </row>
        <row r="223">
          <cell r="A223">
            <v>215</v>
          </cell>
          <cell r="C223">
            <v>19.638485832600303</v>
          </cell>
        </row>
        <row r="224">
          <cell r="A224">
            <v>216</v>
          </cell>
          <cell r="C224">
            <v>18.58553110677617</v>
          </cell>
        </row>
        <row r="225">
          <cell r="A225">
            <v>217</v>
          </cell>
          <cell r="C225">
            <v>18.115308407513446</v>
          </cell>
        </row>
        <row r="226">
          <cell r="A226">
            <v>218</v>
          </cell>
          <cell r="C226">
            <v>17.792113313128322</v>
          </cell>
        </row>
        <row r="227">
          <cell r="A227">
            <v>219</v>
          </cell>
          <cell r="C227">
            <v>17.794358146132303</v>
          </cell>
        </row>
        <row r="228">
          <cell r="A228">
            <v>220</v>
          </cell>
          <cell r="C228">
            <v>17.79913067350337</v>
          </cell>
        </row>
        <row r="229">
          <cell r="A229">
            <v>221</v>
          </cell>
          <cell r="C229">
            <v>18.60019910235944</v>
          </cell>
        </row>
        <row r="230">
          <cell r="A230">
            <v>222</v>
          </cell>
          <cell r="C230">
            <v>18.387301571572237</v>
          </cell>
        </row>
        <row r="231">
          <cell r="A231">
            <v>223</v>
          </cell>
          <cell r="C231">
            <v>17.951124384554905</v>
          </cell>
        </row>
        <row r="232">
          <cell r="A232">
            <v>224</v>
          </cell>
          <cell r="C232">
            <v>18.405716939009686</v>
          </cell>
        </row>
        <row r="233">
          <cell r="A233">
            <v>225</v>
          </cell>
          <cell r="C233">
            <v>18.968695763161804</v>
          </cell>
        </row>
        <row r="234">
          <cell r="A234">
            <v>226</v>
          </cell>
          <cell r="C234">
            <v>19.435983440155628</v>
          </cell>
        </row>
        <row r="235">
          <cell r="A235">
            <v>227</v>
          </cell>
          <cell r="C235">
            <v>20.106896618843027</v>
          </cell>
        </row>
        <row r="236">
          <cell r="A236">
            <v>228</v>
          </cell>
          <cell r="C236">
            <v>19.863546713028487</v>
          </cell>
        </row>
        <row r="237">
          <cell r="A237">
            <v>229</v>
          </cell>
          <cell r="C237">
            <v>19.458483349624196</v>
          </cell>
        </row>
        <row r="238">
          <cell r="A238">
            <v>230</v>
          </cell>
          <cell r="C238">
            <v>19.432992049560422</v>
          </cell>
        </row>
        <row r="239">
          <cell r="A239">
            <v>231</v>
          </cell>
          <cell r="C239">
            <v>19.309804918756171</v>
          </cell>
        </row>
        <row r="240">
          <cell r="A240">
            <v>232</v>
          </cell>
          <cell r="C240">
            <v>19.833061629839442</v>
          </cell>
        </row>
        <row r="241">
          <cell r="A241">
            <v>233</v>
          </cell>
          <cell r="C241">
            <v>19.575985110364297</v>
          </cell>
        </row>
        <row r="242">
          <cell r="A242">
            <v>234</v>
          </cell>
          <cell r="C242">
            <v>18.394658155608376</v>
          </cell>
        </row>
        <row r="243">
          <cell r="A243">
            <v>235</v>
          </cell>
          <cell r="C243">
            <v>18.392873632524903</v>
          </cell>
        </row>
        <row r="244">
          <cell r="A244">
            <v>236</v>
          </cell>
          <cell r="C244">
            <v>18.854553318342635</v>
          </cell>
        </row>
        <row r="245">
          <cell r="A245">
            <v>237</v>
          </cell>
          <cell r="C245">
            <v>19.055851267713393</v>
          </cell>
        </row>
        <row r="246">
          <cell r="A246">
            <v>238</v>
          </cell>
          <cell r="C246">
            <v>19.227630961591498</v>
          </cell>
        </row>
        <row r="247">
          <cell r="A247">
            <v>239</v>
          </cell>
          <cell r="C247">
            <v>18.733991292457588</v>
          </cell>
        </row>
        <row r="248">
          <cell r="A248">
            <v>240</v>
          </cell>
          <cell r="C248">
            <v>19.066454154348147</v>
          </cell>
        </row>
        <row r="249">
          <cell r="A249">
            <v>241</v>
          </cell>
          <cell r="C249">
            <v>19.488751601970886</v>
          </cell>
        </row>
        <row r="250">
          <cell r="A250">
            <v>242</v>
          </cell>
          <cell r="C250">
            <v>19.345169632274821</v>
          </cell>
        </row>
        <row r="251">
          <cell r="A251">
            <v>243</v>
          </cell>
          <cell r="C251">
            <v>18.972339720299299</v>
          </cell>
        </row>
        <row r="252">
          <cell r="A252">
            <v>244</v>
          </cell>
          <cell r="C252">
            <v>19.035087055959945</v>
          </cell>
        </row>
        <row r="253">
          <cell r="A253">
            <v>245</v>
          </cell>
          <cell r="C253">
            <v>19.069340257470749</v>
          </cell>
        </row>
        <row r="254">
          <cell r="A254">
            <v>246</v>
          </cell>
          <cell r="C254">
            <v>18.492502723333601</v>
          </cell>
        </row>
        <row r="255">
          <cell r="A255">
            <v>247</v>
          </cell>
          <cell r="C255">
            <v>18.74012580152937</v>
          </cell>
        </row>
        <row r="256">
          <cell r="A256">
            <v>248</v>
          </cell>
          <cell r="C256">
            <v>18.789054812768661</v>
          </cell>
        </row>
        <row r="257">
          <cell r="A257">
            <v>249</v>
          </cell>
          <cell r="C257">
            <v>18.605670669808859</v>
          </cell>
        </row>
        <row r="258">
          <cell r="A258">
            <v>250</v>
          </cell>
          <cell r="C258">
            <v>19.284355136378846</v>
          </cell>
        </row>
      </sheetData>
      <sheetData sheetId="3" refreshError="1"/>
      <sheetData sheetId="4">
        <row r="8">
          <cell r="A8">
            <v>0</v>
          </cell>
          <cell r="C8">
            <v>20</v>
          </cell>
          <cell r="D8">
            <v>20</v>
          </cell>
          <cell r="E8">
            <v>20</v>
          </cell>
        </row>
        <row r="9">
          <cell r="A9">
            <v>1</v>
          </cell>
          <cell r="C9">
            <v>20.972277218374241</v>
          </cell>
          <cell r="D9">
            <v>21.772998315225635</v>
          </cell>
          <cell r="E9">
            <v>23.467322271890403</v>
          </cell>
        </row>
        <row r="10">
          <cell r="A10">
            <v>2</v>
          </cell>
          <cell r="C10">
            <v>21.508233149713405</v>
          </cell>
          <cell r="D10">
            <v>22.67219592214505</v>
          </cell>
          <cell r="E10">
            <v>25.192501115448927</v>
          </cell>
        </row>
        <row r="11">
          <cell r="A11">
            <v>3</v>
          </cell>
          <cell r="C11">
            <v>20.907042149890998</v>
          </cell>
          <cell r="D11">
            <v>21.209301189655218</v>
          </cell>
          <cell r="E11">
            <v>21.826991979337635</v>
          </cell>
        </row>
        <row r="12">
          <cell r="A12">
            <v>4</v>
          </cell>
          <cell r="C12">
            <v>20.12861596949039</v>
          </cell>
          <cell r="D12">
            <v>19.463729185624842</v>
          </cell>
          <cell r="E12">
            <v>18.19911761123441</v>
          </cell>
        </row>
        <row r="13">
          <cell r="A13">
            <v>5</v>
          </cell>
          <cell r="C13">
            <v>18.250809208839314</v>
          </cell>
          <cell r="D13">
            <v>15.842347322479402</v>
          </cell>
          <cell r="E13">
            <v>11.936976558722892</v>
          </cell>
        </row>
        <row r="14">
          <cell r="A14">
            <v>6</v>
          </cell>
          <cell r="C14">
            <v>19.35725256826661</v>
          </cell>
          <cell r="D14">
            <v>17.644110490015873</v>
          </cell>
          <cell r="E14">
            <v>14.6592541006776</v>
          </cell>
        </row>
        <row r="15">
          <cell r="A15">
            <v>7</v>
          </cell>
          <cell r="C15">
            <v>21.363304766269192</v>
          </cell>
          <cell r="D15">
            <v>21.276797627911126</v>
          </cell>
          <cell r="E15">
            <v>21.104832821400194</v>
          </cell>
        </row>
        <row r="16">
          <cell r="A16">
            <v>8</v>
          </cell>
          <cell r="C16">
            <v>20.486223262212015</v>
          </cell>
          <cell r="D16">
            <v>19.370920048457716</v>
          </cell>
          <cell r="E16">
            <v>17.319164731150003</v>
          </cell>
        </row>
        <row r="17">
          <cell r="A17">
            <v>9</v>
          </cell>
          <cell r="C17">
            <v>21.119282413209191</v>
          </cell>
          <cell r="D17">
            <v>20.381766245616383</v>
          </cell>
          <cell r="E17">
            <v>18.983099926467826</v>
          </cell>
        </row>
        <row r="18">
          <cell r="A18">
            <v>10</v>
          </cell>
          <cell r="C18">
            <v>19.651304366530344</v>
          </cell>
          <cell r="D18">
            <v>17.471223545152192</v>
          </cell>
          <cell r="E18">
            <v>13.80979390482779</v>
          </cell>
        </row>
        <row r="19">
          <cell r="A19">
            <v>11</v>
          </cell>
          <cell r="C19">
            <v>19.310755220950082</v>
          </cell>
          <cell r="D19">
            <v>16.703063379636202</v>
          </cell>
          <cell r="E19">
            <v>12.496542467660307</v>
          </cell>
        </row>
        <row r="20">
          <cell r="A20">
            <v>12</v>
          </cell>
          <cell r="C20">
            <v>18.165751054289771</v>
          </cell>
          <cell r="D20">
            <v>14.633943806768945</v>
          </cell>
          <cell r="E20">
            <v>9.4968030748684864</v>
          </cell>
        </row>
        <row r="43">
          <cell r="C43" t="str">
            <v>Sigma = 20%</v>
          </cell>
        </row>
        <row r="44">
          <cell r="C44" t="str">
            <v>Sigma = 40%</v>
          </cell>
        </row>
        <row r="45">
          <cell r="C45" t="str">
            <v>Sigma = 80%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1F6C0-17A3-4C21-9DB0-316495FCECE3}">
  <sheetPr codeName="Sheet2"/>
  <dimension ref="A1:F258"/>
  <sheetViews>
    <sheetView tabSelected="1" workbookViewId="0">
      <selection activeCell="F38" sqref="F38"/>
    </sheetView>
  </sheetViews>
  <sheetFormatPr defaultRowHeight="13.2" x14ac:dyDescent="0.25"/>
  <cols>
    <col min="1" max="1" width="15.109375" style="2" bestFit="1" customWidth="1"/>
    <col min="2" max="5" width="8.88671875" style="2"/>
    <col min="6" max="6" width="45.33203125" style="2" bestFit="1" customWidth="1"/>
    <col min="7" max="256" width="8.88671875" style="2"/>
    <col min="257" max="257" width="15.109375" style="2" bestFit="1" customWidth="1"/>
    <col min="258" max="261" width="8.88671875" style="2"/>
    <col min="262" max="262" width="45.33203125" style="2" bestFit="1" customWidth="1"/>
    <col min="263" max="512" width="8.88671875" style="2"/>
    <col min="513" max="513" width="15.109375" style="2" bestFit="1" customWidth="1"/>
    <col min="514" max="517" width="8.88671875" style="2"/>
    <col min="518" max="518" width="45.33203125" style="2" bestFit="1" customWidth="1"/>
    <col min="519" max="768" width="8.88671875" style="2"/>
    <col min="769" max="769" width="15.109375" style="2" bestFit="1" customWidth="1"/>
    <col min="770" max="773" width="8.88671875" style="2"/>
    <col min="774" max="774" width="45.33203125" style="2" bestFit="1" customWidth="1"/>
    <col min="775" max="1024" width="8.88671875" style="2"/>
    <col min="1025" max="1025" width="15.109375" style="2" bestFit="1" customWidth="1"/>
    <col min="1026" max="1029" width="8.88671875" style="2"/>
    <col min="1030" max="1030" width="45.33203125" style="2" bestFit="1" customWidth="1"/>
    <col min="1031" max="1280" width="8.88671875" style="2"/>
    <col min="1281" max="1281" width="15.109375" style="2" bestFit="1" customWidth="1"/>
    <col min="1282" max="1285" width="8.88671875" style="2"/>
    <col min="1286" max="1286" width="45.33203125" style="2" bestFit="1" customWidth="1"/>
    <col min="1287" max="1536" width="8.88671875" style="2"/>
    <col min="1537" max="1537" width="15.109375" style="2" bestFit="1" customWidth="1"/>
    <col min="1538" max="1541" width="8.88671875" style="2"/>
    <col min="1542" max="1542" width="45.33203125" style="2" bestFit="1" customWidth="1"/>
    <col min="1543" max="1792" width="8.88671875" style="2"/>
    <col min="1793" max="1793" width="15.109375" style="2" bestFit="1" customWidth="1"/>
    <col min="1794" max="1797" width="8.88671875" style="2"/>
    <col min="1798" max="1798" width="45.33203125" style="2" bestFit="1" customWidth="1"/>
    <col min="1799" max="2048" width="8.88671875" style="2"/>
    <col min="2049" max="2049" width="15.109375" style="2" bestFit="1" customWidth="1"/>
    <col min="2050" max="2053" width="8.88671875" style="2"/>
    <col min="2054" max="2054" width="45.33203125" style="2" bestFit="1" customWidth="1"/>
    <col min="2055" max="2304" width="8.88671875" style="2"/>
    <col min="2305" max="2305" width="15.109375" style="2" bestFit="1" customWidth="1"/>
    <col min="2306" max="2309" width="8.88671875" style="2"/>
    <col min="2310" max="2310" width="45.33203125" style="2" bestFit="1" customWidth="1"/>
    <col min="2311" max="2560" width="8.88671875" style="2"/>
    <col min="2561" max="2561" width="15.109375" style="2" bestFit="1" customWidth="1"/>
    <col min="2562" max="2565" width="8.88671875" style="2"/>
    <col min="2566" max="2566" width="45.33203125" style="2" bestFit="1" customWidth="1"/>
    <col min="2567" max="2816" width="8.88671875" style="2"/>
    <col min="2817" max="2817" width="15.109375" style="2" bestFit="1" customWidth="1"/>
    <col min="2818" max="2821" width="8.88671875" style="2"/>
    <col min="2822" max="2822" width="45.33203125" style="2" bestFit="1" customWidth="1"/>
    <col min="2823" max="3072" width="8.88671875" style="2"/>
    <col min="3073" max="3073" width="15.109375" style="2" bestFit="1" customWidth="1"/>
    <col min="3074" max="3077" width="8.88671875" style="2"/>
    <col min="3078" max="3078" width="45.33203125" style="2" bestFit="1" customWidth="1"/>
    <col min="3079" max="3328" width="8.88671875" style="2"/>
    <col min="3329" max="3329" width="15.109375" style="2" bestFit="1" customWidth="1"/>
    <col min="3330" max="3333" width="8.88671875" style="2"/>
    <col min="3334" max="3334" width="45.33203125" style="2" bestFit="1" customWidth="1"/>
    <col min="3335" max="3584" width="8.88671875" style="2"/>
    <col min="3585" max="3585" width="15.109375" style="2" bestFit="1" customWidth="1"/>
    <col min="3586" max="3589" width="8.88671875" style="2"/>
    <col min="3590" max="3590" width="45.33203125" style="2" bestFit="1" customWidth="1"/>
    <col min="3591" max="3840" width="8.88671875" style="2"/>
    <col min="3841" max="3841" width="15.109375" style="2" bestFit="1" customWidth="1"/>
    <col min="3842" max="3845" width="8.88671875" style="2"/>
    <col min="3846" max="3846" width="45.33203125" style="2" bestFit="1" customWidth="1"/>
    <col min="3847" max="4096" width="8.88671875" style="2"/>
    <col min="4097" max="4097" width="15.109375" style="2" bestFit="1" customWidth="1"/>
    <col min="4098" max="4101" width="8.88671875" style="2"/>
    <col min="4102" max="4102" width="45.33203125" style="2" bestFit="1" customWidth="1"/>
    <col min="4103" max="4352" width="8.88671875" style="2"/>
    <col min="4353" max="4353" width="15.109375" style="2" bestFit="1" customWidth="1"/>
    <col min="4354" max="4357" width="8.88671875" style="2"/>
    <col min="4358" max="4358" width="45.33203125" style="2" bestFit="1" customWidth="1"/>
    <col min="4359" max="4608" width="8.88671875" style="2"/>
    <col min="4609" max="4609" width="15.109375" style="2" bestFit="1" customWidth="1"/>
    <col min="4610" max="4613" width="8.88671875" style="2"/>
    <col min="4614" max="4614" width="45.33203125" style="2" bestFit="1" customWidth="1"/>
    <col min="4615" max="4864" width="8.88671875" style="2"/>
    <col min="4865" max="4865" width="15.109375" style="2" bestFit="1" customWidth="1"/>
    <col min="4866" max="4869" width="8.88671875" style="2"/>
    <col min="4870" max="4870" width="45.33203125" style="2" bestFit="1" customWidth="1"/>
    <col min="4871" max="5120" width="8.88671875" style="2"/>
    <col min="5121" max="5121" width="15.109375" style="2" bestFit="1" customWidth="1"/>
    <col min="5122" max="5125" width="8.88671875" style="2"/>
    <col min="5126" max="5126" width="45.33203125" style="2" bestFit="1" customWidth="1"/>
    <col min="5127" max="5376" width="8.88671875" style="2"/>
    <col min="5377" max="5377" width="15.109375" style="2" bestFit="1" customWidth="1"/>
    <col min="5378" max="5381" width="8.88671875" style="2"/>
    <col min="5382" max="5382" width="45.33203125" style="2" bestFit="1" customWidth="1"/>
    <col min="5383" max="5632" width="8.88671875" style="2"/>
    <col min="5633" max="5633" width="15.109375" style="2" bestFit="1" customWidth="1"/>
    <col min="5634" max="5637" width="8.88671875" style="2"/>
    <col min="5638" max="5638" width="45.33203125" style="2" bestFit="1" customWidth="1"/>
    <col min="5639" max="5888" width="8.88671875" style="2"/>
    <col min="5889" max="5889" width="15.109375" style="2" bestFit="1" customWidth="1"/>
    <col min="5890" max="5893" width="8.88671875" style="2"/>
    <col min="5894" max="5894" width="45.33203125" style="2" bestFit="1" customWidth="1"/>
    <col min="5895" max="6144" width="8.88671875" style="2"/>
    <col min="6145" max="6145" width="15.109375" style="2" bestFit="1" customWidth="1"/>
    <col min="6146" max="6149" width="8.88671875" style="2"/>
    <col min="6150" max="6150" width="45.33203125" style="2" bestFit="1" customWidth="1"/>
    <col min="6151" max="6400" width="8.88671875" style="2"/>
    <col min="6401" max="6401" width="15.109375" style="2" bestFit="1" customWidth="1"/>
    <col min="6402" max="6405" width="8.88671875" style="2"/>
    <col min="6406" max="6406" width="45.33203125" style="2" bestFit="1" customWidth="1"/>
    <col min="6407" max="6656" width="8.88671875" style="2"/>
    <col min="6657" max="6657" width="15.109375" style="2" bestFit="1" customWidth="1"/>
    <col min="6658" max="6661" width="8.88671875" style="2"/>
    <col min="6662" max="6662" width="45.33203125" style="2" bestFit="1" customWidth="1"/>
    <col min="6663" max="6912" width="8.88671875" style="2"/>
    <col min="6913" max="6913" width="15.109375" style="2" bestFit="1" customWidth="1"/>
    <col min="6914" max="6917" width="8.88671875" style="2"/>
    <col min="6918" max="6918" width="45.33203125" style="2" bestFit="1" customWidth="1"/>
    <col min="6919" max="7168" width="8.88671875" style="2"/>
    <col min="7169" max="7169" width="15.109375" style="2" bestFit="1" customWidth="1"/>
    <col min="7170" max="7173" width="8.88671875" style="2"/>
    <col min="7174" max="7174" width="45.33203125" style="2" bestFit="1" customWidth="1"/>
    <col min="7175" max="7424" width="8.88671875" style="2"/>
    <col min="7425" max="7425" width="15.109375" style="2" bestFit="1" customWidth="1"/>
    <col min="7426" max="7429" width="8.88671875" style="2"/>
    <col min="7430" max="7430" width="45.33203125" style="2" bestFit="1" customWidth="1"/>
    <col min="7431" max="7680" width="8.88671875" style="2"/>
    <col min="7681" max="7681" width="15.109375" style="2" bestFit="1" customWidth="1"/>
    <col min="7682" max="7685" width="8.88671875" style="2"/>
    <col min="7686" max="7686" width="45.33203125" style="2" bestFit="1" customWidth="1"/>
    <col min="7687" max="7936" width="8.88671875" style="2"/>
    <col min="7937" max="7937" width="15.109375" style="2" bestFit="1" customWidth="1"/>
    <col min="7938" max="7941" width="8.88671875" style="2"/>
    <col min="7942" max="7942" width="45.33203125" style="2" bestFit="1" customWidth="1"/>
    <col min="7943" max="8192" width="8.88671875" style="2"/>
    <col min="8193" max="8193" width="15.109375" style="2" bestFit="1" customWidth="1"/>
    <col min="8194" max="8197" width="8.88671875" style="2"/>
    <col min="8198" max="8198" width="45.33203125" style="2" bestFit="1" customWidth="1"/>
    <col min="8199" max="8448" width="8.88671875" style="2"/>
    <col min="8449" max="8449" width="15.109375" style="2" bestFit="1" customWidth="1"/>
    <col min="8450" max="8453" width="8.88671875" style="2"/>
    <col min="8454" max="8454" width="45.33203125" style="2" bestFit="1" customWidth="1"/>
    <col min="8455" max="8704" width="8.88671875" style="2"/>
    <col min="8705" max="8705" width="15.109375" style="2" bestFit="1" customWidth="1"/>
    <col min="8706" max="8709" width="8.88671875" style="2"/>
    <col min="8710" max="8710" width="45.33203125" style="2" bestFit="1" customWidth="1"/>
    <col min="8711" max="8960" width="8.88671875" style="2"/>
    <col min="8961" max="8961" width="15.109375" style="2" bestFit="1" customWidth="1"/>
    <col min="8962" max="8965" width="8.88671875" style="2"/>
    <col min="8966" max="8966" width="45.33203125" style="2" bestFit="1" customWidth="1"/>
    <col min="8967" max="9216" width="8.88671875" style="2"/>
    <col min="9217" max="9217" width="15.109375" style="2" bestFit="1" customWidth="1"/>
    <col min="9218" max="9221" width="8.88671875" style="2"/>
    <col min="9222" max="9222" width="45.33203125" style="2" bestFit="1" customWidth="1"/>
    <col min="9223" max="9472" width="8.88671875" style="2"/>
    <col min="9473" max="9473" width="15.109375" style="2" bestFit="1" customWidth="1"/>
    <col min="9474" max="9477" width="8.88671875" style="2"/>
    <col min="9478" max="9478" width="45.33203125" style="2" bestFit="1" customWidth="1"/>
    <col min="9479" max="9728" width="8.88671875" style="2"/>
    <col min="9729" max="9729" width="15.109375" style="2" bestFit="1" customWidth="1"/>
    <col min="9730" max="9733" width="8.88671875" style="2"/>
    <col min="9734" max="9734" width="45.33203125" style="2" bestFit="1" customWidth="1"/>
    <col min="9735" max="9984" width="8.88671875" style="2"/>
    <col min="9985" max="9985" width="15.109375" style="2" bestFit="1" customWidth="1"/>
    <col min="9986" max="9989" width="8.88671875" style="2"/>
    <col min="9990" max="9990" width="45.33203125" style="2" bestFit="1" customWidth="1"/>
    <col min="9991" max="10240" width="8.88671875" style="2"/>
    <col min="10241" max="10241" width="15.109375" style="2" bestFit="1" customWidth="1"/>
    <col min="10242" max="10245" width="8.88671875" style="2"/>
    <col min="10246" max="10246" width="45.33203125" style="2" bestFit="1" customWidth="1"/>
    <col min="10247" max="10496" width="8.88671875" style="2"/>
    <col min="10497" max="10497" width="15.109375" style="2" bestFit="1" customWidth="1"/>
    <col min="10498" max="10501" width="8.88671875" style="2"/>
    <col min="10502" max="10502" width="45.33203125" style="2" bestFit="1" customWidth="1"/>
    <col min="10503" max="10752" width="8.88671875" style="2"/>
    <col min="10753" max="10753" width="15.109375" style="2" bestFit="1" customWidth="1"/>
    <col min="10754" max="10757" width="8.88671875" style="2"/>
    <col min="10758" max="10758" width="45.33203125" style="2" bestFit="1" customWidth="1"/>
    <col min="10759" max="11008" width="8.88671875" style="2"/>
    <col min="11009" max="11009" width="15.109375" style="2" bestFit="1" customWidth="1"/>
    <col min="11010" max="11013" width="8.88671875" style="2"/>
    <col min="11014" max="11014" width="45.33203125" style="2" bestFit="1" customWidth="1"/>
    <col min="11015" max="11264" width="8.88671875" style="2"/>
    <col min="11265" max="11265" width="15.109375" style="2" bestFit="1" customWidth="1"/>
    <col min="11266" max="11269" width="8.88671875" style="2"/>
    <col min="11270" max="11270" width="45.33203125" style="2" bestFit="1" customWidth="1"/>
    <col min="11271" max="11520" width="8.88671875" style="2"/>
    <col min="11521" max="11521" width="15.109375" style="2" bestFit="1" customWidth="1"/>
    <col min="11522" max="11525" width="8.88671875" style="2"/>
    <col min="11526" max="11526" width="45.33203125" style="2" bestFit="1" customWidth="1"/>
    <col min="11527" max="11776" width="8.88671875" style="2"/>
    <col min="11777" max="11777" width="15.109375" style="2" bestFit="1" customWidth="1"/>
    <col min="11778" max="11781" width="8.88671875" style="2"/>
    <col min="11782" max="11782" width="45.33203125" style="2" bestFit="1" customWidth="1"/>
    <col min="11783" max="12032" width="8.88671875" style="2"/>
    <col min="12033" max="12033" width="15.109375" style="2" bestFit="1" customWidth="1"/>
    <col min="12034" max="12037" width="8.88671875" style="2"/>
    <col min="12038" max="12038" width="45.33203125" style="2" bestFit="1" customWidth="1"/>
    <col min="12039" max="12288" width="8.88671875" style="2"/>
    <col min="12289" max="12289" width="15.109375" style="2" bestFit="1" customWidth="1"/>
    <col min="12290" max="12293" width="8.88671875" style="2"/>
    <col min="12294" max="12294" width="45.33203125" style="2" bestFit="1" customWidth="1"/>
    <col min="12295" max="12544" width="8.88671875" style="2"/>
    <col min="12545" max="12545" width="15.109375" style="2" bestFit="1" customWidth="1"/>
    <col min="12546" max="12549" width="8.88671875" style="2"/>
    <col min="12550" max="12550" width="45.33203125" style="2" bestFit="1" customWidth="1"/>
    <col min="12551" max="12800" width="8.88671875" style="2"/>
    <col min="12801" max="12801" width="15.109375" style="2" bestFit="1" customWidth="1"/>
    <col min="12802" max="12805" width="8.88671875" style="2"/>
    <col min="12806" max="12806" width="45.33203125" style="2" bestFit="1" customWidth="1"/>
    <col min="12807" max="13056" width="8.88671875" style="2"/>
    <col min="13057" max="13057" width="15.109375" style="2" bestFit="1" customWidth="1"/>
    <col min="13058" max="13061" width="8.88671875" style="2"/>
    <col min="13062" max="13062" width="45.33203125" style="2" bestFit="1" customWidth="1"/>
    <col min="13063" max="13312" width="8.88671875" style="2"/>
    <col min="13313" max="13313" width="15.109375" style="2" bestFit="1" customWidth="1"/>
    <col min="13314" max="13317" width="8.88671875" style="2"/>
    <col min="13318" max="13318" width="45.33203125" style="2" bestFit="1" customWidth="1"/>
    <col min="13319" max="13568" width="8.88671875" style="2"/>
    <col min="13569" max="13569" width="15.109375" style="2" bestFit="1" customWidth="1"/>
    <col min="13570" max="13573" width="8.88671875" style="2"/>
    <col min="13574" max="13574" width="45.33203125" style="2" bestFit="1" customWidth="1"/>
    <col min="13575" max="13824" width="8.88671875" style="2"/>
    <col min="13825" max="13825" width="15.109375" style="2" bestFit="1" customWidth="1"/>
    <col min="13826" max="13829" width="8.88671875" style="2"/>
    <col min="13830" max="13830" width="45.33203125" style="2" bestFit="1" customWidth="1"/>
    <col min="13831" max="14080" width="8.88671875" style="2"/>
    <col min="14081" max="14081" width="15.109375" style="2" bestFit="1" customWidth="1"/>
    <col min="14082" max="14085" width="8.88671875" style="2"/>
    <col min="14086" max="14086" width="45.33203125" style="2" bestFit="1" customWidth="1"/>
    <col min="14087" max="14336" width="8.88671875" style="2"/>
    <col min="14337" max="14337" width="15.109375" style="2" bestFit="1" customWidth="1"/>
    <col min="14338" max="14341" width="8.88671875" style="2"/>
    <col min="14342" max="14342" width="45.33203125" style="2" bestFit="1" customWidth="1"/>
    <col min="14343" max="14592" width="8.88671875" style="2"/>
    <col min="14593" max="14593" width="15.109375" style="2" bestFit="1" customWidth="1"/>
    <col min="14594" max="14597" width="8.88671875" style="2"/>
    <col min="14598" max="14598" width="45.33203125" style="2" bestFit="1" customWidth="1"/>
    <col min="14599" max="14848" width="8.88671875" style="2"/>
    <col min="14849" max="14849" width="15.109375" style="2" bestFit="1" customWidth="1"/>
    <col min="14850" max="14853" width="8.88671875" style="2"/>
    <col min="14854" max="14854" width="45.33203125" style="2" bestFit="1" customWidth="1"/>
    <col min="14855" max="15104" width="8.88671875" style="2"/>
    <col min="15105" max="15105" width="15.109375" style="2" bestFit="1" customWidth="1"/>
    <col min="15106" max="15109" width="8.88671875" style="2"/>
    <col min="15110" max="15110" width="45.33203125" style="2" bestFit="1" customWidth="1"/>
    <col min="15111" max="15360" width="8.88671875" style="2"/>
    <col min="15361" max="15361" width="15.109375" style="2" bestFit="1" customWidth="1"/>
    <col min="15362" max="15365" width="8.88671875" style="2"/>
    <col min="15366" max="15366" width="45.33203125" style="2" bestFit="1" customWidth="1"/>
    <col min="15367" max="15616" width="8.88671875" style="2"/>
    <col min="15617" max="15617" width="15.109375" style="2" bestFit="1" customWidth="1"/>
    <col min="15618" max="15621" width="8.88671875" style="2"/>
    <col min="15622" max="15622" width="45.33203125" style="2" bestFit="1" customWidth="1"/>
    <col min="15623" max="15872" width="8.88671875" style="2"/>
    <col min="15873" max="15873" width="15.109375" style="2" bestFit="1" customWidth="1"/>
    <col min="15874" max="15877" width="8.88671875" style="2"/>
    <col min="15878" max="15878" width="45.33203125" style="2" bestFit="1" customWidth="1"/>
    <col min="15879" max="16128" width="8.88671875" style="2"/>
    <col min="16129" max="16129" width="15.109375" style="2" bestFit="1" customWidth="1"/>
    <col min="16130" max="16133" width="8.88671875" style="2"/>
    <col min="16134" max="16134" width="45.33203125" style="2" bestFit="1" customWidth="1"/>
    <col min="16135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2">
        <v>20</v>
      </c>
    </row>
    <row r="3" spans="1:6" x14ac:dyDescent="0.25">
      <c r="A3" s="2" t="s">
        <v>2</v>
      </c>
      <c r="B3" s="3">
        <v>0.12</v>
      </c>
    </row>
    <row r="4" spans="1:6" x14ac:dyDescent="0.25">
      <c r="A4" s="2" t="s">
        <v>4</v>
      </c>
      <c r="B4" s="6">
        <f>1/12</f>
        <v>8.3333333333333329E-2</v>
      </c>
      <c r="C4" s="2" t="str">
        <f ca="1">[2]!getformula(B4)</f>
        <v>&lt;--  =1/12</v>
      </c>
    </row>
    <row r="6" spans="1:6" ht="25.5" customHeight="1" x14ac:dyDescent="0.25">
      <c r="C6" s="7" t="s">
        <v>8</v>
      </c>
      <c r="D6" s="7"/>
      <c r="E6" s="7"/>
    </row>
    <row r="7" spans="1:6" ht="26.4" x14ac:dyDescent="0.25">
      <c r="A7" s="4" t="s">
        <v>9</v>
      </c>
      <c r="B7" s="4" t="s">
        <v>6</v>
      </c>
      <c r="C7" s="8">
        <v>0.2</v>
      </c>
      <c r="D7" s="8">
        <v>0.4</v>
      </c>
      <c r="E7" s="8">
        <v>0.8</v>
      </c>
    </row>
    <row r="8" spans="1:6" x14ac:dyDescent="0.25">
      <c r="A8" s="5">
        <v>0</v>
      </c>
      <c r="C8" s="6">
        <f>B2</f>
        <v>20</v>
      </c>
      <c r="D8" s="6">
        <f>C8</f>
        <v>20</v>
      </c>
      <c r="E8" s="6">
        <f>D8</f>
        <v>20</v>
      </c>
    </row>
    <row r="9" spans="1:6" x14ac:dyDescent="0.25">
      <c r="A9" s="5">
        <v>1</v>
      </c>
      <c r="B9" s="2">
        <f ca="1">NORMSINV(RAND())</f>
        <v>-0.15967270788502949</v>
      </c>
      <c r="C9" s="6">
        <f t="shared" ref="C9:C20" ca="1" si="0">C8*EXP($B$3*$B$4+$C$7*SQRT($B$4)*$B9)</f>
        <v>20.015631944001228</v>
      </c>
      <c r="D9" s="6">
        <f t="shared" ref="D9:D20" ca="1" si="1">D8*EXP($B$3*$B$4+$D$7*SQRT($B$4)*$B9)</f>
        <v>19.831961578416227</v>
      </c>
      <c r="E9" s="6">
        <f t="shared" ref="E9:E20" ca="1" si="2">E8*EXP($B$3*$B$4+$E$7*SQRT($B$4)*$B9)</f>
        <v>19.469661649736803</v>
      </c>
      <c r="F9" s="2" t="str">
        <f ca="1">[2]!getformula(E9)</f>
        <v>&lt;--  =E8*EXP($B$3*$B$4+$E$7*SQRT($B$4)*$B9)</v>
      </c>
    </row>
    <row r="10" spans="1:6" x14ac:dyDescent="0.25">
      <c r="A10" s="5">
        <v>2</v>
      </c>
      <c r="B10" s="2">
        <f t="shared" ref="B10:B20" ca="1" si="3">NORMSINV(RAND())</f>
        <v>0.3088407636178368</v>
      </c>
      <c r="C10" s="6">
        <f t="shared" ca="1" si="0"/>
        <v>20.580509667155841</v>
      </c>
      <c r="D10" s="6">
        <f t="shared" ca="1" si="1"/>
        <v>20.758519007080825</v>
      </c>
      <c r="E10" s="6">
        <f t="shared" ca="1" si="2"/>
        <v>21.119170033438444</v>
      </c>
      <c r="F10" s="2" t="str">
        <f ca="1">[2]!getformula(E10)</f>
        <v>&lt;--  =E9*EXP($B$3*$B$4+$E$7*SQRT($B$4)*$B10)</v>
      </c>
    </row>
    <row r="11" spans="1:6" x14ac:dyDescent="0.25">
      <c r="A11" s="5">
        <v>3</v>
      </c>
      <c r="B11" s="2">
        <f t="shared" ca="1" si="3"/>
        <v>4.4457202153141806E-2</v>
      </c>
      <c r="C11" s="6">
        <f t="shared" ca="1" si="0"/>
        <v>20.840771430740688</v>
      </c>
      <c r="D11" s="6">
        <f t="shared" ca="1" si="1"/>
        <v>21.075056662711994</v>
      </c>
      <c r="E11" s="6">
        <f t="shared" ca="1" si="2"/>
        <v>21.5515580116103</v>
      </c>
      <c r="F11" s="2" t="str">
        <f ca="1">[2]!getformula(E11)</f>
        <v>&lt;--  =E10*EXP($B$3*$B$4+$E$7*SQRT($B$4)*$B11)</v>
      </c>
    </row>
    <row r="12" spans="1:6" x14ac:dyDescent="0.25">
      <c r="A12" s="5">
        <v>4</v>
      </c>
      <c r="B12" s="2">
        <f t="shared" ca="1" si="3"/>
        <v>-1.1327415367129947</v>
      </c>
      <c r="C12" s="6">
        <f t="shared" ca="1" si="0"/>
        <v>19.717614433325096</v>
      </c>
      <c r="D12" s="6">
        <f t="shared" ca="1" si="1"/>
        <v>18.67699338734003</v>
      </c>
      <c r="E12" s="6">
        <f t="shared" ca="1" si="2"/>
        <v>16.75761294176726</v>
      </c>
    </row>
    <row r="13" spans="1:6" x14ac:dyDescent="0.25">
      <c r="A13" s="5">
        <v>5</v>
      </c>
      <c r="B13" s="2">
        <f t="shared" ca="1" si="3"/>
        <v>0.79107545838670401</v>
      </c>
      <c r="C13" s="6">
        <f t="shared" ca="1" si="0"/>
        <v>20.846480495073362</v>
      </c>
      <c r="D13" s="6">
        <f t="shared" ca="1" si="1"/>
        <v>20.669061982658775</v>
      </c>
      <c r="E13" s="6">
        <f t="shared" ca="1" si="2"/>
        <v>20.31874198366544</v>
      </c>
    </row>
    <row r="14" spans="1:6" x14ac:dyDescent="0.25">
      <c r="A14" s="5">
        <v>6</v>
      </c>
      <c r="B14" s="2">
        <f t="shared" ca="1" si="3"/>
        <v>3.7946519772036377E-2</v>
      </c>
      <c r="C14" s="6">
        <f t="shared" ca="1" si="0"/>
        <v>21.102172054199418</v>
      </c>
      <c r="D14" s="6">
        <f t="shared" ca="1" si="1"/>
        <v>20.968465761223072</v>
      </c>
      <c r="E14" s="6">
        <f t="shared" ca="1" si="2"/>
        <v>20.703589352337399</v>
      </c>
    </row>
    <row r="15" spans="1:6" x14ac:dyDescent="0.25">
      <c r="A15" s="5">
        <v>7</v>
      </c>
      <c r="B15" s="2">
        <f t="shared" ca="1" si="3"/>
        <v>3.3442507101483971</v>
      </c>
      <c r="C15" s="6">
        <f t="shared" ca="1" si="0"/>
        <v>25.853768686685239</v>
      </c>
      <c r="D15" s="6">
        <f t="shared" ca="1" si="1"/>
        <v>31.161410560195556</v>
      </c>
      <c r="E15" s="6">
        <f t="shared" ca="1" si="2"/>
        <v>45.269282093751386</v>
      </c>
    </row>
    <row r="16" spans="1:6" x14ac:dyDescent="0.25">
      <c r="A16" s="5">
        <v>8</v>
      </c>
      <c r="B16" s="2">
        <f t="shared" ca="1" si="3"/>
        <v>-1.0575018501167817</v>
      </c>
      <c r="C16" s="6">
        <f t="shared" ca="1" si="0"/>
        <v>24.566936228473431</v>
      </c>
      <c r="D16" s="6">
        <f t="shared" ca="1" si="1"/>
        <v>27.856621465501089</v>
      </c>
      <c r="E16" s="6">
        <f t="shared" ca="1" si="2"/>
        <v>35.816515429179546</v>
      </c>
    </row>
    <row r="17" spans="1:5" x14ac:dyDescent="0.25">
      <c r="A17" s="5">
        <v>9</v>
      </c>
      <c r="B17" s="2">
        <f t="shared" ca="1" si="3"/>
        <v>0.8003884664012122</v>
      </c>
      <c r="C17" s="6">
        <f t="shared" ca="1" si="0"/>
        <v>25.98740331631824</v>
      </c>
      <c r="D17" s="6">
        <f t="shared" ca="1" si="1"/>
        <v>30.86094880781063</v>
      </c>
      <c r="E17" s="6">
        <f t="shared" ca="1" si="2"/>
        <v>43.521319021189022</v>
      </c>
    </row>
    <row r="18" spans="1:5" x14ac:dyDescent="0.25">
      <c r="A18" s="5">
        <v>10</v>
      </c>
      <c r="B18" s="2">
        <f t="shared" ca="1" si="3"/>
        <v>-0.10527842310659948</v>
      </c>
      <c r="C18" s="6">
        <f t="shared" ca="1" si="0"/>
        <v>26.089519453882691</v>
      </c>
      <c r="D18" s="6">
        <f t="shared" ca="1" si="1"/>
        <v>30.794468719811707</v>
      </c>
      <c r="E18" s="6">
        <f t="shared" ca="1" si="2"/>
        <v>42.902834675864696</v>
      </c>
    </row>
    <row r="19" spans="1:5" x14ac:dyDescent="0.25">
      <c r="A19" s="5">
        <v>11</v>
      </c>
      <c r="B19" s="2">
        <f t="shared" ca="1" si="3"/>
        <v>-1.1833696585850757</v>
      </c>
      <c r="C19" s="6">
        <f t="shared" ca="1" si="0"/>
        <v>24.611450474853712</v>
      </c>
      <c r="D19" s="6">
        <f t="shared" ca="1" si="1"/>
        <v>27.131389145142833</v>
      </c>
      <c r="E19" s="6">
        <f t="shared" ca="1" si="2"/>
        <v>32.971725254916961</v>
      </c>
    </row>
    <row r="20" spans="1:5" x14ac:dyDescent="0.25">
      <c r="A20" s="5">
        <v>12</v>
      </c>
      <c r="B20" s="2">
        <f t="shared" ca="1" si="3"/>
        <v>-0.58003307744156229</v>
      </c>
      <c r="C20" s="6">
        <f t="shared" ca="1" si="0"/>
        <v>24.040107365112913</v>
      </c>
      <c r="D20" s="6">
        <f t="shared" ca="1" si="1"/>
        <v>25.628752812773122</v>
      </c>
      <c r="E20" s="6">
        <f t="shared" ca="1" si="2"/>
        <v>29.127929262868797</v>
      </c>
    </row>
    <row r="21" spans="1:5" x14ac:dyDescent="0.25">
      <c r="A21" s="5"/>
      <c r="C21" s="6"/>
      <c r="D21" s="6"/>
      <c r="E21" s="6"/>
    </row>
    <row r="22" spans="1:5" x14ac:dyDescent="0.25">
      <c r="A22" s="5"/>
      <c r="B22" s="9" t="str">
        <f ca="1">"Cell "&amp;CHAR(COLUMN(B20)+64)&amp;ROW(B20)&amp;" contains formula "&amp;CHAR(10)&amp;[2]!ggetformula(B20)</f>
        <v>Cell B20 contains formula 
=NORMSINV(RAND())</v>
      </c>
      <c r="C22" s="9"/>
      <c r="D22" s="9"/>
      <c r="E22" s="6"/>
    </row>
    <row r="23" spans="1:5" x14ac:dyDescent="0.25">
      <c r="A23" s="5"/>
      <c r="B23" s="9"/>
      <c r="C23" s="9"/>
      <c r="D23" s="9"/>
      <c r="E23" s="6"/>
    </row>
    <row r="24" spans="1:5" x14ac:dyDescent="0.25">
      <c r="A24" s="5"/>
      <c r="B24" s="9"/>
      <c r="C24" s="9"/>
      <c r="D24" s="9"/>
      <c r="E24" s="6"/>
    </row>
    <row r="25" spans="1:5" x14ac:dyDescent="0.25">
      <c r="A25" s="5"/>
      <c r="C25" s="6"/>
      <c r="D25" s="6"/>
      <c r="E25" s="6"/>
    </row>
    <row r="26" spans="1:5" x14ac:dyDescent="0.25">
      <c r="A26" s="5"/>
      <c r="C26" s="6"/>
      <c r="D26" s="6"/>
      <c r="E26" s="6"/>
    </row>
    <row r="27" spans="1:5" x14ac:dyDescent="0.25">
      <c r="A27" s="5"/>
      <c r="C27" s="6"/>
      <c r="D27" s="6"/>
      <c r="E27" s="6"/>
    </row>
    <row r="28" spans="1:5" x14ac:dyDescent="0.25">
      <c r="A28" s="5"/>
      <c r="C28" s="6"/>
      <c r="D28" s="6"/>
      <c r="E28" s="6"/>
    </row>
    <row r="29" spans="1:5" x14ac:dyDescent="0.25">
      <c r="A29" s="5"/>
      <c r="C29" s="6"/>
      <c r="D29" s="6"/>
      <c r="E29" s="6"/>
    </row>
    <row r="30" spans="1:5" x14ac:dyDescent="0.25">
      <c r="A30" s="5"/>
      <c r="C30" s="6"/>
      <c r="D30" s="6"/>
      <c r="E30" s="6"/>
    </row>
    <row r="31" spans="1:5" x14ac:dyDescent="0.25">
      <c r="A31" s="5"/>
      <c r="D31" s="6"/>
      <c r="E31" s="6"/>
    </row>
    <row r="32" spans="1:5" x14ac:dyDescent="0.25">
      <c r="A32" s="5"/>
    </row>
    <row r="33" spans="1:5" x14ac:dyDescent="0.25">
      <c r="A33" s="5"/>
      <c r="D33" s="6"/>
      <c r="E33" s="6"/>
    </row>
    <row r="34" spans="1:5" x14ac:dyDescent="0.25">
      <c r="A34" s="5"/>
      <c r="D34" s="6"/>
      <c r="E34" s="6"/>
    </row>
    <row r="35" spans="1:5" x14ac:dyDescent="0.25">
      <c r="A35" s="5"/>
      <c r="C35" s="6"/>
      <c r="D35" s="6"/>
      <c r="E35" s="6"/>
    </row>
    <row r="36" spans="1:5" x14ac:dyDescent="0.25">
      <c r="A36" s="5"/>
      <c r="C36" s="6"/>
      <c r="D36" s="6"/>
      <c r="E36" s="6"/>
    </row>
    <row r="37" spans="1:5" x14ac:dyDescent="0.25">
      <c r="A37" s="5"/>
      <c r="C37" s="6"/>
      <c r="D37" s="6"/>
      <c r="E37" s="6"/>
    </row>
    <row r="38" spans="1:5" x14ac:dyDescent="0.25">
      <c r="A38" s="5"/>
      <c r="C38" s="6"/>
      <c r="D38" s="6"/>
      <c r="E38" s="6"/>
    </row>
    <row r="39" spans="1:5" x14ac:dyDescent="0.25">
      <c r="A39" s="5"/>
      <c r="C39" s="6"/>
      <c r="D39" s="6"/>
      <c r="E39" s="6"/>
    </row>
    <row r="40" spans="1:5" x14ac:dyDescent="0.25">
      <c r="A40" s="5"/>
      <c r="C40" s="6"/>
      <c r="D40" s="6"/>
      <c r="E40" s="6"/>
    </row>
    <row r="41" spans="1:5" x14ac:dyDescent="0.25">
      <c r="A41" s="5"/>
      <c r="C41" s="6"/>
      <c r="D41" s="6"/>
      <c r="E41" s="6"/>
    </row>
    <row r="42" spans="1:5" x14ac:dyDescent="0.25">
      <c r="A42" s="5"/>
      <c r="C42" s="6" t="s">
        <v>10</v>
      </c>
      <c r="D42" s="6"/>
      <c r="E42" s="6"/>
    </row>
    <row r="43" spans="1:5" x14ac:dyDescent="0.25">
      <c r="A43" s="5"/>
      <c r="C43" s="6" t="str">
        <f>"Sigma = "&amp;TEXT(C7,"0%")</f>
        <v>Sigma = 20%</v>
      </c>
      <c r="D43" s="6"/>
      <c r="E43" s="6"/>
    </row>
    <row r="44" spans="1:5" x14ac:dyDescent="0.25">
      <c r="A44" s="5"/>
      <c r="C44" s="6" t="str">
        <f>"Sigma = "&amp;TEXT(D7,"0%")</f>
        <v>Sigma = 40%</v>
      </c>
      <c r="D44" s="6"/>
      <c r="E44" s="6"/>
    </row>
    <row r="45" spans="1:5" x14ac:dyDescent="0.25">
      <c r="A45" s="5"/>
      <c r="C45" s="6" t="str">
        <f>"Sigma = "&amp;TEXT(E7,"0%")</f>
        <v>Sigma = 80%</v>
      </c>
      <c r="D45" s="6"/>
      <c r="E45" s="6"/>
    </row>
    <row r="46" spans="1:5" x14ac:dyDescent="0.25">
      <c r="A46" s="5"/>
      <c r="C46" s="6"/>
      <c r="D46" s="6"/>
      <c r="E46" s="6"/>
    </row>
    <row r="47" spans="1:5" x14ac:dyDescent="0.25">
      <c r="A47" s="5"/>
      <c r="C47" s="6"/>
      <c r="D47" s="6"/>
      <c r="E47" s="6"/>
    </row>
    <row r="48" spans="1:5" x14ac:dyDescent="0.25">
      <c r="A48" s="5"/>
      <c r="C48" s="6"/>
      <c r="D48" s="6"/>
      <c r="E48" s="6"/>
    </row>
    <row r="49" spans="1:5" x14ac:dyDescent="0.25">
      <c r="A49" s="5"/>
      <c r="C49" s="6"/>
      <c r="D49" s="6"/>
      <c r="E49" s="6"/>
    </row>
    <row r="50" spans="1:5" x14ac:dyDescent="0.25">
      <c r="A50" s="5"/>
      <c r="C50" s="6"/>
      <c r="D50" s="6"/>
      <c r="E50" s="6"/>
    </row>
    <row r="51" spans="1:5" x14ac:dyDescent="0.25">
      <c r="A51" s="5"/>
      <c r="C51" s="6"/>
      <c r="D51" s="6"/>
      <c r="E51" s="6"/>
    </row>
    <row r="52" spans="1:5" x14ac:dyDescent="0.25">
      <c r="A52" s="5"/>
      <c r="C52" s="6"/>
      <c r="D52" s="6"/>
      <c r="E52" s="6"/>
    </row>
    <row r="53" spans="1:5" x14ac:dyDescent="0.25">
      <c r="A53" s="5"/>
      <c r="C53" s="6"/>
      <c r="D53" s="6"/>
      <c r="E53" s="6"/>
    </row>
    <row r="54" spans="1:5" x14ac:dyDescent="0.25">
      <c r="A54" s="5"/>
      <c r="C54" s="6"/>
      <c r="D54" s="6"/>
      <c r="E54" s="6"/>
    </row>
    <row r="55" spans="1:5" x14ac:dyDescent="0.25">
      <c r="A55" s="5"/>
      <c r="C55" s="6"/>
      <c r="D55" s="6"/>
      <c r="E55" s="6"/>
    </row>
    <row r="56" spans="1:5" x14ac:dyDescent="0.25">
      <c r="A56" s="5"/>
      <c r="C56" s="6"/>
      <c r="D56" s="6"/>
      <c r="E56" s="6"/>
    </row>
    <row r="57" spans="1:5" x14ac:dyDescent="0.25">
      <c r="A57" s="5"/>
      <c r="C57" s="6"/>
      <c r="D57" s="6"/>
      <c r="E57" s="6"/>
    </row>
    <row r="58" spans="1:5" x14ac:dyDescent="0.25">
      <c r="A58" s="5"/>
      <c r="C58" s="6"/>
      <c r="D58" s="6"/>
      <c r="E58" s="6"/>
    </row>
    <row r="59" spans="1:5" x14ac:dyDescent="0.25">
      <c r="A59" s="5"/>
      <c r="C59" s="6"/>
      <c r="D59" s="6"/>
      <c r="E59" s="6"/>
    </row>
    <row r="60" spans="1:5" x14ac:dyDescent="0.25">
      <c r="A60" s="5"/>
      <c r="C60" s="6"/>
      <c r="D60" s="6"/>
      <c r="E60" s="6"/>
    </row>
    <row r="61" spans="1:5" x14ac:dyDescent="0.25">
      <c r="A61" s="5"/>
      <c r="C61" s="6"/>
      <c r="D61" s="6"/>
      <c r="E61" s="6"/>
    </row>
    <row r="62" spans="1:5" x14ac:dyDescent="0.25">
      <c r="A62" s="5"/>
      <c r="C62" s="6"/>
      <c r="D62" s="6"/>
      <c r="E62" s="6"/>
    </row>
    <row r="63" spans="1:5" x14ac:dyDescent="0.25">
      <c r="A63" s="5"/>
      <c r="C63" s="6"/>
      <c r="D63" s="6"/>
      <c r="E63" s="6"/>
    </row>
    <row r="64" spans="1:5" x14ac:dyDescent="0.25">
      <c r="A64" s="5"/>
      <c r="C64" s="6"/>
      <c r="D64" s="6"/>
      <c r="E64" s="6"/>
    </row>
    <row r="65" spans="1:5" x14ac:dyDescent="0.25">
      <c r="A65" s="5"/>
      <c r="C65" s="6"/>
      <c r="D65" s="6"/>
      <c r="E65" s="6"/>
    </row>
    <row r="66" spans="1:5" x14ac:dyDescent="0.25">
      <c r="A66" s="5"/>
      <c r="C66" s="6"/>
      <c r="D66" s="6"/>
      <c r="E66" s="6"/>
    </row>
    <row r="67" spans="1:5" x14ac:dyDescent="0.25">
      <c r="A67" s="5"/>
      <c r="C67" s="6"/>
      <c r="D67" s="6"/>
      <c r="E67" s="6"/>
    </row>
    <row r="68" spans="1:5" x14ac:dyDescent="0.25">
      <c r="A68" s="5"/>
      <c r="C68" s="6"/>
      <c r="D68" s="6"/>
      <c r="E68" s="6"/>
    </row>
    <row r="69" spans="1:5" x14ac:dyDescent="0.25">
      <c r="A69" s="5"/>
      <c r="C69" s="6"/>
      <c r="D69" s="6"/>
      <c r="E69" s="6"/>
    </row>
    <row r="70" spans="1:5" x14ac:dyDescent="0.25">
      <c r="A70" s="5"/>
      <c r="C70" s="6"/>
      <c r="D70" s="6"/>
      <c r="E70" s="6"/>
    </row>
    <row r="71" spans="1:5" x14ac:dyDescent="0.25">
      <c r="A71" s="5"/>
      <c r="C71" s="6"/>
      <c r="D71" s="6"/>
      <c r="E71" s="6"/>
    </row>
    <row r="72" spans="1:5" x14ac:dyDescent="0.25">
      <c r="A72" s="5"/>
      <c r="C72" s="6"/>
      <c r="D72" s="6"/>
      <c r="E72" s="6"/>
    </row>
    <row r="73" spans="1:5" x14ac:dyDescent="0.25">
      <c r="A73" s="5"/>
      <c r="C73" s="6"/>
      <c r="D73" s="6"/>
      <c r="E73" s="6"/>
    </row>
    <row r="74" spans="1:5" x14ac:dyDescent="0.25">
      <c r="A74" s="5"/>
      <c r="C74" s="6"/>
      <c r="D74" s="6"/>
      <c r="E74" s="6"/>
    </row>
    <row r="75" spans="1:5" x14ac:dyDescent="0.25">
      <c r="A75" s="5"/>
      <c r="C75" s="6"/>
      <c r="D75" s="6"/>
      <c r="E75" s="6"/>
    </row>
    <row r="76" spans="1:5" x14ac:dyDescent="0.25">
      <c r="A76" s="5"/>
      <c r="C76" s="6"/>
      <c r="D76" s="6"/>
      <c r="E76" s="6"/>
    </row>
    <row r="77" spans="1:5" x14ac:dyDescent="0.25">
      <c r="A77" s="5"/>
      <c r="C77" s="6"/>
      <c r="D77" s="6"/>
      <c r="E77" s="6"/>
    </row>
    <row r="78" spans="1:5" x14ac:dyDescent="0.25">
      <c r="A78" s="5"/>
      <c r="C78" s="6"/>
      <c r="D78" s="6"/>
      <c r="E78" s="6"/>
    </row>
    <row r="79" spans="1:5" x14ac:dyDescent="0.25">
      <c r="A79" s="5"/>
      <c r="C79" s="6"/>
      <c r="D79" s="6"/>
      <c r="E79" s="6"/>
    </row>
    <row r="80" spans="1:5" x14ac:dyDescent="0.25">
      <c r="A80" s="5"/>
      <c r="C80" s="6"/>
      <c r="D80" s="6"/>
      <c r="E80" s="6"/>
    </row>
    <row r="81" spans="1:5" x14ac:dyDescent="0.25">
      <c r="A81" s="5"/>
      <c r="C81" s="6"/>
      <c r="D81" s="6"/>
      <c r="E81" s="6"/>
    </row>
    <row r="82" spans="1:5" x14ac:dyDescent="0.25">
      <c r="A82" s="5"/>
      <c r="C82" s="6"/>
      <c r="D82" s="6"/>
      <c r="E82" s="6"/>
    </row>
    <row r="83" spans="1:5" x14ac:dyDescent="0.25">
      <c r="A83" s="5"/>
      <c r="C83" s="6"/>
      <c r="D83" s="6"/>
      <c r="E83" s="6"/>
    </row>
    <row r="84" spans="1:5" x14ac:dyDescent="0.25">
      <c r="A84" s="5"/>
      <c r="C84" s="6"/>
      <c r="D84" s="6"/>
      <c r="E84" s="6"/>
    </row>
    <row r="85" spans="1:5" x14ac:dyDescent="0.25">
      <c r="A85" s="5"/>
      <c r="C85" s="6"/>
      <c r="D85" s="6"/>
      <c r="E85" s="6"/>
    </row>
    <row r="86" spans="1:5" x14ac:dyDescent="0.25">
      <c r="A86" s="5"/>
      <c r="C86" s="6"/>
      <c r="D86" s="6"/>
      <c r="E86" s="6"/>
    </row>
    <row r="87" spans="1:5" x14ac:dyDescent="0.25">
      <c r="A87" s="5"/>
      <c r="C87" s="6"/>
      <c r="D87" s="6"/>
      <c r="E87" s="6"/>
    </row>
    <row r="88" spans="1:5" x14ac:dyDescent="0.25">
      <c r="A88" s="5"/>
      <c r="C88" s="6"/>
      <c r="D88" s="6"/>
      <c r="E88" s="6"/>
    </row>
    <row r="89" spans="1:5" x14ac:dyDescent="0.25">
      <c r="A89" s="5"/>
      <c r="C89" s="6"/>
      <c r="D89" s="6"/>
      <c r="E89" s="6"/>
    </row>
    <row r="90" spans="1:5" x14ac:dyDescent="0.25">
      <c r="A90" s="5"/>
      <c r="C90" s="6"/>
      <c r="D90" s="6"/>
      <c r="E90" s="6"/>
    </row>
    <row r="91" spans="1:5" x14ac:dyDescent="0.25">
      <c r="A91" s="5"/>
      <c r="C91" s="6"/>
      <c r="D91" s="6"/>
      <c r="E91" s="6"/>
    </row>
    <row r="92" spans="1:5" x14ac:dyDescent="0.25">
      <c r="A92" s="5"/>
      <c r="C92" s="6"/>
      <c r="D92" s="6"/>
      <c r="E92" s="6"/>
    </row>
    <row r="93" spans="1:5" x14ac:dyDescent="0.25">
      <c r="A93" s="5"/>
      <c r="C93" s="6"/>
      <c r="D93" s="6"/>
      <c r="E93" s="6"/>
    </row>
    <row r="94" spans="1:5" x14ac:dyDescent="0.25">
      <c r="A94" s="5"/>
      <c r="C94" s="6"/>
      <c r="D94" s="6"/>
      <c r="E94" s="6"/>
    </row>
    <row r="95" spans="1:5" x14ac:dyDescent="0.25">
      <c r="A95" s="5"/>
      <c r="C95" s="6"/>
      <c r="D95" s="6"/>
      <c r="E95" s="6"/>
    </row>
    <row r="96" spans="1:5" x14ac:dyDescent="0.25">
      <c r="A96" s="5"/>
      <c r="C96" s="6"/>
      <c r="D96" s="6"/>
      <c r="E96" s="6"/>
    </row>
    <row r="97" spans="1:5" x14ac:dyDescent="0.25">
      <c r="A97" s="5"/>
      <c r="C97" s="6"/>
      <c r="D97" s="6"/>
      <c r="E97" s="6"/>
    </row>
    <row r="98" spans="1:5" x14ac:dyDescent="0.25">
      <c r="A98" s="5"/>
      <c r="C98" s="6"/>
      <c r="D98" s="6"/>
      <c r="E98" s="6"/>
    </row>
    <row r="99" spans="1:5" x14ac:dyDescent="0.25">
      <c r="A99" s="5"/>
      <c r="C99" s="6"/>
      <c r="D99" s="6"/>
      <c r="E99" s="6"/>
    </row>
    <row r="100" spans="1:5" x14ac:dyDescent="0.25">
      <c r="A100" s="5"/>
      <c r="C100" s="6"/>
      <c r="D100" s="6"/>
      <c r="E100" s="6"/>
    </row>
    <row r="101" spans="1:5" x14ac:dyDescent="0.25">
      <c r="A101" s="5"/>
      <c r="C101" s="6"/>
      <c r="D101" s="6"/>
      <c r="E101" s="6"/>
    </row>
    <row r="102" spans="1:5" x14ac:dyDescent="0.25">
      <c r="A102" s="5"/>
      <c r="C102" s="6"/>
      <c r="D102" s="6"/>
      <c r="E102" s="6"/>
    </row>
    <row r="103" spans="1:5" x14ac:dyDescent="0.25">
      <c r="A103" s="5"/>
      <c r="C103" s="6"/>
      <c r="D103" s="6"/>
      <c r="E103" s="6"/>
    </row>
    <row r="104" spans="1:5" x14ac:dyDescent="0.25">
      <c r="A104" s="5"/>
      <c r="C104" s="6"/>
      <c r="D104" s="6"/>
      <c r="E104" s="6"/>
    </row>
    <row r="105" spans="1:5" x14ac:dyDescent="0.25">
      <c r="A105" s="5"/>
      <c r="C105" s="6"/>
      <c r="D105" s="6"/>
      <c r="E105" s="6"/>
    </row>
    <row r="106" spans="1:5" x14ac:dyDescent="0.25">
      <c r="A106" s="5"/>
      <c r="C106" s="6"/>
      <c r="D106" s="6"/>
      <c r="E106" s="6"/>
    </row>
    <row r="107" spans="1:5" x14ac:dyDescent="0.25">
      <c r="A107" s="5"/>
      <c r="C107" s="6"/>
      <c r="D107" s="6"/>
      <c r="E107" s="6"/>
    </row>
    <row r="108" spans="1:5" x14ac:dyDescent="0.25">
      <c r="A108" s="5"/>
      <c r="C108" s="6"/>
      <c r="D108" s="6"/>
      <c r="E108" s="6"/>
    </row>
    <row r="109" spans="1:5" x14ac:dyDescent="0.25">
      <c r="A109" s="5"/>
      <c r="C109" s="6"/>
      <c r="D109" s="6"/>
      <c r="E109" s="6"/>
    </row>
    <row r="110" spans="1:5" x14ac:dyDescent="0.25">
      <c r="A110" s="5"/>
      <c r="C110" s="6"/>
      <c r="D110" s="6"/>
      <c r="E110" s="6"/>
    </row>
    <row r="111" spans="1:5" x14ac:dyDescent="0.25">
      <c r="A111" s="5"/>
      <c r="C111" s="6"/>
      <c r="D111" s="6"/>
      <c r="E111" s="6"/>
    </row>
    <row r="112" spans="1:5" x14ac:dyDescent="0.25">
      <c r="A112" s="5"/>
      <c r="C112" s="6"/>
      <c r="D112" s="6"/>
      <c r="E112" s="6"/>
    </row>
    <row r="113" spans="1:5" x14ac:dyDescent="0.25">
      <c r="A113" s="5"/>
      <c r="C113" s="6"/>
      <c r="D113" s="6"/>
      <c r="E113" s="6"/>
    </row>
    <row r="114" spans="1:5" x14ac:dyDescent="0.25">
      <c r="A114" s="5"/>
      <c r="C114" s="6"/>
      <c r="D114" s="6"/>
      <c r="E114" s="6"/>
    </row>
    <row r="115" spans="1:5" x14ac:dyDescent="0.25">
      <c r="A115" s="5"/>
      <c r="C115" s="6"/>
      <c r="D115" s="6"/>
      <c r="E115" s="6"/>
    </row>
    <row r="116" spans="1:5" x14ac:dyDescent="0.25">
      <c r="A116" s="5"/>
      <c r="C116" s="6"/>
      <c r="D116" s="6"/>
      <c r="E116" s="6"/>
    </row>
    <row r="117" spans="1:5" x14ac:dyDescent="0.25">
      <c r="A117" s="5"/>
      <c r="C117" s="6"/>
      <c r="D117" s="6"/>
      <c r="E117" s="6"/>
    </row>
    <row r="118" spans="1:5" x14ac:dyDescent="0.25">
      <c r="A118" s="5"/>
      <c r="C118" s="6"/>
      <c r="D118" s="6"/>
      <c r="E118" s="6"/>
    </row>
    <row r="119" spans="1:5" x14ac:dyDescent="0.25">
      <c r="A119" s="5"/>
      <c r="C119" s="6"/>
      <c r="D119" s="6"/>
      <c r="E119" s="6"/>
    </row>
    <row r="120" spans="1:5" x14ac:dyDescent="0.25">
      <c r="A120" s="5"/>
      <c r="C120" s="6"/>
      <c r="D120" s="6"/>
      <c r="E120" s="6"/>
    </row>
    <row r="121" spans="1:5" x14ac:dyDescent="0.25">
      <c r="A121" s="5"/>
      <c r="C121" s="6"/>
      <c r="D121" s="6"/>
      <c r="E121" s="6"/>
    </row>
    <row r="122" spans="1:5" x14ac:dyDescent="0.25">
      <c r="A122" s="5"/>
      <c r="C122" s="6"/>
      <c r="D122" s="6"/>
      <c r="E122" s="6"/>
    </row>
    <row r="123" spans="1:5" x14ac:dyDescent="0.25">
      <c r="A123" s="5"/>
      <c r="C123" s="6"/>
      <c r="D123" s="6"/>
      <c r="E123" s="6"/>
    </row>
    <row r="124" spans="1:5" x14ac:dyDescent="0.25">
      <c r="A124" s="5"/>
      <c r="C124" s="6"/>
      <c r="D124" s="6"/>
      <c r="E124" s="6"/>
    </row>
    <row r="125" spans="1:5" x14ac:dyDescent="0.25">
      <c r="A125" s="5"/>
      <c r="C125" s="6"/>
      <c r="D125" s="6"/>
      <c r="E125" s="6"/>
    </row>
    <row r="126" spans="1:5" x14ac:dyDescent="0.25">
      <c r="A126" s="5"/>
      <c r="C126" s="6"/>
      <c r="D126" s="6"/>
      <c r="E126" s="6"/>
    </row>
    <row r="127" spans="1:5" x14ac:dyDescent="0.25">
      <c r="A127" s="5"/>
      <c r="C127" s="6"/>
      <c r="D127" s="6"/>
      <c r="E127" s="6"/>
    </row>
    <row r="128" spans="1:5" x14ac:dyDescent="0.25">
      <c r="A128" s="5"/>
      <c r="C128" s="6"/>
      <c r="D128" s="6"/>
      <c r="E128" s="6"/>
    </row>
    <row r="129" spans="1:5" x14ac:dyDescent="0.25">
      <c r="A129" s="5"/>
      <c r="C129" s="6"/>
      <c r="D129" s="6"/>
      <c r="E129" s="6"/>
    </row>
    <row r="130" spans="1:5" x14ac:dyDescent="0.25">
      <c r="A130" s="5"/>
      <c r="C130" s="6"/>
      <c r="D130" s="6"/>
      <c r="E130" s="6"/>
    </row>
    <row r="131" spans="1:5" x14ac:dyDescent="0.25">
      <c r="A131" s="5"/>
      <c r="C131" s="6"/>
      <c r="D131" s="6"/>
      <c r="E131" s="6"/>
    </row>
    <row r="132" spans="1:5" x14ac:dyDescent="0.25">
      <c r="A132" s="5"/>
      <c r="C132" s="6"/>
      <c r="D132" s="6"/>
      <c r="E132" s="6"/>
    </row>
    <row r="133" spans="1:5" x14ac:dyDescent="0.25">
      <c r="A133" s="5"/>
      <c r="C133" s="6"/>
      <c r="D133" s="6"/>
      <c r="E133" s="6"/>
    </row>
    <row r="134" spans="1:5" x14ac:dyDescent="0.25">
      <c r="A134" s="5"/>
      <c r="C134" s="6"/>
      <c r="D134" s="6"/>
      <c r="E134" s="6"/>
    </row>
    <row r="135" spans="1:5" x14ac:dyDescent="0.25">
      <c r="A135" s="5"/>
      <c r="C135" s="6"/>
      <c r="D135" s="6"/>
      <c r="E135" s="6"/>
    </row>
    <row r="136" spans="1:5" x14ac:dyDescent="0.25">
      <c r="A136" s="5"/>
      <c r="C136" s="6"/>
      <c r="D136" s="6"/>
      <c r="E136" s="6"/>
    </row>
    <row r="137" spans="1:5" x14ac:dyDescent="0.25">
      <c r="A137" s="5"/>
      <c r="C137" s="6"/>
      <c r="D137" s="6"/>
      <c r="E137" s="6"/>
    </row>
    <row r="138" spans="1:5" x14ac:dyDescent="0.25">
      <c r="A138" s="5"/>
      <c r="C138" s="6"/>
      <c r="D138" s="6"/>
      <c r="E138" s="6"/>
    </row>
    <row r="139" spans="1:5" x14ac:dyDescent="0.25">
      <c r="A139" s="5"/>
      <c r="C139" s="6"/>
      <c r="D139" s="6"/>
      <c r="E139" s="6"/>
    </row>
    <row r="140" spans="1:5" x14ac:dyDescent="0.25">
      <c r="A140" s="5"/>
      <c r="C140" s="6"/>
      <c r="D140" s="6"/>
      <c r="E140" s="6"/>
    </row>
    <row r="141" spans="1:5" x14ac:dyDescent="0.25">
      <c r="A141" s="5"/>
      <c r="C141" s="6"/>
      <c r="D141" s="6"/>
      <c r="E141" s="6"/>
    </row>
    <row r="142" spans="1:5" x14ac:dyDescent="0.25">
      <c r="A142" s="5"/>
      <c r="C142" s="6"/>
      <c r="D142" s="6"/>
      <c r="E142" s="6"/>
    </row>
    <row r="143" spans="1:5" x14ac:dyDescent="0.25">
      <c r="A143" s="5"/>
      <c r="C143" s="6"/>
      <c r="D143" s="6"/>
      <c r="E143" s="6"/>
    </row>
    <row r="144" spans="1:5" x14ac:dyDescent="0.25">
      <c r="A144" s="5"/>
      <c r="C144" s="6"/>
      <c r="D144" s="6"/>
      <c r="E144" s="6"/>
    </row>
    <row r="145" spans="1:5" x14ac:dyDescent="0.25">
      <c r="A145" s="5"/>
      <c r="C145" s="6"/>
      <c r="D145" s="6"/>
      <c r="E145" s="6"/>
    </row>
    <row r="146" spans="1:5" x14ac:dyDescent="0.25">
      <c r="A146" s="5"/>
      <c r="C146" s="6"/>
      <c r="D146" s="6"/>
      <c r="E146" s="6"/>
    </row>
    <row r="147" spans="1:5" x14ac:dyDescent="0.25">
      <c r="A147" s="5"/>
      <c r="C147" s="6"/>
      <c r="D147" s="6"/>
      <c r="E147" s="6"/>
    </row>
    <row r="148" spans="1:5" x14ac:dyDescent="0.25">
      <c r="A148" s="5"/>
      <c r="C148" s="6"/>
      <c r="D148" s="6"/>
      <c r="E148" s="6"/>
    </row>
    <row r="149" spans="1:5" x14ac:dyDescent="0.25">
      <c r="A149" s="5"/>
      <c r="C149" s="6"/>
      <c r="D149" s="6"/>
      <c r="E149" s="6"/>
    </row>
    <row r="150" spans="1:5" x14ac:dyDescent="0.25">
      <c r="A150" s="5"/>
      <c r="C150" s="6"/>
      <c r="D150" s="6"/>
      <c r="E150" s="6"/>
    </row>
    <row r="151" spans="1:5" x14ac:dyDescent="0.25">
      <c r="A151" s="5"/>
      <c r="C151" s="6"/>
      <c r="D151" s="6"/>
      <c r="E151" s="6"/>
    </row>
    <row r="152" spans="1:5" x14ac:dyDescent="0.25">
      <c r="A152" s="5"/>
      <c r="C152" s="6"/>
      <c r="D152" s="6"/>
      <c r="E152" s="6"/>
    </row>
    <row r="153" spans="1:5" x14ac:dyDescent="0.25">
      <c r="A153" s="5"/>
      <c r="C153" s="6"/>
      <c r="D153" s="6"/>
      <c r="E153" s="6"/>
    </row>
    <row r="154" spans="1:5" x14ac:dyDescent="0.25">
      <c r="A154" s="5"/>
      <c r="C154" s="6"/>
      <c r="D154" s="6"/>
      <c r="E154" s="6"/>
    </row>
    <row r="155" spans="1:5" x14ac:dyDescent="0.25">
      <c r="A155" s="5"/>
      <c r="C155" s="6"/>
      <c r="D155" s="6"/>
      <c r="E155" s="6"/>
    </row>
    <row r="156" spans="1:5" x14ac:dyDescent="0.25">
      <c r="A156" s="5"/>
      <c r="C156" s="6"/>
      <c r="D156" s="6"/>
      <c r="E156" s="6"/>
    </row>
    <row r="157" spans="1:5" x14ac:dyDescent="0.25">
      <c r="A157" s="5"/>
      <c r="C157" s="6"/>
      <c r="D157" s="6"/>
      <c r="E157" s="6"/>
    </row>
    <row r="158" spans="1:5" x14ac:dyDescent="0.25">
      <c r="A158" s="5"/>
      <c r="C158" s="6"/>
      <c r="D158" s="6"/>
      <c r="E158" s="6"/>
    </row>
    <row r="159" spans="1:5" x14ac:dyDescent="0.25">
      <c r="A159" s="5"/>
      <c r="C159" s="6"/>
      <c r="D159" s="6"/>
      <c r="E159" s="6"/>
    </row>
    <row r="160" spans="1:5" x14ac:dyDescent="0.25">
      <c r="A160" s="5"/>
      <c r="C160" s="6"/>
      <c r="D160" s="6"/>
      <c r="E160" s="6"/>
    </row>
    <row r="161" spans="1:5" x14ac:dyDescent="0.25">
      <c r="A161" s="5"/>
      <c r="C161" s="6"/>
      <c r="D161" s="6"/>
      <c r="E161" s="6"/>
    </row>
    <row r="162" spans="1:5" x14ac:dyDescent="0.25">
      <c r="A162" s="5"/>
      <c r="C162" s="6"/>
      <c r="D162" s="6"/>
      <c r="E162" s="6"/>
    </row>
    <row r="163" spans="1:5" x14ac:dyDescent="0.25">
      <c r="A163" s="5"/>
      <c r="C163" s="6"/>
      <c r="D163" s="6"/>
      <c r="E163" s="6"/>
    </row>
    <row r="164" spans="1:5" x14ac:dyDescent="0.25">
      <c r="A164" s="5"/>
      <c r="C164" s="6"/>
      <c r="D164" s="6"/>
      <c r="E164" s="6"/>
    </row>
    <row r="165" spans="1:5" x14ac:dyDescent="0.25">
      <c r="A165" s="5"/>
      <c r="C165" s="6"/>
      <c r="D165" s="6"/>
      <c r="E165" s="6"/>
    </row>
    <row r="166" spans="1:5" x14ac:dyDescent="0.25">
      <c r="A166" s="5"/>
      <c r="C166" s="6"/>
      <c r="D166" s="6"/>
      <c r="E166" s="6"/>
    </row>
    <row r="167" spans="1:5" x14ac:dyDescent="0.25">
      <c r="A167" s="5"/>
      <c r="C167" s="6"/>
      <c r="D167" s="6"/>
      <c r="E167" s="6"/>
    </row>
    <row r="168" spans="1:5" x14ac:dyDescent="0.25">
      <c r="A168" s="5"/>
      <c r="C168" s="6"/>
      <c r="D168" s="6"/>
      <c r="E168" s="6"/>
    </row>
    <row r="169" spans="1:5" x14ac:dyDescent="0.25">
      <c r="A169" s="5"/>
      <c r="C169" s="6"/>
      <c r="D169" s="6"/>
      <c r="E169" s="6"/>
    </row>
    <row r="170" spans="1:5" x14ac:dyDescent="0.25">
      <c r="A170" s="5"/>
      <c r="C170" s="6"/>
      <c r="D170" s="6"/>
      <c r="E170" s="6"/>
    </row>
    <row r="171" spans="1:5" x14ac:dyDescent="0.25">
      <c r="A171" s="5"/>
      <c r="C171" s="6"/>
      <c r="D171" s="6"/>
      <c r="E171" s="6"/>
    </row>
    <row r="172" spans="1:5" x14ac:dyDescent="0.25">
      <c r="A172" s="5"/>
      <c r="C172" s="6"/>
      <c r="D172" s="6"/>
      <c r="E172" s="6"/>
    </row>
    <row r="173" spans="1:5" x14ac:dyDescent="0.25">
      <c r="A173" s="5"/>
      <c r="C173" s="6"/>
      <c r="D173" s="6"/>
      <c r="E173" s="6"/>
    </row>
    <row r="174" spans="1:5" x14ac:dyDescent="0.25">
      <c r="A174" s="5"/>
      <c r="C174" s="6"/>
      <c r="D174" s="6"/>
      <c r="E174" s="6"/>
    </row>
    <row r="175" spans="1:5" x14ac:dyDescent="0.25">
      <c r="A175" s="5"/>
      <c r="C175" s="6"/>
      <c r="D175" s="6"/>
      <c r="E175" s="6"/>
    </row>
    <row r="176" spans="1:5" x14ac:dyDescent="0.25">
      <c r="A176" s="5"/>
      <c r="C176" s="6"/>
      <c r="D176" s="6"/>
      <c r="E176" s="6"/>
    </row>
    <row r="177" spans="1:5" x14ac:dyDescent="0.25">
      <c r="A177" s="5"/>
      <c r="C177" s="6"/>
      <c r="D177" s="6"/>
      <c r="E177" s="6"/>
    </row>
    <row r="178" spans="1:5" x14ac:dyDescent="0.25">
      <c r="A178" s="5"/>
      <c r="C178" s="6"/>
      <c r="D178" s="6"/>
      <c r="E178" s="6"/>
    </row>
    <row r="179" spans="1:5" x14ac:dyDescent="0.25">
      <c r="A179" s="5"/>
      <c r="C179" s="6"/>
      <c r="D179" s="6"/>
      <c r="E179" s="6"/>
    </row>
    <row r="180" spans="1:5" x14ac:dyDescent="0.25">
      <c r="A180" s="5"/>
      <c r="C180" s="6"/>
      <c r="D180" s="6"/>
      <c r="E180" s="6"/>
    </row>
    <row r="181" spans="1:5" x14ac:dyDescent="0.25">
      <c r="A181" s="5"/>
      <c r="C181" s="6"/>
      <c r="D181" s="6"/>
      <c r="E181" s="6"/>
    </row>
    <row r="182" spans="1:5" x14ac:dyDescent="0.25">
      <c r="A182" s="5"/>
      <c r="C182" s="6"/>
      <c r="D182" s="6"/>
      <c r="E182" s="6"/>
    </row>
    <row r="183" spans="1:5" x14ac:dyDescent="0.25">
      <c r="A183" s="5"/>
      <c r="C183" s="6"/>
      <c r="D183" s="6"/>
      <c r="E183" s="6"/>
    </row>
    <row r="184" spans="1:5" x14ac:dyDescent="0.25">
      <c r="A184" s="5"/>
      <c r="C184" s="6"/>
      <c r="D184" s="6"/>
      <c r="E184" s="6"/>
    </row>
    <row r="185" spans="1:5" x14ac:dyDescent="0.25">
      <c r="A185" s="5"/>
      <c r="C185" s="6"/>
      <c r="D185" s="6"/>
      <c r="E185" s="6"/>
    </row>
    <row r="186" spans="1:5" x14ac:dyDescent="0.25">
      <c r="A186" s="5"/>
      <c r="C186" s="6"/>
      <c r="D186" s="6"/>
      <c r="E186" s="6"/>
    </row>
    <row r="187" spans="1:5" x14ac:dyDescent="0.25">
      <c r="A187" s="5"/>
      <c r="C187" s="6"/>
      <c r="D187" s="6"/>
      <c r="E187" s="6"/>
    </row>
    <row r="188" spans="1:5" x14ac:dyDescent="0.25">
      <c r="A188" s="5"/>
      <c r="C188" s="6"/>
      <c r="D188" s="6"/>
      <c r="E188" s="6"/>
    </row>
    <row r="189" spans="1:5" x14ac:dyDescent="0.25">
      <c r="A189" s="5"/>
      <c r="C189" s="6"/>
      <c r="D189" s="6"/>
      <c r="E189" s="6"/>
    </row>
    <row r="190" spans="1:5" x14ac:dyDescent="0.25">
      <c r="A190" s="5"/>
      <c r="C190" s="6"/>
      <c r="D190" s="6"/>
      <c r="E190" s="6"/>
    </row>
    <row r="191" spans="1:5" x14ac:dyDescent="0.25">
      <c r="A191" s="5"/>
      <c r="C191" s="6"/>
      <c r="D191" s="6"/>
      <c r="E191" s="6"/>
    </row>
    <row r="192" spans="1:5" x14ac:dyDescent="0.25">
      <c r="A192" s="5"/>
      <c r="C192" s="6"/>
      <c r="D192" s="6"/>
      <c r="E192" s="6"/>
    </row>
    <row r="193" spans="1:5" x14ac:dyDescent="0.25">
      <c r="A193" s="5"/>
      <c r="C193" s="6"/>
      <c r="D193" s="6"/>
      <c r="E193" s="6"/>
    </row>
    <row r="194" spans="1:5" x14ac:dyDescent="0.25">
      <c r="A194" s="5"/>
      <c r="C194" s="6"/>
      <c r="D194" s="6"/>
      <c r="E194" s="6"/>
    </row>
    <row r="195" spans="1:5" x14ac:dyDescent="0.25">
      <c r="A195" s="5"/>
      <c r="C195" s="6"/>
      <c r="D195" s="6"/>
      <c r="E195" s="6"/>
    </row>
    <row r="196" spans="1:5" x14ac:dyDescent="0.25">
      <c r="A196" s="5"/>
      <c r="C196" s="6"/>
      <c r="D196" s="6"/>
      <c r="E196" s="6"/>
    </row>
    <row r="197" spans="1:5" x14ac:dyDescent="0.25">
      <c r="A197" s="5"/>
      <c r="C197" s="6"/>
      <c r="D197" s="6"/>
      <c r="E197" s="6"/>
    </row>
    <row r="198" spans="1:5" x14ac:dyDescent="0.25">
      <c r="A198" s="5"/>
      <c r="C198" s="6"/>
      <c r="D198" s="6"/>
      <c r="E198" s="6"/>
    </row>
    <row r="199" spans="1:5" x14ac:dyDescent="0.25">
      <c r="A199" s="5"/>
      <c r="C199" s="6"/>
      <c r="D199" s="6"/>
      <c r="E199" s="6"/>
    </row>
    <row r="200" spans="1:5" x14ac:dyDescent="0.25">
      <c r="A200" s="5"/>
      <c r="C200" s="6"/>
      <c r="D200" s="6"/>
      <c r="E200" s="6"/>
    </row>
    <row r="201" spans="1:5" x14ac:dyDescent="0.25">
      <c r="A201" s="5"/>
      <c r="C201" s="6"/>
      <c r="D201" s="6"/>
      <c r="E201" s="6"/>
    </row>
    <row r="202" spans="1:5" x14ac:dyDescent="0.25">
      <c r="A202" s="5"/>
      <c r="C202" s="6"/>
      <c r="D202" s="6"/>
      <c r="E202" s="6"/>
    </row>
    <row r="203" spans="1:5" x14ac:dyDescent="0.25">
      <c r="A203" s="5"/>
      <c r="C203" s="6"/>
      <c r="D203" s="6"/>
      <c r="E203" s="6"/>
    </row>
    <row r="204" spans="1:5" x14ac:dyDescent="0.25">
      <c r="A204" s="5"/>
      <c r="C204" s="6"/>
      <c r="D204" s="6"/>
      <c r="E204" s="6"/>
    </row>
    <row r="205" spans="1:5" x14ac:dyDescent="0.25">
      <c r="A205" s="5"/>
      <c r="C205" s="6"/>
      <c r="D205" s="6"/>
      <c r="E205" s="6"/>
    </row>
    <row r="206" spans="1:5" x14ac:dyDescent="0.25">
      <c r="A206" s="5"/>
      <c r="C206" s="6"/>
      <c r="D206" s="6"/>
      <c r="E206" s="6"/>
    </row>
    <row r="207" spans="1:5" x14ac:dyDescent="0.25">
      <c r="A207" s="5"/>
      <c r="C207" s="6"/>
      <c r="D207" s="6"/>
      <c r="E207" s="6"/>
    </row>
    <row r="208" spans="1:5" x14ac:dyDescent="0.25">
      <c r="A208" s="5"/>
      <c r="C208" s="6"/>
      <c r="D208" s="6"/>
      <c r="E208" s="6"/>
    </row>
    <row r="209" spans="1:5" x14ac:dyDescent="0.25">
      <c r="A209" s="5"/>
      <c r="C209" s="6"/>
      <c r="D209" s="6"/>
      <c r="E209" s="6"/>
    </row>
    <row r="210" spans="1:5" x14ac:dyDescent="0.25">
      <c r="A210" s="5"/>
      <c r="C210" s="6"/>
      <c r="D210" s="6"/>
      <c r="E210" s="6"/>
    </row>
    <row r="211" spans="1:5" x14ac:dyDescent="0.25">
      <c r="A211" s="5"/>
      <c r="C211" s="6"/>
      <c r="D211" s="6"/>
      <c r="E211" s="6"/>
    </row>
    <row r="212" spans="1:5" x14ac:dyDescent="0.25">
      <c r="A212" s="5"/>
      <c r="C212" s="6"/>
      <c r="D212" s="6"/>
      <c r="E212" s="6"/>
    </row>
    <row r="213" spans="1:5" x14ac:dyDescent="0.25">
      <c r="A213" s="5"/>
      <c r="C213" s="6"/>
      <c r="D213" s="6"/>
      <c r="E213" s="6"/>
    </row>
    <row r="214" spans="1:5" x14ac:dyDescent="0.25">
      <c r="A214" s="5"/>
      <c r="C214" s="6"/>
      <c r="D214" s="6"/>
      <c r="E214" s="6"/>
    </row>
    <row r="215" spans="1:5" x14ac:dyDescent="0.25">
      <c r="A215" s="5"/>
      <c r="C215" s="6"/>
      <c r="D215" s="6"/>
      <c r="E215" s="6"/>
    </row>
    <row r="216" spans="1:5" x14ac:dyDescent="0.25">
      <c r="A216" s="5"/>
      <c r="C216" s="6"/>
      <c r="D216" s="6"/>
      <c r="E216" s="6"/>
    </row>
    <row r="217" spans="1:5" x14ac:dyDescent="0.25">
      <c r="A217" s="5"/>
      <c r="C217" s="6"/>
      <c r="D217" s="6"/>
      <c r="E217" s="6"/>
    </row>
    <row r="218" spans="1:5" x14ac:dyDescent="0.25">
      <c r="A218" s="5"/>
      <c r="C218" s="6"/>
      <c r="D218" s="6"/>
      <c r="E218" s="6"/>
    </row>
    <row r="219" spans="1:5" x14ac:dyDescent="0.25">
      <c r="A219" s="5"/>
      <c r="C219" s="6"/>
      <c r="D219" s="6"/>
      <c r="E219" s="6"/>
    </row>
    <row r="220" spans="1:5" x14ac:dyDescent="0.25">
      <c r="A220" s="5"/>
      <c r="C220" s="6"/>
      <c r="D220" s="6"/>
      <c r="E220" s="6"/>
    </row>
    <row r="221" spans="1:5" x14ac:dyDescent="0.25">
      <c r="A221" s="5"/>
      <c r="C221" s="6"/>
      <c r="D221" s="6"/>
      <c r="E221" s="6"/>
    </row>
    <row r="222" spans="1:5" x14ac:dyDescent="0.25">
      <c r="A222" s="5"/>
      <c r="C222" s="6"/>
      <c r="D222" s="6"/>
      <c r="E222" s="6"/>
    </row>
    <row r="223" spans="1:5" x14ac:dyDescent="0.25">
      <c r="A223" s="5"/>
      <c r="C223" s="6"/>
      <c r="D223" s="6"/>
      <c r="E223" s="6"/>
    </row>
    <row r="224" spans="1:5" x14ac:dyDescent="0.25">
      <c r="A224" s="5"/>
      <c r="C224" s="6"/>
      <c r="D224" s="6"/>
      <c r="E224" s="6"/>
    </row>
    <row r="225" spans="1:5" x14ac:dyDescent="0.25">
      <c r="A225" s="5"/>
      <c r="C225" s="6"/>
      <c r="D225" s="6"/>
      <c r="E225" s="6"/>
    </row>
    <row r="226" spans="1:5" x14ac:dyDescent="0.25">
      <c r="A226" s="5"/>
      <c r="C226" s="6"/>
      <c r="D226" s="6"/>
      <c r="E226" s="6"/>
    </row>
    <row r="227" spans="1:5" x14ac:dyDescent="0.25">
      <c r="A227" s="5"/>
      <c r="C227" s="6"/>
      <c r="D227" s="6"/>
      <c r="E227" s="6"/>
    </row>
    <row r="228" spans="1:5" x14ac:dyDescent="0.25">
      <c r="A228" s="5"/>
      <c r="C228" s="6"/>
      <c r="D228" s="6"/>
      <c r="E228" s="6"/>
    </row>
    <row r="229" spans="1:5" x14ac:dyDescent="0.25">
      <c r="A229" s="5"/>
      <c r="C229" s="6"/>
      <c r="D229" s="6"/>
      <c r="E229" s="6"/>
    </row>
    <row r="230" spans="1:5" x14ac:dyDescent="0.25">
      <c r="A230" s="5"/>
      <c r="C230" s="6"/>
      <c r="D230" s="6"/>
      <c r="E230" s="6"/>
    </row>
    <row r="231" spans="1:5" x14ac:dyDescent="0.25">
      <c r="A231" s="5"/>
      <c r="C231" s="6"/>
      <c r="D231" s="6"/>
      <c r="E231" s="6"/>
    </row>
    <row r="232" spans="1:5" x14ac:dyDescent="0.25">
      <c r="A232" s="5"/>
      <c r="C232" s="6"/>
      <c r="D232" s="6"/>
      <c r="E232" s="6"/>
    </row>
    <row r="233" spans="1:5" x14ac:dyDescent="0.25">
      <c r="A233" s="5"/>
      <c r="C233" s="6"/>
      <c r="D233" s="6"/>
      <c r="E233" s="6"/>
    </row>
    <row r="234" spans="1:5" x14ac:dyDescent="0.25">
      <c r="A234" s="5"/>
      <c r="C234" s="6"/>
      <c r="D234" s="6"/>
      <c r="E234" s="6"/>
    </row>
    <row r="235" spans="1:5" x14ac:dyDescent="0.25">
      <c r="A235" s="5"/>
      <c r="C235" s="6"/>
      <c r="D235" s="6"/>
      <c r="E235" s="6"/>
    </row>
    <row r="236" spans="1:5" x14ac:dyDescent="0.25">
      <c r="A236" s="5"/>
      <c r="C236" s="6"/>
      <c r="D236" s="6"/>
      <c r="E236" s="6"/>
    </row>
    <row r="237" spans="1:5" x14ac:dyDescent="0.25">
      <c r="A237" s="5"/>
      <c r="C237" s="6"/>
      <c r="D237" s="6"/>
      <c r="E237" s="6"/>
    </row>
    <row r="238" spans="1:5" x14ac:dyDescent="0.25">
      <c r="A238" s="5"/>
      <c r="C238" s="6"/>
      <c r="D238" s="6"/>
      <c r="E238" s="6"/>
    </row>
    <row r="239" spans="1:5" x14ac:dyDescent="0.25">
      <c r="A239" s="5"/>
      <c r="C239" s="6"/>
      <c r="D239" s="6"/>
      <c r="E239" s="6"/>
    </row>
    <row r="240" spans="1:5" x14ac:dyDescent="0.25">
      <c r="A240" s="5"/>
      <c r="C240" s="6"/>
      <c r="D240" s="6"/>
      <c r="E240" s="6"/>
    </row>
    <row r="241" spans="1:5" x14ac:dyDescent="0.25">
      <c r="A241" s="5"/>
      <c r="C241" s="6"/>
      <c r="D241" s="6"/>
      <c r="E241" s="6"/>
    </row>
    <row r="242" spans="1:5" x14ac:dyDescent="0.25">
      <c r="A242" s="5"/>
      <c r="C242" s="6"/>
      <c r="D242" s="6"/>
      <c r="E242" s="6"/>
    </row>
    <row r="243" spans="1:5" x14ac:dyDescent="0.25">
      <c r="A243" s="5"/>
      <c r="C243" s="6"/>
      <c r="D243" s="6"/>
      <c r="E243" s="6"/>
    </row>
    <row r="244" spans="1:5" x14ac:dyDescent="0.25">
      <c r="A244" s="5"/>
      <c r="C244" s="6"/>
      <c r="D244" s="6"/>
      <c r="E244" s="6"/>
    </row>
    <row r="245" spans="1:5" x14ac:dyDescent="0.25">
      <c r="A245" s="5"/>
      <c r="C245" s="6"/>
      <c r="D245" s="6"/>
      <c r="E245" s="6"/>
    </row>
    <row r="246" spans="1:5" x14ac:dyDescent="0.25">
      <c r="A246" s="5"/>
      <c r="C246" s="6"/>
      <c r="D246" s="6"/>
      <c r="E246" s="6"/>
    </row>
    <row r="247" spans="1:5" x14ac:dyDescent="0.25">
      <c r="A247" s="5"/>
      <c r="C247" s="6"/>
      <c r="D247" s="6"/>
      <c r="E247" s="6"/>
    </row>
    <row r="248" spans="1:5" x14ac:dyDescent="0.25">
      <c r="A248" s="5"/>
      <c r="C248" s="6"/>
      <c r="D248" s="6"/>
      <c r="E248" s="6"/>
    </row>
    <row r="249" spans="1:5" x14ac:dyDescent="0.25">
      <c r="A249" s="5"/>
      <c r="C249" s="6"/>
      <c r="D249" s="6"/>
      <c r="E249" s="6"/>
    </row>
    <row r="250" spans="1:5" x14ac:dyDescent="0.25">
      <c r="A250" s="5"/>
      <c r="C250" s="6"/>
      <c r="D250" s="6"/>
      <c r="E250" s="6"/>
    </row>
    <row r="251" spans="1:5" x14ac:dyDescent="0.25">
      <c r="A251" s="5"/>
      <c r="C251" s="6"/>
      <c r="D251" s="6"/>
      <c r="E251" s="6"/>
    </row>
    <row r="252" spans="1:5" x14ac:dyDescent="0.25">
      <c r="A252" s="5"/>
      <c r="C252" s="6"/>
      <c r="D252" s="6"/>
      <c r="E252" s="6"/>
    </row>
    <row r="253" spans="1:5" x14ac:dyDescent="0.25">
      <c r="A253" s="5"/>
      <c r="C253" s="6"/>
      <c r="D253" s="6"/>
      <c r="E253" s="6"/>
    </row>
    <row r="254" spans="1:5" x14ac:dyDescent="0.25">
      <c r="A254" s="5"/>
      <c r="C254" s="6"/>
      <c r="D254" s="6"/>
      <c r="E254" s="6"/>
    </row>
    <row r="255" spans="1:5" x14ac:dyDescent="0.25">
      <c r="A255" s="5"/>
      <c r="C255" s="6"/>
      <c r="D255" s="6"/>
      <c r="E255" s="6"/>
    </row>
    <row r="256" spans="1:5" x14ac:dyDescent="0.25">
      <c r="A256" s="5"/>
      <c r="C256" s="6"/>
      <c r="D256" s="6"/>
      <c r="E256" s="6"/>
    </row>
    <row r="257" spans="1:5" x14ac:dyDescent="0.25">
      <c r="A257" s="5"/>
      <c r="C257" s="6"/>
      <c r="D257" s="6"/>
      <c r="E257" s="6"/>
    </row>
    <row r="258" spans="1:5" x14ac:dyDescent="0.25">
      <c r="A258" s="5"/>
      <c r="C258" s="6"/>
      <c r="D258" s="6"/>
      <c r="E258" s="6"/>
    </row>
  </sheetData>
  <mergeCells count="3">
    <mergeCell ref="A1:F1"/>
    <mergeCell ref="C6:E6"/>
    <mergeCell ref="B22:D24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CEE3F-CF3C-4BB8-875C-F9D205E88885}">
  <sheetPr codeName="Sheet7"/>
  <dimension ref="A1:F258"/>
  <sheetViews>
    <sheetView workbookViewId="0">
      <selection activeCell="B9" sqref="B9"/>
    </sheetView>
  </sheetViews>
  <sheetFormatPr defaultRowHeight="13.2" x14ac:dyDescent="0.25"/>
  <cols>
    <col min="1" max="1" width="19.6640625" style="2" customWidth="1"/>
    <col min="2" max="3" width="8.88671875" style="2"/>
    <col min="4" max="4" width="44.33203125" style="2" bestFit="1" customWidth="1"/>
    <col min="5" max="256" width="8.88671875" style="2"/>
    <col min="257" max="257" width="19.6640625" style="2" customWidth="1"/>
    <col min="258" max="259" width="8.88671875" style="2"/>
    <col min="260" max="260" width="44.33203125" style="2" bestFit="1" customWidth="1"/>
    <col min="261" max="512" width="8.88671875" style="2"/>
    <col min="513" max="513" width="19.6640625" style="2" customWidth="1"/>
    <col min="514" max="515" width="8.88671875" style="2"/>
    <col min="516" max="516" width="44.33203125" style="2" bestFit="1" customWidth="1"/>
    <col min="517" max="768" width="8.88671875" style="2"/>
    <col min="769" max="769" width="19.6640625" style="2" customWidth="1"/>
    <col min="770" max="771" width="8.88671875" style="2"/>
    <col min="772" max="772" width="44.33203125" style="2" bestFit="1" customWidth="1"/>
    <col min="773" max="1024" width="8.88671875" style="2"/>
    <col min="1025" max="1025" width="19.6640625" style="2" customWidth="1"/>
    <col min="1026" max="1027" width="8.88671875" style="2"/>
    <col min="1028" max="1028" width="44.33203125" style="2" bestFit="1" customWidth="1"/>
    <col min="1029" max="1280" width="8.88671875" style="2"/>
    <col min="1281" max="1281" width="19.6640625" style="2" customWidth="1"/>
    <col min="1282" max="1283" width="8.88671875" style="2"/>
    <col min="1284" max="1284" width="44.33203125" style="2" bestFit="1" customWidth="1"/>
    <col min="1285" max="1536" width="8.88671875" style="2"/>
    <col min="1537" max="1537" width="19.6640625" style="2" customWidth="1"/>
    <col min="1538" max="1539" width="8.88671875" style="2"/>
    <col min="1540" max="1540" width="44.33203125" style="2" bestFit="1" customWidth="1"/>
    <col min="1541" max="1792" width="8.88671875" style="2"/>
    <col min="1793" max="1793" width="19.6640625" style="2" customWidth="1"/>
    <col min="1794" max="1795" width="8.88671875" style="2"/>
    <col min="1796" max="1796" width="44.33203125" style="2" bestFit="1" customWidth="1"/>
    <col min="1797" max="2048" width="8.88671875" style="2"/>
    <col min="2049" max="2049" width="19.6640625" style="2" customWidth="1"/>
    <col min="2050" max="2051" width="8.88671875" style="2"/>
    <col min="2052" max="2052" width="44.33203125" style="2" bestFit="1" customWidth="1"/>
    <col min="2053" max="2304" width="8.88671875" style="2"/>
    <col min="2305" max="2305" width="19.6640625" style="2" customWidth="1"/>
    <col min="2306" max="2307" width="8.88671875" style="2"/>
    <col min="2308" max="2308" width="44.33203125" style="2" bestFit="1" customWidth="1"/>
    <col min="2309" max="2560" width="8.88671875" style="2"/>
    <col min="2561" max="2561" width="19.6640625" style="2" customWidth="1"/>
    <col min="2562" max="2563" width="8.88671875" style="2"/>
    <col min="2564" max="2564" width="44.33203125" style="2" bestFit="1" customWidth="1"/>
    <col min="2565" max="2816" width="8.88671875" style="2"/>
    <col min="2817" max="2817" width="19.6640625" style="2" customWidth="1"/>
    <col min="2818" max="2819" width="8.88671875" style="2"/>
    <col min="2820" max="2820" width="44.33203125" style="2" bestFit="1" customWidth="1"/>
    <col min="2821" max="3072" width="8.88671875" style="2"/>
    <col min="3073" max="3073" width="19.6640625" style="2" customWidth="1"/>
    <col min="3074" max="3075" width="8.88671875" style="2"/>
    <col min="3076" max="3076" width="44.33203125" style="2" bestFit="1" customWidth="1"/>
    <col min="3077" max="3328" width="8.88671875" style="2"/>
    <col min="3329" max="3329" width="19.6640625" style="2" customWidth="1"/>
    <col min="3330" max="3331" width="8.88671875" style="2"/>
    <col min="3332" max="3332" width="44.33203125" style="2" bestFit="1" customWidth="1"/>
    <col min="3333" max="3584" width="8.88671875" style="2"/>
    <col min="3585" max="3585" width="19.6640625" style="2" customWidth="1"/>
    <col min="3586" max="3587" width="8.88671875" style="2"/>
    <col min="3588" max="3588" width="44.33203125" style="2" bestFit="1" customWidth="1"/>
    <col min="3589" max="3840" width="8.88671875" style="2"/>
    <col min="3841" max="3841" width="19.6640625" style="2" customWidth="1"/>
    <col min="3842" max="3843" width="8.88671875" style="2"/>
    <col min="3844" max="3844" width="44.33203125" style="2" bestFit="1" customWidth="1"/>
    <col min="3845" max="4096" width="8.88671875" style="2"/>
    <col min="4097" max="4097" width="19.6640625" style="2" customWidth="1"/>
    <col min="4098" max="4099" width="8.88671875" style="2"/>
    <col min="4100" max="4100" width="44.33203125" style="2" bestFit="1" customWidth="1"/>
    <col min="4101" max="4352" width="8.88671875" style="2"/>
    <col min="4353" max="4353" width="19.6640625" style="2" customWidth="1"/>
    <col min="4354" max="4355" width="8.88671875" style="2"/>
    <col min="4356" max="4356" width="44.33203125" style="2" bestFit="1" customWidth="1"/>
    <col min="4357" max="4608" width="8.88671875" style="2"/>
    <col min="4609" max="4609" width="19.6640625" style="2" customWidth="1"/>
    <col min="4610" max="4611" width="8.88671875" style="2"/>
    <col min="4612" max="4612" width="44.33203125" style="2" bestFit="1" customWidth="1"/>
    <col min="4613" max="4864" width="8.88671875" style="2"/>
    <col min="4865" max="4865" width="19.6640625" style="2" customWidth="1"/>
    <col min="4866" max="4867" width="8.88671875" style="2"/>
    <col min="4868" max="4868" width="44.33203125" style="2" bestFit="1" customWidth="1"/>
    <col min="4869" max="5120" width="8.88671875" style="2"/>
    <col min="5121" max="5121" width="19.6640625" style="2" customWidth="1"/>
    <col min="5122" max="5123" width="8.88671875" style="2"/>
    <col min="5124" max="5124" width="44.33203125" style="2" bestFit="1" customWidth="1"/>
    <col min="5125" max="5376" width="8.88671875" style="2"/>
    <col min="5377" max="5377" width="19.6640625" style="2" customWidth="1"/>
    <col min="5378" max="5379" width="8.88671875" style="2"/>
    <col min="5380" max="5380" width="44.33203125" style="2" bestFit="1" customWidth="1"/>
    <col min="5381" max="5632" width="8.88671875" style="2"/>
    <col min="5633" max="5633" width="19.6640625" style="2" customWidth="1"/>
    <col min="5634" max="5635" width="8.88671875" style="2"/>
    <col min="5636" max="5636" width="44.33203125" style="2" bestFit="1" customWidth="1"/>
    <col min="5637" max="5888" width="8.88671875" style="2"/>
    <col min="5889" max="5889" width="19.6640625" style="2" customWidth="1"/>
    <col min="5890" max="5891" width="8.88671875" style="2"/>
    <col min="5892" max="5892" width="44.33203125" style="2" bestFit="1" customWidth="1"/>
    <col min="5893" max="6144" width="8.88671875" style="2"/>
    <col min="6145" max="6145" width="19.6640625" style="2" customWidth="1"/>
    <col min="6146" max="6147" width="8.88671875" style="2"/>
    <col min="6148" max="6148" width="44.33203125" style="2" bestFit="1" customWidth="1"/>
    <col min="6149" max="6400" width="8.88671875" style="2"/>
    <col min="6401" max="6401" width="19.6640625" style="2" customWidth="1"/>
    <col min="6402" max="6403" width="8.88671875" style="2"/>
    <col min="6404" max="6404" width="44.33203125" style="2" bestFit="1" customWidth="1"/>
    <col min="6405" max="6656" width="8.88671875" style="2"/>
    <col min="6657" max="6657" width="19.6640625" style="2" customWidth="1"/>
    <col min="6658" max="6659" width="8.88671875" style="2"/>
    <col min="6660" max="6660" width="44.33203125" style="2" bestFit="1" customWidth="1"/>
    <col min="6661" max="6912" width="8.88671875" style="2"/>
    <col min="6913" max="6913" width="19.6640625" style="2" customWidth="1"/>
    <col min="6914" max="6915" width="8.88671875" style="2"/>
    <col min="6916" max="6916" width="44.33203125" style="2" bestFit="1" customWidth="1"/>
    <col min="6917" max="7168" width="8.88671875" style="2"/>
    <col min="7169" max="7169" width="19.6640625" style="2" customWidth="1"/>
    <col min="7170" max="7171" width="8.88671875" style="2"/>
    <col min="7172" max="7172" width="44.33203125" style="2" bestFit="1" customWidth="1"/>
    <col min="7173" max="7424" width="8.88671875" style="2"/>
    <col min="7425" max="7425" width="19.6640625" style="2" customWidth="1"/>
    <col min="7426" max="7427" width="8.88671875" style="2"/>
    <col min="7428" max="7428" width="44.33203125" style="2" bestFit="1" customWidth="1"/>
    <col min="7429" max="7680" width="8.88671875" style="2"/>
    <col min="7681" max="7681" width="19.6640625" style="2" customWidth="1"/>
    <col min="7682" max="7683" width="8.88671875" style="2"/>
    <col min="7684" max="7684" width="44.33203125" style="2" bestFit="1" customWidth="1"/>
    <col min="7685" max="7936" width="8.88671875" style="2"/>
    <col min="7937" max="7937" width="19.6640625" style="2" customWidth="1"/>
    <col min="7938" max="7939" width="8.88671875" style="2"/>
    <col min="7940" max="7940" width="44.33203125" style="2" bestFit="1" customWidth="1"/>
    <col min="7941" max="8192" width="8.88671875" style="2"/>
    <col min="8193" max="8193" width="19.6640625" style="2" customWidth="1"/>
    <col min="8194" max="8195" width="8.88671875" style="2"/>
    <col min="8196" max="8196" width="44.33203125" style="2" bestFit="1" customWidth="1"/>
    <col min="8197" max="8448" width="8.88671875" style="2"/>
    <col min="8449" max="8449" width="19.6640625" style="2" customWidth="1"/>
    <col min="8450" max="8451" width="8.88671875" style="2"/>
    <col min="8452" max="8452" width="44.33203125" style="2" bestFit="1" customWidth="1"/>
    <col min="8453" max="8704" width="8.88671875" style="2"/>
    <col min="8705" max="8705" width="19.6640625" style="2" customWidth="1"/>
    <col min="8706" max="8707" width="8.88671875" style="2"/>
    <col min="8708" max="8708" width="44.33203125" style="2" bestFit="1" customWidth="1"/>
    <col min="8709" max="8960" width="8.88671875" style="2"/>
    <col min="8961" max="8961" width="19.6640625" style="2" customWidth="1"/>
    <col min="8962" max="8963" width="8.88671875" style="2"/>
    <col min="8964" max="8964" width="44.33203125" style="2" bestFit="1" customWidth="1"/>
    <col min="8965" max="9216" width="8.88671875" style="2"/>
    <col min="9217" max="9217" width="19.6640625" style="2" customWidth="1"/>
    <col min="9218" max="9219" width="8.88671875" style="2"/>
    <col min="9220" max="9220" width="44.33203125" style="2" bestFit="1" customWidth="1"/>
    <col min="9221" max="9472" width="8.88671875" style="2"/>
    <col min="9473" max="9473" width="19.6640625" style="2" customWidth="1"/>
    <col min="9474" max="9475" width="8.88671875" style="2"/>
    <col min="9476" max="9476" width="44.33203125" style="2" bestFit="1" customWidth="1"/>
    <col min="9477" max="9728" width="8.88671875" style="2"/>
    <col min="9729" max="9729" width="19.6640625" style="2" customWidth="1"/>
    <col min="9730" max="9731" width="8.88671875" style="2"/>
    <col min="9732" max="9732" width="44.33203125" style="2" bestFit="1" customWidth="1"/>
    <col min="9733" max="9984" width="8.88671875" style="2"/>
    <col min="9985" max="9985" width="19.6640625" style="2" customWidth="1"/>
    <col min="9986" max="9987" width="8.88671875" style="2"/>
    <col min="9988" max="9988" width="44.33203125" style="2" bestFit="1" customWidth="1"/>
    <col min="9989" max="10240" width="8.88671875" style="2"/>
    <col min="10241" max="10241" width="19.6640625" style="2" customWidth="1"/>
    <col min="10242" max="10243" width="8.88671875" style="2"/>
    <col min="10244" max="10244" width="44.33203125" style="2" bestFit="1" customWidth="1"/>
    <col min="10245" max="10496" width="8.88671875" style="2"/>
    <col min="10497" max="10497" width="19.6640625" style="2" customWidth="1"/>
    <col min="10498" max="10499" width="8.88671875" style="2"/>
    <col min="10500" max="10500" width="44.33203125" style="2" bestFit="1" customWidth="1"/>
    <col min="10501" max="10752" width="8.88671875" style="2"/>
    <col min="10753" max="10753" width="19.6640625" style="2" customWidth="1"/>
    <col min="10754" max="10755" width="8.88671875" style="2"/>
    <col min="10756" max="10756" width="44.33203125" style="2" bestFit="1" customWidth="1"/>
    <col min="10757" max="11008" width="8.88671875" style="2"/>
    <col min="11009" max="11009" width="19.6640625" style="2" customWidth="1"/>
    <col min="11010" max="11011" width="8.88671875" style="2"/>
    <col min="11012" max="11012" width="44.33203125" style="2" bestFit="1" customWidth="1"/>
    <col min="11013" max="11264" width="8.88671875" style="2"/>
    <col min="11265" max="11265" width="19.6640625" style="2" customWidth="1"/>
    <col min="11266" max="11267" width="8.88671875" style="2"/>
    <col min="11268" max="11268" width="44.33203125" style="2" bestFit="1" customWidth="1"/>
    <col min="11269" max="11520" width="8.88671875" style="2"/>
    <col min="11521" max="11521" width="19.6640625" style="2" customWidth="1"/>
    <col min="11522" max="11523" width="8.88671875" style="2"/>
    <col min="11524" max="11524" width="44.33203125" style="2" bestFit="1" customWidth="1"/>
    <col min="11525" max="11776" width="8.88671875" style="2"/>
    <col min="11777" max="11777" width="19.6640625" style="2" customWidth="1"/>
    <col min="11778" max="11779" width="8.88671875" style="2"/>
    <col min="11780" max="11780" width="44.33203125" style="2" bestFit="1" customWidth="1"/>
    <col min="11781" max="12032" width="8.88671875" style="2"/>
    <col min="12033" max="12033" width="19.6640625" style="2" customWidth="1"/>
    <col min="12034" max="12035" width="8.88671875" style="2"/>
    <col min="12036" max="12036" width="44.33203125" style="2" bestFit="1" customWidth="1"/>
    <col min="12037" max="12288" width="8.88671875" style="2"/>
    <col min="12289" max="12289" width="19.6640625" style="2" customWidth="1"/>
    <col min="12290" max="12291" width="8.88671875" style="2"/>
    <col min="12292" max="12292" width="44.33203125" style="2" bestFit="1" customWidth="1"/>
    <col min="12293" max="12544" width="8.88671875" style="2"/>
    <col min="12545" max="12545" width="19.6640625" style="2" customWidth="1"/>
    <col min="12546" max="12547" width="8.88671875" style="2"/>
    <col min="12548" max="12548" width="44.33203125" style="2" bestFit="1" customWidth="1"/>
    <col min="12549" max="12800" width="8.88671875" style="2"/>
    <col min="12801" max="12801" width="19.6640625" style="2" customWidth="1"/>
    <col min="12802" max="12803" width="8.88671875" style="2"/>
    <col min="12804" max="12804" width="44.33203125" style="2" bestFit="1" customWidth="1"/>
    <col min="12805" max="13056" width="8.88671875" style="2"/>
    <col min="13057" max="13057" width="19.6640625" style="2" customWidth="1"/>
    <col min="13058" max="13059" width="8.88671875" style="2"/>
    <col min="13060" max="13060" width="44.33203125" style="2" bestFit="1" customWidth="1"/>
    <col min="13061" max="13312" width="8.88671875" style="2"/>
    <col min="13313" max="13313" width="19.6640625" style="2" customWidth="1"/>
    <col min="13314" max="13315" width="8.88671875" style="2"/>
    <col min="13316" max="13316" width="44.33203125" style="2" bestFit="1" customWidth="1"/>
    <col min="13317" max="13568" width="8.88671875" style="2"/>
    <col min="13569" max="13569" width="19.6640625" style="2" customWidth="1"/>
    <col min="13570" max="13571" width="8.88671875" style="2"/>
    <col min="13572" max="13572" width="44.33203125" style="2" bestFit="1" customWidth="1"/>
    <col min="13573" max="13824" width="8.88671875" style="2"/>
    <col min="13825" max="13825" width="19.6640625" style="2" customWidth="1"/>
    <col min="13826" max="13827" width="8.88671875" style="2"/>
    <col min="13828" max="13828" width="44.33203125" style="2" bestFit="1" customWidth="1"/>
    <col min="13829" max="14080" width="8.88671875" style="2"/>
    <col min="14081" max="14081" width="19.6640625" style="2" customWidth="1"/>
    <col min="14082" max="14083" width="8.88671875" style="2"/>
    <col min="14084" max="14084" width="44.33203125" style="2" bestFit="1" customWidth="1"/>
    <col min="14085" max="14336" width="8.88671875" style="2"/>
    <col min="14337" max="14337" width="19.6640625" style="2" customWidth="1"/>
    <col min="14338" max="14339" width="8.88671875" style="2"/>
    <col min="14340" max="14340" width="44.33203125" style="2" bestFit="1" customWidth="1"/>
    <col min="14341" max="14592" width="8.88671875" style="2"/>
    <col min="14593" max="14593" width="19.6640625" style="2" customWidth="1"/>
    <col min="14594" max="14595" width="8.88671875" style="2"/>
    <col min="14596" max="14596" width="44.33203125" style="2" bestFit="1" customWidth="1"/>
    <col min="14597" max="14848" width="8.88671875" style="2"/>
    <col min="14849" max="14849" width="19.6640625" style="2" customWidth="1"/>
    <col min="14850" max="14851" width="8.88671875" style="2"/>
    <col min="14852" max="14852" width="44.33203125" style="2" bestFit="1" customWidth="1"/>
    <col min="14853" max="15104" width="8.88671875" style="2"/>
    <col min="15105" max="15105" width="19.6640625" style="2" customWidth="1"/>
    <col min="15106" max="15107" width="8.88671875" style="2"/>
    <col min="15108" max="15108" width="44.33203125" style="2" bestFit="1" customWidth="1"/>
    <col min="15109" max="15360" width="8.88671875" style="2"/>
    <col min="15361" max="15361" width="19.6640625" style="2" customWidth="1"/>
    <col min="15362" max="15363" width="8.88671875" style="2"/>
    <col min="15364" max="15364" width="44.33203125" style="2" bestFit="1" customWidth="1"/>
    <col min="15365" max="15616" width="8.88671875" style="2"/>
    <col min="15617" max="15617" width="19.6640625" style="2" customWidth="1"/>
    <col min="15618" max="15619" width="8.88671875" style="2"/>
    <col min="15620" max="15620" width="44.33203125" style="2" bestFit="1" customWidth="1"/>
    <col min="15621" max="15872" width="8.88671875" style="2"/>
    <col min="15873" max="15873" width="19.6640625" style="2" customWidth="1"/>
    <col min="15874" max="15875" width="8.88671875" style="2"/>
    <col min="15876" max="15876" width="44.33203125" style="2" bestFit="1" customWidth="1"/>
    <col min="15877" max="16128" width="8.88671875" style="2"/>
    <col min="16129" max="16129" width="19.6640625" style="2" customWidth="1"/>
    <col min="16130" max="16131" width="8.88671875" style="2"/>
    <col min="16132" max="16132" width="44.33203125" style="2" bestFit="1" customWidth="1"/>
    <col min="16133" max="16384" width="8.88671875" style="2"/>
  </cols>
  <sheetData>
    <row r="1" spans="1:6" ht="17.399999999999999" x14ac:dyDescent="0.3">
      <c r="A1" s="1" t="s">
        <v>0</v>
      </c>
      <c r="B1" s="1"/>
      <c r="C1" s="1"/>
      <c r="D1" s="1"/>
    </row>
    <row r="2" spans="1:6" x14ac:dyDescent="0.25">
      <c r="A2" s="2" t="s">
        <v>1</v>
      </c>
      <c r="B2" s="2">
        <v>12</v>
      </c>
    </row>
    <row r="3" spans="1:6" x14ac:dyDescent="0.25">
      <c r="A3" s="2" t="s">
        <v>2</v>
      </c>
      <c r="B3" s="3">
        <v>0.12</v>
      </c>
    </row>
    <row r="4" spans="1:6" x14ac:dyDescent="0.25">
      <c r="A4" s="2" t="s">
        <v>3</v>
      </c>
      <c r="B4" s="3">
        <v>0.35</v>
      </c>
    </row>
    <row r="5" spans="1:6" x14ac:dyDescent="0.25">
      <c r="A5" s="2" t="s">
        <v>4</v>
      </c>
      <c r="B5" s="3">
        <f>1/250</f>
        <v>4.0000000000000001E-3</v>
      </c>
      <c r="C5" s="2" t="str">
        <f ca="1">[2]!getformula(B5)</f>
        <v>&lt;--  =1/250</v>
      </c>
    </row>
    <row r="7" spans="1:6" ht="26.4" x14ac:dyDescent="0.25">
      <c r="A7" s="4" t="s">
        <v>5</v>
      </c>
      <c r="B7" s="4" t="s">
        <v>6</v>
      </c>
      <c r="C7" s="4" t="s">
        <v>7</v>
      </c>
      <c r="E7" s="4"/>
      <c r="F7" s="4"/>
    </row>
    <row r="8" spans="1:6" x14ac:dyDescent="0.25">
      <c r="A8" s="5">
        <v>0</v>
      </c>
      <c r="C8" s="2">
        <f>B2</f>
        <v>12</v>
      </c>
    </row>
    <row r="9" spans="1:6" x14ac:dyDescent="0.25">
      <c r="A9" s="5">
        <v>1</v>
      </c>
      <c r="B9" s="6">
        <f t="shared" ref="B9:B72" ca="1" si="0">NORMSINV(RAND())</f>
        <v>-1.2154254249854191</v>
      </c>
      <c r="C9" s="6">
        <f t="shared" ref="C9:C72" ca="1" si="1">C8*EXP($B$3*$B$5+$B$4*SQRT($B$5)*B9)</f>
        <v>11.687057829216021</v>
      </c>
      <c r="D9" s="2" t="str">
        <f ca="1">[2]!getformula(C9)</f>
        <v>&lt;--  =C8*EXP($B$3*$B$5+$B$4*SQRT($B$5)*B9)</v>
      </c>
    </row>
    <row r="10" spans="1:6" x14ac:dyDescent="0.25">
      <c r="A10" s="5">
        <v>2</v>
      </c>
      <c r="B10" s="6">
        <f t="shared" ca="1" si="0"/>
        <v>-0.18397726778105097</v>
      </c>
      <c r="C10" s="6">
        <f t="shared" ca="1" si="1"/>
        <v>11.645147279220687</v>
      </c>
    </row>
    <row r="11" spans="1:6" x14ac:dyDescent="0.25">
      <c r="A11" s="5">
        <v>3</v>
      </c>
      <c r="B11" s="6">
        <f t="shared" ca="1" si="0"/>
        <v>-0.24389875218266835</v>
      </c>
      <c r="C11" s="6">
        <f t="shared" ca="1" si="1"/>
        <v>11.588006277718437</v>
      </c>
    </row>
    <row r="12" spans="1:6" x14ac:dyDescent="0.25">
      <c r="A12" s="5">
        <v>4</v>
      </c>
      <c r="B12" s="6">
        <f t="shared" ca="1" si="0"/>
        <v>-2.4950487302938598</v>
      </c>
      <c r="C12" s="6">
        <f t="shared" ca="1" si="1"/>
        <v>10.970615317282965</v>
      </c>
    </row>
    <row r="13" spans="1:6" x14ac:dyDescent="0.25">
      <c r="A13" s="5">
        <v>5</v>
      </c>
      <c r="B13" s="6">
        <f t="shared" ca="1" si="0"/>
        <v>-1.319408135249692</v>
      </c>
      <c r="C13" s="6">
        <f t="shared" ca="1" si="1"/>
        <v>10.65995310453752</v>
      </c>
    </row>
    <row r="14" spans="1:6" x14ac:dyDescent="0.25">
      <c r="A14" s="5">
        <v>6</v>
      </c>
      <c r="B14" s="6">
        <f t="shared" ca="1" si="0"/>
        <v>2.1780982340920381</v>
      </c>
      <c r="C14" s="6">
        <f t="shared" ca="1" si="1"/>
        <v>11.191877357359186</v>
      </c>
    </row>
    <row r="15" spans="1:6" x14ac:dyDescent="0.25">
      <c r="A15" s="5">
        <v>7</v>
      </c>
      <c r="B15" s="6">
        <f t="shared" ca="1" si="0"/>
        <v>0.33402444538271725</v>
      </c>
      <c r="C15" s="6">
        <f t="shared" ca="1" si="1"/>
        <v>11.280349453736827</v>
      </c>
    </row>
    <row r="16" spans="1:6" x14ac:dyDescent="0.25">
      <c r="A16" s="5">
        <v>8</v>
      </c>
      <c r="B16" s="6">
        <f t="shared" ca="1" si="0"/>
        <v>-0.44924256175321375</v>
      </c>
      <c r="C16" s="6">
        <f t="shared" ca="1" si="1"/>
        <v>11.174091252565287</v>
      </c>
    </row>
    <row r="17" spans="1:3" x14ac:dyDescent="0.25">
      <c r="A17" s="5">
        <v>9</v>
      </c>
      <c r="B17" s="6">
        <f t="shared" ca="1" si="0"/>
        <v>-0.14112084691988111</v>
      </c>
      <c r="C17" s="6">
        <f t="shared" ca="1" si="1"/>
        <v>11.144587726915461</v>
      </c>
    </row>
    <row r="18" spans="1:3" x14ac:dyDescent="0.25">
      <c r="A18" s="5">
        <v>10</v>
      </c>
      <c r="B18" s="6">
        <f t="shared" ca="1" si="0"/>
        <v>1.5037322580773202</v>
      </c>
      <c r="C18" s="6">
        <f t="shared" ca="1" si="1"/>
        <v>11.527327339957488</v>
      </c>
    </row>
    <row r="19" spans="1:3" x14ac:dyDescent="0.25">
      <c r="A19" s="5">
        <v>11</v>
      </c>
      <c r="B19" s="6">
        <f t="shared" ca="1" si="0"/>
        <v>-0.36646963783142111</v>
      </c>
      <c r="C19" s="6">
        <f t="shared" ca="1" si="1"/>
        <v>11.43968391365979</v>
      </c>
    </row>
    <row r="20" spans="1:3" x14ac:dyDescent="0.25">
      <c r="A20" s="5">
        <v>12</v>
      </c>
      <c r="B20" s="6">
        <f t="shared" ca="1" si="0"/>
        <v>-1.12330989161802</v>
      </c>
      <c r="C20" s="6">
        <f t="shared" ca="1" si="1"/>
        <v>11.164095067905064</v>
      </c>
    </row>
    <row r="21" spans="1:3" x14ac:dyDescent="0.25">
      <c r="A21" s="5">
        <v>13</v>
      </c>
      <c r="B21" s="6">
        <f t="shared" ca="1" si="0"/>
        <v>0.67170072446809626</v>
      </c>
      <c r="C21" s="6">
        <f t="shared" ca="1" si="1"/>
        <v>11.336771533940102</v>
      </c>
    </row>
    <row r="22" spans="1:3" x14ac:dyDescent="0.25">
      <c r="A22" s="5">
        <v>14</v>
      </c>
      <c r="B22" s="6">
        <f t="shared" ca="1" si="0"/>
        <v>1.603983118716156</v>
      </c>
      <c r="C22" s="6">
        <f t="shared" ca="1" si="1"/>
        <v>11.752162197474352</v>
      </c>
    </row>
    <row r="23" spans="1:3" x14ac:dyDescent="0.25">
      <c r="A23" s="5">
        <v>15</v>
      </c>
      <c r="B23" s="6">
        <f t="shared" ca="1" si="0"/>
        <v>-1.0470496240532656</v>
      </c>
      <c r="C23" s="6">
        <f t="shared" ca="1" si="1"/>
        <v>11.488422728439293</v>
      </c>
    </row>
    <row r="24" spans="1:3" x14ac:dyDescent="0.25">
      <c r="A24" s="5">
        <v>16</v>
      </c>
      <c r="B24" s="6">
        <f t="shared" ca="1" si="0"/>
        <v>-0.46194832477825115</v>
      </c>
      <c r="C24" s="6">
        <f t="shared" ca="1" si="1"/>
        <v>11.377004248059869</v>
      </c>
    </row>
    <row r="25" spans="1:3" x14ac:dyDescent="0.25">
      <c r="A25" s="5">
        <v>17</v>
      </c>
      <c r="B25" s="6">
        <f t="shared" ca="1" si="0"/>
        <v>-0.57662210276061321</v>
      </c>
      <c r="C25" s="6">
        <f t="shared" ca="1" si="1"/>
        <v>11.238103164192308</v>
      </c>
    </row>
    <row r="26" spans="1:3" x14ac:dyDescent="0.25">
      <c r="A26" s="5">
        <v>18</v>
      </c>
      <c r="B26" s="6">
        <f t="shared" ca="1" si="0"/>
        <v>-0.1275539504045789</v>
      </c>
      <c r="C26" s="6">
        <f t="shared" ca="1" si="1"/>
        <v>11.211797201789148</v>
      </c>
    </row>
    <row r="27" spans="1:3" x14ac:dyDescent="0.25">
      <c r="A27" s="5">
        <v>19</v>
      </c>
      <c r="B27" s="6">
        <f t="shared" ca="1" si="0"/>
        <v>0.82689279568452512</v>
      </c>
      <c r="C27" s="6">
        <f t="shared" ca="1" si="1"/>
        <v>11.424390618876062</v>
      </c>
    </row>
    <row r="28" spans="1:3" x14ac:dyDescent="0.25">
      <c r="A28" s="5">
        <v>20</v>
      </c>
      <c r="B28" s="6">
        <f t="shared" ca="1" si="0"/>
        <v>6.4532612168954936E-2</v>
      </c>
      <c r="C28" s="6">
        <f t="shared" ca="1" si="1"/>
        <v>11.44621477612389</v>
      </c>
    </row>
    <row r="29" spans="1:3" x14ac:dyDescent="0.25">
      <c r="A29" s="5">
        <v>21</v>
      </c>
      <c r="B29" s="6">
        <f t="shared" ca="1" si="0"/>
        <v>-0.2402899398720505</v>
      </c>
      <c r="C29" s="6">
        <f t="shared" ca="1" si="1"/>
        <v>11.390959831151816</v>
      </c>
    </row>
    <row r="30" spans="1:3" x14ac:dyDescent="0.25">
      <c r="A30" s="5">
        <v>22</v>
      </c>
      <c r="B30" s="6">
        <f t="shared" ca="1" si="0"/>
        <v>-0.9311591576620446</v>
      </c>
      <c r="C30" s="6">
        <f t="shared" ca="1" si="1"/>
        <v>11.163929011185159</v>
      </c>
    </row>
    <row r="31" spans="1:3" x14ac:dyDescent="0.25">
      <c r="A31" s="5">
        <v>23</v>
      </c>
      <c r="B31" s="6">
        <f t="shared" ca="1" si="0"/>
        <v>-0.66736847152607803</v>
      </c>
      <c r="C31" s="6">
        <f t="shared" ca="1" si="1"/>
        <v>11.005499760385868</v>
      </c>
    </row>
    <row r="32" spans="1:3" x14ac:dyDescent="0.25">
      <c r="A32" s="5">
        <v>24</v>
      </c>
      <c r="B32" s="6">
        <f t="shared" ca="1" si="0"/>
        <v>1.1089443170486017</v>
      </c>
      <c r="C32" s="6">
        <f t="shared" ca="1" si="1"/>
        <v>11.284415956322196</v>
      </c>
    </row>
    <row r="33" spans="1:3" x14ac:dyDescent="0.25">
      <c r="A33" s="5">
        <v>25</v>
      </c>
      <c r="B33" s="6">
        <f t="shared" ca="1" si="0"/>
        <v>-0.5679415988689277</v>
      </c>
      <c r="C33" s="6">
        <f t="shared" ca="1" si="1"/>
        <v>11.148787323157105</v>
      </c>
    </row>
    <row r="34" spans="1:3" x14ac:dyDescent="0.25">
      <c r="A34" s="5">
        <v>26</v>
      </c>
      <c r="B34" s="6">
        <f t="shared" ca="1" si="0"/>
        <v>-1.4243169059037875</v>
      </c>
      <c r="C34" s="6">
        <f t="shared" ca="1" si="1"/>
        <v>10.807951713753781</v>
      </c>
    </row>
    <row r="35" spans="1:3" x14ac:dyDescent="0.25">
      <c r="A35" s="5">
        <v>27</v>
      </c>
      <c r="B35" s="6">
        <f t="shared" ca="1" si="0"/>
        <v>-2.2611487273201925</v>
      </c>
      <c r="C35" s="6">
        <f t="shared" ca="1" si="1"/>
        <v>10.285236034783775</v>
      </c>
    </row>
    <row r="36" spans="1:3" x14ac:dyDescent="0.25">
      <c r="A36" s="5">
        <v>28</v>
      </c>
      <c r="B36" s="6">
        <f t="shared" ca="1" si="0"/>
        <v>-1.0081259226884025</v>
      </c>
      <c r="C36" s="6">
        <f t="shared" ca="1" si="1"/>
        <v>10.063083751906261</v>
      </c>
    </row>
    <row r="37" spans="1:3" x14ac:dyDescent="0.25">
      <c r="A37" s="5">
        <v>29</v>
      </c>
      <c r="B37" s="6">
        <f t="shared" ca="1" si="0"/>
        <v>0.1105633956498934</v>
      </c>
      <c r="C37" s="6">
        <f t="shared" ca="1" si="1"/>
        <v>10.092585837294823</v>
      </c>
    </row>
    <row r="38" spans="1:3" x14ac:dyDescent="0.25">
      <c r="A38" s="5">
        <v>30</v>
      </c>
      <c r="B38" s="6">
        <f t="shared" ca="1" si="0"/>
        <v>0.47027944793940268</v>
      </c>
      <c r="C38" s="6">
        <f t="shared" ca="1" si="1"/>
        <v>10.20309553541242</v>
      </c>
    </row>
    <row r="39" spans="1:3" x14ac:dyDescent="0.25">
      <c r="A39" s="5">
        <v>31</v>
      </c>
      <c r="B39" s="6">
        <f t="shared" ca="1" si="0"/>
        <v>-0.42572651644706977</v>
      </c>
      <c r="C39" s="6">
        <f t="shared" ca="1" si="1"/>
        <v>10.112247368246887</v>
      </c>
    </row>
    <row r="40" spans="1:3" x14ac:dyDescent="0.25">
      <c r="A40" s="5">
        <v>32</v>
      </c>
      <c r="B40" s="6">
        <f t="shared" ca="1" si="0"/>
        <v>1.3613484982770332</v>
      </c>
      <c r="C40" s="6">
        <f t="shared" ca="1" si="1"/>
        <v>10.426618772340001</v>
      </c>
    </row>
    <row r="41" spans="1:3" x14ac:dyDescent="0.25">
      <c r="A41" s="5">
        <v>33</v>
      </c>
      <c r="B41" s="6">
        <f t="shared" ca="1" si="0"/>
        <v>1.21567453753191</v>
      </c>
      <c r="C41" s="6">
        <f t="shared" ca="1" si="1"/>
        <v>10.716152006412328</v>
      </c>
    </row>
    <row r="42" spans="1:3" x14ac:dyDescent="0.25">
      <c r="A42" s="5">
        <v>34</v>
      </c>
      <c r="B42" s="6">
        <f t="shared" ca="1" si="0"/>
        <v>0.43683340543648796</v>
      </c>
      <c r="C42" s="6">
        <f t="shared" ca="1" si="1"/>
        <v>10.825471788930948</v>
      </c>
    </row>
    <row r="43" spans="1:3" x14ac:dyDescent="0.25">
      <c r="A43" s="5">
        <v>35</v>
      </c>
      <c r="B43" s="6">
        <f t="shared" ca="1" si="0"/>
        <v>0.27168831367284696</v>
      </c>
      <c r="C43" s="6">
        <f t="shared" ca="1" si="1"/>
        <v>10.896002004850409</v>
      </c>
    </row>
    <row r="44" spans="1:3" x14ac:dyDescent="0.25">
      <c r="A44" s="5">
        <v>36</v>
      </c>
      <c r="B44" s="6">
        <f t="shared" ca="1" si="0"/>
        <v>0.60008671012217507</v>
      </c>
      <c r="C44" s="6">
        <f t="shared" ca="1" si="1"/>
        <v>11.047005756580356</v>
      </c>
    </row>
    <row r="45" spans="1:3" x14ac:dyDescent="0.25">
      <c r="A45" s="5">
        <v>37</v>
      </c>
      <c r="B45" s="6">
        <f t="shared" ca="1" si="0"/>
        <v>-0.25121366116782695</v>
      </c>
      <c r="C45" s="6">
        <f t="shared" ca="1" si="1"/>
        <v>10.991019909793922</v>
      </c>
    </row>
    <row r="46" spans="1:3" x14ac:dyDescent="0.25">
      <c r="A46" s="5">
        <v>38</v>
      </c>
      <c r="B46" s="6">
        <f t="shared" ca="1" si="0"/>
        <v>-0.20525817539506691</v>
      </c>
      <c r="C46" s="6">
        <f t="shared" ca="1" si="1"/>
        <v>10.946447606727247</v>
      </c>
    </row>
    <row r="47" spans="1:3" x14ac:dyDescent="0.25">
      <c r="A47" s="5">
        <v>39</v>
      </c>
      <c r="B47" s="6">
        <f t="shared" ca="1" si="0"/>
        <v>0.66130212531687016</v>
      </c>
      <c r="C47" s="6">
        <f t="shared" ca="1" si="1"/>
        <v>11.113199330214751</v>
      </c>
    </row>
    <row r="48" spans="1:3" x14ac:dyDescent="0.25">
      <c r="A48" s="5">
        <v>40</v>
      </c>
      <c r="B48" s="6">
        <f t="shared" ca="1" si="0"/>
        <v>-1.2583676611044121</v>
      </c>
      <c r="C48" s="6">
        <f t="shared" ca="1" si="1"/>
        <v>10.813100141261589</v>
      </c>
    </row>
    <row r="49" spans="1:3" x14ac:dyDescent="0.25">
      <c r="A49" s="5">
        <v>41</v>
      </c>
      <c r="B49" s="6">
        <f t="shared" ca="1" si="0"/>
        <v>1.5249792959369859</v>
      </c>
      <c r="C49" s="6">
        <f t="shared" ca="1" si="1"/>
        <v>11.189716991764511</v>
      </c>
    </row>
    <row r="50" spans="1:3" x14ac:dyDescent="0.25">
      <c r="A50" s="5">
        <v>42</v>
      </c>
      <c r="B50" s="6">
        <f t="shared" ca="1" si="0"/>
        <v>0.4239922081539288</v>
      </c>
      <c r="C50" s="6">
        <f t="shared" ca="1" si="1"/>
        <v>11.300655110808339</v>
      </c>
    </row>
    <row r="51" spans="1:3" x14ac:dyDescent="0.25">
      <c r="A51" s="5">
        <v>43</v>
      </c>
      <c r="B51" s="6">
        <f t="shared" ca="1" si="0"/>
        <v>-9.4307978499009806E-2</v>
      </c>
      <c r="C51" s="6">
        <f t="shared" ca="1" si="1"/>
        <v>11.282502816468437</v>
      </c>
    </row>
    <row r="52" spans="1:3" x14ac:dyDescent="0.25">
      <c r="A52" s="5">
        <v>44</v>
      </c>
      <c r="B52" s="6">
        <f t="shared" ca="1" si="0"/>
        <v>0.46151548107483542</v>
      </c>
      <c r="C52" s="6">
        <f t="shared" ca="1" si="1"/>
        <v>11.403829077781396</v>
      </c>
    </row>
    <row r="53" spans="1:3" x14ac:dyDescent="0.25">
      <c r="A53" s="5">
        <v>45</v>
      </c>
      <c r="B53" s="6">
        <f t="shared" ca="1" si="0"/>
        <v>-1.3414691692168959</v>
      </c>
      <c r="C53" s="6">
        <f t="shared" ca="1" si="1"/>
        <v>11.075489317482059</v>
      </c>
    </row>
    <row r="54" spans="1:3" x14ac:dyDescent="0.25">
      <c r="A54" s="5">
        <v>46</v>
      </c>
      <c r="B54" s="6">
        <f t="shared" ca="1" si="0"/>
        <v>-0.70221827599289599</v>
      </c>
      <c r="C54" s="6">
        <f t="shared" ca="1" si="1"/>
        <v>10.909895625713002</v>
      </c>
    </row>
    <row r="55" spans="1:3" x14ac:dyDescent="0.25">
      <c r="A55" s="5">
        <v>47</v>
      </c>
      <c r="B55" s="6">
        <f t="shared" ca="1" si="0"/>
        <v>-0.18346982049261815</v>
      </c>
      <c r="C55" s="6">
        <f t="shared" ca="1" si="1"/>
        <v>10.870894140119823</v>
      </c>
    </row>
    <row r="56" spans="1:3" x14ac:dyDescent="0.25">
      <c r="A56" s="5">
        <v>48</v>
      </c>
      <c r="B56" s="6">
        <f t="shared" ca="1" si="0"/>
        <v>0.15336408535872437</v>
      </c>
      <c r="C56" s="6">
        <f t="shared" ca="1" si="1"/>
        <v>10.913099035563461</v>
      </c>
    </row>
    <row r="57" spans="1:3" x14ac:dyDescent="0.25">
      <c r="A57" s="5">
        <v>49</v>
      </c>
      <c r="B57" s="6">
        <f t="shared" ca="1" si="0"/>
        <v>0.52693937414170644</v>
      </c>
      <c r="C57" s="6">
        <f t="shared" ca="1" si="1"/>
        <v>11.046439008760247</v>
      </c>
    </row>
    <row r="58" spans="1:3" x14ac:dyDescent="0.25">
      <c r="A58" s="5">
        <v>50</v>
      </c>
      <c r="B58" s="6">
        <f t="shared" ca="1" si="0"/>
        <v>-1.4821501476251888</v>
      </c>
      <c r="C58" s="6">
        <f t="shared" ca="1" si="1"/>
        <v>10.695031868316935</v>
      </c>
    </row>
    <row r="59" spans="1:3" x14ac:dyDescent="0.25">
      <c r="A59" s="5">
        <v>51</v>
      </c>
      <c r="B59" s="6">
        <f t="shared" ca="1" si="0"/>
        <v>-1.3819420916722316</v>
      </c>
      <c r="C59" s="6">
        <f t="shared" ca="1" si="1"/>
        <v>10.377798140472859</v>
      </c>
    </row>
    <row r="60" spans="1:3" x14ac:dyDescent="0.25">
      <c r="A60" s="5">
        <v>52</v>
      </c>
      <c r="B60" s="6">
        <f t="shared" ca="1" si="0"/>
        <v>-0.13278185893638475</v>
      </c>
      <c r="C60" s="6">
        <f t="shared" ca="1" si="1"/>
        <v>10.352307878636312</v>
      </c>
    </row>
    <row r="61" spans="1:3" x14ac:dyDescent="0.25">
      <c r="A61" s="5">
        <v>53</v>
      </c>
      <c r="B61" s="6">
        <f t="shared" ca="1" si="0"/>
        <v>-0.69161599555232911</v>
      </c>
      <c r="C61" s="6">
        <f t="shared" ca="1" si="1"/>
        <v>10.199920290596975</v>
      </c>
    </row>
    <row r="62" spans="1:3" x14ac:dyDescent="0.25">
      <c r="A62" s="5">
        <v>54</v>
      </c>
      <c r="B62" s="6">
        <f t="shared" ca="1" si="0"/>
        <v>0.84062217206343925</v>
      </c>
      <c r="C62" s="6">
        <f t="shared" ca="1" si="1"/>
        <v>10.396486064289483</v>
      </c>
    </row>
    <row r="63" spans="1:3" x14ac:dyDescent="0.25">
      <c r="A63" s="5">
        <v>55</v>
      </c>
      <c r="B63" s="6">
        <f t="shared" ca="1" si="0"/>
        <v>7.0943171974207683E-3</v>
      </c>
      <c r="C63" s="6">
        <f t="shared" ca="1" si="1"/>
        <v>10.403111145586179</v>
      </c>
    </row>
    <row r="64" spans="1:3" x14ac:dyDescent="0.25">
      <c r="A64" s="5">
        <v>56</v>
      </c>
      <c r="B64" s="6">
        <f t="shared" ca="1" si="0"/>
        <v>-0.38842080795131384</v>
      </c>
      <c r="C64" s="6">
        <f t="shared" ca="1" si="1"/>
        <v>10.318999925555405</v>
      </c>
    </row>
    <row r="65" spans="1:3" x14ac:dyDescent="0.25">
      <c r="A65" s="5">
        <v>57</v>
      </c>
      <c r="B65" s="6">
        <f t="shared" ca="1" si="0"/>
        <v>0.56887311236869698</v>
      </c>
      <c r="C65" s="6">
        <f t="shared" ca="1" si="1"/>
        <v>10.454781066036547</v>
      </c>
    </row>
    <row r="66" spans="1:3" x14ac:dyDescent="0.25">
      <c r="A66" s="5">
        <v>58</v>
      </c>
      <c r="B66" s="6">
        <f t="shared" ca="1" si="0"/>
        <v>0.59741942908549783</v>
      </c>
      <c r="C66" s="6">
        <f t="shared" ca="1" si="1"/>
        <v>10.599044280780904</v>
      </c>
    </row>
    <row r="67" spans="1:3" x14ac:dyDescent="0.25">
      <c r="A67" s="5">
        <v>59</v>
      </c>
      <c r="B67" s="6">
        <f t="shared" ca="1" si="0"/>
        <v>0.76917917175196282</v>
      </c>
      <c r="C67" s="6">
        <f t="shared" ca="1" si="1"/>
        <v>10.786230226694743</v>
      </c>
    </row>
    <row r="68" spans="1:3" x14ac:dyDescent="0.25">
      <c r="A68" s="5">
        <v>60</v>
      </c>
      <c r="B68" s="6">
        <f t="shared" ca="1" si="0"/>
        <v>0.46134650449728892</v>
      </c>
      <c r="C68" s="6">
        <f t="shared" ca="1" si="1"/>
        <v>10.902179047354341</v>
      </c>
    </row>
    <row r="69" spans="1:3" x14ac:dyDescent="0.25">
      <c r="A69" s="5">
        <v>61</v>
      </c>
      <c r="B69" s="6">
        <f t="shared" ca="1" si="0"/>
        <v>-1.1822253386625428</v>
      </c>
      <c r="C69" s="6">
        <f t="shared" ca="1" si="1"/>
        <v>10.625672515803032</v>
      </c>
    </row>
    <row r="70" spans="1:3" x14ac:dyDescent="0.25">
      <c r="A70" s="5">
        <v>62</v>
      </c>
      <c r="B70" s="6">
        <f t="shared" ca="1" si="0"/>
        <v>-0.42079069203189995</v>
      </c>
      <c r="C70" s="6">
        <f t="shared" ca="1" si="1"/>
        <v>10.532212408813191</v>
      </c>
    </row>
    <row r="71" spans="1:3" x14ac:dyDescent="0.25">
      <c r="A71" s="5">
        <v>63</v>
      </c>
      <c r="B71" s="6">
        <f t="shared" ca="1" si="0"/>
        <v>0.37048283076198346</v>
      </c>
      <c r="C71" s="6">
        <f t="shared" ca="1" si="1"/>
        <v>10.624040410559504</v>
      </c>
    </row>
    <row r="72" spans="1:3" x14ac:dyDescent="0.25">
      <c r="A72" s="5">
        <v>64</v>
      </c>
      <c r="B72" s="6">
        <f t="shared" ca="1" si="0"/>
        <v>-0.77755945349671041</v>
      </c>
      <c r="C72" s="6">
        <f t="shared" ca="1" si="1"/>
        <v>10.447757731166577</v>
      </c>
    </row>
    <row r="73" spans="1:3" x14ac:dyDescent="0.25">
      <c r="A73" s="5">
        <v>65</v>
      </c>
      <c r="B73" s="6">
        <f t="shared" ref="B73:B136" ca="1" si="2">NORMSINV(RAND())</f>
        <v>-0.77132529574968933</v>
      </c>
      <c r="C73" s="6">
        <f t="shared" ref="C73:C136" ca="1" si="3">C72*EXP($B$3*$B$5+$B$4*SQRT($B$5)*B73)</f>
        <v>10.275818031109674</v>
      </c>
    </row>
    <row r="74" spans="1:3" x14ac:dyDescent="0.25">
      <c r="A74" s="5">
        <v>66</v>
      </c>
      <c r="B74" s="6">
        <f t="shared" ca="1" si="2"/>
        <v>1.8855938475139791</v>
      </c>
      <c r="C74" s="6">
        <f t="shared" ca="1" si="3"/>
        <v>10.718945358302687</v>
      </c>
    </row>
    <row r="75" spans="1:3" x14ac:dyDescent="0.25">
      <c r="A75" s="5">
        <v>67</v>
      </c>
      <c r="B75" s="6">
        <f t="shared" ca="1" si="2"/>
        <v>-1.746306531619783</v>
      </c>
      <c r="C75" s="6">
        <f t="shared" ca="1" si="3"/>
        <v>10.317449903229789</v>
      </c>
    </row>
    <row r="76" spans="1:3" x14ac:dyDescent="0.25">
      <c r="A76" s="5">
        <v>68</v>
      </c>
      <c r="B76" s="6">
        <f t="shared" ca="1" si="2"/>
        <v>-0.34601301852258132</v>
      </c>
      <c r="C76" s="6">
        <f t="shared" ca="1" si="3"/>
        <v>10.243642840058298</v>
      </c>
    </row>
    <row r="77" spans="1:3" x14ac:dyDescent="0.25">
      <c r="A77" s="5">
        <v>69</v>
      </c>
      <c r="B77" s="6">
        <f t="shared" ca="1" si="2"/>
        <v>-0.24801086729952448</v>
      </c>
      <c r="C77" s="6">
        <f t="shared" ca="1" si="3"/>
        <v>10.192450996217888</v>
      </c>
    </row>
    <row r="78" spans="1:3" x14ac:dyDescent="0.25">
      <c r="A78" s="5">
        <v>70</v>
      </c>
      <c r="B78" s="6">
        <f t="shared" ca="1" si="2"/>
        <v>1.165302109195038</v>
      </c>
      <c r="C78" s="6">
        <f t="shared" ca="1" si="3"/>
        <v>10.463807620585603</v>
      </c>
    </row>
    <row r="79" spans="1:3" x14ac:dyDescent="0.25">
      <c r="A79" s="5">
        <v>71</v>
      </c>
      <c r="B79" s="6">
        <f t="shared" ca="1" si="2"/>
        <v>1.172504990038356</v>
      </c>
      <c r="C79" s="6">
        <f t="shared" ca="1" si="3"/>
        <v>10.744101582819917</v>
      </c>
    </row>
    <row r="80" spans="1:3" x14ac:dyDescent="0.25">
      <c r="A80" s="5">
        <v>72</v>
      </c>
      <c r="B80" s="6">
        <f t="shared" ca="1" si="2"/>
        <v>-9.6536842142833479E-2</v>
      </c>
      <c r="C80" s="6">
        <f t="shared" ca="1" si="3"/>
        <v>10.726314055036926</v>
      </c>
    </row>
    <row r="81" spans="1:3" x14ac:dyDescent="0.25">
      <c r="A81" s="5">
        <v>73</v>
      </c>
      <c r="B81" s="6">
        <f t="shared" ca="1" si="2"/>
        <v>-1.4408594497315175</v>
      </c>
      <c r="C81" s="6">
        <f t="shared" ca="1" si="3"/>
        <v>10.394587067530532</v>
      </c>
    </row>
    <row r="82" spans="1:3" x14ac:dyDescent="0.25">
      <c r="A82" s="5">
        <v>74</v>
      </c>
      <c r="B82" s="6">
        <f t="shared" ca="1" si="2"/>
        <v>0.39939441129812087</v>
      </c>
      <c r="C82" s="6">
        <f t="shared" ca="1" si="3"/>
        <v>10.491927674110473</v>
      </c>
    </row>
    <row r="83" spans="1:3" x14ac:dyDescent="0.25">
      <c r="A83" s="5">
        <v>75</v>
      </c>
      <c r="B83" s="6">
        <f t="shared" ca="1" si="2"/>
        <v>0.12248135363619807</v>
      </c>
      <c r="C83" s="6">
        <f t="shared" ca="1" si="3"/>
        <v>10.52546341878509</v>
      </c>
    </row>
    <row r="84" spans="1:3" x14ac:dyDescent="0.25">
      <c r="A84" s="5">
        <v>76</v>
      </c>
      <c r="B84" s="6">
        <f t="shared" ca="1" si="2"/>
        <v>1.2023667561638276</v>
      </c>
      <c r="C84" s="6">
        <f t="shared" ca="1" si="3"/>
        <v>10.814555212085995</v>
      </c>
    </row>
    <row r="85" spans="1:3" x14ac:dyDescent="0.25">
      <c r="A85" s="5">
        <v>77</v>
      </c>
      <c r="B85" s="6">
        <f t="shared" ca="1" si="2"/>
        <v>1.5104598173194128</v>
      </c>
      <c r="C85" s="6">
        <f t="shared" ca="1" si="3"/>
        <v>11.187626434804702</v>
      </c>
    </row>
    <row r="86" spans="1:3" x14ac:dyDescent="0.25">
      <c r="A86" s="5">
        <v>78</v>
      </c>
      <c r="B86" s="6">
        <f t="shared" ca="1" si="2"/>
        <v>0.53507888921311308</v>
      </c>
      <c r="C86" s="6">
        <f t="shared" ca="1" si="3"/>
        <v>11.326361230466128</v>
      </c>
    </row>
    <row r="87" spans="1:3" x14ac:dyDescent="0.25">
      <c r="A87" s="5">
        <v>79</v>
      </c>
      <c r="B87" s="6">
        <f t="shared" ca="1" si="2"/>
        <v>0.70945321842017917</v>
      </c>
      <c r="C87" s="6">
        <f t="shared" ca="1" si="3"/>
        <v>11.511163199609049</v>
      </c>
    </row>
    <row r="88" spans="1:3" x14ac:dyDescent="0.25">
      <c r="A88" s="5">
        <v>80</v>
      </c>
      <c r="B88" s="6">
        <f t="shared" ca="1" si="2"/>
        <v>0.12899382957724001</v>
      </c>
      <c r="C88" s="6">
        <f t="shared" ca="1" si="3"/>
        <v>11.549621636429023</v>
      </c>
    </row>
    <row r="89" spans="1:3" x14ac:dyDescent="0.25">
      <c r="A89" s="5">
        <v>81</v>
      </c>
      <c r="B89" s="6">
        <f t="shared" ca="1" si="2"/>
        <v>-0.48066926271108656</v>
      </c>
      <c r="C89" s="6">
        <f t="shared" ca="1" si="3"/>
        <v>11.43287080120859</v>
      </c>
    </row>
    <row r="90" spans="1:3" x14ac:dyDescent="0.25">
      <c r="A90" s="5">
        <v>82</v>
      </c>
      <c r="B90" s="6">
        <f t="shared" ca="1" si="2"/>
        <v>0.86194034095838146</v>
      </c>
      <c r="C90" s="6">
        <f t="shared" ca="1" si="3"/>
        <v>11.658697555726295</v>
      </c>
    </row>
    <row r="91" spans="1:3" x14ac:dyDescent="0.25">
      <c r="A91" s="5">
        <v>83</v>
      </c>
      <c r="B91" s="6">
        <f t="shared" ca="1" si="2"/>
        <v>0.150271570842928</v>
      </c>
      <c r="C91" s="6">
        <f t="shared" ca="1" si="3"/>
        <v>11.703159824285489</v>
      </c>
    </row>
    <row r="92" spans="1:3" x14ac:dyDescent="0.25">
      <c r="A92" s="5">
        <v>84</v>
      </c>
      <c r="B92" s="6">
        <f t="shared" ca="1" si="2"/>
        <v>-1.1629513361112742</v>
      </c>
      <c r="C92" s="6">
        <f t="shared" ca="1" si="3"/>
        <v>11.411205949071357</v>
      </c>
    </row>
    <row r="93" spans="1:3" x14ac:dyDescent="0.25">
      <c r="A93" s="5">
        <v>85</v>
      </c>
      <c r="B93" s="6">
        <f t="shared" ca="1" si="2"/>
        <v>2.4519250484301884</v>
      </c>
      <c r="C93" s="6">
        <f t="shared" ca="1" si="3"/>
        <v>12.053457222495844</v>
      </c>
    </row>
    <row r="94" spans="1:3" x14ac:dyDescent="0.25">
      <c r="A94" s="5">
        <v>86</v>
      </c>
      <c r="B94" s="6">
        <f t="shared" ca="1" si="2"/>
        <v>-1.2321754870886172</v>
      </c>
      <c r="C94" s="6">
        <f t="shared" ca="1" si="3"/>
        <v>11.734769160756006</v>
      </c>
    </row>
    <row r="95" spans="1:3" x14ac:dyDescent="0.25">
      <c r="A95" s="5">
        <v>87</v>
      </c>
      <c r="B95" s="6">
        <f t="shared" ca="1" si="2"/>
        <v>0.30295660157917026</v>
      </c>
      <c r="C95" s="6">
        <f t="shared" ca="1" si="3"/>
        <v>11.81940164394244</v>
      </c>
    </row>
    <row r="96" spans="1:3" x14ac:dyDescent="0.25">
      <c r="A96" s="5">
        <v>88</v>
      </c>
      <c r="B96" s="6">
        <f t="shared" ca="1" si="2"/>
        <v>0.4457663783307087</v>
      </c>
      <c r="C96" s="6">
        <f t="shared" ca="1" si="3"/>
        <v>11.942337362095586</v>
      </c>
    </row>
    <row r="97" spans="1:3" x14ac:dyDescent="0.25">
      <c r="A97" s="5">
        <v>89</v>
      </c>
      <c r="B97" s="6">
        <f t="shared" ca="1" si="2"/>
        <v>0.65152772519448821</v>
      </c>
      <c r="C97" s="6">
        <f t="shared" ca="1" si="3"/>
        <v>12.12163689382672</v>
      </c>
    </row>
    <row r="98" spans="1:3" x14ac:dyDescent="0.25">
      <c r="A98" s="5">
        <v>90</v>
      </c>
      <c r="B98" s="6">
        <f t="shared" ca="1" si="2"/>
        <v>0.30204858278039853</v>
      </c>
      <c r="C98" s="6">
        <f t="shared" ca="1" si="3"/>
        <v>12.208814113050641</v>
      </c>
    </row>
    <row r="99" spans="1:3" x14ac:dyDescent="0.25">
      <c r="A99" s="5">
        <v>91</v>
      </c>
      <c r="B99" s="6">
        <f t="shared" ca="1" si="2"/>
        <v>-1.752840107070694</v>
      </c>
      <c r="C99" s="6">
        <f t="shared" ca="1" si="3"/>
        <v>11.749813749761548</v>
      </c>
    </row>
    <row r="100" spans="1:3" x14ac:dyDescent="0.25">
      <c r="A100" s="5">
        <v>92</v>
      </c>
      <c r="B100" s="6">
        <f t="shared" ca="1" si="2"/>
        <v>-0.2723108007491899</v>
      </c>
      <c r="C100" s="6">
        <f t="shared" ca="1" si="3"/>
        <v>11.684807956929504</v>
      </c>
    </row>
    <row r="101" spans="1:3" x14ac:dyDescent="0.25">
      <c r="A101" s="5">
        <v>93</v>
      </c>
      <c r="B101" s="6">
        <f t="shared" ca="1" si="2"/>
        <v>-0.67757463155036568</v>
      </c>
      <c r="C101" s="6">
        <f t="shared" ca="1" si="3"/>
        <v>11.516384712852961</v>
      </c>
    </row>
    <row r="102" spans="1:3" x14ac:dyDescent="0.25">
      <c r="A102" s="5">
        <v>94</v>
      </c>
      <c r="B102" s="6">
        <f t="shared" ca="1" si="2"/>
        <v>-2.0420483350105942</v>
      </c>
      <c r="C102" s="6">
        <f t="shared" ca="1" si="3"/>
        <v>11.012688545818641</v>
      </c>
    </row>
    <row r="103" spans="1:3" x14ac:dyDescent="0.25">
      <c r="A103" s="5">
        <v>95</v>
      </c>
      <c r="B103" s="6">
        <f t="shared" ca="1" si="2"/>
        <v>-1.0469600001594819</v>
      </c>
      <c r="C103" s="6">
        <f t="shared" ca="1" si="3"/>
        <v>10.76556554159353</v>
      </c>
    </row>
    <row r="104" spans="1:3" x14ac:dyDescent="0.25">
      <c r="A104" s="5">
        <v>96</v>
      </c>
      <c r="B104" s="6">
        <f t="shared" ca="1" si="2"/>
        <v>-0.72315272167938482</v>
      </c>
      <c r="C104" s="6">
        <f t="shared" ca="1" si="3"/>
        <v>10.599692558424474</v>
      </c>
    </row>
    <row r="105" spans="1:3" x14ac:dyDescent="0.25">
      <c r="A105" s="5">
        <v>97</v>
      </c>
      <c r="B105" s="6">
        <f t="shared" ca="1" si="2"/>
        <v>0.23594157563008683</v>
      </c>
      <c r="C105" s="6">
        <f t="shared" ca="1" si="3"/>
        <v>10.660313061651426</v>
      </c>
    </row>
    <row r="106" spans="1:3" x14ac:dyDescent="0.25">
      <c r="A106" s="5">
        <v>98</v>
      </c>
      <c r="B106" s="6">
        <f t="shared" ca="1" si="2"/>
        <v>-0.91128831086337936</v>
      </c>
      <c r="C106" s="6">
        <f t="shared" ca="1" si="3"/>
        <v>10.452441207682607</v>
      </c>
    </row>
    <row r="107" spans="1:3" x14ac:dyDescent="0.25">
      <c r="A107" s="5">
        <v>99</v>
      </c>
      <c r="B107" s="6">
        <f t="shared" ca="1" si="2"/>
        <v>1.3039223215716089</v>
      </c>
      <c r="C107" s="6">
        <f t="shared" ca="1" si="3"/>
        <v>10.763697295295589</v>
      </c>
    </row>
    <row r="108" spans="1:3" x14ac:dyDescent="0.25">
      <c r="A108" s="5">
        <v>100</v>
      </c>
      <c r="B108" s="6">
        <f t="shared" ca="1" si="2"/>
        <v>-1.3234587551281412</v>
      </c>
      <c r="C108" s="6">
        <f t="shared" ca="1" si="3"/>
        <v>10.457956770498999</v>
      </c>
    </row>
    <row r="109" spans="1:3" x14ac:dyDescent="0.25">
      <c r="A109" s="5">
        <v>101</v>
      </c>
      <c r="B109" s="6">
        <f t="shared" ca="1" si="2"/>
        <v>-0.22896853642942516</v>
      </c>
      <c r="C109" s="6">
        <f t="shared" ca="1" si="3"/>
        <v>10.41008104099161</v>
      </c>
    </row>
    <row r="110" spans="1:3" x14ac:dyDescent="0.25">
      <c r="A110" s="5">
        <v>102</v>
      </c>
      <c r="B110" s="6">
        <f t="shared" ca="1" si="2"/>
        <v>-0.73920733146960904</v>
      </c>
      <c r="C110" s="6">
        <f t="shared" ca="1" si="3"/>
        <v>10.246043342550106</v>
      </c>
    </row>
    <row r="111" spans="1:3" x14ac:dyDescent="0.25">
      <c r="A111" s="5">
        <v>103</v>
      </c>
      <c r="B111" s="6">
        <f t="shared" ca="1" si="2"/>
        <v>-0.6468210712303496</v>
      </c>
      <c r="C111" s="6">
        <f t="shared" ca="1" si="3"/>
        <v>10.10523514688437</v>
      </c>
    </row>
    <row r="112" spans="1:3" x14ac:dyDescent="0.25">
      <c r="A112" s="5">
        <v>104</v>
      </c>
      <c r="B112" s="6">
        <f t="shared" ca="1" si="2"/>
        <v>-1.5369814997037476</v>
      </c>
      <c r="C112" s="6">
        <f t="shared" ca="1" si="3"/>
        <v>9.7719016132129806</v>
      </c>
    </row>
    <row r="113" spans="1:3" x14ac:dyDescent="0.25">
      <c r="A113" s="5">
        <v>105</v>
      </c>
      <c r="B113" s="6">
        <f t="shared" ca="1" si="2"/>
        <v>1.9785919990146377</v>
      </c>
      <c r="C113" s="6">
        <f t="shared" ca="1" si="3"/>
        <v>10.214303950940987</v>
      </c>
    </row>
    <row r="114" spans="1:3" x14ac:dyDescent="0.25">
      <c r="A114" s="5">
        <v>106</v>
      </c>
      <c r="B114" s="6">
        <f t="shared" ca="1" si="2"/>
        <v>0.24431617754280655</v>
      </c>
      <c r="C114" s="6">
        <f t="shared" ca="1" si="3"/>
        <v>10.274624915910096</v>
      </c>
    </row>
    <row r="115" spans="1:3" x14ac:dyDescent="0.25">
      <c r="A115" s="5">
        <v>107</v>
      </c>
      <c r="B115" s="6">
        <f t="shared" ca="1" si="2"/>
        <v>2.0829028374472451</v>
      </c>
      <c r="C115" s="6">
        <f t="shared" ca="1" si="3"/>
        <v>10.764614018624592</v>
      </c>
    </row>
    <row r="116" spans="1:3" x14ac:dyDescent="0.25">
      <c r="A116" s="5">
        <v>108</v>
      </c>
      <c r="B116" s="6">
        <f t="shared" ca="1" si="2"/>
        <v>-0.99831164996477584</v>
      </c>
      <c r="C116" s="6">
        <f t="shared" ca="1" si="3"/>
        <v>10.534395912014462</v>
      </c>
    </row>
    <row r="117" spans="1:3" x14ac:dyDescent="0.25">
      <c r="A117" s="5">
        <v>109</v>
      </c>
      <c r="B117" s="6">
        <f t="shared" ca="1" si="2"/>
        <v>-1.0627233136243563</v>
      </c>
      <c r="C117" s="6">
        <f t="shared" ca="1" si="3"/>
        <v>10.294413003296828</v>
      </c>
    </row>
    <row r="118" spans="1:3" x14ac:dyDescent="0.25">
      <c r="A118" s="5">
        <v>110</v>
      </c>
      <c r="B118" s="6">
        <f t="shared" ca="1" si="2"/>
        <v>-0.66684381660227876</v>
      </c>
      <c r="C118" s="6">
        <f t="shared" ca="1" si="3"/>
        <v>10.148441065401551</v>
      </c>
    </row>
    <row r="119" spans="1:3" x14ac:dyDescent="0.25">
      <c r="A119" s="5">
        <v>111</v>
      </c>
      <c r="B119" s="6">
        <f t="shared" ca="1" si="2"/>
        <v>-1.2135844567620064</v>
      </c>
      <c r="C119" s="6">
        <f t="shared" ca="1" si="3"/>
        <v>9.8841875885882722</v>
      </c>
    </row>
    <row r="120" spans="1:3" x14ac:dyDescent="0.25">
      <c r="A120" s="5">
        <v>112</v>
      </c>
      <c r="B120" s="6">
        <f t="shared" ca="1" si="2"/>
        <v>0.73105354104243503</v>
      </c>
      <c r="C120" s="6">
        <f t="shared" ca="1" si="3"/>
        <v>10.050263237320294</v>
      </c>
    </row>
    <row r="121" spans="1:3" x14ac:dyDescent="0.25">
      <c r="A121" s="5">
        <v>113</v>
      </c>
      <c r="B121" s="6">
        <f t="shared" ca="1" si="2"/>
        <v>0.17066316139926341</v>
      </c>
      <c r="C121" s="6">
        <f t="shared" ca="1" si="3"/>
        <v>10.093146377745866</v>
      </c>
    </row>
    <row r="122" spans="1:3" x14ac:dyDescent="0.25">
      <c r="A122" s="5">
        <v>114</v>
      </c>
      <c r="B122" s="6">
        <f t="shared" ca="1" si="2"/>
        <v>0.8093397609786861</v>
      </c>
      <c r="C122" s="6">
        <f t="shared" ca="1" si="3"/>
        <v>10.280533097013537</v>
      </c>
    </row>
    <row r="123" spans="1:3" x14ac:dyDescent="0.25">
      <c r="A123" s="5">
        <v>115</v>
      </c>
      <c r="B123" s="6">
        <f t="shared" ca="1" si="2"/>
        <v>0.57685959642703155</v>
      </c>
      <c r="C123" s="6">
        <f t="shared" ca="1" si="3"/>
        <v>10.417649633439792</v>
      </c>
    </row>
    <row r="124" spans="1:3" x14ac:dyDescent="0.25">
      <c r="A124" s="5">
        <v>116</v>
      </c>
      <c r="B124" s="6">
        <f t="shared" ca="1" si="2"/>
        <v>0.92141506532501505</v>
      </c>
      <c r="C124" s="6">
        <f t="shared" ca="1" si="3"/>
        <v>10.637418579936551</v>
      </c>
    </row>
    <row r="125" spans="1:3" x14ac:dyDescent="0.25">
      <c r="A125" s="5">
        <v>117</v>
      </c>
      <c r="B125" s="6">
        <f t="shared" ca="1" si="2"/>
        <v>-1.1826707296035022</v>
      </c>
      <c r="C125" s="6">
        <f t="shared" ca="1" si="3"/>
        <v>10.367524820642299</v>
      </c>
    </row>
    <row r="126" spans="1:3" x14ac:dyDescent="0.25">
      <c r="A126" s="5">
        <v>118</v>
      </c>
      <c r="B126" s="6">
        <f t="shared" ca="1" si="2"/>
        <v>1.7113490439369257</v>
      </c>
      <c r="C126" s="6">
        <f t="shared" ca="1" si="3"/>
        <v>10.772974460026171</v>
      </c>
    </row>
    <row r="127" spans="1:3" x14ac:dyDescent="0.25">
      <c r="A127" s="5">
        <v>119</v>
      </c>
      <c r="B127" s="6">
        <f t="shared" ca="1" si="2"/>
        <v>-2.950490907742624</v>
      </c>
      <c r="C127" s="6">
        <f t="shared" ca="1" si="3"/>
        <v>10.096700959148357</v>
      </c>
    </row>
    <row r="128" spans="1:3" x14ac:dyDescent="0.25">
      <c r="A128" s="5">
        <v>120</v>
      </c>
      <c r="B128" s="6">
        <f t="shared" ca="1" si="2"/>
        <v>-0.28558270827209664</v>
      </c>
      <c r="C128" s="6">
        <f t="shared" ca="1" si="3"/>
        <v>10.037891578332452</v>
      </c>
    </row>
    <row r="129" spans="1:3" x14ac:dyDescent="0.25">
      <c r="A129" s="5">
        <v>121</v>
      </c>
      <c r="B129" s="6">
        <f t="shared" ca="1" si="2"/>
        <v>0.45607061795194592</v>
      </c>
      <c r="C129" s="6">
        <f t="shared" ca="1" si="3"/>
        <v>10.144611152244046</v>
      </c>
    </row>
    <row r="130" spans="1:3" x14ac:dyDescent="0.25">
      <c r="A130" s="5">
        <v>122</v>
      </c>
      <c r="B130" s="6">
        <f t="shared" ca="1" si="2"/>
        <v>-1.061987447785214</v>
      </c>
      <c r="C130" s="6">
        <f t="shared" ca="1" si="3"/>
        <v>9.9136693703340359</v>
      </c>
    </row>
    <row r="131" spans="1:3" x14ac:dyDescent="0.25">
      <c r="A131" s="5">
        <v>123</v>
      </c>
      <c r="B131" s="6">
        <f t="shared" ca="1" si="2"/>
        <v>1.1797433668873651</v>
      </c>
      <c r="C131" s="6">
        <f t="shared" ca="1" si="3"/>
        <v>10.180857912913469</v>
      </c>
    </row>
    <row r="132" spans="1:3" x14ac:dyDescent="0.25">
      <c r="A132" s="5">
        <v>124</v>
      </c>
      <c r="B132" s="6">
        <f t="shared" ca="1" si="2"/>
        <v>-1.286073273403852</v>
      </c>
      <c r="C132" s="6">
        <f t="shared" ca="1" si="3"/>
        <v>9.8998621861398099</v>
      </c>
    </row>
    <row r="133" spans="1:3" x14ac:dyDescent="0.25">
      <c r="A133" s="5">
        <v>125</v>
      </c>
      <c r="B133" s="6">
        <f t="shared" ca="1" si="2"/>
        <v>0.12178559977711577</v>
      </c>
      <c r="C133" s="6">
        <f t="shared" ca="1" si="3"/>
        <v>9.9313525339259598</v>
      </c>
    </row>
    <row r="134" spans="1:3" x14ac:dyDescent="0.25">
      <c r="A134" s="5">
        <v>126</v>
      </c>
      <c r="B134" s="6">
        <f t="shared" ca="1" si="2"/>
        <v>0.67322438987187383</v>
      </c>
      <c r="C134" s="6">
        <f t="shared" ca="1" si="3"/>
        <v>10.08530216478858</v>
      </c>
    </row>
    <row r="135" spans="1:3" x14ac:dyDescent="0.25">
      <c r="A135" s="5">
        <v>127</v>
      </c>
      <c r="B135" s="6">
        <f t="shared" ca="1" si="2"/>
        <v>-0.78852518989633824</v>
      </c>
      <c r="C135" s="6">
        <f t="shared" ca="1" si="3"/>
        <v>9.9155515039148252</v>
      </c>
    </row>
    <row r="136" spans="1:3" x14ac:dyDescent="0.25">
      <c r="A136" s="5">
        <v>128</v>
      </c>
      <c r="B136" s="6">
        <f t="shared" ca="1" si="2"/>
        <v>0.21482500647399325</v>
      </c>
      <c r="C136" s="6">
        <f t="shared" ca="1" si="3"/>
        <v>9.9675990532389633</v>
      </c>
    </row>
    <row r="137" spans="1:3" x14ac:dyDescent="0.25">
      <c r="A137" s="5">
        <v>129</v>
      </c>
      <c r="B137" s="6">
        <f t="shared" ref="B137:B200" ca="1" si="4">NORMSINV(RAND())</f>
        <v>-0.85508031442037968</v>
      </c>
      <c r="C137" s="6">
        <f t="shared" ref="C137:C200" ca="1" si="5">C136*EXP($B$3*$B$5+$B$4*SQRT($B$5)*B137)</f>
        <v>9.7854024395473083</v>
      </c>
    </row>
    <row r="138" spans="1:3" x14ac:dyDescent="0.25">
      <c r="A138" s="5">
        <v>130</v>
      </c>
      <c r="B138" s="6">
        <f t="shared" ca="1" si="4"/>
        <v>-5.4517162086741129E-2</v>
      </c>
      <c r="C138" s="6">
        <f t="shared" ca="1" si="5"/>
        <v>9.7782931021994344</v>
      </c>
    </row>
    <row r="139" spans="1:3" x14ac:dyDescent="0.25">
      <c r="A139" s="5">
        <v>131</v>
      </c>
      <c r="B139" s="6">
        <f t="shared" ca="1" si="4"/>
        <v>-0.24928382455334794</v>
      </c>
      <c r="C139" s="6">
        <f t="shared" ca="1" si="5"/>
        <v>9.7291526560953532</v>
      </c>
    </row>
    <row r="140" spans="1:3" x14ac:dyDescent="0.25">
      <c r="A140" s="5">
        <v>132</v>
      </c>
      <c r="B140" s="6">
        <f t="shared" ca="1" si="4"/>
        <v>1.3937228625271418</v>
      </c>
      <c r="C140" s="6">
        <f t="shared" ca="1" si="5"/>
        <v>10.038805944996955</v>
      </c>
    </row>
    <row r="141" spans="1:3" x14ac:dyDescent="0.25">
      <c r="A141" s="5">
        <v>133</v>
      </c>
      <c r="B141" s="6">
        <f t="shared" ca="1" si="4"/>
        <v>-1.0835662779201738</v>
      </c>
      <c r="C141" s="6">
        <f t="shared" ca="1" si="5"/>
        <v>9.8055878834925778</v>
      </c>
    </row>
    <row r="142" spans="1:3" x14ac:dyDescent="0.25">
      <c r="A142" s="5">
        <v>134</v>
      </c>
      <c r="B142" s="6">
        <f t="shared" ca="1" si="4"/>
        <v>1.5749156572691609</v>
      </c>
      <c r="C142" s="6">
        <f t="shared" ca="1" si="5"/>
        <v>10.158336105238547</v>
      </c>
    </row>
    <row r="143" spans="1:3" x14ac:dyDescent="0.25">
      <c r="A143" s="5">
        <v>135</v>
      </c>
      <c r="B143" s="6">
        <f t="shared" ca="1" si="4"/>
        <v>0.72576992178015087</v>
      </c>
      <c r="C143" s="6">
        <f t="shared" ca="1" si="5"/>
        <v>10.327810050156046</v>
      </c>
    </row>
    <row r="144" spans="1:3" x14ac:dyDescent="0.25">
      <c r="A144" s="5">
        <v>136</v>
      </c>
      <c r="B144" s="6">
        <f t="shared" ca="1" si="4"/>
        <v>0.13949392079438086</v>
      </c>
      <c r="C144" s="6">
        <f t="shared" ca="1" si="5"/>
        <v>10.364723727905112</v>
      </c>
    </row>
    <row r="145" spans="1:3" x14ac:dyDescent="0.25">
      <c r="A145" s="5">
        <v>137</v>
      </c>
      <c r="B145" s="6">
        <f t="shared" ca="1" si="4"/>
        <v>-3.2805056963960674E-2</v>
      </c>
      <c r="C145" s="6">
        <f t="shared" ca="1" si="5"/>
        <v>10.362172548651364</v>
      </c>
    </row>
    <row r="146" spans="1:3" x14ac:dyDescent="0.25">
      <c r="A146" s="5">
        <v>138</v>
      </c>
      <c r="B146" s="6">
        <f t="shared" ca="1" si="4"/>
        <v>1.3021642524787485</v>
      </c>
      <c r="C146" s="6">
        <f t="shared" ca="1" si="5"/>
        <v>10.670325327702779</v>
      </c>
    </row>
    <row r="147" spans="1:3" x14ac:dyDescent="0.25">
      <c r="A147" s="5">
        <v>139</v>
      </c>
      <c r="B147" s="6">
        <f t="shared" ca="1" si="4"/>
        <v>0.16372305605506413</v>
      </c>
      <c r="C147" s="6">
        <f t="shared" ca="1" si="5"/>
        <v>10.714208085819145</v>
      </c>
    </row>
    <row r="148" spans="1:3" x14ac:dyDescent="0.25">
      <c r="A148" s="5">
        <v>140</v>
      </c>
      <c r="B148" s="6">
        <f t="shared" ca="1" si="4"/>
        <v>-0.78142052545893537</v>
      </c>
      <c r="C148" s="6">
        <f t="shared" ca="1" si="5"/>
        <v>10.535528777341264</v>
      </c>
    </row>
    <row r="149" spans="1:3" x14ac:dyDescent="0.25">
      <c r="A149" s="5">
        <v>141</v>
      </c>
      <c r="B149" s="6">
        <f t="shared" ca="1" si="4"/>
        <v>1.1152168023400844</v>
      </c>
      <c r="C149" s="6">
        <f t="shared" ca="1" si="5"/>
        <v>10.804034343451464</v>
      </c>
    </row>
    <row r="150" spans="1:3" x14ac:dyDescent="0.25">
      <c r="A150" s="5">
        <v>142</v>
      </c>
      <c r="B150" s="6">
        <f t="shared" ca="1" si="4"/>
        <v>-0.62272697709023617</v>
      </c>
      <c r="C150" s="6">
        <f t="shared" ca="1" si="5"/>
        <v>10.661242460257547</v>
      </c>
    </row>
    <row r="151" spans="1:3" x14ac:dyDescent="0.25">
      <c r="A151" s="5">
        <v>143</v>
      </c>
      <c r="B151" s="6">
        <f t="shared" ca="1" si="4"/>
        <v>-1.1762799174322844</v>
      </c>
      <c r="C151" s="6">
        <f t="shared" ca="1" si="5"/>
        <v>10.392214286679689</v>
      </c>
    </row>
    <row r="152" spans="1:3" x14ac:dyDescent="0.25">
      <c r="A152" s="5">
        <v>144</v>
      </c>
      <c r="B152" s="6">
        <f t="shared" ca="1" si="4"/>
        <v>1.2294232781628509</v>
      </c>
      <c r="C152" s="6">
        <f t="shared" ca="1" si="5"/>
        <v>10.684043255652666</v>
      </c>
    </row>
    <row r="153" spans="1:3" x14ac:dyDescent="0.25">
      <c r="A153" s="5">
        <v>145</v>
      </c>
      <c r="B153" s="6">
        <f t="shared" ca="1" si="4"/>
        <v>-0.24457285377294849</v>
      </c>
      <c r="C153" s="6">
        <f t="shared" ca="1" si="5"/>
        <v>10.631459605808487</v>
      </c>
    </row>
    <row r="154" spans="1:3" x14ac:dyDescent="0.25">
      <c r="A154" s="5">
        <v>146</v>
      </c>
      <c r="B154" s="6">
        <f t="shared" ca="1" si="4"/>
        <v>0.62691475623170378</v>
      </c>
      <c r="C154" s="6">
        <f t="shared" ca="1" si="5"/>
        <v>10.785200202018961</v>
      </c>
    </row>
    <row r="155" spans="1:3" x14ac:dyDescent="0.25">
      <c r="A155" s="5">
        <v>147</v>
      </c>
      <c r="B155" s="6">
        <f t="shared" ca="1" si="4"/>
        <v>-1.6881659058925473</v>
      </c>
      <c r="C155" s="6">
        <f t="shared" ca="1" si="5"/>
        <v>10.394592275023102</v>
      </c>
    </row>
    <row r="156" spans="1:3" x14ac:dyDescent="0.25">
      <c r="A156" s="5">
        <v>148</v>
      </c>
      <c r="B156" s="6">
        <f t="shared" ca="1" si="4"/>
        <v>0.1743694158858671</v>
      </c>
      <c r="C156" s="6">
        <f t="shared" ca="1" si="5"/>
        <v>10.439801082974412</v>
      </c>
    </row>
    <row r="157" spans="1:3" x14ac:dyDescent="0.25">
      <c r="A157" s="5">
        <v>149</v>
      </c>
      <c r="B157" s="6">
        <f t="shared" ca="1" si="4"/>
        <v>0.55979095960566827</v>
      </c>
      <c r="C157" s="6">
        <f t="shared" ca="1" si="5"/>
        <v>10.575045526606308</v>
      </c>
    </row>
    <row r="158" spans="1:3" x14ac:dyDescent="0.25">
      <c r="A158" s="5">
        <v>150</v>
      </c>
      <c r="B158" s="6">
        <f t="shared" ca="1" si="4"/>
        <v>-1.3500979407578748</v>
      </c>
      <c r="C158" s="6">
        <f t="shared" ca="1" si="5"/>
        <v>10.268606601361748</v>
      </c>
    </row>
    <row r="159" spans="1:3" x14ac:dyDescent="0.25">
      <c r="A159" s="5">
        <v>151</v>
      </c>
      <c r="B159" s="6">
        <f t="shared" ca="1" si="4"/>
        <v>1.2752009523536481</v>
      </c>
      <c r="C159" s="6">
        <f t="shared" ca="1" si="5"/>
        <v>10.567667613165248</v>
      </c>
    </row>
    <row r="160" spans="1:3" x14ac:dyDescent="0.25">
      <c r="A160" s="5">
        <v>152</v>
      </c>
      <c r="B160" s="6">
        <f t="shared" ca="1" si="4"/>
        <v>-1.6883845810813476</v>
      </c>
      <c r="C160" s="6">
        <f t="shared" ca="1" si="5"/>
        <v>10.184888769716643</v>
      </c>
    </row>
    <row r="161" spans="1:3" x14ac:dyDescent="0.25">
      <c r="A161" s="5">
        <v>153</v>
      </c>
      <c r="B161" s="6">
        <f t="shared" ca="1" si="4"/>
        <v>-0.74228696643918546</v>
      </c>
      <c r="C161" s="6">
        <f t="shared" ca="1" si="5"/>
        <v>10.023716210498689</v>
      </c>
    </row>
    <row r="162" spans="1:3" x14ac:dyDescent="0.25">
      <c r="A162" s="5">
        <v>154</v>
      </c>
      <c r="B162" s="6">
        <f t="shared" ca="1" si="4"/>
        <v>-1.5024620523701551</v>
      </c>
      <c r="C162" s="6">
        <f t="shared" ca="1" si="5"/>
        <v>9.7004811842730305</v>
      </c>
    </row>
    <row r="163" spans="1:3" x14ac:dyDescent="0.25">
      <c r="A163" s="5">
        <v>155</v>
      </c>
      <c r="B163" s="6">
        <f t="shared" ca="1" si="4"/>
        <v>3.1955874624239246E-2</v>
      </c>
      <c r="C163" s="6">
        <f t="shared" ca="1" si="5"/>
        <v>9.7120061188237639</v>
      </c>
    </row>
    <row r="164" spans="1:3" x14ac:dyDescent="0.25">
      <c r="A164" s="5">
        <v>156</v>
      </c>
      <c r="B164" s="6">
        <f t="shared" ca="1" si="4"/>
        <v>-0.18279051672355581</v>
      </c>
      <c r="C164" s="6">
        <f t="shared" ca="1" si="5"/>
        <v>9.6774324542059844</v>
      </c>
    </row>
    <row r="165" spans="1:3" x14ac:dyDescent="0.25">
      <c r="A165" s="5">
        <v>157</v>
      </c>
      <c r="B165" s="6">
        <f t="shared" ca="1" si="4"/>
        <v>1.2302336430773957</v>
      </c>
      <c r="C165" s="6">
        <f t="shared" ca="1" si="5"/>
        <v>9.9493677489797161</v>
      </c>
    </row>
    <row r="166" spans="1:3" x14ac:dyDescent="0.25">
      <c r="A166" s="5">
        <v>158</v>
      </c>
      <c r="B166" s="6">
        <f t="shared" ca="1" si="4"/>
        <v>1.4096656058840804</v>
      </c>
      <c r="C166" s="6">
        <f t="shared" ca="1" si="5"/>
        <v>10.269653503969208</v>
      </c>
    </row>
    <row r="167" spans="1:3" x14ac:dyDescent="0.25">
      <c r="A167" s="5">
        <v>159</v>
      </c>
      <c r="B167" s="6">
        <f t="shared" ca="1" si="4"/>
        <v>1.9944727475409103</v>
      </c>
      <c r="C167" s="6">
        <f t="shared" ca="1" si="5"/>
        <v>10.738364765373074</v>
      </c>
    </row>
    <row r="168" spans="1:3" x14ac:dyDescent="0.25">
      <c r="A168" s="5">
        <v>160</v>
      </c>
      <c r="B168" s="6">
        <f t="shared" ca="1" si="4"/>
        <v>1.1277862239455649</v>
      </c>
      <c r="C168" s="6">
        <f t="shared" ca="1" si="5"/>
        <v>11.015104125521376</v>
      </c>
    </row>
    <row r="169" spans="1:3" x14ac:dyDescent="0.25">
      <c r="A169" s="5">
        <v>161</v>
      </c>
      <c r="B169" s="6">
        <f t="shared" ca="1" si="4"/>
        <v>-1.1553022597046485</v>
      </c>
      <c r="C169" s="6">
        <f t="shared" ca="1" si="5"/>
        <v>10.74213358948197</v>
      </c>
    </row>
    <row r="170" spans="1:3" x14ac:dyDescent="0.25">
      <c r="A170" s="5">
        <v>162</v>
      </c>
      <c r="B170" s="6">
        <f t="shared" ca="1" si="4"/>
        <v>0.99096009940326524</v>
      </c>
      <c r="C170" s="6">
        <f t="shared" ca="1" si="5"/>
        <v>10.985646581232414</v>
      </c>
    </row>
    <row r="171" spans="1:3" x14ac:dyDescent="0.25">
      <c r="A171" s="5">
        <v>163</v>
      </c>
      <c r="B171" s="6">
        <f t="shared" ca="1" si="4"/>
        <v>0.46402771545786142</v>
      </c>
      <c r="C171" s="6">
        <f t="shared" ca="1" si="5"/>
        <v>11.104398108456754</v>
      </c>
    </row>
    <row r="172" spans="1:3" x14ac:dyDescent="0.25">
      <c r="A172" s="5">
        <v>164</v>
      </c>
      <c r="B172" s="6">
        <f t="shared" ca="1" si="4"/>
        <v>-1.0169026289389331</v>
      </c>
      <c r="C172" s="6">
        <f t="shared" ca="1" si="5"/>
        <v>10.862442059304326</v>
      </c>
    </row>
    <row r="173" spans="1:3" x14ac:dyDescent="0.25">
      <c r="A173" s="5">
        <v>165</v>
      </c>
      <c r="B173" s="6">
        <f t="shared" ca="1" si="4"/>
        <v>-1.0444817022789907</v>
      </c>
      <c r="C173" s="6">
        <f t="shared" ca="1" si="5"/>
        <v>10.619273114310772</v>
      </c>
    </row>
    <row r="174" spans="1:3" x14ac:dyDescent="0.25">
      <c r="A174" s="5">
        <v>166</v>
      </c>
      <c r="B174" s="6">
        <f t="shared" ca="1" si="4"/>
        <v>-0.17898257564242689</v>
      </c>
      <c r="C174" s="6">
        <f t="shared" ca="1" si="5"/>
        <v>10.582361654555175</v>
      </c>
    </row>
    <row r="175" spans="1:3" x14ac:dyDescent="0.25">
      <c r="A175" s="5">
        <v>167</v>
      </c>
      <c r="B175" s="6">
        <f t="shared" ca="1" si="4"/>
        <v>0.70517792341902863</v>
      </c>
      <c r="C175" s="6">
        <f t="shared" ca="1" si="5"/>
        <v>10.754006674534525</v>
      </c>
    </row>
    <row r="176" spans="1:3" x14ac:dyDescent="0.25">
      <c r="A176" s="5">
        <v>168</v>
      </c>
      <c r="B176" s="6">
        <f t="shared" ca="1" si="4"/>
        <v>-0.9820552197850495</v>
      </c>
      <c r="C176" s="6">
        <f t="shared" ca="1" si="5"/>
        <v>10.52780318595709</v>
      </c>
    </row>
    <row r="177" spans="1:3" x14ac:dyDescent="0.25">
      <c r="A177" s="5">
        <v>169</v>
      </c>
      <c r="B177" s="6">
        <f t="shared" ca="1" si="4"/>
        <v>0.25077411365943142</v>
      </c>
      <c r="C177" s="6">
        <f t="shared" ca="1" si="5"/>
        <v>10.591489504511646</v>
      </c>
    </row>
    <row r="178" spans="1:3" x14ac:dyDescent="0.25">
      <c r="A178" s="5">
        <v>170</v>
      </c>
      <c r="B178" s="6">
        <f t="shared" ca="1" si="4"/>
        <v>0.49903696970783712</v>
      </c>
      <c r="C178" s="6">
        <f t="shared" ca="1" si="5"/>
        <v>10.714280265560609</v>
      </c>
    </row>
    <row r="179" spans="1:3" x14ac:dyDescent="0.25">
      <c r="A179" s="5">
        <v>171</v>
      </c>
      <c r="B179" s="6">
        <f t="shared" ca="1" si="4"/>
        <v>1.0751842233772477</v>
      </c>
      <c r="C179" s="6">
        <f t="shared" ca="1" si="5"/>
        <v>10.977609224807866</v>
      </c>
    </row>
    <row r="180" spans="1:3" x14ac:dyDescent="0.25">
      <c r="A180" s="5">
        <v>172</v>
      </c>
      <c r="B180" s="6">
        <f t="shared" ca="1" si="4"/>
        <v>0.66848480451788517</v>
      </c>
      <c r="C180" s="6">
        <f t="shared" ca="1" si="5"/>
        <v>11.146607764271842</v>
      </c>
    </row>
    <row r="181" spans="1:3" x14ac:dyDescent="0.25">
      <c r="A181" s="5">
        <v>173</v>
      </c>
      <c r="B181" s="6">
        <f t="shared" ca="1" si="4"/>
        <v>-0.78060112788393743</v>
      </c>
      <c r="C181" s="6">
        <f t="shared" ca="1" si="5"/>
        <v>10.960916197311109</v>
      </c>
    </row>
    <row r="182" spans="1:3" x14ac:dyDescent="0.25">
      <c r="A182" s="5">
        <v>174</v>
      </c>
      <c r="B182" s="6">
        <f t="shared" ca="1" si="4"/>
        <v>-0.99396456715561421</v>
      </c>
      <c r="C182" s="6">
        <f t="shared" ca="1" si="5"/>
        <v>10.727532087799034</v>
      </c>
    </row>
    <row r="183" spans="1:3" x14ac:dyDescent="0.25">
      <c r="A183" s="5">
        <v>175</v>
      </c>
      <c r="B183" s="6">
        <f t="shared" ca="1" si="4"/>
        <v>-0.33039164074525978</v>
      </c>
      <c r="C183" s="6">
        <f t="shared" ca="1" si="5"/>
        <v>10.654475070575907</v>
      </c>
    </row>
    <row r="184" spans="1:3" x14ac:dyDescent="0.25">
      <c r="A184" s="5">
        <v>176</v>
      </c>
      <c r="B184" s="6">
        <f t="shared" ca="1" si="4"/>
        <v>0.64158774798280893</v>
      </c>
      <c r="C184" s="6">
        <f t="shared" ca="1" si="5"/>
        <v>10.81205968372314</v>
      </c>
    </row>
    <row r="185" spans="1:3" x14ac:dyDescent="0.25">
      <c r="A185" s="5">
        <v>177</v>
      </c>
      <c r="B185" s="6">
        <f t="shared" ca="1" si="4"/>
        <v>1.0272695066486566</v>
      </c>
      <c r="C185" s="6">
        <f t="shared" ca="1" si="5"/>
        <v>11.066048512821272</v>
      </c>
    </row>
    <row r="186" spans="1:3" x14ac:dyDescent="0.25">
      <c r="A186" s="5">
        <v>178</v>
      </c>
      <c r="B186" s="6">
        <f t="shared" ca="1" si="4"/>
        <v>0.31235043628874581</v>
      </c>
      <c r="C186" s="6">
        <f t="shared" ca="1" si="5"/>
        <v>11.148176033294176</v>
      </c>
    </row>
    <row r="187" spans="1:3" x14ac:dyDescent="0.25">
      <c r="A187" s="5">
        <v>179</v>
      </c>
      <c r="B187" s="6">
        <f t="shared" ca="1" si="4"/>
        <v>-0.95489211734578583</v>
      </c>
      <c r="C187" s="6">
        <f t="shared" ca="1" si="5"/>
        <v>10.920245611865946</v>
      </c>
    </row>
    <row r="188" spans="1:3" x14ac:dyDescent="0.25">
      <c r="A188" s="5">
        <v>180</v>
      </c>
      <c r="B188" s="6">
        <f t="shared" ca="1" si="4"/>
        <v>1.6229350765239039</v>
      </c>
      <c r="C188" s="6">
        <f t="shared" ca="1" si="5"/>
        <v>11.325124462191607</v>
      </c>
    </row>
    <row r="189" spans="1:3" x14ac:dyDescent="0.25">
      <c r="A189" s="5">
        <v>181</v>
      </c>
      <c r="B189" s="6">
        <f t="shared" ca="1" si="4"/>
        <v>-2.2048499293750283</v>
      </c>
      <c r="C189" s="6">
        <f t="shared" ca="1" si="5"/>
        <v>10.790835700034711</v>
      </c>
    </row>
    <row r="190" spans="1:3" x14ac:dyDescent="0.25">
      <c r="A190" s="5">
        <v>182</v>
      </c>
      <c r="B190" s="6">
        <f t="shared" ca="1" si="4"/>
        <v>-1.1254125878999901</v>
      </c>
      <c r="C190" s="6">
        <f t="shared" ca="1" si="5"/>
        <v>10.53038784679357</v>
      </c>
    </row>
    <row r="191" spans="1:3" x14ac:dyDescent="0.25">
      <c r="A191" s="5">
        <v>183</v>
      </c>
      <c r="B191" s="6">
        <f t="shared" ca="1" si="4"/>
        <v>0.19261991522104949</v>
      </c>
      <c r="C191" s="6">
        <f t="shared" ca="1" si="5"/>
        <v>10.580460823787835</v>
      </c>
    </row>
    <row r="192" spans="1:3" x14ac:dyDescent="0.25">
      <c r="A192" s="5">
        <v>184</v>
      </c>
      <c r="B192" s="6">
        <f t="shared" ca="1" si="4"/>
        <v>2.6041739959457901</v>
      </c>
      <c r="C192" s="6">
        <f t="shared" ca="1" si="5"/>
        <v>11.213684135872462</v>
      </c>
    </row>
    <row r="193" spans="1:3" x14ac:dyDescent="0.25">
      <c r="A193" s="5">
        <v>185</v>
      </c>
      <c r="B193" s="6">
        <f t="shared" ca="1" si="4"/>
        <v>-0.84294168562557326</v>
      </c>
      <c r="C193" s="6">
        <f t="shared" ca="1" si="5"/>
        <v>11.011668912127798</v>
      </c>
    </row>
    <row r="194" spans="1:3" x14ac:dyDescent="0.25">
      <c r="A194" s="5">
        <v>186</v>
      </c>
      <c r="B194" s="6">
        <f t="shared" ca="1" si="4"/>
        <v>0.59444063284986071</v>
      </c>
      <c r="C194" s="6">
        <f t="shared" ca="1" si="5"/>
        <v>11.162880411785272</v>
      </c>
    </row>
    <row r="195" spans="1:3" x14ac:dyDescent="0.25">
      <c r="A195" s="5">
        <v>187</v>
      </c>
      <c r="B195" s="6">
        <f t="shared" ca="1" si="4"/>
        <v>0.87528335578570937</v>
      </c>
      <c r="C195" s="6">
        <f t="shared" ca="1" si="5"/>
        <v>11.386736897897784</v>
      </c>
    </row>
    <row r="196" spans="1:3" x14ac:dyDescent="0.25">
      <c r="A196" s="5">
        <v>188</v>
      </c>
      <c r="B196" s="6">
        <f t="shared" ca="1" si="4"/>
        <v>-0.23572793685853333</v>
      </c>
      <c r="C196" s="6">
        <f t="shared" ca="1" si="5"/>
        <v>11.332913461659764</v>
      </c>
    </row>
    <row r="197" spans="1:3" x14ac:dyDescent="0.25">
      <c r="A197" s="5">
        <v>189</v>
      </c>
      <c r="B197" s="6">
        <f t="shared" ca="1" si="4"/>
        <v>-1.0872660433812975</v>
      </c>
      <c r="C197" s="6">
        <f t="shared" ca="1" si="5"/>
        <v>11.068724601394798</v>
      </c>
    </row>
    <row r="198" spans="1:3" x14ac:dyDescent="0.25">
      <c r="A198" s="5">
        <v>190</v>
      </c>
      <c r="B198" s="6">
        <f t="shared" ca="1" si="4"/>
        <v>1.0246754035468144</v>
      </c>
      <c r="C198" s="6">
        <f t="shared" ca="1" si="5"/>
        <v>11.328092300186126</v>
      </c>
    </row>
    <row r="199" spans="1:3" x14ac:dyDescent="0.25">
      <c r="A199" s="5">
        <v>191</v>
      </c>
      <c r="B199" s="6">
        <f t="shared" ca="1" si="4"/>
        <v>-0.14175052032334171</v>
      </c>
      <c r="C199" s="6">
        <f t="shared" ca="1" si="5"/>
        <v>11.298024680026176</v>
      </c>
    </row>
    <row r="200" spans="1:3" x14ac:dyDescent="0.25">
      <c r="A200" s="5">
        <v>192</v>
      </c>
      <c r="B200" s="6">
        <f t="shared" ca="1" si="4"/>
        <v>-0.46599218527300101</v>
      </c>
      <c r="C200" s="6">
        <f t="shared" ca="1" si="5"/>
        <v>11.187451256373874</v>
      </c>
    </row>
    <row r="201" spans="1:3" x14ac:dyDescent="0.25">
      <c r="A201" s="5">
        <v>193</v>
      </c>
      <c r="B201" s="6">
        <f t="shared" ref="B201:B258" ca="1" si="6">NORMSINV(RAND())</f>
        <v>0.13647056946501662</v>
      </c>
      <c r="C201" s="6">
        <f t="shared" ref="C201:C258" ca="1" si="7">C200*EXP($B$3*$B$5+$B$4*SQRT($B$5)*B201)</f>
        <v>11.226686097179851</v>
      </c>
    </row>
    <row r="202" spans="1:3" x14ac:dyDescent="0.25">
      <c r="A202" s="5">
        <v>194</v>
      </c>
      <c r="B202" s="6">
        <f t="shared" ca="1" si="6"/>
        <v>-4.2633601974338263E-2</v>
      </c>
      <c r="C202" s="6">
        <f t="shared" ca="1" si="7"/>
        <v>11.221481096757733</v>
      </c>
    </row>
    <row r="203" spans="1:3" x14ac:dyDescent="0.25">
      <c r="A203" s="5">
        <v>195</v>
      </c>
      <c r="B203" s="6">
        <f t="shared" ca="1" si="6"/>
        <v>0.26867332943044187</v>
      </c>
      <c r="C203" s="6">
        <f t="shared" ca="1" si="7"/>
        <v>11.293837625786621</v>
      </c>
    </row>
    <row r="204" spans="1:3" x14ac:dyDescent="0.25">
      <c r="A204" s="5">
        <v>196</v>
      </c>
      <c r="B204" s="6">
        <f t="shared" ca="1" si="6"/>
        <v>8.1289129689093478E-2</v>
      </c>
      <c r="C204" s="6">
        <f t="shared" ca="1" si="7"/>
        <v>11.319610292285313</v>
      </c>
    </row>
    <row r="205" spans="1:3" x14ac:dyDescent="0.25">
      <c r="A205" s="5">
        <v>197</v>
      </c>
      <c r="B205" s="6">
        <f t="shared" ca="1" si="6"/>
        <v>-0.50511180646238674</v>
      </c>
      <c r="C205" s="6">
        <f t="shared" ca="1" si="7"/>
        <v>11.199123532763471</v>
      </c>
    </row>
    <row r="206" spans="1:3" x14ac:dyDescent="0.25">
      <c r="A206" s="5">
        <v>198</v>
      </c>
      <c r="B206" s="6">
        <f t="shared" ca="1" si="6"/>
        <v>1.4112672922425922</v>
      </c>
      <c r="C206" s="6">
        <f t="shared" ca="1" si="7"/>
        <v>11.560050739343007</v>
      </c>
    </row>
    <row r="207" spans="1:3" x14ac:dyDescent="0.25">
      <c r="A207" s="5">
        <v>199</v>
      </c>
      <c r="B207" s="6">
        <f t="shared" ca="1" si="6"/>
        <v>-0.47970657262083083</v>
      </c>
      <c r="C207" s="6">
        <f t="shared" ca="1" si="7"/>
        <v>11.443438337880524</v>
      </c>
    </row>
    <row r="208" spans="1:3" x14ac:dyDescent="0.25">
      <c r="A208" s="5">
        <v>200</v>
      </c>
      <c r="B208" s="6">
        <f t="shared" ca="1" si="6"/>
        <v>0.98079278046273288</v>
      </c>
      <c r="C208" s="6">
        <f t="shared" ca="1" si="7"/>
        <v>11.700215594300875</v>
      </c>
    </row>
    <row r="209" spans="1:3" x14ac:dyDescent="0.25">
      <c r="A209" s="5">
        <v>201</v>
      </c>
      <c r="B209" s="6">
        <f t="shared" ca="1" si="6"/>
        <v>-0.67480511715742553</v>
      </c>
      <c r="C209" s="6">
        <f t="shared" ca="1" si="7"/>
        <v>11.532277240597562</v>
      </c>
    </row>
    <row r="210" spans="1:3" x14ac:dyDescent="0.25">
      <c r="A210" s="5">
        <v>202</v>
      </c>
      <c r="B210" s="6">
        <f t="shared" ca="1" si="6"/>
        <v>0.53849691300031866</v>
      </c>
      <c r="C210" s="6">
        <f t="shared" ca="1" si="7"/>
        <v>11.676169359075338</v>
      </c>
    </row>
    <row r="211" spans="1:3" x14ac:dyDescent="0.25">
      <c r="A211" s="5">
        <v>203</v>
      </c>
      <c r="B211" s="6">
        <f t="shared" ca="1" si="6"/>
        <v>-0.57868082823533828</v>
      </c>
      <c r="C211" s="6">
        <f t="shared" ca="1" si="7"/>
        <v>11.533090192364549</v>
      </c>
    </row>
    <row r="212" spans="1:3" x14ac:dyDescent="0.25">
      <c r="A212" s="5">
        <v>204</v>
      </c>
      <c r="B212" s="6">
        <f t="shared" ca="1" si="6"/>
        <v>-0.2933258044707534</v>
      </c>
      <c r="C212" s="6">
        <f t="shared" ca="1" si="7"/>
        <v>11.463949301606021</v>
      </c>
    </row>
    <row r="213" spans="1:3" x14ac:dyDescent="0.25">
      <c r="A213" s="5">
        <v>205</v>
      </c>
      <c r="B213" s="6">
        <f t="shared" ca="1" si="6"/>
        <v>1.8318808517862695</v>
      </c>
      <c r="C213" s="6">
        <f t="shared" ca="1" si="7"/>
        <v>11.944102947392425</v>
      </c>
    </row>
    <row r="214" spans="1:3" x14ac:dyDescent="0.25">
      <c r="A214" s="5">
        <v>206</v>
      </c>
      <c r="B214" s="6">
        <f t="shared" ca="1" si="6"/>
        <v>-0.57691537929885095</v>
      </c>
      <c r="C214" s="6">
        <f t="shared" ca="1" si="7"/>
        <v>11.798201599819507</v>
      </c>
    </row>
    <row r="215" spans="1:3" x14ac:dyDescent="0.25">
      <c r="A215" s="5">
        <v>207</v>
      </c>
      <c r="B215" s="6">
        <f t="shared" ca="1" si="6"/>
        <v>0.84701880554710895</v>
      </c>
      <c r="C215" s="6">
        <f t="shared" ca="1" si="7"/>
        <v>12.027271227047299</v>
      </c>
    </row>
    <row r="216" spans="1:3" x14ac:dyDescent="0.25">
      <c r="A216" s="5">
        <v>208</v>
      </c>
      <c r="B216" s="6">
        <f t="shared" ca="1" si="6"/>
        <v>1.3260306842283436</v>
      </c>
      <c r="C216" s="6">
        <f t="shared" ca="1" si="7"/>
        <v>12.391485878217653</v>
      </c>
    </row>
    <row r="217" spans="1:3" x14ac:dyDescent="0.25">
      <c r="A217" s="5">
        <v>209</v>
      </c>
      <c r="B217" s="6">
        <f t="shared" ca="1" si="6"/>
        <v>-0.20181092664190717</v>
      </c>
      <c r="C217" s="6">
        <f t="shared" ca="1" si="7"/>
        <v>12.342175984106127</v>
      </c>
    </row>
    <row r="218" spans="1:3" x14ac:dyDescent="0.25">
      <c r="A218" s="5">
        <v>210</v>
      </c>
      <c r="B218" s="6">
        <f t="shared" ca="1" si="6"/>
        <v>0.42764172303360193</v>
      </c>
      <c r="C218" s="6">
        <f t="shared" ca="1" si="7"/>
        <v>12.465546912060324</v>
      </c>
    </row>
    <row r="219" spans="1:3" x14ac:dyDescent="0.25">
      <c r="A219" s="5">
        <v>211</v>
      </c>
      <c r="B219" s="6">
        <f t="shared" ca="1" si="6"/>
        <v>0.66424469025450017</v>
      </c>
      <c r="C219" s="6">
        <f t="shared" ca="1" si="7"/>
        <v>12.65626405524738</v>
      </c>
    </row>
    <row r="220" spans="1:3" x14ac:dyDescent="0.25">
      <c r="A220" s="5">
        <v>212</v>
      </c>
      <c r="B220" s="6">
        <f t="shared" ca="1" si="6"/>
        <v>-0.46685767363394698</v>
      </c>
      <c r="C220" s="6">
        <f t="shared" ca="1" si="7"/>
        <v>12.532157485766596</v>
      </c>
    </row>
    <row r="221" spans="1:3" x14ac:dyDescent="0.25">
      <c r="A221" s="5">
        <v>213</v>
      </c>
      <c r="B221" s="6">
        <f t="shared" ca="1" si="6"/>
        <v>3.374464369596715E-2</v>
      </c>
      <c r="C221" s="6">
        <f t="shared" ca="1" si="7"/>
        <v>12.547543498305483</v>
      </c>
    </row>
    <row r="222" spans="1:3" x14ac:dyDescent="0.25">
      <c r="A222" s="5">
        <v>214</v>
      </c>
      <c r="B222" s="6">
        <f t="shared" ca="1" si="6"/>
        <v>0.34611504766044643</v>
      </c>
      <c r="C222" s="6">
        <f t="shared" ca="1" si="7"/>
        <v>12.650117357628853</v>
      </c>
    </row>
    <row r="223" spans="1:3" x14ac:dyDescent="0.25">
      <c r="A223" s="5">
        <v>215</v>
      </c>
      <c r="B223" s="6">
        <f t="shared" ca="1" si="6"/>
        <v>-6.7792497187989043E-3</v>
      </c>
      <c r="C223" s="6">
        <f t="shared" ca="1" si="7"/>
        <v>12.654291761569107</v>
      </c>
    </row>
    <row r="224" spans="1:3" x14ac:dyDescent="0.25">
      <c r="A224" s="5">
        <v>216</v>
      </c>
      <c r="B224" s="6">
        <f t="shared" ca="1" si="6"/>
        <v>2.2699252931766738</v>
      </c>
      <c r="C224" s="6">
        <f t="shared" ca="1" si="7"/>
        <v>13.312765216506556</v>
      </c>
    </row>
    <row r="225" spans="1:4" x14ac:dyDescent="0.25">
      <c r="A225" s="5">
        <v>217</v>
      </c>
      <c r="B225" s="6">
        <f t="shared" ca="1" si="6"/>
        <v>0.24730088220066065</v>
      </c>
      <c r="C225" s="6">
        <f t="shared" ca="1" si="7"/>
        <v>13.392269051687254</v>
      </c>
    </row>
    <row r="226" spans="1:4" x14ac:dyDescent="0.25">
      <c r="A226" s="5">
        <v>218</v>
      </c>
      <c r="B226" s="6">
        <f t="shared" ca="1" si="6"/>
        <v>-2.0044231367753587</v>
      </c>
      <c r="C226" s="6">
        <f t="shared" ca="1" si="7"/>
        <v>12.817197277288495</v>
      </c>
    </row>
    <row r="227" spans="1:4" x14ac:dyDescent="0.25">
      <c r="A227" s="5">
        <v>219</v>
      </c>
      <c r="B227" s="6">
        <f t="shared" ca="1" si="6"/>
        <v>0.17037629336473878</v>
      </c>
      <c r="C227" s="6">
        <f t="shared" ca="1" si="7"/>
        <v>12.871804820889434</v>
      </c>
    </row>
    <row r="228" spans="1:4" x14ac:dyDescent="0.25">
      <c r="A228" s="5">
        <v>220</v>
      </c>
      <c r="B228" s="6">
        <f t="shared" ca="1" si="6"/>
        <v>0.69503875210542354</v>
      </c>
      <c r="C228" s="6">
        <f t="shared" ca="1" si="7"/>
        <v>13.07764893876835</v>
      </c>
    </row>
    <row r="229" spans="1:4" x14ac:dyDescent="0.25">
      <c r="A229" s="5">
        <v>221</v>
      </c>
      <c r="B229" s="6">
        <f t="shared" ca="1" si="6"/>
        <v>0.22517629762913025</v>
      </c>
      <c r="C229" s="6">
        <f t="shared" ca="1" si="7"/>
        <v>13.149307228066393</v>
      </c>
    </row>
    <row r="230" spans="1:4" x14ac:dyDescent="0.25">
      <c r="A230" s="5">
        <v>222</v>
      </c>
      <c r="B230" s="6">
        <f t="shared" ca="1" si="6"/>
        <v>0.53463153277032727</v>
      </c>
      <c r="C230" s="6">
        <f t="shared" ca="1" si="7"/>
        <v>13.312236481105685</v>
      </c>
    </row>
    <row r="231" spans="1:4" x14ac:dyDescent="0.25">
      <c r="A231" s="5">
        <v>223</v>
      </c>
      <c r="B231" s="6">
        <f t="shared" ca="1" si="6"/>
        <v>-1.0312771578021733</v>
      </c>
      <c r="C231" s="6">
        <f t="shared" ca="1" si="7"/>
        <v>13.018030465463369</v>
      </c>
    </row>
    <row r="232" spans="1:4" x14ac:dyDescent="0.25">
      <c r="A232" s="5">
        <v>224</v>
      </c>
      <c r="B232" s="6">
        <f t="shared" ca="1" si="6"/>
        <v>0.22174807033483199</v>
      </c>
      <c r="C232" s="6">
        <f t="shared" ca="1" si="7"/>
        <v>13.088368803138957</v>
      </c>
      <c r="D232" s="6"/>
    </row>
    <row r="233" spans="1:4" x14ac:dyDescent="0.25">
      <c r="A233" s="5">
        <v>225</v>
      </c>
      <c r="B233" s="6">
        <f t="shared" ca="1" si="6"/>
        <v>1.8309833297322893</v>
      </c>
      <c r="C233" s="6">
        <f t="shared" ca="1" si="7"/>
        <v>13.636288372676443</v>
      </c>
    </row>
    <row r="234" spans="1:4" x14ac:dyDescent="0.25">
      <c r="A234" s="5">
        <v>226</v>
      </c>
      <c r="B234" s="6">
        <f t="shared" ca="1" si="6"/>
        <v>-5.5594148037965717E-2</v>
      </c>
      <c r="C234" s="6">
        <f t="shared" ca="1" si="7"/>
        <v>13.626056420851899</v>
      </c>
    </row>
    <row r="235" spans="1:4" x14ac:dyDescent="0.25">
      <c r="A235" s="5">
        <v>227</v>
      </c>
      <c r="B235" s="6">
        <f t="shared" ca="1" si="6"/>
        <v>-1.6072851493583773</v>
      </c>
      <c r="C235" s="6">
        <f t="shared" ca="1" si="7"/>
        <v>13.156094345208453</v>
      </c>
    </row>
    <row r="236" spans="1:4" x14ac:dyDescent="0.25">
      <c r="A236" s="5">
        <v>228</v>
      </c>
      <c r="B236" s="6">
        <f t="shared" ca="1" si="6"/>
        <v>0.57797259203496831</v>
      </c>
      <c r="C236" s="6">
        <f t="shared" ca="1" si="7"/>
        <v>13.331892115705816</v>
      </c>
    </row>
    <row r="237" spans="1:4" x14ac:dyDescent="0.25">
      <c r="A237" s="5">
        <v>229</v>
      </c>
      <c r="B237" s="6">
        <f t="shared" ca="1" si="6"/>
        <v>-2.4803326534676611</v>
      </c>
      <c r="C237" s="6">
        <f t="shared" ca="1" si="7"/>
        <v>12.625701834938765</v>
      </c>
    </row>
    <row r="238" spans="1:4" x14ac:dyDescent="0.25">
      <c r="A238" s="5">
        <v>230</v>
      </c>
      <c r="B238" s="6">
        <f t="shared" ca="1" si="6"/>
        <v>-0.33495540288890757</v>
      </c>
      <c r="C238" s="6">
        <f t="shared" ca="1" si="7"/>
        <v>12.538451096978818</v>
      </c>
    </row>
    <row r="239" spans="1:4" x14ac:dyDescent="0.25">
      <c r="A239" s="5">
        <v>231</v>
      </c>
      <c r="B239" s="6">
        <f t="shared" ca="1" si="6"/>
        <v>-0.86724902146819249</v>
      </c>
      <c r="C239" s="6">
        <f t="shared" ca="1" si="7"/>
        <v>12.305946922189653</v>
      </c>
    </row>
    <row r="240" spans="1:4" x14ac:dyDescent="0.25">
      <c r="A240" s="5">
        <v>232</v>
      </c>
      <c r="B240" s="6">
        <f t="shared" ca="1" si="6"/>
        <v>-0.64220005293489224</v>
      </c>
      <c r="C240" s="6">
        <f t="shared" ca="1" si="7"/>
        <v>12.138071657682246</v>
      </c>
    </row>
    <row r="241" spans="1:3" x14ac:dyDescent="0.25">
      <c r="A241" s="5">
        <v>233</v>
      </c>
      <c r="B241" s="6">
        <f t="shared" ca="1" si="6"/>
        <v>0.44376635603718328</v>
      </c>
      <c r="C241" s="6">
        <f t="shared" ca="1" si="7"/>
        <v>12.263778961141195</v>
      </c>
    </row>
    <row r="242" spans="1:3" x14ac:dyDescent="0.25">
      <c r="A242" s="5">
        <v>234</v>
      </c>
      <c r="B242" s="6">
        <f t="shared" ca="1" si="6"/>
        <v>-1.5815088287512351</v>
      </c>
      <c r="C242" s="6">
        <f t="shared" ca="1" si="7"/>
        <v>11.847559864236329</v>
      </c>
    </row>
    <row r="243" spans="1:3" x14ac:dyDescent="0.25">
      <c r="A243" s="5">
        <v>235</v>
      </c>
      <c r="B243" s="6">
        <f t="shared" ca="1" si="6"/>
        <v>-0.2494967963817474</v>
      </c>
      <c r="C243" s="6">
        <f t="shared" ca="1" si="7"/>
        <v>11.78796482293146</v>
      </c>
    </row>
    <row r="244" spans="1:3" x14ac:dyDescent="0.25">
      <c r="A244" s="5">
        <v>236</v>
      </c>
      <c r="B244" s="6">
        <f t="shared" ca="1" si="6"/>
        <v>0.22777820058835285</v>
      </c>
      <c r="C244" s="6">
        <f t="shared" ca="1" si="7"/>
        <v>11.853239030455775</v>
      </c>
    </row>
    <row r="245" spans="1:3" x14ac:dyDescent="0.25">
      <c r="A245" s="5">
        <v>237</v>
      </c>
      <c r="B245" s="6">
        <f t="shared" ca="1" si="6"/>
        <v>-0.33581852720869182</v>
      </c>
      <c r="C245" s="6">
        <f t="shared" ca="1" si="7"/>
        <v>11.771101545553783</v>
      </c>
    </row>
    <row r="246" spans="1:3" x14ac:dyDescent="0.25">
      <c r="A246" s="5">
        <v>238</v>
      </c>
      <c r="B246" s="6">
        <f t="shared" ca="1" si="6"/>
        <v>-0.61453960581603451</v>
      </c>
      <c r="C246" s="6">
        <f t="shared" ca="1" si="7"/>
        <v>11.617633719421004</v>
      </c>
    </row>
    <row r="247" spans="1:3" x14ac:dyDescent="0.25">
      <c r="A247" s="5">
        <v>239</v>
      </c>
      <c r="B247" s="6">
        <f t="shared" ca="1" si="6"/>
        <v>-1.3708889321357365</v>
      </c>
      <c r="C247" s="6">
        <f t="shared" ca="1" si="7"/>
        <v>11.275792509053725</v>
      </c>
    </row>
    <row r="248" spans="1:3" x14ac:dyDescent="0.25">
      <c r="A248" s="5">
        <v>240</v>
      </c>
      <c r="B248" s="6">
        <f t="shared" ca="1" si="6"/>
        <v>-1.2988230568850982</v>
      </c>
      <c r="C248" s="6">
        <f t="shared" ca="1" si="7"/>
        <v>10.961482072916935</v>
      </c>
    </row>
    <row r="249" spans="1:3" x14ac:dyDescent="0.25">
      <c r="A249" s="5">
        <v>241</v>
      </c>
      <c r="B249" s="6">
        <f t="shared" ca="1" si="6"/>
        <v>-0.16729115690801555</v>
      </c>
      <c r="C249" s="6">
        <f t="shared" ca="1" si="7"/>
        <v>10.926208474632148</v>
      </c>
    </row>
    <row r="250" spans="1:3" x14ac:dyDescent="0.25">
      <c r="A250" s="5">
        <v>242</v>
      </c>
      <c r="B250" s="6">
        <f t="shared" ca="1" si="6"/>
        <v>-0.30927326635787711</v>
      </c>
      <c r="C250" s="6">
        <f t="shared" ca="1" si="7"/>
        <v>10.856872556437894</v>
      </c>
    </row>
    <row r="251" spans="1:3" x14ac:dyDescent="0.25">
      <c r="A251" s="5">
        <v>243</v>
      </c>
      <c r="B251" s="6">
        <f t="shared" ca="1" si="6"/>
        <v>-0.74398124739825355</v>
      </c>
      <c r="C251" s="6">
        <f t="shared" ca="1" si="7"/>
        <v>10.684665341262122</v>
      </c>
    </row>
    <row r="252" spans="1:3" x14ac:dyDescent="0.25">
      <c r="A252" s="5">
        <v>244</v>
      </c>
      <c r="B252" s="6">
        <f t="shared" ca="1" si="6"/>
        <v>-0.54189029583201831</v>
      </c>
      <c r="C252" s="6">
        <f t="shared" ca="1" si="7"/>
        <v>10.562334403851429</v>
      </c>
    </row>
    <row r="253" spans="1:3" x14ac:dyDescent="0.25">
      <c r="A253" s="5">
        <v>245</v>
      </c>
      <c r="B253" s="6">
        <f t="shared" ca="1" si="6"/>
        <v>2.5509240040037375</v>
      </c>
      <c r="C253" s="6">
        <f t="shared" ca="1" si="7"/>
        <v>11.181285293427177</v>
      </c>
    </row>
    <row r="254" spans="1:3" x14ac:dyDescent="0.25">
      <c r="A254" s="5">
        <v>246</v>
      </c>
      <c r="B254" s="6">
        <f t="shared" ca="1" si="6"/>
        <v>-0.60739406055637013</v>
      </c>
      <c r="C254" s="6">
        <f t="shared" ca="1" si="7"/>
        <v>11.037252963014232</v>
      </c>
    </row>
    <row r="255" spans="1:3" x14ac:dyDescent="0.25">
      <c r="A255" s="5">
        <v>247</v>
      </c>
      <c r="B255" s="6">
        <f t="shared" ca="1" si="6"/>
        <v>1.1148788639710214</v>
      </c>
      <c r="C255" s="6">
        <f t="shared" ca="1" si="7"/>
        <v>11.318460663629006</v>
      </c>
    </row>
    <row r="256" spans="1:3" x14ac:dyDescent="0.25">
      <c r="A256" s="5">
        <v>248</v>
      </c>
      <c r="B256" s="6">
        <f t="shared" ca="1" si="6"/>
        <v>1.1842858849577349</v>
      </c>
      <c r="C256" s="6">
        <f t="shared" ca="1" si="7"/>
        <v>11.624679315515639</v>
      </c>
    </row>
    <row r="257" spans="1:3" x14ac:dyDescent="0.25">
      <c r="A257" s="5">
        <v>249</v>
      </c>
      <c r="B257" s="6">
        <f t="shared" ca="1" si="6"/>
        <v>0.34384173329047729</v>
      </c>
      <c r="C257" s="6">
        <f t="shared" ca="1" si="7"/>
        <v>11.719119186083311</v>
      </c>
    </row>
    <row r="258" spans="1:3" x14ac:dyDescent="0.25">
      <c r="A258" s="5">
        <v>250</v>
      </c>
      <c r="B258" s="6">
        <f t="shared" ca="1" si="6"/>
        <v>2.2306999168380361</v>
      </c>
      <c r="C258" s="6">
        <f t="shared" ca="1" si="7"/>
        <v>12.318229940818316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Exercise 3</vt:lpstr>
      <vt:lpstr>Exercise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2024-11-26T07:38:44Z</dcterms:modified>
</cp:coreProperties>
</file>