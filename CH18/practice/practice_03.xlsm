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practice\"/>
    </mc:Choice>
  </mc:AlternateContent>
  <xr:revisionPtr revIDLastSave="0" documentId="13_ncr:1_{960C6695-69A4-4A0C-B710-B1414F6BD3D9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Sheet1" sheetId="1" r:id="rId1"/>
    <sheet name="Exercise 6 data" sheetId="2" r:id="rId2"/>
    <sheet name="Exercise 6" sheetId="3" r:id="rId3"/>
  </sheets>
  <externalReferences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6" i="3" l="1"/>
  <c r="C66" i="3"/>
  <c r="E65" i="3"/>
  <c r="C65" i="3"/>
  <c r="E64" i="3"/>
  <c r="C64" i="3"/>
  <c r="E63" i="3"/>
  <c r="C63" i="3"/>
  <c r="E62" i="3"/>
  <c r="C62" i="3"/>
  <c r="E61" i="3"/>
  <c r="C61" i="3"/>
  <c r="E60" i="3"/>
  <c r="C60" i="3"/>
  <c r="E59" i="3"/>
  <c r="C59" i="3"/>
  <c r="E58" i="3"/>
  <c r="C58" i="3"/>
  <c r="E57" i="3"/>
  <c r="C57" i="3"/>
  <c r="E56" i="3"/>
  <c r="C56" i="3"/>
  <c r="E55" i="3"/>
  <c r="C55" i="3"/>
  <c r="E54" i="3"/>
  <c r="C54" i="3"/>
  <c r="E53" i="3"/>
  <c r="C53" i="3"/>
  <c r="E52" i="3"/>
  <c r="C52" i="3"/>
  <c r="E51" i="3"/>
  <c r="C51" i="3"/>
  <c r="E50" i="3"/>
  <c r="C50" i="3"/>
  <c r="E49" i="3"/>
  <c r="C49" i="3"/>
  <c r="E48" i="3"/>
  <c r="C48" i="3"/>
  <c r="E47" i="3"/>
  <c r="C47" i="3"/>
  <c r="E46" i="3"/>
  <c r="C46" i="3"/>
  <c r="E45" i="3"/>
  <c r="C45" i="3"/>
  <c r="E44" i="3"/>
  <c r="C44" i="3"/>
  <c r="E43" i="3"/>
  <c r="C43" i="3"/>
  <c r="E42" i="3"/>
  <c r="C42" i="3"/>
  <c r="E41" i="3"/>
  <c r="C41" i="3"/>
  <c r="E40" i="3"/>
  <c r="C40" i="3"/>
  <c r="E39" i="3"/>
  <c r="C39" i="3"/>
  <c r="E38" i="3"/>
  <c r="C38" i="3"/>
  <c r="E37" i="3"/>
  <c r="C37" i="3"/>
  <c r="E36" i="3"/>
  <c r="C36" i="3"/>
  <c r="E35" i="3"/>
  <c r="C35" i="3"/>
  <c r="E34" i="3"/>
  <c r="C34" i="3"/>
  <c r="E33" i="3"/>
  <c r="C33" i="3"/>
  <c r="E32" i="3"/>
  <c r="C32" i="3"/>
  <c r="E31" i="3"/>
  <c r="C31" i="3"/>
  <c r="E30" i="3"/>
  <c r="C30" i="3"/>
  <c r="E29" i="3"/>
  <c r="C29" i="3"/>
  <c r="E28" i="3"/>
  <c r="C28" i="3"/>
  <c r="E27" i="3"/>
  <c r="C27" i="3"/>
  <c r="E26" i="3"/>
  <c r="C26" i="3"/>
  <c r="E25" i="3"/>
  <c r="C25" i="3"/>
  <c r="E24" i="3"/>
  <c r="C24" i="3"/>
  <c r="E23" i="3"/>
  <c r="C23" i="3"/>
  <c r="E22" i="3"/>
  <c r="C22" i="3"/>
  <c r="E21" i="3"/>
  <c r="C21" i="3"/>
  <c r="E20" i="3"/>
  <c r="C20" i="3"/>
  <c r="E19" i="3"/>
  <c r="C19" i="3"/>
  <c r="E18" i="3"/>
  <c r="C18" i="3"/>
  <c r="E17" i="3"/>
  <c r="C17" i="3"/>
  <c r="E16" i="3"/>
  <c r="C16" i="3"/>
  <c r="E15" i="3"/>
  <c r="C15" i="3"/>
  <c r="E14" i="3"/>
  <c r="C14" i="3"/>
  <c r="E13" i="3"/>
  <c r="C13" i="3"/>
  <c r="E12" i="3"/>
  <c r="C12" i="3"/>
  <c r="E11" i="3"/>
  <c r="C11" i="3"/>
  <c r="E10" i="3"/>
  <c r="C10" i="3"/>
  <c r="E9" i="3"/>
  <c r="C9" i="3"/>
  <c r="E8" i="3"/>
  <c r="C8" i="3"/>
  <c r="E7" i="3"/>
  <c r="C7" i="3"/>
  <c r="E6" i="3"/>
  <c r="C6" i="3"/>
  <c r="E5" i="3"/>
  <c r="C5" i="3"/>
  <c r="H9" i="3" s="1"/>
  <c r="E4" i="3"/>
  <c r="I4" i="3" s="1"/>
  <c r="I7" i="3" s="1"/>
  <c r="C4" i="3"/>
  <c r="H4" i="3" s="1"/>
  <c r="H7" i="3" s="1"/>
  <c r="I9" i="3"/>
  <c r="J7" i="3"/>
  <c r="J6" i="3"/>
  <c r="J3" i="3"/>
  <c r="H3" i="3" l="1"/>
  <c r="H6" i="3" s="1"/>
  <c r="I3" i="3"/>
  <c r="I6" i="3" s="1"/>
</calcChain>
</file>

<file path=xl/sharedStrings.xml><?xml version="1.0" encoding="utf-8"?>
<sst xmlns="http://schemas.openxmlformats.org/spreadsheetml/2006/main" count="17" uniqueCount="11">
  <si>
    <t>PRICE DATA FOR ABBOTT AND S&amp;P 500
April - June 2007</t>
  </si>
  <si>
    <t>Date</t>
  </si>
  <si>
    <t>Abbott</t>
  </si>
  <si>
    <t>S&amp;P 500</t>
  </si>
  <si>
    <t>Daily
return</t>
  </si>
  <si>
    <t>S&amp;P</t>
  </si>
  <si>
    <t>Daily mean return</t>
  </si>
  <si>
    <t>Daily standard deviation</t>
  </si>
  <si>
    <t>Annualized mean return</t>
  </si>
  <si>
    <t>Annualized standard deviation</t>
  </si>
  <si>
    <t>Return 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</si>
</sst>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d\-mmm\-yy;@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176" fontId="4" fillId="0" borderId="0" xfId="1" applyNumberFormat="1" applyFont="1" applyAlignment="1">
      <alignment horizontal="center"/>
    </xf>
    <xf numFmtId="0" fontId="4" fillId="0" borderId="0" xfId="1" applyFont="1" applyAlignment="1">
      <alignment horizontal="center"/>
    </xf>
    <xf numFmtId="176" fontId="2" fillId="0" borderId="0" xfId="1" applyNumberFormat="1" applyAlignment="1">
      <alignment horizontal="center"/>
    </xf>
    <xf numFmtId="176" fontId="2" fillId="0" borderId="0" xfId="1" applyNumberFormat="1"/>
    <xf numFmtId="0" fontId="4" fillId="0" borderId="0" xfId="1" applyFont="1" applyAlignment="1">
      <alignment horizontal="center" wrapText="1"/>
    </xf>
    <xf numFmtId="10" fontId="2" fillId="0" borderId="0" xfId="1" applyNumberFormat="1"/>
    <xf numFmtId="10" fontId="0" fillId="0" borderId="0" xfId="2" applyNumberFormat="1" applyFont="1"/>
    <xf numFmtId="177" fontId="2" fillId="0" borderId="0" xfId="1" applyNumberFormat="1"/>
  </cellXfs>
  <cellStyles count="3">
    <cellStyle name="百分比 2" xfId="2" xr:uid="{2A732494-D6A9-4E30-B67F-02D23AD5C4BA}"/>
    <cellStyle name="常规" xfId="0" builtinId="0"/>
    <cellStyle name="常规 2" xfId="1" xr:uid="{4A6E713F-732E-45B7-89E1-84D9691637C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E11" sqref="E1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44E78-FB9B-435A-BCF1-DE394051391E}">
  <sheetPr codeName="Sheet11"/>
  <dimension ref="A1:C66"/>
  <sheetViews>
    <sheetView workbookViewId="0">
      <selection sqref="A1:C1"/>
    </sheetView>
  </sheetViews>
  <sheetFormatPr defaultRowHeight="13.2" x14ac:dyDescent="0.25"/>
  <cols>
    <col min="1" max="1" width="13.44140625" style="6" customWidth="1"/>
    <col min="2" max="2" width="13" style="2" customWidth="1"/>
    <col min="3" max="3" width="13.88671875" style="2" customWidth="1"/>
    <col min="4" max="256" width="8.88671875" style="2"/>
    <col min="257" max="257" width="13.44140625" style="2" customWidth="1"/>
    <col min="258" max="258" width="13" style="2" customWidth="1"/>
    <col min="259" max="259" width="13.88671875" style="2" customWidth="1"/>
    <col min="260" max="512" width="8.88671875" style="2"/>
    <col min="513" max="513" width="13.44140625" style="2" customWidth="1"/>
    <col min="514" max="514" width="13" style="2" customWidth="1"/>
    <col min="515" max="515" width="13.88671875" style="2" customWidth="1"/>
    <col min="516" max="768" width="8.88671875" style="2"/>
    <col min="769" max="769" width="13.44140625" style="2" customWidth="1"/>
    <col min="770" max="770" width="13" style="2" customWidth="1"/>
    <col min="771" max="771" width="13.88671875" style="2" customWidth="1"/>
    <col min="772" max="1024" width="8.88671875" style="2"/>
    <col min="1025" max="1025" width="13.44140625" style="2" customWidth="1"/>
    <col min="1026" max="1026" width="13" style="2" customWidth="1"/>
    <col min="1027" max="1027" width="13.88671875" style="2" customWidth="1"/>
    <col min="1028" max="1280" width="8.88671875" style="2"/>
    <col min="1281" max="1281" width="13.44140625" style="2" customWidth="1"/>
    <col min="1282" max="1282" width="13" style="2" customWidth="1"/>
    <col min="1283" max="1283" width="13.88671875" style="2" customWidth="1"/>
    <col min="1284" max="1536" width="8.88671875" style="2"/>
    <col min="1537" max="1537" width="13.44140625" style="2" customWidth="1"/>
    <col min="1538" max="1538" width="13" style="2" customWidth="1"/>
    <col min="1539" max="1539" width="13.88671875" style="2" customWidth="1"/>
    <col min="1540" max="1792" width="8.88671875" style="2"/>
    <col min="1793" max="1793" width="13.44140625" style="2" customWidth="1"/>
    <col min="1794" max="1794" width="13" style="2" customWidth="1"/>
    <col min="1795" max="1795" width="13.88671875" style="2" customWidth="1"/>
    <col min="1796" max="2048" width="8.88671875" style="2"/>
    <col min="2049" max="2049" width="13.44140625" style="2" customWidth="1"/>
    <col min="2050" max="2050" width="13" style="2" customWidth="1"/>
    <col min="2051" max="2051" width="13.88671875" style="2" customWidth="1"/>
    <col min="2052" max="2304" width="8.88671875" style="2"/>
    <col min="2305" max="2305" width="13.44140625" style="2" customWidth="1"/>
    <col min="2306" max="2306" width="13" style="2" customWidth="1"/>
    <col min="2307" max="2307" width="13.88671875" style="2" customWidth="1"/>
    <col min="2308" max="2560" width="8.88671875" style="2"/>
    <col min="2561" max="2561" width="13.44140625" style="2" customWidth="1"/>
    <col min="2562" max="2562" width="13" style="2" customWidth="1"/>
    <col min="2563" max="2563" width="13.88671875" style="2" customWidth="1"/>
    <col min="2564" max="2816" width="8.88671875" style="2"/>
    <col min="2817" max="2817" width="13.44140625" style="2" customWidth="1"/>
    <col min="2818" max="2818" width="13" style="2" customWidth="1"/>
    <col min="2819" max="2819" width="13.88671875" style="2" customWidth="1"/>
    <col min="2820" max="3072" width="8.88671875" style="2"/>
    <col min="3073" max="3073" width="13.44140625" style="2" customWidth="1"/>
    <col min="3074" max="3074" width="13" style="2" customWidth="1"/>
    <col min="3075" max="3075" width="13.88671875" style="2" customWidth="1"/>
    <col min="3076" max="3328" width="8.88671875" style="2"/>
    <col min="3329" max="3329" width="13.44140625" style="2" customWidth="1"/>
    <col min="3330" max="3330" width="13" style="2" customWidth="1"/>
    <col min="3331" max="3331" width="13.88671875" style="2" customWidth="1"/>
    <col min="3332" max="3584" width="8.88671875" style="2"/>
    <col min="3585" max="3585" width="13.44140625" style="2" customWidth="1"/>
    <col min="3586" max="3586" width="13" style="2" customWidth="1"/>
    <col min="3587" max="3587" width="13.88671875" style="2" customWidth="1"/>
    <col min="3588" max="3840" width="8.88671875" style="2"/>
    <col min="3841" max="3841" width="13.44140625" style="2" customWidth="1"/>
    <col min="3842" max="3842" width="13" style="2" customWidth="1"/>
    <col min="3843" max="3843" width="13.88671875" style="2" customWidth="1"/>
    <col min="3844" max="4096" width="8.88671875" style="2"/>
    <col min="4097" max="4097" width="13.44140625" style="2" customWidth="1"/>
    <col min="4098" max="4098" width="13" style="2" customWidth="1"/>
    <col min="4099" max="4099" width="13.88671875" style="2" customWidth="1"/>
    <col min="4100" max="4352" width="8.88671875" style="2"/>
    <col min="4353" max="4353" width="13.44140625" style="2" customWidth="1"/>
    <col min="4354" max="4354" width="13" style="2" customWidth="1"/>
    <col min="4355" max="4355" width="13.88671875" style="2" customWidth="1"/>
    <col min="4356" max="4608" width="8.88671875" style="2"/>
    <col min="4609" max="4609" width="13.44140625" style="2" customWidth="1"/>
    <col min="4610" max="4610" width="13" style="2" customWidth="1"/>
    <col min="4611" max="4611" width="13.88671875" style="2" customWidth="1"/>
    <col min="4612" max="4864" width="8.88671875" style="2"/>
    <col min="4865" max="4865" width="13.44140625" style="2" customWidth="1"/>
    <col min="4866" max="4866" width="13" style="2" customWidth="1"/>
    <col min="4867" max="4867" width="13.88671875" style="2" customWidth="1"/>
    <col min="4868" max="5120" width="8.88671875" style="2"/>
    <col min="5121" max="5121" width="13.44140625" style="2" customWidth="1"/>
    <col min="5122" max="5122" width="13" style="2" customWidth="1"/>
    <col min="5123" max="5123" width="13.88671875" style="2" customWidth="1"/>
    <col min="5124" max="5376" width="8.88671875" style="2"/>
    <col min="5377" max="5377" width="13.44140625" style="2" customWidth="1"/>
    <col min="5378" max="5378" width="13" style="2" customWidth="1"/>
    <col min="5379" max="5379" width="13.88671875" style="2" customWidth="1"/>
    <col min="5380" max="5632" width="8.88671875" style="2"/>
    <col min="5633" max="5633" width="13.44140625" style="2" customWidth="1"/>
    <col min="5634" max="5634" width="13" style="2" customWidth="1"/>
    <col min="5635" max="5635" width="13.88671875" style="2" customWidth="1"/>
    <col min="5636" max="5888" width="8.88671875" style="2"/>
    <col min="5889" max="5889" width="13.44140625" style="2" customWidth="1"/>
    <col min="5890" max="5890" width="13" style="2" customWidth="1"/>
    <col min="5891" max="5891" width="13.88671875" style="2" customWidth="1"/>
    <col min="5892" max="6144" width="8.88671875" style="2"/>
    <col min="6145" max="6145" width="13.44140625" style="2" customWidth="1"/>
    <col min="6146" max="6146" width="13" style="2" customWidth="1"/>
    <col min="6147" max="6147" width="13.88671875" style="2" customWidth="1"/>
    <col min="6148" max="6400" width="8.88671875" style="2"/>
    <col min="6401" max="6401" width="13.44140625" style="2" customWidth="1"/>
    <col min="6402" max="6402" width="13" style="2" customWidth="1"/>
    <col min="6403" max="6403" width="13.88671875" style="2" customWidth="1"/>
    <col min="6404" max="6656" width="8.88671875" style="2"/>
    <col min="6657" max="6657" width="13.44140625" style="2" customWidth="1"/>
    <col min="6658" max="6658" width="13" style="2" customWidth="1"/>
    <col min="6659" max="6659" width="13.88671875" style="2" customWidth="1"/>
    <col min="6660" max="6912" width="8.88671875" style="2"/>
    <col min="6913" max="6913" width="13.44140625" style="2" customWidth="1"/>
    <col min="6914" max="6914" width="13" style="2" customWidth="1"/>
    <col min="6915" max="6915" width="13.88671875" style="2" customWidth="1"/>
    <col min="6916" max="7168" width="8.88671875" style="2"/>
    <col min="7169" max="7169" width="13.44140625" style="2" customWidth="1"/>
    <col min="7170" max="7170" width="13" style="2" customWidth="1"/>
    <col min="7171" max="7171" width="13.88671875" style="2" customWidth="1"/>
    <col min="7172" max="7424" width="8.88671875" style="2"/>
    <col min="7425" max="7425" width="13.44140625" style="2" customWidth="1"/>
    <col min="7426" max="7426" width="13" style="2" customWidth="1"/>
    <col min="7427" max="7427" width="13.88671875" style="2" customWidth="1"/>
    <col min="7428" max="7680" width="8.88671875" style="2"/>
    <col min="7681" max="7681" width="13.44140625" style="2" customWidth="1"/>
    <col min="7682" max="7682" width="13" style="2" customWidth="1"/>
    <col min="7683" max="7683" width="13.88671875" style="2" customWidth="1"/>
    <col min="7684" max="7936" width="8.88671875" style="2"/>
    <col min="7937" max="7937" width="13.44140625" style="2" customWidth="1"/>
    <col min="7938" max="7938" width="13" style="2" customWidth="1"/>
    <col min="7939" max="7939" width="13.88671875" style="2" customWidth="1"/>
    <col min="7940" max="8192" width="8.88671875" style="2"/>
    <col min="8193" max="8193" width="13.44140625" style="2" customWidth="1"/>
    <col min="8194" max="8194" width="13" style="2" customWidth="1"/>
    <col min="8195" max="8195" width="13.88671875" style="2" customWidth="1"/>
    <col min="8196" max="8448" width="8.88671875" style="2"/>
    <col min="8449" max="8449" width="13.44140625" style="2" customWidth="1"/>
    <col min="8450" max="8450" width="13" style="2" customWidth="1"/>
    <col min="8451" max="8451" width="13.88671875" style="2" customWidth="1"/>
    <col min="8452" max="8704" width="8.88671875" style="2"/>
    <col min="8705" max="8705" width="13.44140625" style="2" customWidth="1"/>
    <col min="8706" max="8706" width="13" style="2" customWidth="1"/>
    <col min="8707" max="8707" width="13.88671875" style="2" customWidth="1"/>
    <col min="8708" max="8960" width="8.88671875" style="2"/>
    <col min="8961" max="8961" width="13.44140625" style="2" customWidth="1"/>
    <col min="8962" max="8962" width="13" style="2" customWidth="1"/>
    <col min="8963" max="8963" width="13.88671875" style="2" customWidth="1"/>
    <col min="8964" max="9216" width="8.88671875" style="2"/>
    <col min="9217" max="9217" width="13.44140625" style="2" customWidth="1"/>
    <col min="9218" max="9218" width="13" style="2" customWidth="1"/>
    <col min="9219" max="9219" width="13.88671875" style="2" customWidth="1"/>
    <col min="9220" max="9472" width="8.88671875" style="2"/>
    <col min="9473" max="9473" width="13.44140625" style="2" customWidth="1"/>
    <col min="9474" max="9474" width="13" style="2" customWidth="1"/>
    <col min="9475" max="9475" width="13.88671875" style="2" customWidth="1"/>
    <col min="9476" max="9728" width="8.88671875" style="2"/>
    <col min="9729" max="9729" width="13.44140625" style="2" customWidth="1"/>
    <col min="9730" max="9730" width="13" style="2" customWidth="1"/>
    <col min="9731" max="9731" width="13.88671875" style="2" customWidth="1"/>
    <col min="9732" max="9984" width="8.88671875" style="2"/>
    <col min="9985" max="9985" width="13.44140625" style="2" customWidth="1"/>
    <col min="9986" max="9986" width="13" style="2" customWidth="1"/>
    <col min="9987" max="9987" width="13.88671875" style="2" customWidth="1"/>
    <col min="9988" max="10240" width="8.88671875" style="2"/>
    <col min="10241" max="10241" width="13.44140625" style="2" customWidth="1"/>
    <col min="10242" max="10242" width="13" style="2" customWidth="1"/>
    <col min="10243" max="10243" width="13.88671875" style="2" customWidth="1"/>
    <col min="10244" max="10496" width="8.88671875" style="2"/>
    <col min="10497" max="10497" width="13.44140625" style="2" customWidth="1"/>
    <col min="10498" max="10498" width="13" style="2" customWidth="1"/>
    <col min="10499" max="10499" width="13.88671875" style="2" customWidth="1"/>
    <col min="10500" max="10752" width="8.88671875" style="2"/>
    <col min="10753" max="10753" width="13.44140625" style="2" customWidth="1"/>
    <col min="10754" max="10754" width="13" style="2" customWidth="1"/>
    <col min="10755" max="10755" width="13.88671875" style="2" customWidth="1"/>
    <col min="10756" max="11008" width="8.88671875" style="2"/>
    <col min="11009" max="11009" width="13.44140625" style="2" customWidth="1"/>
    <col min="11010" max="11010" width="13" style="2" customWidth="1"/>
    <col min="11011" max="11011" width="13.88671875" style="2" customWidth="1"/>
    <col min="11012" max="11264" width="8.88671875" style="2"/>
    <col min="11265" max="11265" width="13.44140625" style="2" customWidth="1"/>
    <col min="11266" max="11266" width="13" style="2" customWidth="1"/>
    <col min="11267" max="11267" width="13.88671875" style="2" customWidth="1"/>
    <col min="11268" max="11520" width="8.88671875" style="2"/>
    <col min="11521" max="11521" width="13.44140625" style="2" customWidth="1"/>
    <col min="11522" max="11522" width="13" style="2" customWidth="1"/>
    <col min="11523" max="11523" width="13.88671875" style="2" customWidth="1"/>
    <col min="11524" max="11776" width="8.88671875" style="2"/>
    <col min="11777" max="11777" width="13.44140625" style="2" customWidth="1"/>
    <col min="11778" max="11778" width="13" style="2" customWidth="1"/>
    <col min="11779" max="11779" width="13.88671875" style="2" customWidth="1"/>
    <col min="11780" max="12032" width="8.88671875" style="2"/>
    <col min="12033" max="12033" width="13.44140625" style="2" customWidth="1"/>
    <col min="12034" max="12034" width="13" style="2" customWidth="1"/>
    <col min="12035" max="12035" width="13.88671875" style="2" customWidth="1"/>
    <col min="12036" max="12288" width="8.88671875" style="2"/>
    <col min="12289" max="12289" width="13.44140625" style="2" customWidth="1"/>
    <col min="12290" max="12290" width="13" style="2" customWidth="1"/>
    <col min="12291" max="12291" width="13.88671875" style="2" customWidth="1"/>
    <col min="12292" max="12544" width="8.88671875" style="2"/>
    <col min="12545" max="12545" width="13.44140625" style="2" customWidth="1"/>
    <col min="12546" max="12546" width="13" style="2" customWidth="1"/>
    <col min="12547" max="12547" width="13.88671875" style="2" customWidth="1"/>
    <col min="12548" max="12800" width="8.88671875" style="2"/>
    <col min="12801" max="12801" width="13.44140625" style="2" customWidth="1"/>
    <col min="12802" max="12802" width="13" style="2" customWidth="1"/>
    <col min="12803" max="12803" width="13.88671875" style="2" customWidth="1"/>
    <col min="12804" max="13056" width="8.88671875" style="2"/>
    <col min="13057" max="13057" width="13.44140625" style="2" customWidth="1"/>
    <col min="13058" max="13058" width="13" style="2" customWidth="1"/>
    <col min="13059" max="13059" width="13.88671875" style="2" customWidth="1"/>
    <col min="13060" max="13312" width="8.88671875" style="2"/>
    <col min="13313" max="13313" width="13.44140625" style="2" customWidth="1"/>
    <col min="13314" max="13314" width="13" style="2" customWidth="1"/>
    <col min="13315" max="13315" width="13.88671875" style="2" customWidth="1"/>
    <col min="13316" max="13568" width="8.88671875" style="2"/>
    <col min="13569" max="13569" width="13.44140625" style="2" customWidth="1"/>
    <col min="13570" max="13570" width="13" style="2" customWidth="1"/>
    <col min="13571" max="13571" width="13.88671875" style="2" customWidth="1"/>
    <col min="13572" max="13824" width="8.88671875" style="2"/>
    <col min="13825" max="13825" width="13.44140625" style="2" customWidth="1"/>
    <col min="13826" max="13826" width="13" style="2" customWidth="1"/>
    <col min="13827" max="13827" width="13.88671875" style="2" customWidth="1"/>
    <col min="13828" max="14080" width="8.88671875" style="2"/>
    <col min="14081" max="14081" width="13.44140625" style="2" customWidth="1"/>
    <col min="14082" max="14082" width="13" style="2" customWidth="1"/>
    <col min="14083" max="14083" width="13.88671875" style="2" customWidth="1"/>
    <col min="14084" max="14336" width="8.88671875" style="2"/>
    <col min="14337" max="14337" width="13.44140625" style="2" customWidth="1"/>
    <col min="14338" max="14338" width="13" style="2" customWidth="1"/>
    <col min="14339" max="14339" width="13.88671875" style="2" customWidth="1"/>
    <col min="14340" max="14592" width="8.88671875" style="2"/>
    <col min="14593" max="14593" width="13.44140625" style="2" customWidth="1"/>
    <col min="14594" max="14594" width="13" style="2" customWidth="1"/>
    <col min="14595" max="14595" width="13.88671875" style="2" customWidth="1"/>
    <col min="14596" max="14848" width="8.88671875" style="2"/>
    <col min="14849" max="14849" width="13.44140625" style="2" customWidth="1"/>
    <col min="14850" max="14850" width="13" style="2" customWidth="1"/>
    <col min="14851" max="14851" width="13.88671875" style="2" customWidth="1"/>
    <col min="14852" max="15104" width="8.88671875" style="2"/>
    <col min="15105" max="15105" width="13.44140625" style="2" customWidth="1"/>
    <col min="15106" max="15106" width="13" style="2" customWidth="1"/>
    <col min="15107" max="15107" width="13.88671875" style="2" customWidth="1"/>
    <col min="15108" max="15360" width="8.88671875" style="2"/>
    <col min="15361" max="15361" width="13.44140625" style="2" customWidth="1"/>
    <col min="15362" max="15362" width="13" style="2" customWidth="1"/>
    <col min="15363" max="15363" width="13.88671875" style="2" customWidth="1"/>
    <col min="15364" max="15616" width="8.88671875" style="2"/>
    <col min="15617" max="15617" width="13.44140625" style="2" customWidth="1"/>
    <col min="15618" max="15618" width="13" style="2" customWidth="1"/>
    <col min="15619" max="15619" width="13.88671875" style="2" customWidth="1"/>
    <col min="15620" max="15872" width="8.88671875" style="2"/>
    <col min="15873" max="15873" width="13.44140625" style="2" customWidth="1"/>
    <col min="15874" max="15874" width="13" style="2" customWidth="1"/>
    <col min="15875" max="15875" width="13.88671875" style="2" customWidth="1"/>
    <col min="15876" max="16128" width="8.88671875" style="2"/>
    <col min="16129" max="16129" width="13.44140625" style="2" customWidth="1"/>
    <col min="16130" max="16130" width="13" style="2" customWidth="1"/>
    <col min="16131" max="16131" width="13.88671875" style="2" customWidth="1"/>
    <col min="16132" max="16384" width="8.88671875" style="2"/>
  </cols>
  <sheetData>
    <row r="1" spans="1:3" ht="71.25" customHeight="1" x14ac:dyDescent="0.25">
      <c r="A1" s="1" t="s">
        <v>0</v>
      </c>
      <c r="B1" s="1"/>
      <c r="C1" s="1"/>
    </row>
    <row r="2" spans="1:3" x14ac:dyDescent="0.25">
      <c r="A2" s="3" t="s">
        <v>1</v>
      </c>
      <c r="B2" s="4" t="s">
        <v>2</v>
      </c>
      <c r="C2" s="4" t="s">
        <v>3</v>
      </c>
    </row>
    <row r="3" spans="1:3" x14ac:dyDescent="0.25">
      <c r="A3" s="5">
        <v>39171</v>
      </c>
      <c r="B3" s="2">
        <v>55.48</v>
      </c>
      <c r="C3" s="2">
        <v>1420.86</v>
      </c>
    </row>
    <row r="4" spans="1:3" x14ac:dyDescent="0.25">
      <c r="A4" s="5">
        <v>39174</v>
      </c>
      <c r="B4" s="2">
        <v>55.49</v>
      </c>
      <c r="C4" s="2">
        <v>1424.55</v>
      </c>
    </row>
    <row r="5" spans="1:3" x14ac:dyDescent="0.25">
      <c r="A5" s="5">
        <v>39175</v>
      </c>
      <c r="B5" s="2">
        <v>56.35</v>
      </c>
      <c r="C5" s="2">
        <v>1437.77</v>
      </c>
    </row>
    <row r="6" spans="1:3" x14ac:dyDescent="0.25">
      <c r="A6" s="5">
        <v>39176</v>
      </c>
      <c r="B6" s="2">
        <v>55.97</v>
      </c>
      <c r="C6" s="2">
        <v>1439.37</v>
      </c>
    </row>
    <row r="7" spans="1:3" x14ac:dyDescent="0.25">
      <c r="A7" s="5">
        <v>39177</v>
      </c>
      <c r="B7" s="2">
        <v>56.7</v>
      </c>
      <c r="C7" s="2">
        <v>1443.76</v>
      </c>
    </row>
    <row r="8" spans="1:3" x14ac:dyDescent="0.25">
      <c r="A8" s="5">
        <v>39181</v>
      </c>
      <c r="B8" s="2">
        <v>56.88</v>
      </c>
      <c r="C8" s="2">
        <v>1444.61</v>
      </c>
    </row>
    <row r="9" spans="1:3" x14ac:dyDescent="0.25">
      <c r="A9" s="5">
        <v>39182</v>
      </c>
      <c r="B9" s="2">
        <v>56.74</v>
      </c>
      <c r="C9" s="2">
        <v>1448.39</v>
      </c>
    </row>
    <row r="10" spans="1:3" x14ac:dyDescent="0.25">
      <c r="A10" s="5">
        <v>39183</v>
      </c>
      <c r="B10" s="2">
        <v>57</v>
      </c>
      <c r="C10" s="2">
        <v>1438.87</v>
      </c>
    </row>
    <row r="11" spans="1:3" x14ac:dyDescent="0.25">
      <c r="A11" s="5">
        <v>39184</v>
      </c>
      <c r="B11" s="2">
        <v>57.41</v>
      </c>
      <c r="C11" s="2">
        <v>1447.8</v>
      </c>
    </row>
    <row r="12" spans="1:3" x14ac:dyDescent="0.25">
      <c r="A12" s="5">
        <v>39185</v>
      </c>
      <c r="B12" s="2">
        <v>58.49</v>
      </c>
      <c r="C12" s="2">
        <v>1452.85</v>
      </c>
    </row>
    <row r="13" spans="1:3" x14ac:dyDescent="0.25">
      <c r="A13" s="5">
        <v>39188</v>
      </c>
      <c r="B13" s="2">
        <v>58.88</v>
      </c>
      <c r="C13" s="2">
        <v>1468.33</v>
      </c>
    </row>
    <row r="14" spans="1:3" x14ac:dyDescent="0.25">
      <c r="A14" s="5">
        <v>39189</v>
      </c>
      <c r="B14" s="2">
        <v>59</v>
      </c>
      <c r="C14" s="2">
        <v>1471.48</v>
      </c>
    </row>
    <row r="15" spans="1:3" x14ac:dyDescent="0.25">
      <c r="A15" s="5">
        <v>39190</v>
      </c>
      <c r="B15" s="2">
        <v>58.03</v>
      </c>
      <c r="C15" s="2">
        <v>1472.5</v>
      </c>
    </row>
    <row r="16" spans="1:3" x14ac:dyDescent="0.25">
      <c r="A16" s="5">
        <v>39191</v>
      </c>
      <c r="B16" s="2">
        <v>57.24</v>
      </c>
      <c r="C16" s="2">
        <v>1470.73</v>
      </c>
    </row>
    <row r="17" spans="1:3" x14ac:dyDescent="0.25">
      <c r="A17" s="5">
        <v>39192</v>
      </c>
      <c r="B17" s="2">
        <v>57.85</v>
      </c>
      <c r="C17" s="2">
        <v>1484.35</v>
      </c>
    </row>
    <row r="18" spans="1:3" x14ac:dyDescent="0.25">
      <c r="A18" s="5">
        <v>39195</v>
      </c>
      <c r="B18" s="2">
        <v>57.21</v>
      </c>
      <c r="C18" s="2">
        <v>1480.93</v>
      </c>
    </row>
    <row r="19" spans="1:3" x14ac:dyDescent="0.25">
      <c r="A19" s="5">
        <v>39196</v>
      </c>
      <c r="B19" s="2">
        <v>57.17</v>
      </c>
      <c r="C19" s="2">
        <v>1480.41</v>
      </c>
    </row>
    <row r="20" spans="1:3" x14ac:dyDescent="0.25">
      <c r="A20" s="5">
        <v>39197</v>
      </c>
      <c r="B20" s="2">
        <v>57.56</v>
      </c>
      <c r="C20" s="2">
        <v>1495.42</v>
      </c>
    </row>
    <row r="21" spans="1:3" x14ac:dyDescent="0.25">
      <c r="A21" s="5">
        <v>39198</v>
      </c>
      <c r="B21" s="2">
        <v>56.91</v>
      </c>
      <c r="C21" s="2">
        <v>1494.25</v>
      </c>
    </row>
    <row r="22" spans="1:3" x14ac:dyDescent="0.25">
      <c r="A22" s="5">
        <v>39199</v>
      </c>
      <c r="B22" s="2">
        <v>56.76</v>
      </c>
      <c r="C22" s="2">
        <v>1494.07</v>
      </c>
    </row>
    <row r="23" spans="1:3" x14ac:dyDescent="0.25">
      <c r="A23" s="5">
        <v>39202</v>
      </c>
      <c r="B23" s="2">
        <v>56.62</v>
      </c>
      <c r="C23" s="2">
        <v>1482.37</v>
      </c>
    </row>
    <row r="24" spans="1:3" x14ac:dyDescent="0.25">
      <c r="A24" s="5">
        <v>39203</v>
      </c>
      <c r="B24" s="2">
        <v>57.01</v>
      </c>
      <c r="C24" s="2">
        <v>1486.3</v>
      </c>
    </row>
    <row r="25" spans="1:3" x14ac:dyDescent="0.25">
      <c r="A25" s="5">
        <v>39204</v>
      </c>
      <c r="B25" s="2">
        <v>57.19</v>
      </c>
      <c r="C25" s="2">
        <v>1495.92</v>
      </c>
    </row>
    <row r="26" spans="1:3" x14ac:dyDescent="0.25">
      <c r="A26" s="5">
        <v>39205</v>
      </c>
      <c r="B26" s="2">
        <v>57.41</v>
      </c>
      <c r="C26" s="2">
        <v>1502.39</v>
      </c>
    </row>
    <row r="27" spans="1:3" x14ac:dyDescent="0.25">
      <c r="A27" s="5">
        <v>39206</v>
      </c>
      <c r="B27" s="2">
        <v>58.3</v>
      </c>
      <c r="C27" s="2">
        <v>1505.62</v>
      </c>
    </row>
    <row r="28" spans="1:3" x14ac:dyDescent="0.25">
      <c r="A28" s="5">
        <v>39209</v>
      </c>
      <c r="B28" s="2">
        <v>58.95</v>
      </c>
      <c r="C28" s="2">
        <v>1509.48</v>
      </c>
    </row>
    <row r="29" spans="1:3" x14ac:dyDescent="0.25">
      <c r="A29" s="5">
        <v>39210</v>
      </c>
      <c r="B29" s="2">
        <v>58.84</v>
      </c>
      <c r="C29" s="2">
        <v>1507.72</v>
      </c>
    </row>
    <row r="30" spans="1:3" x14ac:dyDescent="0.25">
      <c r="A30" s="5">
        <v>39211</v>
      </c>
      <c r="B30" s="2">
        <v>58.68</v>
      </c>
      <c r="C30" s="2">
        <v>1512.58</v>
      </c>
    </row>
    <row r="31" spans="1:3" x14ac:dyDescent="0.25">
      <c r="A31" s="5">
        <v>39212</v>
      </c>
      <c r="B31" s="2">
        <v>57.33</v>
      </c>
      <c r="C31" s="2">
        <v>1491.47</v>
      </c>
    </row>
    <row r="32" spans="1:3" x14ac:dyDescent="0.25">
      <c r="A32" s="5">
        <v>39213</v>
      </c>
      <c r="B32" s="2">
        <v>57.84</v>
      </c>
      <c r="C32" s="2">
        <v>1505.85</v>
      </c>
    </row>
    <row r="33" spans="1:3" x14ac:dyDescent="0.25">
      <c r="A33" s="5">
        <v>39216</v>
      </c>
      <c r="B33" s="2">
        <v>57.95</v>
      </c>
      <c r="C33" s="2">
        <v>1503.15</v>
      </c>
    </row>
    <row r="34" spans="1:3" x14ac:dyDescent="0.25">
      <c r="A34" s="5">
        <v>39217</v>
      </c>
      <c r="B34" s="2">
        <v>58.68</v>
      </c>
      <c r="C34" s="2">
        <v>1501.19</v>
      </c>
    </row>
    <row r="35" spans="1:3" x14ac:dyDescent="0.25">
      <c r="A35" s="5">
        <v>39218</v>
      </c>
      <c r="B35" s="2">
        <v>59.09</v>
      </c>
      <c r="C35" s="2">
        <v>1514.14</v>
      </c>
    </row>
    <row r="36" spans="1:3" x14ac:dyDescent="0.25">
      <c r="A36" s="5">
        <v>39219</v>
      </c>
      <c r="B36" s="2">
        <v>58.9</v>
      </c>
      <c r="C36" s="2">
        <v>1512.75</v>
      </c>
    </row>
    <row r="37" spans="1:3" x14ac:dyDescent="0.25">
      <c r="A37" s="5">
        <v>39220</v>
      </c>
      <c r="B37" s="2">
        <v>59.43</v>
      </c>
      <c r="C37" s="2">
        <v>1522.75</v>
      </c>
    </row>
    <row r="38" spans="1:3" x14ac:dyDescent="0.25">
      <c r="A38" s="5">
        <v>39223</v>
      </c>
      <c r="B38" s="2">
        <v>58.63</v>
      </c>
      <c r="C38" s="2">
        <v>1525.1</v>
      </c>
    </row>
    <row r="39" spans="1:3" x14ac:dyDescent="0.25">
      <c r="A39" s="5">
        <v>39224</v>
      </c>
      <c r="B39" s="2">
        <v>57.69</v>
      </c>
      <c r="C39" s="2">
        <v>1524.12</v>
      </c>
    </row>
    <row r="40" spans="1:3" x14ac:dyDescent="0.25">
      <c r="A40" s="5">
        <v>39225</v>
      </c>
      <c r="B40" s="2">
        <v>57.21</v>
      </c>
      <c r="C40" s="2">
        <v>1522.28</v>
      </c>
    </row>
    <row r="41" spans="1:3" x14ac:dyDescent="0.25">
      <c r="A41" s="5">
        <v>39226</v>
      </c>
      <c r="B41" s="2">
        <v>56.46</v>
      </c>
      <c r="C41" s="2">
        <v>1507.51</v>
      </c>
    </row>
    <row r="42" spans="1:3" x14ac:dyDescent="0.25">
      <c r="A42" s="5">
        <v>39227</v>
      </c>
      <c r="B42" s="2">
        <v>56.37</v>
      </c>
      <c r="C42" s="2">
        <v>1515.73</v>
      </c>
    </row>
    <row r="43" spans="1:3" x14ac:dyDescent="0.25">
      <c r="A43" s="5">
        <v>39231</v>
      </c>
      <c r="B43" s="2">
        <v>56.65</v>
      </c>
      <c r="C43" s="2">
        <v>1518.11</v>
      </c>
    </row>
    <row r="44" spans="1:3" x14ac:dyDescent="0.25">
      <c r="A44" s="5">
        <v>39232</v>
      </c>
      <c r="B44" s="2">
        <v>55.84</v>
      </c>
      <c r="C44" s="2">
        <v>1530.23</v>
      </c>
    </row>
    <row r="45" spans="1:3" x14ac:dyDescent="0.25">
      <c r="A45" s="5">
        <v>39233</v>
      </c>
      <c r="B45" s="2">
        <v>56.35</v>
      </c>
      <c r="C45" s="2">
        <v>1530.62</v>
      </c>
    </row>
    <row r="46" spans="1:3" x14ac:dyDescent="0.25">
      <c r="A46" s="5">
        <v>39234</v>
      </c>
      <c r="B46" s="2">
        <v>56.3</v>
      </c>
      <c r="C46" s="2">
        <v>1536.34</v>
      </c>
    </row>
    <row r="47" spans="1:3" x14ac:dyDescent="0.25">
      <c r="A47" s="5">
        <v>39237</v>
      </c>
      <c r="B47" s="2">
        <v>55.62</v>
      </c>
      <c r="C47" s="2">
        <v>1539.18</v>
      </c>
    </row>
    <row r="48" spans="1:3" x14ac:dyDescent="0.25">
      <c r="A48" s="5">
        <v>39238</v>
      </c>
      <c r="B48" s="2">
        <v>55.49</v>
      </c>
      <c r="C48" s="2">
        <v>1530.95</v>
      </c>
    </row>
    <row r="49" spans="1:3" x14ac:dyDescent="0.25">
      <c r="A49" s="5">
        <v>39239</v>
      </c>
      <c r="B49" s="2">
        <v>54.74</v>
      </c>
      <c r="C49" s="2">
        <v>1517.38</v>
      </c>
    </row>
    <row r="50" spans="1:3" x14ac:dyDescent="0.25">
      <c r="A50" s="5">
        <v>39240</v>
      </c>
      <c r="B50" s="2">
        <v>53.98</v>
      </c>
      <c r="C50" s="2">
        <v>1490.72</v>
      </c>
    </row>
    <row r="51" spans="1:3" x14ac:dyDescent="0.25">
      <c r="A51" s="5">
        <v>39241</v>
      </c>
      <c r="B51" s="2">
        <v>54.29</v>
      </c>
      <c r="C51" s="2">
        <v>1507.67</v>
      </c>
    </row>
    <row r="52" spans="1:3" x14ac:dyDescent="0.25">
      <c r="A52" s="5">
        <v>39244</v>
      </c>
      <c r="B52" s="2">
        <v>54.06</v>
      </c>
      <c r="C52" s="2">
        <v>1509.12</v>
      </c>
    </row>
    <row r="53" spans="1:3" x14ac:dyDescent="0.25">
      <c r="A53" s="5">
        <v>39245</v>
      </c>
      <c r="B53" s="2">
        <v>53.34</v>
      </c>
      <c r="C53" s="2">
        <v>1493</v>
      </c>
    </row>
    <row r="54" spans="1:3" x14ac:dyDescent="0.25">
      <c r="A54" s="5">
        <v>39246</v>
      </c>
      <c r="B54" s="2">
        <v>54.19</v>
      </c>
      <c r="C54" s="2">
        <v>1515.67</v>
      </c>
    </row>
    <row r="55" spans="1:3" x14ac:dyDescent="0.25">
      <c r="A55" s="5">
        <v>39247</v>
      </c>
      <c r="B55" s="2">
        <v>54.19</v>
      </c>
      <c r="C55" s="2">
        <v>1522.97</v>
      </c>
    </row>
    <row r="56" spans="1:3" x14ac:dyDescent="0.25">
      <c r="A56" s="5">
        <v>39248</v>
      </c>
      <c r="B56" s="2">
        <v>54.72</v>
      </c>
      <c r="C56" s="2">
        <v>1532.91</v>
      </c>
    </row>
    <row r="57" spans="1:3" x14ac:dyDescent="0.25">
      <c r="A57" s="5">
        <v>39251</v>
      </c>
      <c r="B57" s="2">
        <v>54.54</v>
      </c>
      <c r="C57" s="2">
        <v>1531.05</v>
      </c>
    </row>
    <row r="58" spans="1:3" x14ac:dyDescent="0.25">
      <c r="A58" s="5">
        <v>39252</v>
      </c>
      <c r="B58" s="2">
        <v>54.68</v>
      </c>
      <c r="C58" s="2">
        <v>1533.7</v>
      </c>
    </row>
    <row r="59" spans="1:3" x14ac:dyDescent="0.25">
      <c r="A59" s="5">
        <v>39253</v>
      </c>
      <c r="B59" s="2">
        <v>54.28</v>
      </c>
      <c r="C59" s="2">
        <v>1512.84</v>
      </c>
    </row>
    <row r="60" spans="1:3" x14ac:dyDescent="0.25">
      <c r="A60" s="5">
        <v>39254</v>
      </c>
      <c r="B60" s="2">
        <v>53.8</v>
      </c>
      <c r="C60" s="2">
        <v>1522.19</v>
      </c>
    </row>
    <row r="61" spans="1:3" x14ac:dyDescent="0.25">
      <c r="A61" s="5">
        <v>39255</v>
      </c>
      <c r="B61" s="2">
        <v>52.86</v>
      </c>
      <c r="C61" s="2">
        <v>1502.56</v>
      </c>
    </row>
    <row r="62" spans="1:3" x14ac:dyDescent="0.25">
      <c r="A62" s="5">
        <v>39258</v>
      </c>
      <c r="B62" s="2">
        <v>54.05</v>
      </c>
      <c r="C62" s="2">
        <v>1497.74</v>
      </c>
    </row>
    <row r="63" spans="1:3" x14ac:dyDescent="0.25">
      <c r="A63" s="5">
        <v>39259</v>
      </c>
      <c r="B63" s="2">
        <v>53.97</v>
      </c>
      <c r="C63" s="2">
        <v>1492.89</v>
      </c>
    </row>
    <row r="64" spans="1:3" x14ac:dyDescent="0.25">
      <c r="A64" s="5">
        <v>39260</v>
      </c>
      <c r="B64" s="2">
        <v>53.97</v>
      </c>
      <c r="C64" s="2">
        <v>1506.34</v>
      </c>
    </row>
    <row r="65" spans="1:3" x14ac:dyDescent="0.25">
      <c r="A65" s="5">
        <v>39261</v>
      </c>
      <c r="B65" s="2">
        <v>53.72</v>
      </c>
      <c r="C65" s="2">
        <v>1505.71</v>
      </c>
    </row>
    <row r="66" spans="1:3" x14ac:dyDescent="0.25">
      <c r="A66" s="5">
        <v>39262</v>
      </c>
      <c r="B66" s="2">
        <v>53.55</v>
      </c>
      <c r="C66" s="2">
        <v>1503.35</v>
      </c>
    </row>
  </sheetData>
  <mergeCells count="1">
    <mergeCell ref="A1:C1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D0F7-BB25-4200-A0E9-177F6FEE9CB7}">
  <sheetPr codeName="Sheet13"/>
  <dimension ref="A1:J66"/>
  <sheetViews>
    <sheetView tabSelected="1" workbookViewId="0">
      <selection activeCell="G24" sqref="G24"/>
    </sheetView>
  </sheetViews>
  <sheetFormatPr defaultRowHeight="13.2" x14ac:dyDescent="0.25"/>
  <cols>
    <col min="1" max="1" width="13.44140625" style="6" customWidth="1"/>
    <col min="2" max="2" width="13" style="2" customWidth="1"/>
    <col min="3" max="3" width="13.88671875" style="2" customWidth="1"/>
    <col min="4" max="4" width="8.88671875" style="2"/>
    <col min="5" max="5" width="10.44140625" style="2" customWidth="1"/>
    <col min="6" max="6" width="8.88671875" style="2"/>
    <col min="7" max="7" width="26.109375" style="2" bestFit="1" customWidth="1"/>
    <col min="8" max="9" width="8.88671875" style="2"/>
    <col min="10" max="10" width="22.44140625" style="2" bestFit="1" customWidth="1"/>
    <col min="11" max="256" width="8.88671875" style="2"/>
    <col min="257" max="257" width="13.44140625" style="2" customWidth="1"/>
    <col min="258" max="258" width="13" style="2" customWidth="1"/>
    <col min="259" max="259" width="13.88671875" style="2" customWidth="1"/>
    <col min="260" max="260" width="8.88671875" style="2"/>
    <col min="261" max="261" width="10.44140625" style="2" customWidth="1"/>
    <col min="262" max="262" width="8.88671875" style="2"/>
    <col min="263" max="263" width="26.109375" style="2" bestFit="1" customWidth="1"/>
    <col min="264" max="265" width="8.88671875" style="2"/>
    <col min="266" max="266" width="22.44140625" style="2" bestFit="1" customWidth="1"/>
    <col min="267" max="512" width="8.88671875" style="2"/>
    <col min="513" max="513" width="13.44140625" style="2" customWidth="1"/>
    <col min="514" max="514" width="13" style="2" customWidth="1"/>
    <col min="515" max="515" width="13.88671875" style="2" customWidth="1"/>
    <col min="516" max="516" width="8.88671875" style="2"/>
    <col min="517" max="517" width="10.44140625" style="2" customWidth="1"/>
    <col min="518" max="518" width="8.88671875" style="2"/>
    <col min="519" max="519" width="26.109375" style="2" bestFit="1" customWidth="1"/>
    <col min="520" max="521" width="8.88671875" style="2"/>
    <col min="522" max="522" width="22.44140625" style="2" bestFit="1" customWidth="1"/>
    <col min="523" max="768" width="8.88671875" style="2"/>
    <col min="769" max="769" width="13.44140625" style="2" customWidth="1"/>
    <col min="770" max="770" width="13" style="2" customWidth="1"/>
    <col min="771" max="771" width="13.88671875" style="2" customWidth="1"/>
    <col min="772" max="772" width="8.88671875" style="2"/>
    <col min="773" max="773" width="10.44140625" style="2" customWidth="1"/>
    <col min="774" max="774" width="8.88671875" style="2"/>
    <col min="775" max="775" width="26.109375" style="2" bestFit="1" customWidth="1"/>
    <col min="776" max="777" width="8.88671875" style="2"/>
    <col min="778" max="778" width="22.44140625" style="2" bestFit="1" customWidth="1"/>
    <col min="779" max="1024" width="8.88671875" style="2"/>
    <col min="1025" max="1025" width="13.44140625" style="2" customWidth="1"/>
    <col min="1026" max="1026" width="13" style="2" customWidth="1"/>
    <col min="1027" max="1027" width="13.88671875" style="2" customWidth="1"/>
    <col min="1028" max="1028" width="8.88671875" style="2"/>
    <col min="1029" max="1029" width="10.44140625" style="2" customWidth="1"/>
    <col min="1030" max="1030" width="8.88671875" style="2"/>
    <col min="1031" max="1031" width="26.109375" style="2" bestFit="1" customWidth="1"/>
    <col min="1032" max="1033" width="8.88671875" style="2"/>
    <col min="1034" max="1034" width="22.44140625" style="2" bestFit="1" customWidth="1"/>
    <col min="1035" max="1280" width="8.88671875" style="2"/>
    <col min="1281" max="1281" width="13.44140625" style="2" customWidth="1"/>
    <col min="1282" max="1282" width="13" style="2" customWidth="1"/>
    <col min="1283" max="1283" width="13.88671875" style="2" customWidth="1"/>
    <col min="1284" max="1284" width="8.88671875" style="2"/>
    <col min="1285" max="1285" width="10.44140625" style="2" customWidth="1"/>
    <col min="1286" max="1286" width="8.88671875" style="2"/>
    <col min="1287" max="1287" width="26.109375" style="2" bestFit="1" customWidth="1"/>
    <col min="1288" max="1289" width="8.88671875" style="2"/>
    <col min="1290" max="1290" width="22.44140625" style="2" bestFit="1" customWidth="1"/>
    <col min="1291" max="1536" width="8.88671875" style="2"/>
    <col min="1537" max="1537" width="13.44140625" style="2" customWidth="1"/>
    <col min="1538" max="1538" width="13" style="2" customWidth="1"/>
    <col min="1539" max="1539" width="13.88671875" style="2" customWidth="1"/>
    <col min="1540" max="1540" width="8.88671875" style="2"/>
    <col min="1541" max="1541" width="10.44140625" style="2" customWidth="1"/>
    <col min="1542" max="1542" width="8.88671875" style="2"/>
    <col min="1543" max="1543" width="26.109375" style="2" bestFit="1" customWidth="1"/>
    <col min="1544" max="1545" width="8.88671875" style="2"/>
    <col min="1546" max="1546" width="22.44140625" style="2" bestFit="1" customWidth="1"/>
    <col min="1547" max="1792" width="8.88671875" style="2"/>
    <col min="1793" max="1793" width="13.44140625" style="2" customWidth="1"/>
    <col min="1794" max="1794" width="13" style="2" customWidth="1"/>
    <col min="1795" max="1795" width="13.88671875" style="2" customWidth="1"/>
    <col min="1796" max="1796" width="8.88671875" style="2"/>
    <col min="1797" max="1797" width="10.44140625" style="2" customWidth="1"/>
    <col min="1798" max="1798" width="8.88671875" style="2"/>
    <col min="1799" max="1799" width="26.109375" style="2" bestFit="1" customWidth="1"/>
    <col min="1800" max="1801" width="8.88671875" style="2"/>
    <col min="1802" max="1802" width="22.44140625" style="2" bestFit="1" customWidth="1"/>
    <col min="1803" max="2048" width="8.88671875" style="2"/>
    <col min="2049" max="2049" width="13.44140625" style="2" customWidth="1"/>
    <col min="2050" max="2050" width="13" style="2" customWidth="1"/>
    <col min="2051" max="2051" width="13.88671875" style="2" customWidth="1"/>
    <col min="2052" max="2052" width="8.88671875" style="2"/>
    <col min="2053" max="2053" width="10.44140625" style="2" customWidth="1"/>
    <col min="2054" max="2054" width="8.88671875" style="2"/>
    <col min="2055" max="2055" width="26.109375" style="2" bestFit="1" customWidth="1"/>
    <col min="2056" max="2057" width="8.88671875" style="2"/>
    <col min="2058" max="2058" width="22.44140625" style="2" bestFit="1" customWidth="1"/>
    <col min="2059" max="2304" width="8.88671875" style="2"/>
    <col min="2305" max="2305" width="13.44140625" style="2" customWidth="1"/>
    <col min="2306" max="2306" width="13" style="2" customWidth="1"/>
    <col min="2307" max="2307" width="13.88671875" style="2" customWidth="1"/>
    <col min="2308" max="2308" width="8.88671875" style="2"/>
    <col min="2309" max="2309" width="10.44140625" style="2" customWidth="1"/>
    <col min="2310" max="2310" width="8.88671875" style="2"/>
    <col min="2311" max="2311" width="26.109375" style="2" bestFit="1" customWidth="1"/>
    <col min="2312" max="2313" width="8.88671875" style="2"/>
    <col min="2314" max="2314" width="22.44140625" style="2" bestFit="1" customWidth="1"/>
    <col min="2315" max="2560" width="8.88671875" style="2"/>
    <col min="2561" max="2561" width="13.44140625" style="2" customWidth="1"/>
    <col min="2562" max="2562" width="13" style="2" customWidth="1"/>
    <col min="2563" max="2563" width="13.88671875" style="2" customWidth="1"/>
    <col min="2564" max="2564" width="8.88671875" style="2"/>
    <col min="2565" max="2565" width="10.44140625" style="2" customWidth="1"/>
    <col min="2566" max="2566" width="8.88671875" style="2"/>
    <col min="2567" max="2567" width="26.109375" style="2" bestFit="1" customWidth="1"/>
    <col min="2568" max="2569" width="8.88671875" style="2"/>
    <col min="2570" max="2570" width="22.44140625" style="2" bestFit="1" customWidth="1"/>
    <col min="2571" max="2816" width="8.88671875" style="2"/>
    <col min="2817" max="2817" width="13.44140625" style="2" customWidth="1"/>
    <col min="2818" max="2818" width="13" style="2" customWidth="1"/>
    <col min="2819" max="2819" width="13.88671875" style="2" customWidth="1"/>
    <col min="2820" max="2820" width="8.88671875" style="2"/>
    <col min="2821" max="2821" width="10.44140625" style="2" customWidth="1"/>
    <col min="2822" max="2822" width="8.88671875" style="2"/>
    <col min="2823" max="2823" width="26.109375" style="2" bestFit="1" customWidth="1"/>
    <col min="2824" max="2825" width="8.88671875" style="2"/>
    <col min="2826" max="2826" width="22.44140625" style="2" bestFit="1" customWidth="1"/>
    <col min="2827" max="3072" width="8.88671875" style="2"/>
    <col min="3073" max="3073" width="13.44140625" style="2" customWidth="1"/>
    <col min="3074" max="3074" width="13" style="2" customWidth="1"/>
    <col min="3075" max="3075" width="13.88671875" style="2" customWidth="1"/>
    <col min="3076" max="3076" width="8.88671875" style="2"/>
    <col min="3077" max="3077" width="10.44140625" style="2" customWidth="1"/>
    <col min="3078" max="3078" width="8.88671875" style="2"/>
    <col min="3079" max="3079" width="26.109375" style="2" bestFit="1" customWidth="1"/>
    <col min="3080" max="3081" width="8.88671875" style="2"/>
    <col min="3082" max="3082" width="22.44140625" style="2" bestFit="1" customWidth="1"/>
    <col min="3083" max="3328" width="8.88671875" style="2"/>
    <col min="3329" max="3329" width="13.44140625" style="2" customWidth="1"/>
    <col min="3330" max="3330" width="13" style="2" customWidth="1"/>
    <col min="3331" max="3331" width="13.88671875" style="2" customWidth="1"/>
    <col min="3332" max="3332" width="8.88671875" style="2"/>
    <col min="3333" max="3333" width="10.44140625" style="2" customWidth="1"/>
    <col min="3334" max="3334" width="8.88671875" style="2"/>
    <col min="3335" max="3335" width="26.109375" style="2" bestFit="1" customWidth="1"/>
    <col min="3336" max="3337" width="8.88671875" style="2"/>
    <col min="3338" max="3338" width="22.44140625" style="2" bestFit="1" customWidth="1"/>
    <col min="3339" max="3584" width="8.88671875" style="2"/>
    <col min="3585" max="3585" width="13.44140625" style="2" customWidth="1"/>
    <col min="3586" max="3586" width="13" style="2" customWidth="1"/>
    <col min="3587" max="3587" width="13.88671875" style="2" customWidth="1"/>
    <col min="3588" max="3588" width="8.88671875" style="2"/>
    <col min="3589" max="3589" width="10.44140625" style="2" customWidth="1"/>
    <col min="3590" max="3590" width="8.88671875" style="2"/>
    <col min="3591" max="3591" width="26.109375" style="2" bestFit="1" customWidth="1"/>
    <col min="3592" max="3593" width="8.88671875" style="2"/>
    <col min="3594" max="3594" width="22.44140625" style="2" bestFit="1" customWidth="1"/>
    <col min="3595" max="3840" width="8.88671875" style="2"/>
    <col min="3841" max="3841" width="13.44140625" style="2" customWidth="1"/>
    <col min="3842" max="3842" width="13" style="2" customWidth="1"/>
    <col min="3843" max="3843" width="13.88671875" style="2" customWidth="1"/>
    <col min="3844" max="3844" width="8.88671875" style="2"/>
    <col min="3845" max="3845" width="10.44140625" style="2" customWidth="1"/>
    <col min="3846" max="3846" width="8.88671875" style="2"/>
    <col min="3847" max="3847" width="26.109375" style="2" bestFit="1" customWidth="1"/>
    <col min="3848" max="3849" width="8.88671875" style="2"/>
    <col min="3850" max="3850" width="22.44140625" style="2" bestFit="1" customWidth="1"/>
    <col min="3851" max="4096" width="8.88671875" style="2"/>
    <col min="4097" max="4097" width="13.44140625" style="2" customWidth="1"/>
    <col min="4098" max="4098" width="13" style="2" customWidth="1"/>
    <col min="4099" max="4099" width="13.88671875" style="2" customWidth="1"/>
    <col min="4100" max="4100" width="8.88671875" style="2"/>
    <col min="4101" max="4101" width="10.44140625" style="2" customWidth="1"/>
    <col min="4102" max="4102" width="8.88671875" style="2"/>
    <col min="4103" max="4103" width="26.109375" style="2" bestFit="1" customWidth="1"/>
    <col min="4104" max="4105" width="8.88671875" style="2"/>
    <col min="4106" max="4106" width="22.44140625" style="2" bestFit="1" customWidth="1"/>
    <col min="4107" max="4352" width="8.88671875" style="2"/>
    <col min="4353" max="4353" width="13.44140625" style="2" customWidth="1"/>
    <col min="4354" max="4354" width="13" style="2" customWidth="1"/>
    <col min="4355" max="4355" width="13.88671875" style="2" customWidth="1"/>
    <col min="4356" max="4356" width="8.88671875" style="2"/>
    <col min="4357" max="4357" width="10.44140625" style="2" customWidth="1"/>
    <col min="4358" max="4358" width="8.88671875" style="2"/>
    <col min="4359" max="4359" width="26.109375" style="2" bestFit="1" customWidth="1"/>
    <col min="4360" max="4361" width="8.88671875" style="2"/>
    <col min="4362" max="4362" width="22.44140625" style="2" bestFit="1" customWidth="1"/>
    <col min="4363" max="4608" width="8.88671875" style="2"/>
    <col min="4609" max="4609" width="13.44140625" style="2" customWidth="1"/>
    <col min="4610" max="4610" width="13" style="2" customWidth="1"/>
    <col min="4611" max="4611" width="13.88671875" style="2" customWidth="1"/>
    <col min="4612" max="4612" width="8.88671875" style="2"/>
    <col min="4613" max="4613" width="10.44140625" style="2" customWidth="1"/>
    <col min="4614" max="4614" width="8.88671875" style="2"/>
    <col min="4615" max="4615" width="26.109375" style="2" bestFit="1" customWidth="1"/>
    <col min="4616" max="4617" width="8.88671875" style="2"/>
    <col min="4618" max="4618" width="22.44140625" style="2" bestFit="1" customWidth="1"/>
    <col min="4619" max="4864" width="8.88671875" style="2"/>
    <col min="4865" max="4865" width="13.44140625" style="2" customWidth="1"/>
    <col min="4866" max="4866" width="13" style="2" customWidth="1"/>
    <col min="4867" max="4867" width="13.88671875" style="2" customWidth="1"/>
    <col min="4868" max="4868" width="8.88671875" style="2"/>
    <col min="4869" max="4869" width="10.44140625" style="2" customWidth="1"/>
    <col min="4870" max="4870" width="8.88671875" style="2"/>
    <col min="4871" max="4871" width="26.109375" style="2" bestFit="1" customWidth="1"/>
    <col min="4872" max="4873" width="8.88671875" style="2"/>
    <col min="4874" max="4874" width="22.44140625" style="2" bestFit="1" customWidth="1"/>
    <col min="4875" max="5120" width="8.88671875" style="2"/>
    <col min="5121" max="5121" width="13.44140625" style="2" customWidth="1"/>
    <col min="5122" max="5122" width="13" style="2" customWidth="1"/>
    <col min="5123" max="5123" width="13.88671875" style="2" customWidth="1"/>
    <col min="5124" max="5124" width="8.88671875" style="2"/>
    <col min="5125" max="5125" width="10.44140625" style="2" customWidth="1"/>
    <col min="5126" max="5126" width="8.88671875" style="2"/>
    <col min="5127" max="5127" width="26.109375" style="2" bestFit="1" customWidth="1"/>
    <col min="5128" max="5129" width="8.88671875" style="2"/>
    <col min="5130" max="5130" width="22.44140625" style="2" bestFit="1" customWidth="1"/>
    <col min="5131" max="5376" width="8.88671875" style="2"/>
    <col min="5377" max="5377" width="13.44140625" style="2" customWidth="1"/>
    <col min="5378" max="5378" width="13" style="2" customWidth="1"/>
    <col min="5379" max="5379" width="13.88671875" style="2" customWidth="1"/>
    <col min="5380" max="5380" width="8.88671875" style="2"/>
    <col min="5381" max="5381" width="10.44140625" style="2" customWidth="1"/>
    <col min="5382" max="5382" width="8.88671875" style="2"/>
    <col min="5383" max="5383" width="26.109375" style="2" bestFit="1" customWidth="1"/>
    <col min="5384" max="5385" width="8.88671875" style="2"/>
    <col min="5386" max="5386" width="22.44140625" style="2" bestFit="1" customWidth="1"/>
    <col min="5387" max="5632" width="8.88671875" style="2"/>
    <col min="5633" max="5633" width="13.44140625" style="2" customWidth="1"/>
    <col min="5634" max="5634" width="13" style="2" customWidth="1"/>
    <col min="5635" max="5635" width="13.88671875" style="2" customWidth="1"/>
    <col min="5636" max="5636" width="8.88671875" style="2"/>
    <col min="5637" max="5637" width="10.44140625" style="2" customWidth="1"/>
    <col min="5638" max="5638" width="8.88671875" style="2"/>
    <col min="5639" max="5639" width="26.109375" style="2" bestFit="1" customWidth="1"/>
    <col min="5640" max="5641" width="8.88671875" style="2"/>
    <col min="5642" max="5642" width="22.44140625" style="2" bestFit="1" customWidth="1"/>
    <col min="5643" max="5888" width="8.88671875" style="2"/>
    <col min="5889" max="5889" width="13.44140625" style="2" customWidth="1"/>
    <col min="5890" max="5890" width="13" style="2" customWidth="1"/>
    <col min="5891" max="5891" width="13.88671875" style="2" customWidth="1"/>
    <col min="5892" max="5892" width="8.88671875" style="2"/>
    <col min="5893" max="5893" width="10.44140625" style="2" customWidth="1"/>
    <col min="5894" max="5894" width="8.88671875" style="2"/>
    <col min="5895" max="5895" width="26.109375" style="2" bestFit="1" customWidth="1"/>
    <col min="5896" max="5897" width="8.88671875" style="2"/>
    <col min="5898" max="5898" width="22.44140625" style="2" bestFit="1" customWidth="1"/>
    <col min="5899" max="6144" width="8.88671875" style="2"/>
    <col min="6145" max="6145" width="13.44140625" style="2" customWidth="1"/>
    <col min="6146" max="6146" width="13" style="2" customWidth="1"/>
    <col min="6147" max="6147" width="13.88671875" style="2" customWidth="1"/>
    <col min="6148" max="6148" width="8.88671875" style="2"/>
    <col min="6149" max="6149" width="10.44140625" style="2" customWidth="1"/>
    <col min="6150" max="6150" width="8.88671875" style="2"/>
    <col min="6151" max="6151" width="26.109375" style="2" bestFit="1" customWidth="1"/>
    <col min="6152" max="6153" width="8.88671875" style="2"/>
    <col min="6154" max="6154" width="22.44140625" style="2" bestFit="1" customWidth="1"/>
    <col min="6155" max="6400" width="8.88671875" style="2"/>
    <col min="6401" max="6401" width="13.44140625" style="2" customWidth="1"/>
    <col min="6402" max="6402" width="13" style="2" customWidth="1"/>
    <col min="6403" max="6403" width="13.88671875" style="2" customWidth="1"/>
    <col min="6404" max="6404" width="8.88671875" style="2"/>
    <col min="6405" max="6405" width="10.44140625" style="2" customWidth="1"/>
    <col min="6406" max="6406" width="8.88671875" style="2"/>
    <col min="6407" max="6407" width="26.109375" style="2" bestFit="1" customWidth="1"/>
    <col min="6408" max="6409" width="8.88671875" style="2"/>
    <col min="6410" max="6410" width="22.44140625" style="2" bestFit="1" customWidth="1"/>
    <col min="6411" max="6656" width="8.88671875" style="2"/>
    <col min="6657" max="6657" width="13.44140625" style="2" customWidth="1"/>
    <col min="6658" max="6658" width="13" style="2" customWidth="1"/>
    <col min="6659" max="6659" width="13.88671875" style="2" customWidth="1"/>
    <col min="6660" max="6660" width="8.88671875" style="2"/>
    <col min="6661" max="6661" width="10.44140625" style="2" customWidth="1"/>
    <col min="6662" max="6662" width="8.88671875" style="2"/>
    <col min="6663" max="6663" width="26.109375" style="2" bestFit="1" customWidth="1"/>
    <col min="6664" max="6665" width="8.88671875" style="2"/>
    <col min="6666" max="6666" width="22.44140625" style="2" bestFit="1" customWidth="1"/>
    <col min="6667" max="6912" width="8.88671875" style="2"/>
    <col min="6913" max="6913" width="13.44140625" style="2" customWidth="1"/>
    <col min="6914" max="6914" width="13" style="2" customWidth="1"/>
    <col min="6915" max="6915" width="13.88671875" style="2" customWidth="1"/>
    <col min="6916" max="6916" width="8.88671875" style="2"/>
    <col min="6917" max="6917" width="10.44140625" style="2" customWidth="1"/>
    <col min="6918" max="6918" width="8.88671875" style="2"/>
    <col min="6919" max="6919" width="26.109375" style="2" bestFit="1" customWidth="1"/>
    <col min="6920" max="6921" width="8.88671875" style="2"/>
    <col min="6922" max="6922" width="22.44140625" style="2" bestFit="1" customWidth="1"/>
    <col min="6923" max="7168" width="8.88671875" style="2"/>
    <col min="7169" max="7169" width="13.44140625" style="2" customWidth="1"/>
    <col min="7170" max="7170" width="13" style="2" customWidth="1"/>
    <col min="7171" max="7171" width="13.88671875" style="2" customWidth="1"/>
    <col min="7172" max="7172" width="8.88671875" style="2"/>
    <col min="7173" max="7173" width="10.44140625" style="2" customWidth="1"/>
    <col min="7174" max="7174" width="8.88671875" style="2"/>
    <col min="7175" max="7175" width="26.109375" style="2" bestFit="1" customWidth="1"/>
    <col min="7176" max="7177" width="8.88671875" style="2"/>
    <col min="7178" max="7178" width="22.44140625" style="2" bestFit="1" customWidth="1"/>
    <col min="7179" max="7424" width="8.88671875" style="2"/>
    <col min="7425" max="7425" width="13.44140625" style="2" customWidth="1"/>
    <col min="7426" max="7426" width="13" style="2" customWidth="1"/>
    <col min="7427" max="7427" width="13.88671875" style="2" customWidth="1"/>
    <col min="7428" max="7428" width="8.88671875" style="2"/>
    <col min="7429" max="7429" width="10.44140625" style="2" customWidth="1"/>
    <col min="7430" max="7430" width="8.88671875" style="2"/>
    <col min="7431" max="7431" width="26.109375" style="2" bestFit="1" customWidth="1"/>
    <col min="7432" max="7433" width="8.88671875" style="2"/>
    <col min="7434" max="7434" width="22.44140625" style="2" bestFit="1" customWidth="1"/>
    <col min="7435" max="7680" width="8.88671875" style="2"/>
    <col min="7681" max="7681" width="13.44140625" style="2" customWidth="1"/>
    <col min="7682" max="7682" width="13" style="2" customWidth="1"/>
    <col min="7683" max="7683" width="13.88671875" style="2" customWidth="1"/>
    <col min="7684" max="7684" width="8.88671875" style="2"/>
    <col min="7685" max="7685" width="10.44140625" style="2" customWidth="1"/>
    <col min="7686" max="7686" width="8.88671875" style="2"/>
    <col min="7687" max="7687" width="26.109375" style="2" bestFit="1" customWidth="1"/>
    <col min="7688" max="7689" width="8.88671875" style="2"/>
    <col min="7690" max="7690" width="22.44140625" style="2" bestFit="1" customWidth="1"/>
    <col min="7691" max="7936" width="8.88671875" style="2"/>
    <col min="7937" max="7937" width="13.44140625" style="2" customWidth="1"/>
    <col min="7938" max="7938" width="13" style="2" customWidth="1"/>
    <col min="7939" max="7939" width="13.88671875" style="2" customWidth="1"/>
    <col min="7940" max="7940" width="8.88671875" style="2"/>
    <col min="7941" max="7941" width="10.44140625" style="2" customWidth="1"/>
    <col min="7942" max="7942" width="8.88671875" style="2"/>
    <col min="7943" max="7943" width="26.109375" style="2" bestFit="1" customWidth="1"/>
    <col min="7944" max="7945" width="8.88671875" style="2"/>
    <col min="7946" max="7946" width="22.44140625" style="2" bestFit="1" customWidth="1"/>
    <col min="7947" max="8192" width="8.88671875" style="2"/>
    <col min="8193" max="8193" width="13.44140625" style="2" customWidth="1"/>
    <col min="8194" max="8194" width="13" style="2" customWidth="1"/>
    <col min="8195" max="8195" width="13.88671875" style="2" customWidth="1"/>
    <col min="8196" max="8196" width="8.88671875" style="2"/>
    <col min="8197" max="8197" width="10.44140625" style="2" customWidth="1"/>
    <col min="8198" max="8198" width="8.88671875" style="2"/>
    <col min="8199" max="8199" width="26.109375" style="2" bestFit="1" customWidth="1"/>
    <col min="8200" max="8201" width="8.88671875" style="2"/>
    <col min="8202" max="8202" width="22.44140625" style="2" bestFit="1" customWidth="1"/>
    <col min="8203" max="8448" width="8.88671875" style="2"/>
    <col min="8449" max="8449" width="13.44140625" style="2" customWidth="1"/>
    <col min="8450" max="8450" width="13" style="2" customWidth="1"/>
    <col min="8451" max="8451" width="13.88671875" style="2" customWidth="1"/>
    <col min="8452" max="8452" width="8.88671875" style="2"/>
    <col min="8453" max="8453" width="10.44140625" style="2" customWidth="1"/>
    <col min="8454" max="8454" width="8.88671875" style="2"/>
    <col min="8455" max="8455" width="26.109375" style="2" bestFit="1" customWidth="1"/>
    <col min="8456" max="8457" width="8.88671875" style="2"/>
    <col min="8458" max="8458" width="22.44140625" style="2" bestFit="1" customWidth="1"/>
    <col min="8459" max="8704" width="8.88671875" style="2"/>
    <col min="8705" max="8705" width="13.44140625" style="2" customWidth="1"/>
    <col min="8706" max="8706" width="13" style="2" customWidth="1"/>
    <col min="8707" max="8707" width="13.88671875" style="2" customWidth="1"/>
    <col min="8708" max="8708" width="8.88671875" style="2"/>
    <col min="8709" max="8709" width="10.44140625" style="2" customWidth="1"/>
    <col min="8710" max="8710" width="8.88671875" style="2"/>
    <col min="8711" max="8711" width="26.109375" style="2" bestFit="1" customWidth="1"/>
    <col min="8712" max="8713" width="8.88671875" style="2"/>
    <col min="8714" max="8714" width="22.44140625" style="2" bestFit="1" customWidth="1"/>
    <col min="8715" max="8960" width="8.88671875" style="2"/>
    <col min="8961" max="8961" width="13.44140625" style="2" customWidth="1"/>
    <col min="8962" max="8962" width="13" style="2" customWidth="1"/>
    <col min="8963" max="8963" width="13.88671875" style="2" customWidth="1"/>
    <col min="8964" max="8964" width="8.88671875" style="2"/>
    <col min="8965" max="8965" width="10.44140625" style="2" customWidth="1"/>
    <col min="8966" max="8966" width="8.88671875" style="2"/>
    <col min="8967" max="8967" width="26.109375" style="2" bestFit="1" customWidth="1"/>
    <col min="8968" max="8969" width="8.88671875" style="2"/>
    <col min="8970" max="8970" width="22.44140625" style="2" bestFit="1" customWidth="1"/>
    <col min="8971" max="9216" width="8.88671875" style="2"/>
    <col min="9217" max="9217" width="13.44140625" style="2" customWidth="1"/>
    <col min="9218" max="9218" width="13" style="2" customWidth="1"/>
    <col min="9219" max="9219" width="13.88671875" style="2" customWidth="1"/>
    <col min="9220" max="9220" width="8.88671875" style="2"/>
    <col min="9221" max="9221" width="10.44140625" style="2" customWidth="1"/>
    <col min="9222" max="9222" width="8.88671875" style="2"/>
    <col min="9223" max="9223" width="26.109375" style="2" bestFit="1" customWidth="1"/>
    <col min="9224" max="9225" width="8.88671875" style="2"/>
    <col min="9226" max="9226" width="22.44140625" style="2" bestFit="1" customWidth="1"/>
    <col min="9227" max="9472" width="8.88671875" style="2"/>
    <col min="9473" max="9473" width="13.44140625" style="2" customWidth="1"/>
    <col min="9474" max="9474" width="13" style="2" customWidth="1"/>
    <col min="9475" max="9475" width="13.88671875" style="2" customWidth="1"/>
    <col min="9476" max="9476" width="8.88671875" style="2"/>
    <col min="9477" max="9477" width="10.44140625" style="2" customWidth="1"/>
    <col min="9478" max="9478" width="8.88671875" style="2"/>
    <col min="9479" max="9479" width="26.109375" style="2" bestFit="1" customWidth="1"/>
    <col min="9480" max="9481" width="8.88671875" style="2"/>
    <col min="9482" max="9482" width="22.44140625" style="2" bestFit="1" customWidth="1"/>
    <col min="9483" max="9728" width="8.88671875" style="2"/>
    <col min="9729" max="9729" width="13.44140625" style="2" customWidth="1"/>
    <col min="9730" max="9730" width="13" style="2" customWidth="1"/>
    <col min="9731" max="9731" width="13.88671875" style="2" customWidth="1"/>
    <col min="9732" max="9732" width="8.88671875" style="2"/>
    <col min="9733" max="9733" width="10.44140625" style="2" customWidth="1"/>
    <col min="9734" max="9734" width="8.88671875" style="2"/>
    <col min="9735" max="9735" width="26.109375" style="2" bestFit="1" customWidth="1"/>
    <col min="9736" max="9737" width="8.88671875" style="2"/>
    <col min="9738" max="9738" width="22.44140625" style="2" bestFit="1" customWidth="1"/>
    <col min="9739" max="9984" width="8.88671875" style="2"/>
    <col min="9985" max="9985" width="13.44140625" style="2" customWidth="1"/>
    <col min="9986" max="9986" width="13" style="2" customWidth="1"/>
    <col min="9987" max="9987" width="13.88671875" style="2" customWidth="1"/>
    <col min="9988" max="9988" width="8.88671875" style="2"/>
    <col min="9989" max="9989" width="10.44140625" style="2" customWidth="1"/>
    <col min="9990" max="9990" width="8.88671875" style="2"/>
    <col min="9991" max="9991" width="26.109375" style="2" bestFit="1" customWidth="1"/>
    <col min="9992" max="9993" width="8.88671875" style="2"/>
    <col min="9994" max="9994" width="22.44140625" style="2" bestFit="1" customWidth="1"/>
    <col min="9995" max="10240" width="8.88671875" style="2"/>
    <col min="10241" max="10241" width="13.44140625" style="2" customWidth="1"/>
    <col min="10242" max="10242" width="13" style="2" customWidth="1"/>
    <col min="10243" max="10243" width="13.88671875" style="2" customWidth="1"/>
    <col min="10244" max="10244" width="8.88671875" style="2"/>
    <col min="10245" max="10245" width="10.44140625" style="2" customWidth="1"/>
    <col min="10246" max="10246" width="8.88671875" style="2"/>
    <col min="10247" max="10247" width="26.109375" style="2" bestFit="1" customWidth="1"/>
    <col min="10248" max="10249" width="8.88671875" style="2"/>
    <col min="10250" max="10250" width="22.44140625" style="2" bestFit="1" customWidth="1"/>
    <col min="10251" max="10496" width="8.88671875" style="2"/>
    <col min="10497" max="10497" width="13.44140625" style="2" customWidth="1"/>
    <col min="10498" max="10498" width="13" style="2" customWidth="1"/>
    <col min="10499" max="10499" width="13.88671875" style="2" customWidth="1"/>
    <col min="10500" max="10500" width="8.88671875" style="2"/>
    <col min="10501" max="10501" width="10.44140625" style="2" customWidth="1"/>
    <col min="10502" max="10502" width="8.88671875" style="2"/>
    <col min="10503" max="10503" width="26.109375" style="2" bestFit="1" customWidth="1"/>
    <col min="10504" max="10505" width="8.88671875" style="2"/>
    <col min="10506" max="10506" width="22.44140625" style="2" bestFit="1" customWidth="1"/>
    <col min="10507" max="10752" width="8.88671875" style="2"/>
    <col min="10753" max="10753" width="13.44140625" style="2" customWidth="1"/>
    <col min="10754" max="10754" width="13" style="2" customWidth="1"/>
    <col min="10755" max="10755" width="13.88671875" style="2" customWidth="1"/>
    <col min="10756" max="10756" width="8.88671875" style="2"/>
    <col min="10757" max="10757" width="10.44140625" style="2" customWidth="1"/>
    <col min="10758" max="10758" width="8.88671875" style="2"/>
    <col min="10759" max="10759" width="26.109375" style="2" bestFit="1" customWidth="1"/>
    <col min="10760" max="10761" width="8.88671875" style="2"/>
    <col min="10762" max="10762" width="22.44140625" style="2" bestFit="1" customWidth="1"/>
    <col min="10763" max="11008" width="8.88671875" style="2"/>
    <col min="11009" max="11009" width="13.44140625" style="2" customWidth="1"/>
    <col min="11010" max="11010" width="13" style="2" customWidth="1"/>
    <col min="11011" max="11011" width="13.88671875" style="2" customWidth="1"/>
    <col min="11012" max="11012" width="8.88671875" style="2"/>
    <col min="11013" max="11013" width="10.44140625" style="2" customWidth="1"/>
    <col min="11014" max="11014" width="8.88671875" style="2"/>
    <col min="11015" max="11015" width="26.109375" style="2" bestFit="1" customWidth="1"/>
    <col min="11016" max="11017" width="8.88671875" style="2"/>
    <col min="11018" max="11018" width="22.44140625" style="2" bestFit="1" customWidth="1"/>
    <col min="11019" max="11264" width="8.88671875" style="2"/>
    <col min="11265" max="11265" width="13.44140625" style="2" customWidth="1"/>
    <col min="11266" max="11266" width="13" style="2" customWidth="1"/>
    <col min="11267" max="11267" width="13.88671875" style="2" customWidth="1"/>
    <col min="11268" max="11268" width="8.88671875" style="2"/>
    <col min="11269" max="11269" width="10.44140625" style="2" customWidth="1"/>
    <col min="11270" max="11270" width="8.88671875" style="2"/>
    <col min="11271" max="11271" width="26.109375" style="2" bestFit="1" customWidth="1"/>
    <col min="11272" max="11273" width="8.88671875" style="2"/>
    <col min="11274" max="11274" width="22.44140625" style="2" bestFit="1" customWidth="1"/>
    <col min="11275" max="11520" width="8.88671875" style="2"/>
    <col min="11521" max="11521" width="13.44140625" style="2" customWidth="1"/>
    <col min="11522" max="11522" width="13" style="2" customWidth="1"/>
    <col min="11523" max="11523" width="13.88671875" style="2" customWidth="1"/>
    <col min="11524" max="11524" width="8.88671875" style="2"/>
    <col min="11525" max="11525" width="10.44140625" style="2" customWidth="1"/>
    <col min="11526" max="11526" width="8.88671875" style="2"/>
    <col min="11527" max="11527" width="26.109375" style="2" bestFit="1" customWidth="1"/>
    <col min="11528" max="11529" width="8.88671875" style="2"/>
    <col min="11530" max="11530" width="22.44140625" style="2" bestFit="1" customWidth="1"/>
    <col min="11531" max="11776" width="8.88671875" style="2"/>
    <col min="11777" max="11777" width="13.44140625" style="2" customWidth="1"/>
    <col min="11778" max="11778" width="13" style="2" customWidth="1"/>
    <col min="11779" max="11779" width="13.88671875" style="2" customWidth="1"/>
    <col min="11780" max="11780" width="8.88671875" style="2"/>
    <col min="11781" max="11781" width="10.44140625" style="2" customWidth="1"/>
    <col min="11782" max="11782" width="8.88671875" style="2"/>
    <col min="11783" max="11783" width="26.109375" style="2" bestFit="1" customWidth="1"/>
    <col min="11784" max="11785" width="8.88671875" style="2"/>
    <col min="11786" max="11786" width="22.44140625" style="2" bestFit="1" customWidth="1"/>
    <col min="11787" max="12032" width="8.88671875" style="2"/>
    <col min="12033" max="12033" width="13.44140625" style="2" customWidth="1"/>
    <col min="12034" max="12034" width="13" style="2" customWidth="1"/>
    <col min="12035" max="12035" width="13.88671875" style="2" customWidth="1"/>
    <col min="12036" max="12036" width="8.88671875" style="2"/>
    <col min="12037" max="12037" width="10.44140625" style="2" customWidth="1"/>
    <col min="12038" max="12038" width="8.88671875" style="2"/>
    <col min="12039" max="12039" width="26.109375" style="2" bestFit="1" customWidth="1"/>
    <col min="12040" max="12041" width="8.88671875" style="2"/>
    <col min="12042" max="12042" width="22.44140625" style="2" bestFit="1" customWidth="1"/>
    <col min="12043" max="12288" width="8.88671875" style="2"/>
    <col min="12289" max="12289" width="13.44140625" style="2" customWidth="1"/>
    <col min="12290" max="12290" width="13" style="2" customWidth="1"/>
    <col min="12291" max="12291" width="13.88671875" style="2" customWidth="1"/>
    <col min="12292" max="12292" width="8.88671875" style="2"/>
    <col min="12293" max="12293" width="10.44140625" style="2" customWidth="1"/>
    <col min="12294" max="12294" width="8.88671875" style="2"/>
    <col min="12295" max="12295" width="26.109375" style="2" bestFit="1" customWidth="1"/>
    <col min="12296" max="12297" width="8.88671875" style="2"/>
    <col min="12298" max="12298" width="22.44140625" style="2" bestFit="1" customWidth="1"/>
    <col min="12299" max="12544" width="8.88671875" style="2"/>
    <col min="12545" max="12545" width="13.44140625" style="2" customWidth="1"/>
    <col min="12546" max="12546" width="13" style="2" customWidth="1"/>
    <col min="12547" max="12547" width="13.88671875" style="2" customWidth="1"/>
    <col min="12548" max="12548" width="8.88671875" style="2"/>
    <col min="12549" max="12549" width="10.44140625" style="2" customWidth="1"/>
    <col min="12550" max="12550" width="8.88671875" style="2"/>
    <col min="12551" max="12551" width="26.109375" style="2" bestFit="1" customWidth="1"/>
    <col min="12552" max="12553" width="8.88671875" style="2"/>
    <col min="12554" max="12554" width="22.44140625" style="2" bestFit="1" customWidth="1"/>
    <col min="12555" max="12800" width="8.88671875" style="2"/>
    <col min="12801" max="12801" width="13.44140625" style="2" customWidth="1"/>
    <col min="12802" max="12802" width="13" style="2" customWidth="1"/>
    <col min="12803" max="12803" width="13.88671875" style="2" customWidth="1"/>
    <col min="12804" max="12804" width="8.88671875" style="2"/>
    <col min="12805" max="12805" width="10.44140625" style="2" customWidth="1"/>
    <col min="12806" max="12806" width="8.88671875" style="2"/>
    <col min="12807" max="12807" width="26.109375" style="2" bestFit="1" customWidth="1"/>
    <col min="12808" max="12809" width="8.88671875" style="2"/>
    <col min="12810" max="12810" width="22.44140625" style="2" bestFit="1" customWidth="1"/>
    <col min="12811" max="13056" width="8.88671875" style="2"/>
    <col min="13057" max="13057" width="13.44140625" style="2" customWidth="1"/>
    <col min="13058" max="13058" width="13" style="2" customWidth="1"/>
    <col min="13059" max="13059" width="13.88671875" style="2" customWidth="1"/>
    <col min="13060" max="13060" width="8.88671875" style="2"/>
    <col min="13061" max="13061" width="10.44140625" style="2" customWidth="1"/>
    <col min="13062" max="13062" width="8.88671875" style="2"/>
    <col min="13063" max="13063" width="26.109375" style="2" bestFit="1" customWidth="1"/>
    <col min="13064" max="13065" width="8.88671875" style="2"/>
    <col min="13066" max="13066" width="22.44140625" style="2" bestFit="1" customWidth="1"/>
    <col min="13067" max="13312" width="8.88671875" style="2"/>
    <col min="13313" max="13313" width="13.44140625" style="2" customWidth="1"/>
    <col min="13314" max="13314" width="13" style="2" customWidth="1"/>
    <col min="13315" max="13315" width="13.88671875" style="2" customWidth="1"/>
    <col min="13316" max="13316" width="8.88671875" style="2"/>
    <col min="13317" max="13317" width="10.44140625" style="2" customWidth="1"/>
    <col min="13318" max="13318" width="8.88671875" style="2"/>
    <col min="13319" max="13319" width="26.109375" style="2" bestFit="1" customWidth="1"/>
    <col min="13320" max="13321" width="8.88671875" style="2"/>
    <col min="13322" max="13322" width="22.44140625" style="2" bestFit="1" customWidth="1"/>
    <col min="13323" max="13568" width="8.88671875" style="2"/>
    <col min="13569" max="13569" width="13.44140625" style="2" customWidth="1"/>
    <col min="13570" max="13570" width="13" style="2" customWidth="1"/>
    <col min="13571" max="13571" width="13.88671875" style="2" customWidth="1"/>
    <col min="13572" max="13572" width="8.88671875" style="2"/>
    <col min="13573" max="13573" width="10.44140625" style="2" customWidth="1"/>
    <col min="13574" max="13574" width="8.88671875" style="2"/>
    <col min="13575" max="13575" width="26.109375" style="2" bestFit="1" customWidth="1"/>
    <col min="13576" max="13577" width="8.88671875" style="2"/>
    <col min="13578" max="13578" width="22.44140625" style="2" bestFit="1" customWidth="1"/>
    <col min="13579" max="13824" width="8.88671875" style="2"/>
    <col min="13825" max="13825" width="13.44140625" style="2" customWidth="1"/>
    <col min="13826" max="13826" width="13" style="2" customWidth="1"/>
    <col min="13827" max="13827" width="13.88671875" style="2" customWidth="1"/>
    <col min="13828" max="13828" width="8.88671875" style="2"/>
    <col min="13829" max="13829" width="10.44140625" style="2" customWidth="1"/>
    <col min="13830" max="13830" width="8.88671875" style="2"/>
    <col min="13831" max="13831" width="26.109375" style="2" bestFit="1" customWidth="1"/>
    <col min="13832" max="13833" width="8.88671875" style="2"/>
    <col min="13834" max="13834" width="22.44140625" style="2" bestFit="1" customWidth="1"/>
    <col min="13835" max="14080" width="8.88671875" style="2"/>
    <col min="14081" max="14081" width="13.44140625" style="2" customWidth="1"/>
    <col min="14082" max="14082" width="13" style="2" customWidth="1"/>
    <col min="14083" max="14083" width="13.88671875" style="2" customWidth="1"/>
    <col min="14084" max="14084" width="8.88671875" style="2"/>
    <col min="14085" max="14085" width="10.44140625" style="2" customWidth="1"/>
    <col min="14086" max="14086" width="8.88671875" style="2"/>
    <col min="14087" max="14087" width="26.109375" style="2" bestFit="1" customWidth="1"/>
    <col min="14088" max="14089" width="8.88671875" style="2"/>
    <col min="14090" max="14090" width="22.44140625" style="2" bestFit="1" customWidth="1"/>
    <col min="14091" max="14336" width="8.88671875" style="2"/>
    <col min="14337" max="14337" width="13.44140625" style="2" customWidth="1"/>
    <col min="14338" max="14338" width="13" style="2" customWidth="1"/>
    <col min="14339" max="14339" width="13.88671875" style="2" customWidth="1"/>
    <col min="14340" max="14340" width="8.88671875" style="2"/>
    <col min="14341" max="14341" width="10.44140625" style="2" customWidth="1"/>
    <col min="14342" max="14342" width="8.88671875" style="2"/>
    <col min="14343" max="14343" width="26.109375" style="2" bestFit="1" customWidth="1"/>
    <col min="14344" max="14345" width="8.88671875" style="2"/>
    <col min="14346" max="14346" width="22.44140625" style="2" bestFit="1" customWidth="1"/>
    <col min="14347" max="14592" width="8.88671875" style="2"/>
    <col min="14593" max="14593" width="13.44140625" style="2" customWidth="1"/>
    <col min="14594" max="14594" width="13" style="2" customWidth="1"/>
    <col min="14595" max="14595" width="13.88671875" style="2" customWidth="1"/>
    <col min="14596" max="14596" width="8.88671875" style="2"/>
    <col min="14597" max="14597" width="10.44140625" style="2" customWidth="1"/>
    <col min="14598" max="14598" width="8.88671875" style="2"/>
    <col min="14599" max="14599" width="26.109375" style="2" bestFit="1" customWidth="1"/>
    <col min="14600" max="14601" width="8.88671875" style="2"/>
    <col min="14602" max="14602" width="22.44140625" style="2" bestFit="1" customWidth="1"/>
    <col min="14603" max="14848" width="8.88671875" style="2"/>
    <col min="14849" max="14849" width="13.44140625" style="2" customWidth="1"/>
    <col min="14850" max="14850" width="13" style="2" customWidth="1"/>
    <col min="14851" max="14851" width="13.88671875" style="2" customWidth="1"/>
    <col min="14852" max="14852" width="8.88671875" style="2"/>
    <col min="14853" max="14853" width="10.44140625" style="2" customWidth="1"/>
    <col min="14854" max="14854" width="8.88671875" style="2"/>
    <col min="14855" max="14855" width="26.109375" style="2" bestFit="1" customWidth="1"/>
    <col min="14856" max="14857" width="8.88671875" style="2"/>
    <col min="14858" max="14858" width="22.44140625" style="2" bestFit="1" customWidth="1"/>
    <col min="14859" max="15104" width="8.88671875" style="2"/>
    <col min="15105" max="15105" width="13.44140625" style="2" customWidth="1"/>
    <col min="15106" max="15106" width="13" style="2" customWidth="1"/>
    <col min="15107" max="15107" width="13.88671875" style="2" customWidth="1"/>
    <col min="15108" max="15108" width="8.88671875" style="2"/>
    <col min="15109" max="15109" width="10.44140625" style="2" customWidth="1"/>
    <col min="15110" max="15110" width="8.88671875" style="2"/>
    <col min="15111" max="15111" width="26.109375" style="2" bestFit="1" customWidth="1"/>
    <col min="15112" max="15113" width="8.88671875" style="2"/>
    <col min="15114" max="15114" width="22.44140625" style="2" bestFit="1" customWidth="1"/>
    <col min="15115" max="15360" width="8.88671875" style="2"/>
    <col min="15361" max="15361" width="13.44140625" style="2" customWidth="1"/>
    <col min="15362" max="15362" width="13" style="2" customWidth="1"/>
    <col min="15363" max="15363" width="13.88671875" style="2" customWidth="1"/>
    <col min="15364" max="15364" width="8.88671875" style="2"/>
    <col min="15365" max="15365" width="10.44140625" style="2" customWidth="1"/>
    <col min="15366" max="15366" width="8.88671875" style="2"/>
    <col min="15367" max="15367" width="26.109375" style="2" bestFit="1" customWidth="1"/>
    <col min="15368" max="15369" width="8.88671875" style="2"/>
    <col min="15370" max="15370" width="22.44140625" style="2" bestFit="1" customWidth="1"/>
    <col min="15371" max="15616" width="8.88671875" style="2"/>
    <col min="15617" max="15617" width="13.44140625" style="2" customWidth="1"/>
    <col min="15618" max="15618" width="13" style="2" customWidth="1"/>
    <col min="15619" max="15619" width="13.88671875" style="2" customWidth="1"/>
    <col min="15620" max="15620" width="8.88671875" style="2"/>
    <col min="15621" max="15621" width="10.44140625" style="2" customWidth="1"/>
    <col min="15622" max="15622" width="8.88671875" style="2"/>
    <col min="15623" max="15623" width="26.109375" style="2" bestFit="1" customWidth="1"/>
    <col min="15624" max="15625" width="8.88671875" style="2"/>
    <col min="15626" max="15626" width="22.44140625" style="2" bestFit="1" customWidth="1"/>
    <col min="15627" max="15872" width="8.88671875" style="2"/>
    <col min="15873" max="15873" width="13.44140625" style="2" customWidth="1"/>
    <col min="15874" max="15874" width="13" style="2" customWidth="1"/>
    <col min="15875" max="15875" width="13.88671875" style="2" customWidth="1"/>
    <col min="15876" max="15876" width="8.88671875" style="2"/>
    <col min="15877" max="15877" width="10.44140625" style="2" customWidth="1"/>
    <col min="15878" max="15878" width="8.88671875" style="2"/>
    <col min="15879" max="15879" width="26.109375" style="2" bestFit="1" customWidth="1"/>
    <col min="15880" max="15881" width="8.88671875" style="2"/>
    <col min="15882" max="15882" width="22.44140625" style="2" bestFit="1" customWidth="1"/>
    <col min="15883" max="16128" width="8.88671875" style="2"/>
    <col min="16129" max="16129" width="13.44140625" style="2" customWidth="1"/>
    <col min="16130" max="16130" width="13" style="2" customWidth="1"/>
    <col min="16131" max="16131" width="13.88671875" style="2" customWidth="1"/>
    <col min="16132" max="16132" width="8.88671875" style="2"/>
    <col min="16133" max="16133" width="10.44140625" style="2" customWidth="1"/>
    <col min="16134" max="16134" width="8.88671875" style="2"/>
    <col min="16135" max="16135" width="26.109375" style="2" bestFit="1" customWidth="1"/>
    <col min="16136" max="16137" width="8.88671875" style="2"/>
    <col min="16138" max="16138" width="22.44140625" style="2" bestFit="1" customWidth="1"/>
    <col min="16139" max="16384" width="8.88671875" style="2"/>
  </cols>
  <sheetData>
    <row r="1" spans="1:10" ht="71.25" customHeight="1" x14ac:dyDescent="0.25">
      <c r="A1" s="1" t="s">
        <v>0</v>
      </c>
      <c r="B1" s="1"/>
      <c r="C1" s="1"/>
    </row>
    <row r="2" spans="1:10" ht="26.4" x14ac:dyDescent="0.25">
      <c r="A2" s="3" t="s">
        <v>1</v>
      </c>
      <c r="B2" s="4" t="s">
        <v>2</v>
      </c>
      <c r="C2" s="7" t="s">
        <v>4</v>
      </c>
      <c r="D2" s="4" t="s">
        <v>3</v>
      </c>
      <c r="E2" s="7" t="s">
        <v>4</v>
      </c>
      <c r="H2" s="4" t="s">
        <v>2</v>
      </c>
      <c r="I2" s="4" t="s">
        <v>5</v>
      </c>
    </row>
    <row r="3" spans="1:10" x14ac:dyDescent="0.25">
      <c r="A3" s="5">
        <v>39171</v>
      </c>
      <c r="B3" s="2">
        <v>55.48</v>
      </c>
      <c r="D3" s="2">
        <v>1420.86</v>
      </c>
      <c r="G3" s="2" t="s">
        <v>6</v>
      </c>
      <c r="H3" s="8">
        <f>AVERAGE(C4:C66)</f>
        <v>-5.6201267544243362E-4</v>
      </c>
      <c r="I3" s="8">
        <f>AVERAGE(E4:E66)</f>
        <v>8.9577189151866419E-4</v>
      </c>
      <c r="J3" s="2" t="str">
        <f ca="1">[1]!getformula(I3)</f>
        <v>&lt;--  =AVERAGE(E4:E66)</v>
      </c>
    </row>
    <row r="4" spans="1:10" ht="13.8" x14ac:dyDescent="0.25">
      <c r="A4" s="5">
        <v>39174</v>
      </c>
      <c r="B4" s="2">
        <v>55.49</v>
      </c>
      <c r="C4" s="9">
        <f>LN(B4/B3)</f>
        <v>1.8022889117907579E-4</v>
      </c>
      <c r="D4" s="2">
        <v>1424.55</v>
      </c>
      <c r="E4" s="9">
        <f>LN(D4/D3)</f>
        <v>2.5936522810858778E-3</v>
      </c>
      <c r="G4" s="2" t="s">
        <v>7</v>
      </c>
      <c r="H4" s="9">
        <f>STDEVP(C4:C66)</f>
        <v>9.9762224304745517E-3</v>
      </c>
      <c r="I4" s="9">
        <f>STDEVP(E4:E66)</f>
        <v>6.5494489706041555E-3</v>
      </c>
    </row>
    <row r="5" spans="1:10" ht="13.8" x14ac:dyDescent="0.25">
      <c r="A5" s="5">
        <v>39175</v>
      </c>
      <c r="B5" s="2">
        <v>56.35</v>
      </c>
      <c r="C5" s="9">
        <f t="shared" ref="C5:E66" si="0">LN(B5/B4)</f>
        <v>1.5379416147975477E-2</v>
      </c>
      <c r="D5" s="2">
        <v>1437.77</v>
      </c>
      <c r="E5" s="9">
        <f t="shared" si="0"/>
        <v>9.2373277642798391E-3</v>
      </c>
    </row>
    <row r="6" spans="1:10" ht="13.8" x14ac:dyDescent="0.25">
      <c r="A6" s="5">
        <v>39176</v>
      </c>
      <c r="B6" s="2">
        <v>55.97</v>
      </c>
      <c r="C6" s="9">
        <f t="shared" si="0"/>
        <v>-6.7664075825171833E-3</v>
      </c>
      <c r="D6" s="2">
        <v>1439.37</v>
      </c>
      <c r="E6" s="9">
        <f t="shared" si="0"/>
        <v>1.1122157176475702E-3</v>
      </c>
      <c r="G6" s="2" t="s">
        <v>8</v>
      </c>
      <c r="H6" s="9">
        <f>250*H3</f>
        <v>-0.1405031688606084</v>
      </c>
      <c r="I6" s="9">
        <f>250*I3</f>
        <v>0.22394297287966605</v>
      </c>
      <c r="J6" s="2" t="str">
        <f ca="1">[1]!getformula(I6)</f>
        <v>&lt;--  =250*I3</v>
      </c>
    </row>
    <row r="7" spans="1:10" ht="13.8" x14ac:dyDescent="0.25">
      <c r="A7" s="5">
        <v>39177</v>
      </c>
      <c r="B7" s="2">
        <v>56.7</v>
      </c>
      <c r="C7" s="9">
        <f t="shared" si="0"/>
        <v>1.2958377830438191E-2</v>
      </c>
      <c r="D7" s="2">
        <v>1443.76</v>
      </c>
      <c r="E7" s="9">
        <f t="shared" si="0"/>
        <v>3.0453038140440688E-3</v>
      </c>
      <c r="G7" s="2" t="s">
        <v>9</v>
      </c>
      <c r="H7" s="9">
        <f>SQRT(250)*H4</f>
        <v>0.15773792662380184</v>
      </c>
      <c r="I7" s="9">
        <f>SQRT(250)*I4</f>
        <v>0.10355588083077154</v>
      </c>
      <c r="J7" s="2" t="str">
        <f ca="1">[1]!getformula(I7)</f>
        <v>&lt;--  =SQRT(250)*I4</v>
      </c>
    </row>
    <row r="8" spans="1:10" ht="13.8" x14ac:dyDescent="0.25">
      <c r="A8" s="5">
        <v>39181</v>
      </c>
      <c r="B8" s="2">
        <v>56.88</v>
      </c>
      <c r="C8" s="9">
        <f t="shared" si="0"/>
        <v>3.1695747612790395E-3</v>
      </c>
      <c r="D8" s="2">
        <v>1444.61</v>
      </c>
      <c r="E8" s="9">
        <f t="shared" si="0"/>
        <v>5.8856727118576906E-4</v>
      </c>
    </row>
    <row r="9" spans="1:10" ht="13.8" x14ac:dyDescent="0.25">
      <c r="A9" s="5">
        <v>39182</v>
      </c>
      <c r="B9" s="2">
        <v>56.74</v>
      </c>
      <c r="C9" s="9">
        <f t="shared" si="0"/>
        <v>-2.4643561142801357E-3</v>
      </c>
      <c r="D9" s="2">
        <v>1448.39</v>
      </c>
      <c r="E9" s="9">
        <f t="shared" si="0"/>
        <v>2.6132057733051894E-3</v>
      </c>
      <c r="G9" s="2" t="s">
        <v>10</v>
      </c>
      <c r="H9" s="10">
        <f>CORREL(C4:C66,E4:E66)</f>
        <v>0.5601509282428947</v>
      </c>
      <c r="I9" s="2" t="str">
        <f ca="1">[1]!getformula(H9)</f>
        <v>&lt;--  =CORREL(C4:C66,E4:E66)</v>
      </c>
    </row>
    <row r="10" spans="1:10" ht="13.8" x14ac:dyDescent="0.25">
      <c r="A10" s="5">
        <v>39183</v>
      </c>
      <c r="B10" s="2">
        <v>57</v>
      </c>
      <c r="C10" s="9">
        <f t="shared" si="0"/>
        <v>4.5718384538449251E-3</v>
      </c>
      <c r="D10" s="2">
        <v>1438.87</v>
      </c>
      <c r="E10" s="9">
        <f t="shared" si="0"/>
        <v>-6.5945114053618595E-3</v>
      </c>
    </row>
    <row r="11" spans="1:10" ht="13.8" x14ac:dyDescent="0.25">
      <c r="A11" s="5">
        <v>39184</v>
      </c>
      <c r="B11" s="2">
        <v>57.41</v>
      </c>
      <c r="C11" s="9">
        <f t="shared" si="0"/>
        <v>7.1672363449952455E-3</v>
      </c>
      <c r="D11" s="2">
        <v>1447.8</v>
      </c>
      <c r="E11" s="9">
        <f t="shared" si="0"/>
        <v>6.1870795668692979E-3</v>
      </c>
    </row>
    <row r="12" spans="1:10" ht="13.8" x14ac:dyDescent="0.25">
      <c r="A12" s="5">
        <v>39185</v>
      </c>
      <c r="B12" s="2">
        <v>58.49</v>
      </c>
      <c r="C12" s="9">
        <f t="shared" si="0"/>
        <v>1.863729527538897E-2</v>
      </c>
      <c r="D12" s="2">
        <v>1452.85</v>
      </c>
      <c r="E12" s="9">
        <f t="shared" si="0"/>
        <v>3.4819816953198814E-3</v>
      </c>
    </row>
    <row r="13" spans="1:10" ht="13.8" x14ac:dyDescent="0.25">
      <c r="A13" s="5">
        <v>39188</v>
      </c>
      <c r="B13" s="2">
        <v>58.88</v>
      </c>
      <c r="C13" s="9">
        <f t="shared" si="0"/>
        <v>6.6456749656862843E-3</v>
      </c>
      <c r="D13" s="2">
        <v>1468.33</v>
      </c>
      <c r="E13" s="9">
        <f t="shared" si="0"/>
        <v>1.0598555997672739E-2</v>
      </c>
    </row>
    <row r="14" spans="1:10" ht="13.8" x14ac:dyDescent="0.25">
      <c r="A14" s="5">
        <v>39189</v>
      </c>
      <c r="B14" s="2">
        <v>59</v>
      </c>
      <c r="C14" s="9">
        <f t="shared" si="0"/>
        <v>2.0359694850985367E-3</v>
      </c>
      <c r="D14" s="2">
        <v>1471.48</v>
      </c>
      <c r="E14" s="9">
        <f t="shared" si="0"/>
        <v>2.1429964559028943E-3</v>
      </c>
    </row>
    <row r="15" spans="1:10" ht="13.8" x14ac:dyDescent="0.25">
      <c r="A15" s="5">
        <v>39190</v>
      </c>
      <c r="B15" s="2">
        <v>58.03</v>
      </c>
      <c r="C15" s="9">
        <f t="shared" si="0"/>
        <v>-1.6577325703202559E-2</v>
      </c>
      <c r="D15" s="2">
        <v>1472.5</v>
      </c>
      <c r="E15" s="9">
        <f t="shared" si="0"/>
        <v>6.9293951780517705E-4</v>
      </c>
    </row>
    <row r="16" spans="1:10" ht="13.8" x14ac:dyDescent="0.25">
      <c r="A16" s="5">
        <v>39191</v>
      </c>
      <c r="B16" s="2">
        <v>57.24</v>
      </c>
      <c r="C16" s="9">
        <f t="shared" si="0"/>
        <v>-1.3707163514266773E-2</v>
      </c>
      <c r="D16" s="2">
        <v>1470.73</v>
      </c>
      <c r="E16" s="9">
        <f t="shared" si="0"/>
        <v>-1.2027603778014199E-3</v>
      </c>
    </row>
    <row r="17" spans="1:5" ht="13.8" x14ac:dyDescent="0.25">
      <c r="A17" s="5">
        <v>39192</v>
      </c>
      <c r="B17" s="2">
        <v>57.85</v>
      </c>
      <c r="C17" s="9">
        <f t="shared" si="0"/>
        <v>1.060049895143534E-2</v>
      </c>
      <c r="D17" s="2">
        <v>1484.35</v>
      </c>
      <c r="E17" s="9">
        <f t="shared" si="0"/>
        <v>9.2180898279725764E-3</v>
      </c>
    </row>
    <row r="18" spans="1:5" ht="13.8" x14ac:dyDescent="0.25">
      <c r="A18" s="5">
        <v>39195</v>
      </c>
      <c r="B18" s="2">
        <v>57.21</v>
      </c>
      <c r="C18" s="9">
        <f t="shared" si="0"/>
        <v>-1.1124745359248194E-2</v>
      </c>
      <c r="D18" s="2">
        <v>1480.93</v>
      </c>
      <c r="E18" s="9">
        <f t="shared" si="0"/>
        <v>-2.3066971863989105E-3</v>
      </c>
    </row>
    <row r="19" spans="1:5" ht="13.8" x14ac:dyDescent="0.25">
      <c r="A19" s="5">
        <v>39196</v>
      </c>
      <c r="B19" s="2">
        <v>57.17</v>
      </c>
      <c r="C19" s="9">
        <f t="shared" si="0"/>
        <v>-6.9942300455741002E-4</v>
      </c>
      <c r="D19" s="2">
        <v>1480.41</v>
      </c>
      <c r="E19" s="9">
        <f t="shared" si="0"/>
        <v>-3.5119236922782053E-4</v>
      </c>
    </row>
    <row r="20" spans="1:5" ht="13.8" x14ac:dyDescent="0.25">
      <c r="A20" s="5">
        <v>39197</v>
      </c>
      <c r="B20" s="2">
        <v>57.56</v>
      </c>
      <c r="C20" s="9">
        <f t="shared" si="0"/>
        <v>6.7985967432871684E-3</v>
      </c>
      <c r="D20" s="2">
        <v>1495.42</v>
      </c>
      <c r="E20" s="9">
        <f t="shared" si="0"/>
        <v>1.0088027404093753E-2</v>
      </c>
    </row>
    <row r="21" spans="1:5" ht="13.8" x14ac:dyDescent="0.25">
      <c r="A21" s="5">
        <v>39198</v>
      </c>
      <c r="B21" s="2">
        <v>56.91</v>
      </c>
      <c r="C21" s="9">
        <f t="shared" si="0"/>
        <v>-1.1356809404134669E-2</v>
      </c>
      <c r="D21" s="2">
        <v>1494.25</v>
      </c>
      <c r="E21" s="9">
        <f t="shared" si="0"/>
        <v>-7.8269512001638336E-4</v>
      </c>
    </row>
    <row r="22" spans="1:5" ht="13.8" x14ac:dyDescent="0.25">
      <c r="A22" s="5">
        <v>39199</v>
      </c>
      <c r="B22" s="2">
        <v>56.76</v>
      </c>
      <c r="C22" s="9">
        <f t="shared" si="0"/>
        <v>-2.639220323190567E-3</v>
      </c>
      <c r="D22" s="2">
        <v>1494.07</v>
      </c>
      <c r="E22" s="9">
        <f t="shared" si="0"/>
        <v>-1.2046902622057603E-4</v>
      </c>
    </row>
    <row r="23" spans="1:5" ht="13.8" x14ac:dyDescent="0.25">
      <c r="A23" s="5">
        <v>39202</v>
      </c>
      <c r="B23" s="2">
        <v>56.62</v>
      </c>
      <c r="C23" s="9">
        <f t="shared" si="0"/>
        <v>-2.4695726080884326E-3</v>
      </c>
      <c r="D23" s="2">
        <v>1482.37</v>
      </c>
      <c r="E23" s="9">
        <f t="shared" si="0"/>
        <v>-7.8617813645522894E-3</v>
      </c>
    </row>
    <row r="24" spans="1:5" ht="13.8" x14ac:dyDescent="0.25">
      <c r="A24" s="5">
        <v>39203</v>
      </c>
      <c r="B24" s="2">
        <v>57.01</v>
      </c>
      <c r="C24" s="9">
        <f t="shared" si="0"/>
        <v>6.8644113597369424E-3</v>
      </c>
      <c r="D24" s="2">
        <v>1486.3</v>
      </c>
      <c r="E24" s="9">
        <f t="shared" si="0"/>
        <v>2.6476518412585975E-3</v>
      </c>
    </row>
    <row r="25" spans="1:5" ht="13.8" x14ac:dyDescent="0.25">
      <c r="A25" s="5">
        <v>39204</v>
      </c>
      <c r="B25" s="2">
        <v>57.19</v>
      </c>
      <c r="C25" s="9">
        <f t="shared" si="0"/>
        <v>3.1523668837342457E-3</v>
      </c>
      <c r="D25" s="2">
        <v>1495.92</v>
      </c>
      <c r="E25" s="9">
        <f t="shared" si="0"/>
        <v>6.4515920138555971E-3</v>
      </c>
    </row>
    <row r="26" spans="1:5" ht="13.8" x14ac:dyDescent="0.25">
      <c r="A26" s="5">
        <v>39205</v>
      </c>
      <c r="B26" s="2">
        <v>57.41</v>
      </c>
      <c r="C26" s="9">
        <f t="shared" si="0"/>
        <v>3.8394462523204942E-3</v>
      </c>
      <c r="D26" s="2">
        <v>1502.39</v>
      </c>
      <c r="E26" s="9">
        <f t="shared" si="0"/>
        <v>4.3157712461028242E-3</v>
      </c>
    </row>
    <row r="27" spans="1:5" ht="13.8" x14ac:dyDescent="0.25">
      <c r="A27" s="5">
        <v>39206</v>
      </c>
      <c r="B27" s="2">
        <v>58.3</v>
      </c>
      <c r="C27" s="9">
        <f t="shared" si="0"/>
        <v>1.5383589176901358E-2</v>
      </c>
      <c r="D27" s="2">
        <v>1505.62</v>
      </c>
      <c r="E27" s="9">
        <f t="shared" si="0"/>
        <v>2.147600068780669E-3</v>
      </c>
    </row>
    <row r="28" spans="1:5" ht="13.8" x14ac:dyDescent="0.25">
      <c r="A28" s="5">
        <v>39209</v>
      </c>
      <c r="B28" s="2">
        <v>58.95</v>
      </c>
      <c r="C28" s="9">
        <f t="shared" si="0"/>
        <v>1.1087533626933268E-2</v>
      </c>
      <c r="D28" s="2">
        <v>1509.48</v>
      </c>
      <c r="E28" s="9">
        <f t="shared" si="0"/>
        <v>2.5604471551929587E-3</v>
      </c>
    </row>
    <row r="29" spans="1:5" ht="13.8" x14ac:dyDescent="0.25">
      <c r="A29" s="5">
        <v>39210</v>
      </c>
      <c r="B29" s="2">
        <v>58.84</v>
      </c>
      <c r="C29" s="9">
        <f t="shared" si="0"/>
        <v>-1.8677312501431257E-3</v>
      </c>
      <c r="D29" s="2">
        <v>1507.72</v>
      </c>
      <c r="E29" s="9">
        <f t="shared" si="0"/>
        <v>-1.1666447034482518E-3</v>
      </c>
    </row>
    <row r="30" spans="1:5" ht="13.8" x14ac:dyDescent="0.25">
      <c r="A30" s="5">
        <v>39211</v>
      </c>
      <c r="B30" s="2">
        <v>58.68</v>
      </c>
      <c r="C30" s="9">
        <f t="shared" si="0"/>
        <v>-2.72294245845584E-3</v>
      </c>
      <c r="D30" s="2">
        <v>1512.58</v>
      </c>
      <c r="E30" s="9">
        <f t="shared" si="0"/>
        <v>3.2182261328847312E-3</v>
      </c>
    </row>
    <row r="31" spans="1:5" ht="13.8" x14ac:dyDescent="0.25">
      <c r="A31" s="5">
        <v>39212</v>
      </c>
      <c r="B31" s="2">
        <v>57.33</v>
      </c>
      <c r="C31" s="9">
        <f t="shared" si="0"/>
        <v>-2.3274906354489585E-2</v>
      </c>
      <c r="D31" s="2">
        <v>1491.47</v>
      </c>
      <c r="E31" s="9">
        <f t="shared" si="0"/>
        <v>-1.4054591294918805E-2</v>
      </c>
    </row>
    <row r="32" spans="1:5" ht="13.8" x14ac:dyDescent="0.25">
      <c r="A32" s="5">
        <v>39213</v>
      </c>
      <c r="B32" s="2">
        <v>57.84</v>
      </c>
      <c r="C32" s="9">
        <f t="shared" si="0"/>
        <v>8.8565309302179804E-3</v>
      </c>
      <c r="D32" s="2">
        <v>1505.85</v>
      </c>
      <c r="E32" s="9">
        <f t="shared" si="0"/>
        <v>9.59531203234632E-3</v>
      </c>
    </row>
    <row r="33" spans="1:5" ht="13.8" x14ac:dyDescent="0.25">
      <c r="A33" s="5">
        <v>39216</v>
      </c>
      <c r="B33" s="2">
        <v>57.95</v>
      </c>
      <c r="C33" s="9">
        <f t="shared" si="0"/>
        <v>1.8999919352514615E-3</v>
      </c>
      <c r="D33" s="2">
        <v>1503.15</v>
      </c>
      <c r="E33" s="9">
        <f t="shared" si="0"/>
        <v>-1.7946166331975536E-3</v>
      </c>
    </row>
    <row r="34" spans="1:5" ht="13.8" x14ac:dyDescent="0.25">
      <c r="A34" s="5">
        <v>39217</v>
      </c>
      <c r="B34" s="2">
        <v>58.68</v>
      </c>
      <c r="C34" s="9">
        <f t="shared" si="0"/>
        <v>1.2518383489020306E-2</v>
      </c>
      <c r="D34" s="2">
        <v>1501.19</v>
      </c>
      <c r="E34" s="9">
        <f t="shared" si="0"/>
        <v>-1.3047792713652155E-3</v>
      </c>
    </row>
    <row r="35" spans="1:5" ht="13.8" x14ac:dyDescent="0.25">
      <c r="A35" s="5">
        <v>39218</v>
      </c>
      <c r="B35" s="2">
        <v>59.09</v>
      </c>
      <c r="C35" s="9">
        <f t="shared" si="0"/>
        <v>6.9627520828023041E-3</v>
      </c>
      <c r="D35" s="2">
        <v>1514.14</v>
      </c>
      <c r="E35" s="9">
        <f t="shared" si="0"/>
        <v>8.5894940986099948E-3</v>
      </c>
    </row>
    <row r="36" spans="1:5" ht="13.8" x14ac:dyDescent="0.25">
      <c r="A36" s="5">
        <v>39219</v>
      </c>
      <c r="B36" s="2">
        <v>58.9</v>
      </c>
      <c r="C36" s="9">
        <f t="shared" si="0"/>
        <v>-3.2206147000422834E-3</v>
      </c>
      <c r="D36" s="2">
        <v>1512.75</v>
      </c>
      <c r="E36" s="9">
        <f t="shared" si="0"/>
        <v>-9.1843449726153315E-4</v>
      </c>
    </row>
    <row r="37" spans="1:5" ht="13.8" x14ac:dyDescent="0.25">
      <c r="A37" s="5">
        <v>39220</v>
      </c>
      <c r="B37" s="2">
        <v>59.43</v>
      </c>
      <c r="C37" s="9">
        <f t="shared" si="0"/>
        <v>8.9580587210282159E-3</v>
      </c>
      <c r="D37" s="2">
        <v>1522.75</v>
      </c>
      <c r="E37" s="9">
        <f t="shared" si="0"/>
        <v>6.5887242141631124E-3</v>
      </c>
    </row>
    <row r="38" spans="1:5" ht="13.8" x14ac:dyDescent="0.25">
      <c r="A38" s="5">
        <v>39223</v>
      </c>
      <c r="B38" s="2">
        <v>58.63</v>
      </c>
      <c r="C38" s="9">
        <f t="shared" si="0"/>
        <v>-1.3552638402445458E-2</v>
      </c>
      <c r="D38" s="2">
        <v>1525.1</v>
      </c>
      <c r="E38" s="9">
        <f t="shared" si="0"/>
        <v>1.5420709455439237E-3</v>
      </c>
    </row>
    <row r="39" spans="1:5" ht="13.8" x14ac:dyDescent="0.25">
      <c r="A39" s="5">
        <v>39224</v>
      </c>
      <c r="B39" s="2">
        <v>57.69</v>
      </c>
      <c r="C39" s="9">
        <f t="shared" si="0"/>
        <v>-1.6162662707325762E-2</v>
      </c>
      <c r="D39" s="2">
        <v>1524.12</v>
      </c>
      <c r="E39" s="9">
        <f t="shared" si="0"/>
        <v>-6.4278735790969973E-4</v>
      </c>
    </row>
    <row r="40" spans="1:5" ht="13.8" x14ac:dyDescent="0.25">
      <c r="A40" s="5">
        <v>39225</v>
      </c>
      <c r="B40" s="2">
        <v>57.21</v>
      </c>
      <c r="C40" s="9">
        <f t="shared" si="0"/>
        <v>-8.3551399883605906E-3</v>
      </c>
      <c r="D40" s="2">
        <v>1522.28</v>
      </c>
      <c r="E40" s="9">
        <f t="shared" si="0"/>
        <v>-1.2079833401703894E-3</v>
      </c>
    </row>
    <row r="41" spans="1:5" ht="13.8" x14ac:dyDescent="0.25">
      <c r="A41" s="5">
        <v>39226</v>
      </c>
      <c r="B41" s="2">
        <v>56.46</v>
      </c>
      <c r="C41" s="9">
        <f t="shared" si="0"/>
        <v>-1.3196285455094138E-2</v>
      </c>
      <c r="D41" s="2">
        <v>1507.51</v>
      </c>
      <c r="E41" s="9">
        <f t="shared" si="0"/>
        <v>-9.7499278855481611E-3</v>
      </c>
    </row>
    <row r="42" spans="1:5" ht="13.8" x14ac:dyDescent="0.25">
      <c r="A42" s="5">
        <v>39227</v>
      </c>
      <c r="B42" s="2">
        <v>56.37</v>
      </c>
      <c r="C42" s="9">
        <f t="shared" si="0"/>
        <v>-1.5953207318596587E-3</v>
      </c>
      <c r="D42" s="2">
        <v>1515.73</v>
      </c>
      <c r="E42" s="9">
        <f t="shared" si="0"/>
        <v>5.4378879982196647E-3</v>
      </c>
    </row>
    <row r="43" spans="1:5" ht="13.8" x14ac:dyDescent="0.25">
      <c r="A43" s="5">
        <v>39231</v>
      </c>
      <c r="B43" s="2">
        <v>56.65</v>
      </c>
      <c r="C43" s="9">
        <f t="shared" si="0"/>
        <v>4.9548853805317953E-3</v>
      </c>
      <c r="D43" s="2">
        <v>1518.11</v>
      </c>
      <c r="E43" s="9">
        <f t="shared" si="0"/>
        <v>1.5689690215897512E-3</v>
      </c>
    </row>
    <row r="44" spans="1:5" ht="13.8" x14ac:dyDescent="0.25">
      <c r="A44" s="5">
        <v>39232</v>
      </c>
      <c r="B44" s="2">
        <v>55.84</v>
      </c>
      <c r="C44" s="9">
        <f t="shared" si="0"/>
        <v>-1.4401529019898229E-2</v>
      </c>
      <c r="D44" s="2">
        <v>1530.23</v>
      </c>
      <c r="E44" s="9">
        <f t="shared" si="0"/>
        <v>7.9519107876068664E-3</v>
      </c>
    </row>
    <row r="45" spans="1:5" ht="13.8" x14ac:dyDescent="0.25">
      <c r="A45" s="5">
        <v>39233</v>
      </c>
      <c r="B45" s="2">
        <v>56.35</v>
      </c>
      <c r="C45" s="9">
        <f t="shared" si="0"/>
        <v>9.091782031668133E-3</v>
      </c>
      <c r="D45" s="2">
        <v>1530.62</v>
      </c>
      <c r="E45" s="9">
        <f t="shared" si="0"/>
        <v>2.5483117572593078E-4</v>
      </c>
    </row>
    <row r="46" spans="1:5" ht="13.8" x14ac:dyDescent="0.25">
      <c r="A46" s="5">
        <v>39234</v>
      </c>
      <c r="B46" s="2">
        <v>56.3</v>
      </c>
      <c r="C46" s="9">
        <f t="shared" si="0"/>
        <v>-8.8770534014065894E-4</v>
      </c>
      <c r="D46" s="2">
        <v>1536.34</v>
      </c>
      <c r="E46" s="9">
        <f t="shared" si="0"/>
        <v>3.7300823174132988E-3</v>
      </c>
    </row>
    <row r="47" spans="1:5" ht="13.8" x14ac:dyDescent="0.25">
      <c r="A47" s="5">
        <v>39237</v>
      </c>
      <c r="B47" s="2">
        <v>55.62</v>
      </c>
      <c r="C47" s="9">
        <f t="shared" si="0"/>
        <v>-1.2151686339825869E-2</v>
      </c>
      <c r="D47" s="2">
        <v>1539.18</v>
      </c>
      <c r="E47" s="9">
        <f t="shared" si="0"/>
        <v>1.8468426849634985E-3</v>
      </c>
    </row>
    <row r="48" spans="1:5" ht="13.8" x14ac:dyDescent="0.25">
      <c r="A48" s="5">
        <v>39238</v>
      </c>
      <c r="B48" s="2">
        <v>55.49</v>
      </c>
      <c r="C48" s="9">
        <f t="shared" si="0"/>
        <v>-2.3400244680088535E-3</v>
      </c>
      <c r="D48" s="2">
        <v>1530.95</v>
      </c>
      <c r="E48" s="9">
        <f t="shared" si="0"/>
        <v>-5.3613493328488557E-3</v>
      </c>
    </row>
    <row r="49" spans="1:5" ht="13.8" x14ac:dyDescent="0.25">
      <c r="A49" s="5">
        <v>39239</v>
      </c>
      <c r="B49" s="2">
        <v>54.74</v>
      </c>
      <c r="C49" s="9">
        <f t="shared" si="0"/>
        <v>-1.360812072527688E-2</v>
      </c>
      <c r="D49" s="2">
        <v>1517.38</v>
      </c>
      <c r="E49" s="9">
        <f t="shared" si="0"/>
        <v>-8.9032943542946812E-3</v>
      </c>
    </row>
    <row r="50" spans="1:5" ht="13.8" x14ac:dyDescent="0.25">
      <c r="A50" s="5">
        <v>39240</v>
      </c>
      <c r="B50" s="2">
        <v>53.98</v>
      </c>
      <c r="C50" s="9">
        <f t="shared" si="0"/>
        <v>-1.3981096022674567E-2</v>
      </c>
      <c r="D50" s="2">
        <v>1490.72</v>
      </c>
      <c r="E50" s="9">
        <f t="shared" si="0"/>
        <v>-1.7725938674770216E-2</v>
      </c>
    </row>
    <row r="51" spans="1:5" ht="13.8" x14ac:dyDescent="0.25">
      <c r="A51" s="5">
        <v>39241</v>
      </c>
      <c r="B51" s="2">
        <v>54.29</v>
      </c>
      <c r="C51" s="9">
        <f t="shared" si="0"/>
        <v>5.7264403275011973E-3</v>
      </c>
      <c r="D51" s="2">
        <v>1507.67</v>
      </c>
      <c r="E51" s="9">
        <f t="shared" si="0"/>
        <v>1.1306188027129122E-2</v>
      </c>
    </row>
    <row r="52" spans="1:5" ht="13.8" x14ac:dyDescent="0.25">
      <c r="A52" s="5">
        <v>39244</v>
      </c>
      <c r="B52" s="2">
        <v>54.06</v>
      </c>
      <c r="C52" s="9">
        <f t="shared" si="0"/>
        <v>-4.2455070690581168E-3</v>
      </c>
      <c r="D52" s="2">
        <v>1509.12</v>
      </c>
      <c r="E52" s="9">
        <f t="shared" si="0"/>
        <v>9.6128673965282044E-4</v>
      </c>
    </row>
    <row r="53" spans="1:5" ht="13.8" x14ac:dyDescent="0.25">
      <c r="A53" s="5">
        <v>39245</v>
      </c>
      <c r="B53" s="2">
        <v>53.34</v>
      </c>
      <c r="C53" s="9">
        <f t="shared" si="0"/>
        <v>-1.3408022094433267E-2</v>
      </c>
      <c r="D53" s="2">
        <v>1493</v>
      </c>
      <c r="E53" s="9">
        <f t="shared" si="0"/>
        <v>-1.0739180929706308E-2</v>
      </c>
    </row>
    <row r="54" spans="1:5" ht="13.8" x14ac:dyDescent="0.25">
      <c r="A54" s="5">
        <v>39246</v>
      </c>
      <c r="B54" s="2">
        <v>54.19</v>
      </c>
      <c r="C54" s="9">
        <f t="shared" si="0"/>
        <v>1.5809870824154561E-2</v>
      </c>
      <c r="D54" s="2">
        <v>1515.67</v>
      </c>
      <c r="E54" s="9">
        <f t="shared" si="0"/>
        <v>1.5070066867546436E-2</v>
      </c>
    </row>
    <row r="55" spans="1:5" ht="13.8" x14ac:dyDescent="0.25">
      <c r="A55" s="5">
        <v>39247</v>
      </c>
      <c r="B55" s="2">
        <v>54.19</v>
      </c>
      <c r="C55" s="9">
        <f t="shared" si="0"/>
        <v>0</v>
      </c>
      <c r="D55" s="2">
        <v>1522.97</v>
      </c>
      <c r="E55" s="9">
        <f t="shared" si="0"/>
        <v>4.8047903298739786E-3</v>
      </c>
    </row>
    <row r="56" spans="1:5" ht="13.8" x14ac:dyDescent="0.25">
      <c r="A56" s="5">
        <v>39248</v>
      </c>
      <c r="B56" s="2">
        <v>54.72</v>
      </c>
      <c r="C56" s="9">
        <f t="shared" si="0"/>
        <v>9.7328837362721781E-3</v>
      </c>
      <c r="D56" s="2">
        <v>1532.91</v>
      </c>
      <c r="E56" s="9">
        <f t="shared" si="0"/>
        <v>6.5055139969241163E-3</v>
      </c>
    </row>
    <row r="57" spans="1:5" ht="13.8" x14ac:dyDescent="0.25">
      <c r="A57" s="5">
        <v>39251</v>
      </c>
      <c r="B57" s="2">
        <v>54.54</v>
      </c>
      <c r="C57" s="9">
        <f t="shared" si="0"/>
        <v>-3.2948958968525379E-3</v>
      </c>
      <c r="D57" s="2">
        <v>1531.05</v>
      </c>
      <c r="E57" s="9">
        <f t="shared" si="0"/>
        <v>-1.2141152159179064E-3</v>
      </c>
    </row>
    <row r="58" spans="1:5" ht="13.8" x14ac:dyDescent="0.25">
      <c r="A58" s="5">
        <v>39252</v>
      </c>
      <c r="B58" s="2">
        <v>54.68</v>
      </c>
      <c r="C58" s="9">
        <f t="shared" si="0"/>
        <v>2.5636344383064371E-3</v>
      </c>
      <c r="D58" s="2">
        <v>1533.7</v>
      </c>
      <c r="E58" s="9">
        <f t="shared" si="0"/>
        <v>1.7293421391170744E-3</v>
      </c>
    </row>
    <row r="59" spans="1:5" ht="13.8" x14ac:dyDescent="0.25">
      <c r="A59" s="5">
        <v>39253</v>
      </c>
      <c r="B59" s="2">
        <v>54.28</v>
      </c>
      <c r="C59" s="9">
        <f t="shared" si="0"/>
        <v>-7.3421768890803846E-3</v>
      </c>
      <c r="D59" s="2">
        <v>1512.84</v>
      </c>
      <c r="E59" s="9">
        <f t="shared" si="0"/>
        <v>-1.3694437625555845E-2</v>
      </c>
    </row>
    <row r="60" spans="1:5" ht="13.8" x14ac:dyDescent="0.25">
      <c r="A60" s="5">
        <v>39254</v>
      </c>
      <c r="B60" s="2">
        <v>53.8</v>
      </c>
      <c r="C60" s="9">
        <f t="shared" si="0"/>
        <v>-8.8823677989297786E-3</v>
      </c>
      <c r="D60" s="2">
        <v>1522.19</v>
      </c>
      <c r="E60" s="9">
        <f t="shared" si="0"/>
        <v>6.1614083415642467E-3</v>
      </c>
    </row>
    <row r="61" spans="1:5" ht="13.8" x14ac:dyDescent="0.25">
      <c r="A61" s="5">
        <v>39255</v>
      </c>
      <c r="B61" s="2">
        <v>52.86</v>
      </c>
      <c r="C61" s="9">
        <f t="shared" si="0"/>
        <v>-1.7626557991595501E-2</v>
      </c>
      <c r="D61" s="2">
        <v>1502.56</v>
      </c>
      <c r="E61" s="9">
        <f t="shared" si="0"/>
        <v>-1.2979767316439047E-2</v>
      </c>
    </row>
    <row r="62" spans="1:5" ht="13.8" x14ac:dyDescent="0.25">
      <c r="A62" s="5">
        <v>39258</v>
      </c>
      <c r="B62" s="2">
        <v>54.05</v>
      </c>
      <c r="C62" s="9">
        <f t="shared" si="0"/>
        <v>2.2262634909074028E-2</v>
      </c>
      <c r="D62" s="2">
        <v>1497.74</v>
      </c>
      <c r="E62" s="9">
        <f t="shared" si="0"/>
        <v>-3.2130147962474665E-3</v>
      </c>
    </row>
    <row r="63" spans="1:5" ht="13.8" x14ac:dyDescent="0.25">
      <c r="A63" s="5">
        <v>39259</v>
      </c>
      <c r="B63" s="2">
        <v>53.97</v>
      </c>
      <c r="C63" s="9">
        <f t="shared" si="0"/>
        <v>-1.4812074546658015E-3</v>
      </c>
      <c r="D63" s="2">
        <v>1492.89</v>
      </c>
      <c r="E63" s="9">
        <f t="shared" si="0"/>
        <v>-3.243466595241122E-3</v>
      </c>
    </row>
    <row r="64" spans="1:5" ht="13.8" x14ac:dyDescent="0.25">
      <c r="A64" s="5">
        <v>39260</v>
      </c>
      <c r="B64" s="2">
        <v>53.97</v>
      </c>
      <c r="C64" s="9">
        <f t="shared" si="0"/>
        <v>0</v>
      </c>
      <c r="D64" s="2">
        <v>1506.34</v>
      </c>
      <c r="E64" s="9">
        <f t="shared" si="0"/>
        <v>8.9690288264724811E-3</v>
      </c>
    </row>
    <row r="65" spans="1:5" ht="13.8" x14ac:dyDescent="0.25">
      <c r="A65" s="5">
        <v>39261</v>
      </c>
      <c r="B65" s="2">
        <v>53.72</v>
      </c>
      <c r="C65" s="9">
        <f t="shared" si="0"/>
        <v>-4.6429649755145852E-3</v>
      </c>
      <c r="D65" s="2">
        <v>1505.71</v>
      </c>
      <c r="E65" s="9">
        <f t="shared" si="0"/>
        <v>-4.1831975510828911E-4</v>
      </c>
    </row>
    <row r="66" spans="1:5" ht="13.8" x14ac:dyDescent="0.25">
      <c r="A66" s="5">
        <v>39262</v>
      </c>
      <c r="B66" s="2">
        <v>53.55</v>
      </c>
      <c r="C66" s="9">
        <f t="shared" si="0"/>
        <v>-3.1695747612790672E-3</v>
      </c>
      <c r="D66" s="2">
        <v>1503.35</v>
      </c>
      <c r="E66" s="9">
        <f t="shared" si="0"/>
        <v>-1.568596494518186E-3</v>
      </c>
    </row>
  </sheetData>
  <mergeCells count="1">
    <mergeCell ref="A1:C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Exercise 6 data</vt:lpstr>
      <vt:lpstr>Exercise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2024-11-26T07:38:28Z</dcterms:modified>
</cp:coreProperties>
</file>