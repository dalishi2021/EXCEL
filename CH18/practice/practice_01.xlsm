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8\practice\"/>
    </mc:Choice>
  </mc:AlternateContent>
  <xr:revisionPtr revIDLastSave="0" documentId="13_ncr:1_{89BB3D2A-7FAA-447A-B3E9-AB4A3B74F3B0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0" i="1" l="1"/>
  <c r="B20" i="1"/>
  <c r="B19" i="1"/>
  <c r="B18" i="1"/>
  <c r="B17" i="1"/>
  <c r="B16" i="1"/>
  <c r="B15" i="1"/>
  <c r="B14" i="1"/>
  <c r="B13" i="1"/>
  <c r="B12" i="1"/>
  <c r="B11" i="1"/>
  <c r="B10" i="1"/>
  <c r="B9" i="1"/>
  <c r="C8" i="1"/>
  <c r="B5" i="1"/>
  <c r="D9" i="1"/>
  <c r="A23" i="1"/>
  <c r="C5" i="1"/>
  <c r="C9" i="1" l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</calcChain>
</file>

<file path=xl/sharedStrings.xml><?xml version="1.0" encoding="utf-8"?>
<sst xmlns="http://schemas.openxmlformats.org/spreadsheetml/2006/main" count="8" uniqueCount="8">
  <si>
    <t>SIMULATING A LOGNORMAL PRICE PROCESS</t>
  </si>
  <si>
    <t>Initial stock price</t>
  </si>
  <si>
    <t>Mean return, m</t>
  </si>
  <si>
    <t>Return sigma, s</t>
  </si>
  <si>
    <t>Delta t</t>
  </si>
  <si>
    <t>Month</t>
  </si>
  <si>
    <t>Random
number</t>
  </si>
  <si>
    <t>Stock
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</si>
</sst>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0" borderId="0" xfId="0" applyAlignment="1"/>
    <xf numFmtId="9" fontId="0" fillId="0" borderId="0" xfId="0" applyNumberFormat="1" applyAlignment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176" fontId="0" fillId="0" borderId="0" xfId="0" applyNumberFormat="1" applyAlignment="1"/>
    <xf numFmtId="0" fontId="0" fillId="2" borderId="0" xfId="0" applyFill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4224598930483"/>
          <c:y val="0.10416701988057414"/>
          <c:w val="0.79946524064171121"/>
          <c:h val="0.71528020317994234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'[1]Exercise 1'!$A$8:$A$20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'[1]Exercise 1'!$C$8:$C$20</c:f>
              <c:numCache>
                <c:formatCode>0.0000</c:formatCode>
                <c:ptCount val="13"/>
                <c:pt idx="0" formatCode="General">
                  <c:v>12</c:v>
                </c:pt>
                <c:pt idx="1">
                  <c:v>12.011618002015831</c:v>
                </c:pt>
                <c:pt idx="2">
                  <c:v>13.18692007221537</c:v>
                </c:pt>
                <c:pt idx="3">
                  <c:v>15.030071317127241</c:v>
                </c:pt>
                <c:pt idx="4">
                  <c:v>14.984344608229545</c:v>
                </c:pt>
                <c:pt idx="5">
                  <c:v>14.270513826553149</c:v>
                </c:pt>
                <c:pt idx="6">
                  <c:v>15.316289286640767</c:v>
                </c:pt>
                <c:pt idx="7">
                  <c:v>14.353176030956604</c:v>
                </c:pt>
                <c:pt idx="8">
                  <c:v>14.030735197005146</c:v>
                </c:pt>
                <c:pt idx="9">
                  <c:v>14.886393491697051</c:v>
                </c:pt>
                <c:pt idx="10">
                  <c:v>15.290456182751974</c:v>
                </c:pt>
                <c:pt idx="11">
                  <c:v>13.99524381188373</c:v>
                </c:pt>
                <c:pt idx="12">
                  <c:v>15.011352400343906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54-4810-BB5E-4B9C15D99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932344"/>
        <c:axId val="1"/>
      </c:scatterChart>
      <c:valAx>
        <c:axId val="343932344"/>
        <c:scaling>
          <c:orientation val="minMax"/>
          <c:max val="1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1"/>
      </c:valAx>
      <c:valAx>
        <c:axId val="1"/>
        <c:scaling>
          <c:orientation val="minMax"/>
          <c:min val="8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34393234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83820</xdr:colOff>
      <xdr:row>9</xdr:row>
      <xdr:rowOff>0</xdr:rowOff>
    </xdr:from>
    <xdr:to>
      <xdr:col>5</xdr:col>
      <xdr:colOff>0</xdr:colOff>
      <xdr:row>25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699C472-33E0-47D2-BBCA-CCFC76CC89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335280</xdr:colOff>
      <xdr:row>3</xdr:row>
      <xdr:rowOff>121920</xdr:rowOff>
    </xdr:from>
    <xdr:to>
      <xdr:col>17</xdr:col>
      <xdr:colOff>472440</xdr:colOff>
      <xdr:row>30</xdr:row>
      <xdr:rowOff>91440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608C1A20-9184-FB6B-1CD4-437FB260B6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7772400" y="693420"/>
          <a:ext cx="6225540" cy="48539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8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8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中文"/>
      <sheetName val="Exercise 2"/>
      <sheetName val="Exercise 2 中文"/>
      <sheetName val="Exercise 3"/>
      <sheetName val="Exercise 3 中文"/>
      <sheetName val="Exercise 4"/>
      <sheetName val="Exercise 4 中文"/>
      <sheetName val="Exercise 5"/>
      <sheetName val="Exercise 5 中文"/>
      <sheetName val="Exercise 6 data"/>
      <sheetName val="Exercise 6 data 中文"/>
      <sheetName val="Exercise 6"/>
      <sheetName val="Exercise 6 中文"/>
    </sheetNames>
    <sheetDataSet>
      <sheetData sheetId="0">
        <row r="8">
          <cell r="A8">
            <v>0</v>
          </cell>
          <cell r="C8">
            <v>12</v>
          </cell>
        </row>
        <row r="9">
          <cell r="A9">
            <v>1</v>
          </cell>
          <cell r="C9">
            <v>12.011618002015831</v>
          </cell>
        </row>
        <row r="10">
          <cell r="A10">
            <v>2</v>
          </cell>
          <cell r="C10">
            <v>13.18692007221537</v>
          </cell>
        </row>
        <row r="11">
          <cell r="A11">
            <v>3</v>
          </cell>
          <cell r="C11">
            <v>15.030071317127241</v>
          </cell>
        </row>
        <row r="12">
          <cell r="A12">
            <v>4</v>
          </cell>
          <cell r="C12">
            <v>14.984344608229545</v>
          </cell>
        </row>
        <row r="13">
          <cell r="A13">
            <v>5</v>
          </cell>
          <cell r="C13">
            <v>14.270513826553149</v>
          </cell>
        </row>
        <row r="14">
          <cell r="A14">
            <v>6</v>
          </cell>
          <cell r="C14">
            <v>15.316289286640767</v>
          </cell>
        </row>
        <row r="15">
          <cell r="A15">
            <v>7</v>
          </cell>
          <cell r="C15">
            <v>14.353176030956604</v>
          </cell>
        </row>
        <row r="16">
          <cell r="A16">
            <v>8</v>
          </cell>
          <cell r="C16">
            <v>14.030735197005146</v>
          </cell>
        </row>
        <row r="17">
          <cell r="A17">
            <v>9</v>
          </cell>
          <cell r="C17">
            <v>14.886393491697051</v>
          </cell>
        </row>
        <row r="18">
          <cell r="A18">
            <v>10</v>
          </cell>
          <cell r="C18">
            <v>15.290456182751974</v>
          </cell>
        </row>
        <row r="19">
          <cell r="A19">
            <v>11</v>
          </cell>
          <cell r="C19">
            <v>13.99524381188373</v>
          </cell>
        </row>
        <row r="20">
          <cell r="A20">
            <v>12</v>
          </cell>
          <cell r="C20">
            <v>15.011352400343906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E30"/>
  <sheetViews>
    <sheetView tabSelected="1" zoomScale="130" zoomScaleNormal="130" workbookViewId="0">
      <selection activeCell="H39" sqref="H39"/>
    </sheetView>
  </sheetViews>
  <sheetFormatPr defaultRowHeight="13.8" x14ac:dyDescent="0.25"/>
  <cols>
    <col min="1" max="1" width="19.6640625" style="2" customWidth="1"/>
    <col min="2" max="3" width="8.88671875" style="2"/>
    <col min="4" max="4" width="44.33203125" style="2" bestFit="1" customWidth="1"/>
    <col min="5" max="5" width="8.88671875" style="2"/>
  </cols>
  <sheetData>
    <row r="1" spans="1:4" ht="17.399999999999999" x14ac:dyDescent="0.3">
      <c r="A1" s="1" t="s">
        <v>0</v>
      </c>
      <c r="B1" s="1"/>
      <c r="C1" s="1"/>
      <c r="D1" s="1"/>
    </row>
    <row r="2" spans="1:4" x14ac:dyDescent="0.25">
      <c r="A2" s="2" t="s">
        <v>1</v>
      </c>
      <c r="B2" s="2">
        <v>12</v>
      </c>
    </row>
    <row r="3" spans="1:4" x14ac:dyDescent="0.25">
      <c r="A3" s="2" t="s">
        <v>2</v>
      </c>
      <c r="B3" s="3">
        <v>0.12</v>
      </c>
    </row>
    <row r="4" spans="1:4" x14ac:dyDescent="0.25">
      <c r="A4" s="2" t="s">
        <v>3</v>
      </c>
      <c r="B4" s="3">
        <v>0.35</v>
      </c>
    </row>
    <row r="5" spans="1:4" x14ac:dyDescent="0.25">
      <c r="A5" s="2" t="s">
        <v>4</v>
      </c>
      <c r="B5" s="3">
        <f>1/12</f>
        <v>8.3333333333333329E-2</v>
      </c>
      <c r="C5" s="2" t="str">
        <f ca="1">[2]!getformula(B5)</f>
        <v>&lt;--  =1/12</v>
      </c>
    </row>
    <row r="7" spans="1:4" ht="26.4" x14ac:dyDescent="0.25">
      <c r="A7" s="4" t="s">
        <v>5</v>
      </c>
      <c r="B7" s="4" t="s">
        <v>6</v>
      </c>
      <c r="C7" s="4" t="s">
        <v>7</v>
      </c>
    </row>
    <row r="8" spans="1:4" x14ac:dyDescent="0.25">
      <c r="A8" s="5">
        <v>0</v>
      </c>
      <c r="C8" s="2">
        <f>B2</f>
        <v>12</v>
      </c>
    </row>
    <row r="9" spans="1:4" x14ac:dyDescent="0.25">
      <c r="A9" s="5">
        <v>1</v>
      </c>
      <c r="B9" s="6">
        <f t="shared" ref="B9:B20" ca="1" si="0">NORMSINV(RAND())</f>
        <v>0.6414691849231583</v>
      </c>
      <c r="C9" s="6">
        <f ca="1">C8*EXP($B$3*$B$5+$B$4*SQRT($B$5)*B9)</f>
        <v>12.932174079838227</v>
      </c>
      <c r="D9" s="2" t="str">
        <f ca="1">[2]!getformula(C9)</f>
        <v>&lt;--  =C8*EXP($B$3*$B$5+$B$4*SQRT($B$5)*B9)</v>
      </c>
    </row>
    <row r="10" spans="1:4" x14ac:dyDescent="0.25">
      <c r="A10" s="5">
        <v>2</v>
      </c>
      <c r="B10" s="6">
        <f t="shared" ca="1" si="0"/>
        <v>0.17383305580784331</v>
      </c>
      <c r="C10" s="6">
        <f t="shared" ref="C10:C20" ca="1" si="1">C9*EXP($B$3*$B$5+$B$4*SQRT($B$5)*B10)</f>
        <v>13.29358740844895</v>
      </c>
    </row>
    <row r="11" spans="1:4" x14ac:dyDescent="0.25">
      <c r="A11" s="5">
        <v>3</v>
      </c>
      <c r="B11" s="6">
        <f t="shared" ca="1" si="0"/>
        <v>-0.99268052886331049</v>
      </c>
      <c r="C11" s="6">
        <f t="shared" ca="1" si="1"/>
        <v>12.145819109661369</v>
      </c>
    </row>
    <row r="12" spans="1:4" x14ac:dyDescent="0.25">
      <c r="A12" s="5">
        <v>4</v>
      </c>
      <c r="B12" s="6">
        <f t="shared" ca="1" si="0"/>
        <v>-0.30277630430624319</v>
      </c>
      <c r="C12" s="6">
        <f t="shared" ca="1" si="1"/>
        <v>11.898277095306078</v>
      </c>
    </row>
    <row r="13" spans="1:4" x14ac:dyDescent="0.25">
      <c r="A13" s="5">
        <v>5</v>
      </c>
      <c r="B13" s="6">
        <f t="shared" ca="1" si="0"/>
        <v>-0.96648415914029129</v>
      </c>
      <c r="C13" s="6">
        <f t="shared" ca="1" si="1"/>
        <v>10.899791134459006</v>
      </c>
    </row>
    <row r="14" spans="1:4" x14ac:dyDescent="0.25">
      <c r="A14" s="5">
        <v>6</v>
      </c>
      <c r="B14" s="6">
        <f t="shared" ca="1" si="0"/>
        <v>1.1535646161899913</v>
      </c>
      <c r="C14" s="6">
        <f t="shared" ca="1" si="1"/>
        <v>12.3702639534522</v>
      </c>
    </row>
    <row r="15" spans="1:4" x14ac:dyDescent="0.25">
      <c r="A15" s="5">
        <v>7</v>
      </c>
      <c r="B15" s="6">
        <f t="shared" ca="1" si="0"/>
        <v>-1.4224713003125067</v>
      </c>
      <c r="C15" s="6">
        <f t="shared" ca="1" si="1"/>
        <v>10.821926326491809</v>
      </c>
    </row>
    <row r="16" spans="1:4" x14ac:dyDescent="0.25">
      <c r="A16" s="5">
        <v>8</v>
      </c>
      <c r="B16" s="6">
        <f t="shared" ca="1" si="0"/>
        <v>1.5466590370148046</v>
      </c>
      <c r="C16" s="6">
        <f t="shared" ca="1" si="1"/>
        <v>12.779508547947248</v>
      </c>
    </row>
    <row r="17" spans="1:3" x14ac:dyDescent="0.25">
      <c r="A17" s="5">
        <v>9</v>
      </c>
      <c r="B17" s="6">
        <f t="shared" ca="1" si="0"/>
        <v>-0.19084273814040709</v>
      </c>
      <c r="C17" s="6">
        <f t="shared" ca="1" si="1"/>
        <v>12.661437410958474</v>
      </c>
    </row>
    <row r="18" spans="1:3" x14ac:dyDescent="0.25">
      <c r="A18" s="5">
        <v>10</v>
      </c>
      <c r="B18" s="6">
        <f t="shared" ca="1" si="0"/>
        <v>-1.8025729615049855</v>
      </c>
      <c r="C18" s="6">
        <f t="shared" ca="1" si="1"/>
        <v>10.659330933365133</v>
      </c>
    </row>
    <row r="19" spans="1:3" x14ac:dyDescent="0.25">
      <c r="A19" s="5">
        <v>11</v>
      </c>
      <c r="B19" s="6">
        <f t="shared" ca="1" si="0"/>
        <v>-0.494797986367498</v>
      </c>
      <c r="C19" s="6">
        <f t="shared" ca="1" si="1"/>
        <v>10.241448822589907</v>
      </c>
    </row>
    <row r="20" spans="1:3" x14ac:dyDescent="0.25">
      <c r="A20" s="5">
        <v>12</v>
      </c>
      <c r="B20" s="6">
        <f t="shared" ca="1" si="0"/>
        <v>0.59505769969679012</v>
      </c>
      <c r="C20" s="6">
        <f t="shared" ca="1" si="1"/>
        <v>10.985382470201735</v>
      </c>
    </row>
    <row r="23" spans="1:3" x14ac:dyDescent="0.25">
      <c r="A23" s="7" t="str">
        <f ca="1">"Cell "&amp;CHAR(COLUMN(B20)+64)&amp;ROW(B20)&amp;" contains formula"&amp;CHAR(10)&amp;[2]!ggetformula(B20)</f>
        <v>Cell B20 contains formula
=NORMSINV(RAND())</v>
      </c>
      <c r="B23" s="7"/>
      <c r="C23" s="7"/>
    </row>
    <row r="24" spans="1:3" x14ac:dyDescent="0.25">
      <c r="A24" s="7"/>
      <c r="B24" s="7"/>
      <c r="C24" s="7"/>
    </row>
    <row r="25" spans="1:3" x14ac:dyDescent="0.25">
      <c r="A25" s="7"/>
      <c r="B25" s="7"/>
      <c r="C25" s="7"/>
    </row>
    <row r="30" spans="1:3" x14ac:dyDescent="0.25">
      <c r="B30" s="2" t="str">
        <f>CHAR(2+64)</f>
        <v>B</v>
      </c>
    </row>
  </sheetData>
  <mergeCells count="2">
    <mergeCell ref="A1:D1"/>
    <mergeCell ref="A23:C25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2024-11-26T03:35:56Z</dcterms:modified>
</cp:coreProperties>
</file>