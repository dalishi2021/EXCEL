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8\"/>
    </mc:Choice>
  </mc:AlternateContent>
  <xr:revisionPtr revIDLastSave="0" documentId="13_ncr:1_{242758C6-DF98-4AA2-A9B9-4DCB7BF0E1C2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Chart1" sheetId="3" r:id="rId2"/>
    <sheet name="Data" sheetId="2" r:id="rId3"/>
  </sheets>
  <externalReferences>
    <externalReference r:id="rId4"/>
  </externalReferences>
  <definedNames>
    <definedName name="benny">#REF!</definedName>
    <definedName name="Counter">#REF!</definedName>
    <definedName name="delta">'[1]Page 497'!#REF!</definedName>
    <definedName name="initial_price">#REF!</definedName>
    <definedName name="sbenny">#REF!</definedName>
  </definedNames>
  <calcPr calcId="191029" iterate="1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57" i="2" l="1"/>
  <c r="I257" i="2"/>
  <c r="J256" i="2"/>
  <c r="I256" i="2"/>
  <c r="J255" i="2"/>
  <c r="I255" i="2"/>
  <c r="J254" i="2"/>
  <c r="I254" i="2"/>
  <c r="J253" i="2"/>
  <c r="I253" i="2"/>
  <c r="J252" i="2"/>
  <c r="I252" i="2"/>
  <c r="J251" i="2"/>
  <c r="I251" i="2"/>
  <c r="J250" i="2"/>
  <c r="I250" i="2"/>
  <c r="J249" i="2"/>
  <c r="I249" i="2"/>
  <c r="J248" i="2"/>
  <c r="I248" i="2"/>
  <c r="J247" i="2"/>
  <c r="I247" i="2"/>
  <c r="J246" i="2"/>
  <c r="I246" i="2"/>
  <c r="J245" i="2"/>
  <c r="I245" i="2"/>
  <c r="J244" i="2"/>
  <c r="I244" i="2"/>
  <c r="J243" i="2"/>
  <c r="I243" i="2"/>
  <c r="J242" i="2"/>
  <c r="I242" i="2"/>
  <c r="J241" i="2"/>
  <c r="I241" i="2"/>
  <c r="J240" i="2"/>
  <c r="I240" i="2"/>
  <c r="J239" i="2"/>
  <c r="I239" i="2"/>
  <c r="J238" i="2"/>
  <c r="I238" i="2"/>
  <c r="J237" i="2"/>
  <c r="I237" i="2"/>
  <c r="J236" i="2"/>
  <c r="I236" i="2"/>
  <c r="J235" i="2"/>
  <c r="I235" i="2"/>
  <c r="J234" i="2"/>
  <c r="I234" i="2"/>
  <c r="J233" i="2"/>
  <c r="I233" i="2"/>
  <c r="J232" i="2"/>
  <c r="I232" i="2"/>
  <c r="J231" i="2"/>
  <c r="I231" i="2"/>
  <c r="J230" i="2"/>
  <c r="I230" i="2"/>
  <c r="J229" i="2"/>
  <c r="I229" i="2"/>
  <c r="J228" i="2"/>
  <c r="I228" i="2"/>
  <c r="J227" i="2"/>
  <c r="I227" i="2"/>
  <c r="J226" i="2"/>
  <c r="I226" i="2"/>
  <c r="J225" i="2"/>
  <c r="I225" i="2"/>
  <c r="J224" i="2"/>
  <c r="I224" i="2"/>
  <c r="J223" i="2"/>
  <c r="I223" i="2"/>
  <c r="J222" i="2"/>
  <c r="I222" i="2"/>
  <c r="J221" i="2"/>
  <c r="I221" i="2"/>
  <c r="J220" i="2"/>
  <c r="I220" i="2"/>
  <c r="J219" i="2"/>
  <c r="I219" i="2"/>
  <c r="J218" i="2"/>
  <c r="I218" i="2"/>
  <c r="J217" i="2"/>
  <c r="I217" i="2"/>
  <c r="J216" i="2"/>
  <c r="I216" i="2"/>
  <c r="J215" i="2"/>
  <c r="I215" i="2"/>
  <c r="J214" i="2"/>
  <c r="I214" i="2"/>
  <c r="J213" i="2"/>
  <c r="I213" i="2"/>
  <c r="J212" i="2"/>
  <c r="I212" i="2"/>
  <c r="J211" i="2"/>
  <c r="I211" i="2"/>
  <c r="J210" i="2"/>
  <c r="I210" i="2"/>
  <c r="J209" i="2"/>
  <c r="I209" i="2"/>
  <c r="J208" i="2"/>
  <c r="I208" i="2"/>
  <c r="J207" i="2"/>
  <c r="I207" i="2"/>
  <c r="J206" i="2"/>
  <c r="I206" i="2"/>
  <c r="J205" i="2"/>
  <c r="I205" i="2"/>
  <c r="J204" i="2"/>
  <c r="I204" i="2"/>
  <c r="J203" i="2"/>
  <c r="I203" i="2"/>
  <c r="J202" i="2"/>
  <c r="I202" i="2"/>
  <c r="J201" i="2"/>
  <c r="I201" i="2"/>
  <c r="J200" i="2"/>
  <c r="I200" i="2"/>
  <c r="J199" i="2"/>
  <c r="I199" i="2"/>
  <c r="J198" i="2"/>
  <c r="I198" i="2"/>
  <c r="J197" i="2"/>
  <c r="I197" i="2"/>
  <c r="J196" i="2"/>
  <c r="I196" i="2"/>
  <c r="J195" i="2"/>
  <c r="I195" i="2"/>
  <c r="J194" i="2"/>
  <c r="I194" i="2"/>
  <c r="J193" i="2"/>
  <c r="I193" i="2"/>
  <c r="J192" i="2"/>
  <c r="I192" i="2"/>
  <c r="J191" i="2"/>
  <c r="I191" i="2"/>
  <c r="J190" i="2"/>
  <c r="I190" i="2"/>
  <c r="J189" i="2"/>
  <c r="I189" i="2"/>
  <c r="J188" i="2"/>
  <c r="I188" i="2"/>
  <c r="J187" i="2"/>
  <c r="I187" i="2"/>
  <c r="J186" i="2"/>
  <c r="I186" i="2"/>
  <c r="J185" i="2"/>
  <c r="I185" i="2"/>
  <c r="J184" i="2"/>
  <c r="I184" i="2"/>
  <c r="J183" i="2"/>
  <c r="I183" i="2"/>
  <c r="J182" i="2"/>
  <c r="I182" i="2"/>
  <c r="J181" i="2"/>
  <c r="I181" i="2"/>
  <c r="J180" i="2"/>
  <c r="I180" i="2"/>
  <c r="J179" i="2"/>
  <c r="I179" i="2"/>
  <c r="J178" i="2"/>
  <c r="I178" i="2"/>
  <c r="J177" i="2"/>
  <c r="I177" i="2"/>
  <c r="J176" i="2"/>
  <c r="I176" i="2"/>
  <c r="J175" i="2"/>
  <c r="I175" i="2"/>
  <c r="J174" i="2"/>
  <c r="I174" i="2"/>
  <c r="J173" i="2"/>
  <c r="I173" i="2"/>
  <c r="J172" i="2"/>
  <c r="I172" i="2"/>
  <c r="J171" i="2"/>
  <c r="I171" i="2"/>
  <c r="J170" i="2"/>
  <c r="I170" i="2"/>
  <c r="J169" i="2"/>
  <c r="I169" i="2"/>
  <c r="J168" i="2"/>
  <c r="I168" i="2"/>
  <c r="J167" i="2"/>
  <c r="I167" i="2"/>
  <c r="J166" i="2"/>
  <c r="I166" i="2"/>
  <c r="J165" i="2"/>
  <c r="I165" i="2"/>
  <c r="J164" i="2"/>
  <c r="I164" i="2"/>
  <c r="J163" i="2"/>
  <c r="I163" i="2"/>
  <c r="J162" i="2"/>
  <c r="I162" i="2"/>
  <c r="J161" i="2"/>
  <c r="I161" i="2"/>
  <c r="J160" i="2"/>
  <c r="I160" i="2"/>
  <c r="J159" i="2"/>
  <c r="I159" i="2"/>
  <c r="J158" i="2"/>
  <c r="I158" i="2"/>
  <c r="J157" i="2"/>
  <c r="I157" i="2"/>
  <c r="J156" i="2"/>
  <c r="I156" i="2"/>
  <c r="J155" i="2"/>
  <c r="I155" i="2"/>
  <c r="J154" i="2"/>
  <c r="I154" i="2"/>
  <c r="J153" i="2"/>
  <c r="I153" i="2"/>
  <c r="J152" i="2"/>
  <c r="I152" i="2"/>
  <c r="J151" i="2"/>
  <c r="I151" i="2"/>
  <c r="J150" i="2"/>
  <c r="I150" i="2"/>
  <c r="J149" i="2"/>
  <c r="I149" i="2"/>
  <c r="J148" i="2"/>
  <c r="I148" i="2"/>
  <c r="J147" i="2"/>
  <c r="I147" i="2"/>
  <c r="J146" i="2"/>
  <c r="I146" i="2"/>
  <c r="J145" i="2"/>
  <c r="I145" i="2"/>
  <c r="J144" i="2"/>
  <c r="I144" i="2"/>
  <c r="J143" i="2"/>
  <c r="I143" i="2"/>
  <c r="J142" i="2"/>
  <c r="I142" i="2"/>
  <c r="J141" i="2"/>
  <c r="I141" i="2"/>
  <c r="J140" i="2"/>
  <c r="I140" i="2"/>
  <c r="J139" i="2"/>
  <c r="I139" i="2"/>
  <c r="J138" i="2"/>
  <c r="I138" i="2"/>
  <c r="J137" i="2"/>
  <c r="I137" i="2"/>
  <c r="J136" i="2"/>
  <c r="I136" i="2"/>
  <c r="J135" i="2"/>
  <c r="I135" i="2"/>
  <c r="J134" i="2"/>
  <c r="I134" i="2"/>
  <c r="J133" i="2"/>
  <c r="I133" i="2"/>
  <c r="J132" i="2"/>
  <c r="I132" i="2"/>
  <c r="J131" i="2"/>
  <c r="I131" i="2"/>
  <c r="J130" i="2"/>
  <c r="I130" i="2"/>
  <c r="J129" i="2"/>
  <c r="I129" i="2"/>
  <c r="J128" i="2"/>
  <c r="I128" i="2"/>
  <c r="J127" i="2"/>
  <c r="I127" i="2"/>
  <c r="J126" i="2"/>
  <c r="I126" i="2"/>
  <c r="J125" i="2"/>
  <c r="I125" i="2"/>
  <c r="J124" i="2"/>
  <c r="I124" i="2"/>
  <c r="J123" i="2"/>
  <c r="I123" i="2"/>
  <c r="J122" i="2"/>
  <c r="I122" i="2"/>
  <c r="J121" i="2"/>
  <c r="I121" i="2"/>
  <c r="J120" i="2"/>
  <c r="I120" i="2"/>
  <c r="J119" i="2"/>
  <c r="I119" i="2"/>
  <c r="J118" i="2"/>
  <c r="I118" i="2"/>
  <c r="J117" i="2"/>
  <c r="I117" i="2"/>
  <c r="J116" i="2"/>
  <c r="I116" i="2"/>
  <c r="J115" i="2"/>
  <c r="I115" i="2"/>
  <c r="J114" i="2"/>
  <c r="I114" i="2"/>
  <c r="J113" i="2"/>
  <c r="I113" i="2"/>
  <c r="J112" i="2"/>
  <c r="I112" i="2"/>
  <c r="J111" i="2"/>
  <c r="I111" i="2"/>
  <c r="J110" i="2"/>
  <c r="I110" i="2"/>
  <c r="J109" i="2"/>
  <c r="I109" i="2"/>
  <c r="J108" i="2"/>
  <c r="I108" i="2"/>
  <c r="J107" i="2"/>
  <c r="I107" i="2"/>
  <c r="J106" i="2"/>
  <c r="I106" i="2"/>
  <c r="J105" i="2"/>
  <c r="I105" i="2"/>
  <c r="J104" i="2"/>
  <c r="I104" i="2"/>
  <c r="J103" i="2"/>
  <c r="I103" i="2"/>
  <c r="J102" i="2"/>
  <c r="I102" i="2"/>
  <c r="J101" i="2"/>
  <c r="I101" i="2"/>
  <c r="J100" i="2"/>
  <c r="I100" i="2"/>
  <c r="J99" i="2"/>
  <c r="I99" i="2"/>
  <c r="J98" i="2"/>
  <c r="I98" i="2"/>
  <c r="J97" i="2"/>
  <c r="I97" i="2"/>
  <c r="J96" i="2"/>
  <c r="I96" i="2"/>
  <c r="J95" i="2"/>
  <c r="I95" i="2"/>
  <c r="J94" i="2"/>
  <c r="I94" i="2"/>
  <c r="J93" i="2"/>
  <c r="I93" i="2"/>
  <c r="J92" i="2"/>
  <c r="I92" i="2"/>
  <c r="J91" i="2"/>
  <c r="I91" i="2"/>
  <c r="J90" i="2"/>
  <c r="I90" i="2"/>
  <c r="J89" i="2"/>
  <c r="I89" i="2"/>
  <c r="J88" i="2"/>
  <c r="I88" i="2"/>
  <c r="J87" i="2"/>
  <c r="I87" i="2"/>
  <c r="J86" i="2"/>
  <c r="I86" i="2"/>
  <c r="J85" i="2"/>
  <c r="I85" i="2"/>
  <c r="J84" i="2"/>
  <c r="I84" i="2"/>
  <c r="J83" i="2"/>
  <c r="I83" i="2"/>
  <c r="J82" i="2"/>
  <c r="I82" i="2"/>
  <c r="J81" i="2"/>
  <c r="I81" i="2"/>
  <c r="J80" i="2"/>
  <c r="I80" i="2"/>
  <c r="J79" i="2"/>
  <c r="I79" i="2"/>
  <c r="J78" i="2"/>
  <c r="I78" i="2"/>
  <c r="J77" i="2"/>
  <c r="I77" i="2"/>
  <c r="J76" i="2"/>
  <c r="I76" i="2"/>
  <c r="J75" i="2"/>
  <c r="I75" i="2"/>
  <c r="J74" i="2"/>
  <c r="I74" i="2"/>
  <c r="J73" i="2"/>
  <c r="I73" i="2"/>
  <c r="J72" i="2"/>
  <c r="I72" i="2"/>
  <c r="J71" i="2"/>
  <c r="I71" i="2"/>
  <c r="J70" i="2"/>
  <c r="I70" i="2"/>
  <c r="J69" i="2"/>
  <c r="I69" i="2"/>
  <c r="J68" i="2"/>
  <c r="I68" i="2"/>
  <c r="J67" i="2"/>
  <c r="I67" i="2"/>
  <c r="J66" i="2"/>
  <c r="I66" i="2"/>
  <c r="J65" i="2"/>
  <c r="I65" i="2"/>
  <c r="J64" i="2"/>
  <c r="I64" i="2"/>
  <c r="J63" i="2"/>
  <c r="I63" i="2"/>
  <c r="J62" i="2"/>
  <c r="I62" i="2"/>
  <c r="J61" i="2"/>
  <c r="I61" i="2"/>
  <c r="J60" i="2"/>
  <c r="I60" i="2"/>
  <c r="J59" i="2"/>
  <c r="I59" i="2"/>
  <c r="J58" i="2"/>
  <c r="I58" i="2"/>
  <c r="J57" i="2"/>
  <c r="I57" i="2"/>
  <c r="J56" i="2"/>
  <c r="I56" i="2"/>
  <c r="J55" i="2"/>
  <c r="I55" i="2"/>
  <c r="J54" i="2"/>
  <c r="I54" i="2"/>
  <c r="J53" i="2"/>
  <c r="I53" i="2"/>
  <c r="J52" i="2"/>
  <c r="I52" i="2"/>
  <c r="J51" i="2"/>
  <c r="I51" i="2"/>
  <c r="J50" i="2"/>
  <c r="I50" i="2"/>
  <c r="J49" i="2"/>
  <c r="I49" i="2"/>
  <c r="J48" i="2"/>
  <c r="I48" i="2"/>
  <c r="J47" i="2"/>
  <c r="I47" i="2"/>
  <c r="J46" i="2"/>
  <c r="I46" i="2"/>
  <c r="J45" i="2"/>
  <c r="I45" i="2"/>
  <c r="J44" i="2"/>
  <c r="I44" i="2"/>
  <c r="J43" i="2"/>
  <c r="I43" i="2"/>
  <c r="J42" i="2"/>
  <c r="I42" i="2"/>
  <c r="J41" i="2"/>
  <c r="I41" i="2"/>
  <c r="J40" i="2"/>
  <c r="I40" i="2"/>
  <c r="J39" i="2"/>
  <c r="I39" i="2"/>
  <c r="J38" i="2"/>
  <c r="I38" i="2"/>
  <c r="J37" i="2"/>
  <c r="I37" i="2"/>
  <c r="J36" i="2"/>
  <c r="I36" i="2"/>
  <c r="J35" i="2"/>
  <c r="I35" i="2"/>
  <c r="J34" i="2"/>
  <c r="I34" i="2"/>
  <c r="J33" i="2"/>
  <c r="I33" i="2"/>
  <c r="J32" i="2"/>
  <c r="I32" i="2"/>
  <c r="J31" i="2"/>
  <c r="I31" i="2"/>
  <c r="J30" i="2"/>
  <c r="I30" i="2"/>
  <c r="J29" i="2"/>
  <c r="I29" i="2"/>
  <c r="J28" i="2"/>
  <c r="I28" i="2"/>
  <c r="J27" i="2"/>
  <c r="I27" i="2"/>
  <c r="J26" i="2"/>
  <c r="I26" i="2"/>
  <c r="J25" i="2"/>
  <c r="I25" i="2"/>
  <c r="J24" i="2"/>
  <c r="I24" i="2"/>
  <c r="J23" i="2"/>
  <c r="I23" i="2"/>
  <c r="J22" i="2"/>
  <c r="I22" i="2"/>
  <c r="J21" i="2"/>
  <c r="I21" i="2"/>
  <c r="J20" i="2"/>
  <c r="I20" i="2"/>
  <c r="J19" i="2"/>
  <c r="I19" i="2"/>
  <c r="J18" i="2"/>
  <c r="I18" i="2"/>
  <c r="J17" i="2"/>
  <c r="I17" i="2"/>
  <c r="J16" i="2"/>
  <c r="I16" i="2"/>
  <c r="J15" i="2"/>
  <c r="I15" i="2"/>
  <c r="M2" i="2" s="1"/>
  <c r="L8" i="2" s="1"/>
  <c r="J14" i="2"/>
  <c r="I14" i="2"/>
  <c r="J13" i="2"/>
  <c r="I13" i="2"/>
  <c r="J12" i="2"/>
  <c r="I12" i="2"/>
  <c r="J11" i="2"/>
  <c r="I11" i="2"/>
  <c r="J10" i="2"/>
  <c r="I10" i="2"/>
  <c r="J9" i="2"/>
  <c r="I9" i="2"/>
  <c r="J8" i="2"/>
  <c r="I8" i="2"/>
  <c r="J7" i="2"/>
  <c r="I7" i="2"/>
  <c r="J6" i="2"/>
  <c r="I6" i="2"/>
  <c r="M3" i="2" l="1"/>
  <c r="M5" i="2" s="1"/>
  <c r="L9" i="2" s="1"/>
  <c r="L10" i="2" l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M8" i="2" a="1"/>
  <c r="M22" i="2" l="1"/>
  <c r="M21" i="2"/>
  <c r="M20" i="2"/>
  <c r="M19" i="2"/>
  <c r="M18" i="2"/>
  <c r="M17" i="2"/>
  <c r="M30" i="2"/>
  <c r="M25" i="2"/>
  <c r="M16" i="2"/>
  <c r="M31" i="2"/>
  <c r="M27" i="2"/>
  <c r="M23" i="2"/>
  <c r="M15" i="2"/>
  <c r="M10" i="2"/>
  <c r="M36" i="2"/>
  <c r="M35" i="2"/>
  <c r="M14" i="2"/>
  <c r="M28" i="2"/>
  <c r="M13" i="2"/>
  <c r="M12" i="2"/>
  <c r="M11" i="2"/>
  <c r="M9" i="2"/>
  <c r="M34" i="2"/>
  <c r="M32" i="2"/>
  <c r="M8" i="2"/>
  <c r="M37" i="2"/>
  <c r="M33" i="2"/>
  <c r="M29" i="2"/>
  <c r="M26" i="2"/>
  <c r="M24" i="2"/>
  <c r="M38" i="2"/>
</calcChain>
</file>

<file path=xl/sharedStrings.xml><?xml version="1.0" encoding="utf-8"?>
<sst xmlns="http://schemas.openxmlformats.org/spreadsheetml/2006/main" count="15" uniqueCount="14">
  <si>
    <t>STOCK PRICE DATE, DAILY, 26OCT98-25OCT99</t>
  </si>
  <si>
    <t>min</t>
  </si>
  <si>
    <t>Returns</t>
  </si>
  <si>
    <t>max</t>
  </si>
  <si>
    <t>Date</t>
  </si>
  <si>
    <t>SP500</t>
  </si>
  <si>
    <t>Abbott</t>
  </si>
  <si>
    <t>Ford</t>
  </si>
  <si>
    <t>Kellogg</t>
  </si>
  <si>
    <t>Microsoft</t>
  </si>
  <si>
    <t>ATT</t>
  </si>
  <si>
    <t>MSFT</t>
  </si>
  <si>
    <t>n</t>
  </si>
  <si>
    <t>bin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</si>
</sst>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15" fontId="2" fillId="0" borderId="0" xfId="1" applyNumberFormat="1"/>
  </cellXfs>
  <cellStyles count="2">
    <cellStyle name="常规" xfId="0" builtinId="0"/>
    <cellStyle name="常规 2" xfId="1" xr:uid="{BA737FF1-E9DE-4C7C-BAB4-CCCF87B6C6CE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000" b="1">
                <a:solidFill>
                  <a:schemeClr val="tx1"/>
                </a:solidFill>
              </a:rPr>
              <a:t>Daily Prices for 3 Stocks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2.6230554656524911E-2"/>
          <c:y val="7.2759646438667419E-2"/>
          <c:w val="0.94925606793983197"/>
          <c:h val="0.8483496521103650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Data!$C$4</c:f>
              <c:strCache>
                <c:ptCount val="1"/>
                <c:pt idx="0">
                  <c:v>Abbott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Data!$O$5:$O$257</c:f>
              <c:numCache>
                <c:formatCode>General</c:formatCode>
                <c:ptCount val="253"/>
                <c:pt idx="0">
                  <c:v>36094</c:v>
                </c:pt>
                <c:pt idx="1">
                  <c:v>36095</c:v>
                </c:pt>
                <c:pt idx="2">
                  <c:v>36096</c:v>
                </c:pt>
                <c:pt idx="3">
                  <c:v>36097</c:v>
                </c:pt>
                <c:pt idx="4">
                  <c:v>36098</c:v>
                </c:pt>
                <c:pt idx="5">
                  <c:v>36101</c:v>
                </c:pt>
                <c:pt idx="6">
                  <c:v>36102</c:v>
                </c:pt>
                <c:pt idx="7">
                  <c:v>36103</c:v>
                </c:pt>
                <c:pt idx="8">
                  <c:v>36104</c:v>
                </c:pt>
                <c:pt idx="9">
                  <c:v>36105</c:v>
                </c:pt>
                <c:pt idx="10">
                  <c:v>36108</c:v>
                </c:pt>
                <c:pt idx="11">
                  <c:v>36109</c:v>
                </c:pt>
                <c:pt idx="12">
                  <c:v>36110</c:v>
                </c:pt>
                <c:pt idx="13">
                  <c:v>36111</c:v>
                </c:pt>
                <c:pt idx="14">
                  <c:v>36112</c:v>
                </c:pt>
                <c:pt idx="15">
                  <c:v>36115</c:v>
                </c:pt>
                <c:pt idx="16">
                  <c:v>36116</c:v>
                </c:pt>
                <c:pt idx="17">
                  <c:v>36117</c:v>
                </c:pt>
                <c:pt idx="18">
                  <c:v>36118</c:v>
                </c:pt>
                <c:pt idx="19">
                  <c:v>36119</c:v>
                </c:pt>
                <c:pt idx="20">
                  <c:v>36122</c:v>
                </c:pt>
                <c:pt idx="21">
                  <c:v>36123</c:v>
                </c:pt>
                <c:pt idx="22">
                  <c:v>36124</c:v>
                </c:pt>
                <c:pt idx="23">
                  <c:v>36126</c:v>
                </c:pt>
                <c:pt idx="24">
                  <c:v>36129</c:v>
                </c:pt>
                <c:pt idx="25">
                  <c:v>36130</c:v>
                </c:pt>
                <c:pt idx="26">
                  <c:v>36131</c:v>
                </c:pt>
                <c:pt idx="27">
                  <c:v>36132</c:v>
                </c:pt>
                <c:pt idx="28">
                  <c:v>36133</c:v>
                </c:pt>
                <c:pt idx="29">
                  <c:v>36136</c:v>
                </c:pt>
                <c:pt idx="30">
                  <c:v>36137</c:v>
                </c:pt>
                <c:pt idx="31">
                  <c:v>36138</c:v>
                </c:pt>
                <c:pt idx="32">
                  <c:v>36139</c:v>
                </c:pt>
                <c:pt idx="33">
                  <c:v>36140</c:v>
                </c:pt>
                <c:pt idx="34">
                  <c:v>36143</c:v>
                </c:pt>
                <c:pt idx="35">
                  <c:v>36144</c:v>
                </c:pt>
                <c:pt idx="36">
                  <c:v>36145</c:v>
                </c:pt>
                <c:pt idx="37">
                  <c:v>36146</c:v>
                </c:pt>
                <c:pt idx="38">
                  <c:v>36147</c:v>
                </c:pt>
                <c:pt idx="39">
                  <c:v>36150</c:v>
                </c:pt>
                <c:pt idx="40">
                  <c:v>36151</c:v>
                </c:pt>
                <c:pt idx="41">
                  <c:v>36152</c:v>
                </c:pt>
                <c:pt idx="42">
                  <c:v>36153</c:v>
                </c:pt>
                <c:pt idx="43">
                  <c:v>36157</c:v>
                </c:pt>
                <c:pt idx="44">
                  <c:v>36158</c:v>
                </c:pt>
                <c:pt idx="45">
                  <c:v>36159</c:v>
                </c:pt>
                <c:pt idx="46">
                  <c:v>36160</c:v>
                </c:pt>
                <c:pt idx="47">
                  <c:v>36164</c:v>
                </c:pt>
                <c:pt idx="48">
                  <c:v>36165</c:v>
                </c:pt>
                <c:pt idx="49">
                  <c:v>36166</c:v>
                </c:pt>
                <c:pt idx="50">
                  <c:v>36167</c:v>
                </c:pt>
                <c:pt idx="51">
                  <c:v>36168</c:v>
                </c:pt>
                <c:pt idx="52">
                  <c:v>36171</c:v>
                </c:pt>
                <c:pt idx="53">
                  <c:v>36172</c:v>
                </c:pt>
                <c:pt idx="54">
                  <c:v>36173</c:v>
                </c:pt>
                <c:pt idx="55">
                  <c:v>36174</c:v>
                </c:pt>
                <c:pt idx="56">
                  <c:v>36175</c:v>
                </c:pt>
                <c:pt idx="57">
                  <c:v>36179</c:v>
                </c:pt>
                <c:pt idx="58">
                  <c:v>36180</c:v>
                </c:pt>
                <c:pt idx="59">
                  <c:v>36181</c:v>
                </c:pt>
                <c:pt idx="60">
                  <c:v>36182</c:v>
                </c:pt>
                <c:pt idx="61">
                  <c:v>36185</c:v>
                </c:pt>
                <c:pt idx="62">
                  <c:v>36186</c:v>
                </c:pt>
                <c:pt idx="63">
                  <c:v>36187</c:v>
                </c:pt>
                <c:pt idx="64">
                  <c:v>36188</c:v>
                </c:pt>
                <c:pt idx="65">
                  <c:v>36189</c:v>
                </c:pt>
                <c:pt idx="66">
                  <c:v>36192</c:v>
                </c:pt>
                <c:pt idx="67">
                  <c:v>36193</c:v>
                </c:pt>
                <c:pt idx="68">
                  <c:v>36194</c:v>
                </c:pt>
                <c:pt idx="69">
                  <c:v>36195</c:v>
                </c:pt>
                <c:pt idx="70">
                  <c:v>36196</c:v>
                </c:pt>
                <c:pt idx="71">
                  <c:v>36199</c:v>
                </c:pt>
                <c:pt idx="72">
                  <c:v>36200</c:v>
                </c:pt>
                <c:pt idx="73">
                  <c:v>36201</c:v>
                </c:pt>
                <c:pt idx="74">
                  <c:v>36202</c:v>
                </c:pt>
                <c:pt idx="75">
                  <c:v>36203</c:v>
                </c:pt>
                <c:pt idx="76">
                  <c:v>36207</c:v>
                </c:pt>
                <c:pt idx="77">
                  <c:v>36208</c:v>
                </c:pt>
                <c:pt idx="78">
                  <c:v>36209</c:v>
                </c:pt>
                <c:pt idx="79">
                  <c:v>36210</c:v>
                </c:pt>
                <c:pt idx="80">
                  <c:v>36213</c:v>
                </c:pt>
                <c:pt idx="81">
                  <c:v>36214</c:v>
                </c:pt>
                <c:pt idx="82">
                  <c:v>36215</c:v>
                </c:pt>
                <c:pt idx="83">
                  <c:v>36216</c:v>
                </c:pt>
                <c:pt idx="84">
                  <c:v>36217</c:v>
                </c:pt>
                <c:pt idx="85">
                  <c:v>36220</c:v>
                </c:pt>
                <c:pt idx="86">
                  <c:v>36221</c:v>
                </c:pt>
                <c:pt idx="87">
                  <c:v>36222</c:v>
                </c:pt>
                <c:pt idx="88">
                  <c:v>36223</c:v>
                </c:pt>
                <c:pt idx="89">
                  <c:v>36224</c:v>
                </c:pt>
                <c:pt idx="90">
                  <c:v>36227</c:v>
                </c:pt>
                <c:pt idx="91">
                  <c:v>36228</c:v>
                </c:pt>
                <c:pt idx="92">
                  <c:v>36229</c:v>
                </c:pt>
                <c:pt idx="93">
                  <c:v>36230</c:v>
                </c:pt>
                <c:pt idx="94">
                  <c:v>36231</c:v>
                </c:pt>
                <c:pt idx="95">
                  <c:v>36234</c:v>
                </c:pt>
                <c:pt idx="96">
                  <c:v>36235</c:v>
                </c:pt>
                <c:pt idx="97">
                  <c:v>36236</c:v>
                </c:pt>
                <c:pt idx="98">
                  <c:v>36237</c:v>
                </c:pt>
                <c:pt idx="99">
                  <c:v>36238</c:v>
                </c:pt>
                <c:pt idx="100">
                  <c:v>36241</c:v>
                </c:pt>
                <c:pt idx="101">
                  <c:v>36242</c:v>
                </c:pt>
                <c:pt idx="102">
                  <c:v>36243</c:v>
                </c:pt>
                <c:pt idx="103">
                  <c:v>36244</c:v>
                </c:pt>
                <c:pt idx="104">
                  <c:v>36245</c:v>
                </c:pt>
                <c:pt idx="105">
                  <c:v>36248</c:v>
                </c:pt>
                <c:pt idx="106">
                  <c:v>36249</c:v>
                </c:pt>
                <c:pt idx="107">
                  <c:v>36250</c:v>
                </c:pt>
                <c:pt idx="108">
                  <c:v>36251</c:v>
                </c:pt>
                <c:pt idx="109">
                  <c:v>36255</c:v>
                </c:pt>
                <c:pt idx="110">
                  <c:v>36256</c:v>
                </c:pt>
                <c:pt idx="111">
                  <c:v>36257</c:v>
                </c:pt>
                <c:pt idx="112">
                  <c:v>36258</c:v>
                </c:pt>
                <c:pt idx="113">
                  <c:v>36259</c:v>
                </c:pt>
                <c:pt idx="114">
                  <c:v>36262</c:v>
                </c:pt>
                <c:pt idx="115">
                  <c:v>36263</c:v>
                </c:pt>
                <c:pt idx="116">
                  <c:v>36264</c:v>
                </c:pt>
                <c:pt idx="117">
                  <c:v>36265</c:v>
                </c:pt>
                <c:pt idx="118">
                  <c:v>36266</c:v>
                </c:pt>
                <c:pt idx="119">
                  <c:v>36269</c:v>
                </c:pt>
                <c:pt idx="120">
                  <c:v>36270</c:v>
                </c:pt>
                <c:pt idx="121">
                  <c:v>36271</c:v>
                </c:pt>
                <c:pt idx="122">
                  <c:v>36272</c:v>
                </c:pt>
                <c:pt idx="123">
                  <c:v>36273</c:v>
                </c:pt>
                <c:pt idx="124">
                  <c:v>36276</c:v>
                </c:pt>
                <c:pt idx="125">
                  <c:v>36277</c:v>
                </c:pt>
                <c:pt idx="126">
                  <c:v>36278</c:v>
                </c:pt>
                <c:pt idx="127">
                  <c:v>36279</c:v>
                </c:pt>
                <c:pt idx="128">
                  <c:v>36280</c:v>
                </c:pt>
                <c:pt idx="129">
                  <c:v>36283</c:v>
                </c:pt>
                <c:pt idx="130">
                  <c:v>36284</c:v>
                </c:pt>
                <c:pt idx="131">
                  <c:v>36285</c:v>
                </c:pt>
                <c:pt idx="132">
                  <c:v>36286</c:v>
                </c:pt>
                <c:pt idx="133">
                  <c:v>36287</c:v>
                </c:pt>
                <c:pt idx="134">
                  <c:v>36290</c:v>
                </c:pt>
                <c:pt idx="135">
                  <c:v>36291</c:v>
                </c:pt>
                <c:pt idx="136">
                  <c:v>36292</c:v>
                </c:pt>
                <c:pt idx="137">
                  <c:v>36293</c:v>
                </c:pt>
                <c:pt idx="138">
                  <c:v>36294</c:v>
                </c:pt>
                <c:pt idx="139">
                  <c:v>36297</c:v>
                </c:pt>
                <c:pt idx="140">
                  <c:v>36298</c:v>
                </c:pt>
                <c:pt idx="141">
                  <c:v>36299</c:v>
                </c:pt>
                <c:pt idx="142">
                  <c:v>36300</c:v>
                </c:pt>
                <c:pt idx="143">
                  <c:v>36301</c:v>
                </c:pt>
                <c:pt idx="144">
                  <c:v>36304</c:v>
                </c:pt>
                <c:pt idx="145">
                  <c:v>36305</c:v>
                </c:pt>
                <c:pt idx="146">
                  <c:v>36306</c:v>
                </c:pt>
                <c:pt idx="147">
                  <c:v>36307</c:v>
                </c:pt>
                <c:pt idx="148">
                  <c:v>36308</c:v>
                </c:pt>
                <c:pt idx="149">
                  <c:v>36312</c:v>
                </c:pt>
                <c:pt idx="150">
                  <c:v>36313</c:v>
                </c:pt>
                <c:pt idx="151">
                  <c:v>36314</c:v>
                </c:pt>
                <c:pt idx="152">
                  <c:v>36315</c:v>
                </c:pt>
                <c:pt idx="153">
                  <c:v>36318</c:v>
                </c:pt>
                <c:pt idx="154">
                  <c:v>36319</c:v>
                </c:pt>
                <c:pt idx="155">
                  <c:v>36320</c:v>
                </c:pt>
                <c:pt idx="156">
                  <c:v>36321</c:v>
                </c:pt>
                <c:pt idx="157">
                  <c:v>36322</c:v>
                </c:pt>
                <c:pt idx="158">
                  <c:v>36325</c:v>
                </c:pt>
                <c:pt idx="159">
                  <c:v>36326</c:v>
                </c:pt>
                <c:pt idx="160">
                  <c:v>36327</c:v>
                </c:pt>
                <c:pt idx="161">
                  <c:v>36328</c:v>
                </c:pt>
                <c:pt idx="162">
                  <c:v>36329</c:v>
                </c:pt>
                <c:pt idx="163">
                  <c:v>36332</c:v>
                </c:pt>
                <c:pt idx="164">
                  <c:v>36333</c:v>
                </c:pt>
                <c:pt idx="165">
                  <c:v>36334</c:v>
                </c:pt>
                <c:pt idx="166">
                  <c:v>36335</c:v>
                </c:pt>
                <c:pt idx="167">
                  <c:v>36336</c:v>
                </c:pt>
                <c:pt idx="168">
                  <c:v>36339</c:v>
                </c:pt>
                <c:pt idx="169">
                  <c:v>36340</c:v>
                </c:pt>
                <c:pt idx="170">
                  <c:v>36341</c:v>
                </c:pt>
                <c:pt idx="171">
                  <c:v>36342</c:v>
                </c:pt>
                <c:pt idx="172">
                  <c:v>36343</c:v>
                </c:pt>
                <c:pt idx="173">
                  <c:v>36347</c:v>
                </c:pt>
                <c:pt idx="174">
                  <c:v>36348</c:v>
                </c:pt>
                <c:pt idx="175">
                  <c:v>36349</c:v>
                </c:pt>
                <c:pt idx="176">
                  <c:v>36350</c:v>
                </c:pt>
                <c:pt idx="177">
                  <c:v>36353</c:v>
                </c:pt>
                <c:pt idx="178">
                  <c:v>36354</c:v>
                </c:pt>
                <c:pt idx="179">
                  <c:v>36355</c:v>
                </c:pt>
                <c:pt idx="180">
                  <c:v>36356</c:v>
                </c:pt>
                <c:pt idx="181">
                  <c:v>36357</c:v>
                </c:pt>
                <c:pt idx="182">
                  <c:v>36360</c:v>
                </c:pt>
                <c:pt idx="183">
                  <c:v>36361</c:v>
                </c:pt>
                <c:pt idx="184">
                  <c:v>36362</c:v>
                </c:pt>
                <c:pt idx="185">
                  <c:v>36363</c:v>
                </c:pt>
                <c:pt idx="186">
                  <c:v>36364</c:v>
                </c:pt>
                <c:pt idx="187">
                  <c:v>36367</c:v>
                </c:pt>
                <c:pt idx="188">
                  <c:v>36368</c:v>
                </c:pt>
                <c:pt idx="189">
                  <c:v>36369</c:v>
                </c:pt>
                <c:pt idx="190">
                  <c:v>36370</c:v>
                </c:pt>
                <c:pt idx="191">
                  <c:v>36371</c:v>
                </c:pt>
                <c:pt idx="192">
                  <c:v>36374</c:v>
                </c:pt>
                <c:pt idx="193">
                  <c:v>36375</c:v>
                </c:pt>
                <c:pt idx="194">
                  <c:v>36376</c:v>
                </c:pt>
                <c:pt idx="195">
                  <c:v>36377</c:v>
                </c:pt>
                <c:pt idx="196">
                  <c:v>36378</c:v>
                </c:pt>
                <c:pt idx="197">
                  <c:v>36381</c:v>
                </c:pt>
                <c:pt idx="198">
                  <c:v>36382</c:v>
                </c:pt>
                <c:pt idx="199">
                  <c:v>36383</c:v>
                </c:pt>
                <c:pt idx="200">
                  <c:v>36384</c:v>
                </c:pt>
                <c:pt idx="201">
                  <c:v>36385</c:v>
                </c:pt>
                <c:pt idx="202">
                  <c:v>36388</c:v>
                </c:pt>
                <c:pt idx="203">
                  <c:v>36389</c:v>
                </c:pt>
                <c:pt idx="204">
                  <c:v>36390</c:v>
                </c:pt>
                <c:pt idx="205">
                  <c:v>36391</c:v>
                </c:pt>
                <c:pt idx="206">
                  <c:v>36392</c:v>
                </c:pt>
                <c:pt idx="207">
                  <c:v>36395</c:v>
                </c:pt>
                <c:pt idx="208">
                  <c:v>36396</c:v>
                </c:pt>
                <c:pt idx="209">
                  <c:v>36397</c:v>
                </c:pt>
                <c:pt idx="210">
                  <c:v>36398</c:v>
                </c:pt>
                <c:pt idx="211">
                  <c:v>36399</c:v>
                </c:pt>
                <c:pt idx="212">
                  <c:v>36402</c:v>
                </c:pt>
                <c:pt idx="213">
                  <c:v>36403</c:v>
                </c:pt>
                <c:pt idx="214">
                  <c:v>36404</c:v>
                </c:pt>
                <c:pt idx="215">
                  <c:v>36405</c:v>
                </c:pt>
                <c:pt idx="216">
                  <c:v>36406</c:v>
                </c:pt>
                <c:pt idx="217">
                  <c:v>36410</c:v>
                </c:pt>
                <c:pt idx="218">
                  <c:v>36411</c:v>
                </c:pt>
                <c:pt idx="219">
                  <c:v>36412</c:v>
                </c:pt>
                <c:pt idx="220">
                  <c:v>36413</c:v>
                </c:pt>
                <c:pt idx="221">
                  <c:v>36416</c:v>
                </c:pt>
                <c:pt idx="222">
                  <c:v>36417</c:v>
                </c:pt>
                <c:pt idx="223">
                  <c:v>36418</c:v>
                </c:pt>
                <c:pt idx="224">
                  <c:v>36419</c:v>
                </c:pt>
                <c:pt idx="225">
                  <c:v>36420</c:v>
                </c:pt>
                <c:pt idx="226">
                  <c:v>36423</c:v>
                </c:pt>
                <c:pt idx="227">
                  <c:v>36424</c:v>
                </c:pt>
                <c:pt idx="228">
                  <c:v>36425</c:v>
                </c:pt>
                <c:pt idx="229">
                  <c:v>36426</c:v>
                </c:pt>
                <c:pt idx="230">
                  <c:v>36427</c:v>
                </c:pt>
                <c:pt idx="231">
                  <c:v>36430</c:v>
                </c:pt>
                <c:pt idx="232">
                  <c:v>36431</c:v>
                </c:pt>
                <c:pt idx="233">
                  <c:v>36432</c:v>
                </c:pt>
                <c:pt idx="234">
                  <c:v>36433</c:v>
                </c:pt>
                <c:pt idx="235">
                  <c:v>36434</c:v>
                </c:pt>
                <c:pt idx="236">
                  <c:v>36437</c:v>
                </c:pt>
                <c:pt idx="237">
                  <c:v>36438</c:v>
                </c:pt>
                <c:pt idx="238">
                  <c:v>36439</c:v>
                </c:pt>
                <c:pt idx="239">
                  <c:v>36440</c:v>
                </c:pt>
                <c:pt idx="240">
                  <c:v>36441</c:v>
                </c:pt>
                <c:pt idx="241">
                  <c:v>36444</c:v>
                </c:pt>
                <c:pt idx="242">
                  <c:v>36445</c:v>
                </c:pt>
                <c:pt idx="243">
                  <c:v>36446</c:v>
                </c:pt>
                <c:pt idx="244">
                  <c:v>36447</c:v>
                </c:pt>
                <c:pt idx="245">
                  <c:v>36448</c:v>
                </c:pt>
                <c:pt idx="246">
                  <c:v>36451</c:v>
                </c:pt>
                <c:pt idx="247">
                  <c:v>36452</c:v>
                </c:pt>
                <c:pt idx="248">
                  <c:v>36453</c:v>
                </c:pt>
                <c:pt idx="249">
                  <c:v>36454</c:v>
                </c:pt>
                <c:pt idx="250">
                  <c:v>36455</c:v>
                </c:pt>
                <c:pt idx="251">
                  <c:v>36458</c:v>
                </c:pt>
                <c:pt idx="252">
                  <c:v>36459</c:v>
                </c:pt>
              </c:numCache>
            </c:numRef>
          </c:xVal>
          <c:yVal>
            <c:numRef>
              <c:f>Data!$C$5:$C$257</c:f>
              <c:numCache>
                <c:formatCode>General</c:formatCode>
                <c:ptCount val="253"/>
                <c:pt idx="0">
                  <c:v>44.895299999999999</c:v>
                </c:pt>
                <c:pt idx="1">
                  <c:v>44.279499999999999</c:v>
                </c:pt>
                <c:pt idx="2">
                  <c:v>45.3264</c:v>
                </c:pt>
                <c:pt idx="3">
                  <c:v>46.496600000000001</c:v>
                </c:pt>
                <c:pt idx="4">
                  <c:v>46.311799999999998</c:v>
                </c:pt>
                <c:pt idx="5">
                  <c:v>46.373399999999997</c:v>
                </c:pt>
                <c:pt idx="6">
                  <c:v>46.127000000000002</c:v>
                </c:pt>
                <c:pt idx="7">
                  <c:v>44.956899999999997</c:v>
                </c:pt>
                <c:pt idx="8">
                  <c:v>45.880699999999997</c:v>
                </c:pt>
                <c:pt idx="9">
                  <c:v>46.619700000000002</c:v>
                </c:pt>
                <c:pt idx="10">
                  <c:v>45.880699999999997</c:v>
                </c:pt>
                <c:pt idx="11">
                  <c:v>46.804499999999997</c:v>
                </c:pt>
                <c:pt idx="12">
                  <c:v>45.264899999999997</c:v>
                </c:pt>
                <c:pt idx="13">
                  <c:v>45.080100000000002</c:v>
                </c:pt>
                <c:pt idx="14">
                  <c:v>45.264899999999997</c:v>
                </c:pt>
                <c:pt idx="15">
                  <c:v>47.666699999999999</c:v>
                </c:pt>
                <c:pt idx="16">
                  <c:v>46.496600000000001</c:v>
                </c:pt>
                <c:pt idx="17">
                  <c:v>46.619700000000002</c:v>
                </c:pt>
                <c:pt idx="18">
                  <c:v>48.036200000000001</c:v>
                </c:pt>
                <c:pt idx="19">
                  <c:v>48.467300000000002</c:v>
                </c:pt>
                <c:pt idx="20">
                  <c:v>48.959899999999998</c:v>
                </c:pt>
                <c:pt idx="21">
                  <c:v>48.159300000000002</c:v>
                </c:pt>
                <c:pt idx="22">
                  <c:v>48.097799999999999</c:v>
                </c:pt>
                <c:pt idx="23">
                  <c:v>48.590400000000002</c:v>
                </c:pt>
                <c:pt idx="24">
                  <c:v>47.297199999999997</c:v>
                </c:pt>
                <c:pt idx="25">
                  <c:v>47.173999999999999</c:v>
                </c:pt>
                <c:pt idx="26">
                  <c:v>48.159300000000002</c:v>
                </c:pt>
                <c:pt idx="27">
                  <c:v>47.173999999999999</c:v>
                </c:pt>
                <c:pt idx="28">
                  <c:v>49.021500000000003</c:v>
                </c:pt>
                <c:pt idx="29">
                  <c:v>49.021500000000003</c:v>
                </c:pt>
                <c:pt idx="30">
                  <c:v>48.898400000000002</c:v>
                </c:pt>
                <c:pt idx="31">
                  <c:v>48.652000000000001</c:v>
                </c:pt>
                <c:pt idx="32">
                  <c:v>47.420299999999997</c:v>
                </c:pt>
                <c:pt idx="33">
                  <c:v>48.159300000000002</c:v>
                </c:pt>
                <c:pt idx="34">
                  <c:v>47.050800000000002</c:v>
                </c:pt>
                <c:pt idx="35">
                  <c:v>46.311799999999998</c:v>
                </c:pt>
                <c:pt idx="36">
                  <c:v>45.449599999999997</c:v>
                </c:pt>
                <c:pt idx="37">
                  <c:v>46.989199999999997</c:v>
                </c:pt>
                <c:pt idx="38">
                  <c:v>46.373399999999997</c:v>
                </c:pt>
                <c:pt idx="39">
                  <c:v>45.634399999999999</c:v>
                </c:pt>
                <c:pt idx="40">
                  <c:v>46.619700000000002</c:v>
                </c:pt>
                <c:pt idx="41">
                  <c:v>47.666699999999999</c:v>
                </c:pt>
                <c:pt idx="42">
                  <c:v>47.173999999999999</c:v>
                </c:pt>
                <c:pt idx="43">
                  <c:v>46.2502</c:v>
                </c:pt>
                <c:pt idx="44">
                  <c:v>48.2209</c:v>
                </c:pt>
                <c:pt idx="45">
                  <c:v>47.912999999999997</c:v>
                </c:pt>
                <c:pt idx="46">
                  <c:v>48.282499999999999</c:v>
                </c:pt>
                <c:pt idx="47">
                  <c:v>48.036200000000001</c:v>
                </c:pt>
                <c:pt idx="48">
                  <c:v>48.097799999999999</c:v>
                </c:pt>
                <c:pt idx="49">
                  <c:v>47.728200000000001</c:v>
                </c:pt>
                <c:pt idx="50">
                  <c:v>47.112400000000001</c:v>
                </c:pt>
                <c:pt idx="51">
                  <c:v>46.927599999999998</c:v>
                </c:pt>
                <c:pt idx="52">
                  <c:v>46.311799999999998</c:v>
                </c:pt>
                <c:pt idx="53">
                  <c:v>45.880699999999997</c:v>
                </c:pt>
                <c:pt idx="54">
                  <c:v>47.511800000000001</c:v>
                </c:pt>
                <c:pt idx="55">
                  <c:v>46.893999999999998</c:v>
                </c:pt>
                <c:pt idx="56">
                  <c:v>47.079300000000003</c:v>
                </c:pt>
                <c:pt idx="57">
                  <c:v>45.843600000000002</c:v>
                </c:pt>
                <c:pt idx="58">
                  <c:v>46.337899999999998</c:v>
                </c:pt>
                <c:pt idx="59">
                  <c:v>44.484400000000001</c:v>
                </c:pt>
                <c:pt idx="60">
                  <c:v>43.743000000000002</c:v>
                </c:pt>
                <c:pt idx="61">
                  <c:v>42.939799999999998</c:v>
                </c:pt>
                <c:pt idx="62">
                  <c:v>45.040399999999998</c:v>
                </c:pt>
                <c:pt idx="63">
                  <c:v>45.2258</c:v>
                </c:pt>
                <c:pt idx="64">
                  <c:v>45.503799999999998</c:v>
                </c:pt>
                <c:pt idx="65">
                  <c:v>45.9054</c:v>
                </c:pt>
                <c:pt idx="66">
                  <c:v>45.287599999999998</c:v>
                </c:pt>
                <c:pt idx="67">
                  <c:v>45.596499999999999</c:v>
                </c:pt>
                <c:pt idx="68">
                  <c:v>46.090800000000002</c:v>
                </c:pt>
                <c:pt idx="69">
                  <c:v>45.102200000000003</c:v>
                </c:pt>
                <c:pt idx="70">
                  <c:v>45.287599999999998</c:v>
                </c:pt>
                <c:pt idx="71">
                  <c:v>44.607999999999997</c:v>
                </c:pt>
                <c:pt idx="72">
                  <c:v>43.8048</c:v>
                </c:pt>
                <c:pt idx="73">
                  <c:v>44.484400000000001</c:v>
                </c:pt>
                <c:pt idx="74">
                  <c:v>45.349400000000003</c:v>
                </c:pt>
                <c:pt idx="75">
                  <c:v>44.484400000000001</c:v>
                </c:pt>
                <c:pt idx="76">
                  <c:v>46.399700000000003</c:v>
                </c:pt>
                <c:pt idx="77">
                  <c:v>44.484400000000001</c:v>
                </c:pt>
                <c:pt idx="78">
                  <c:v>45.472900000000003</c:v>
                </c:pt>
                <c:pt idx="79">
                  <c:v>45.472900000000003</c:v>
                </c:pt>
                <c:pt idx="80">
                  <c:v>46.708599999999997</c:v>
                </c:pt>
                <c:pt idx="81">
                  <c:v>46.646799999999999</c:v>
                </c:pt>
                <c:pt idx="82">
                  <c:v>45.2258</c:v>
                </c:pt>
                <c:pt idx="83">
                  <c:v>45.720100000000002</c:v>
                </c:pt>
                <c:pt idx="84">
                  <c:v>45.781799999999997</c:v>
                </c:pt>
                <c:pt idx="85">
                  <c:v>45.411099999999998</c:v>
                </c:pt>
                <c:pt idx="86">
                  <c:v>45.349400000000003</c:v>
                </c:pt>
                <c:pt idx="87">
                  <c:v>46.461500000000001</c:v>
                </c:pt>
                <c:pt idx="88">
                  <c:v>47.8825</c:v>
                </c:pt>
                <c:pt idx="89">
                  <c:v>48.871000000000002</c:v>
                </c:pt>
                <c:pt idx="90">
                  <c:v>49.365299999999998</c:v>
                </c:pt>
                <c:pt idx="91">
                  <c:v>49.118200000000002</c:v>
                </c:pt>
                <c:pt idx="92">
                  <c:v>49.118200000000002</c:v>
                </c:pt>
                <c:pt idx="93">
                  <c:v>50.044899999999998</c:v>
                </c:pt>
                <c:pt idx="94">
                  <c:v>49.241700000000002</c:v>
                </c:pt>
                <c:pt idx="95">
                  <c:v>50.106699999999996</c:v>
                </c:pt>
                <c:pt idx="96">
                  <c:v>50.2303</c:v>
                </c:pt>
                <c:pt idx="97">
                  <c:v>48.747500000000002</c:v>
                </c:pt>
                <c:pt idx="98">
                  <c:v>48.9328</c:v>
                </c:pt>
                <c:pt idx="99">
                  <c:v>47.45</c:v>
                </c:pt>
                <c:pt idx="100">
                  <c:v>48.006100000000004</c:v>
                </c:pt>
                <c:pt idx="101">
                  <c:v>45.720100000000002</c:v>
                </c:pt>
                <c:pt idx="102">
                  <c:v>46.646799999999999</c:v>
                </c:pt>
                <c:pt idx="103">
                  <c:v>46.708599999999997</c:v>
                </c:pt>
                <c:pt idx="104">
                  <c:v>46.2761</c:v>
                </c:pt>
                <c:pt idx="105">
                  <c:v>47.388199999999998</c:v>
                </c:pt>
                <c:pt idx="106">
                  <c:v>47.3264</c:v>
                </c:pt>
                <c:pt idx="107">
                  <c:v>46.2761</c:v>
                </c:pt>
                <c:pt idx="108">
                  <c:v>47.017499999999998</c:v>
                </c:pt>
                <c:pt idx="109">
                  <c:v>47.697099999999999</c:v>
                </c:pt>
                <c:pt idx="110">
                  <c:v>47.697099999999999</c:v>
                </c:pt>
                <c:pt idx="111">
                  <c:v>47.944299999999998</c:v>
                </c:pt>
                <c:pt idx="112">
                  <c:v>50.848100000000002</c:v>
                </c:pt>
                <c:pt idx="113">
                  <c:v>50.353900000000003</c:v>
                </c:pt>
                <c:pt idx="114">
                  <c:v>51.898499999999999</c:v>
                </c:pt>
                <c:pt idx="115">
                  <c:v>52.439</c:v>
                </c:pt>
                <c:pt idx="116">
                  <c:v>51.075299999999999</c:v>
                </c:pt>
                <c:pt idx="117">
                  <c:v>49.525700000000001</c:v>
                </c:pt>
                <c:pt idx="118">
                  <c:v>48.657899999999998</c:v>
                </c:pt>
                <c:pt idx="119">
                  <c:v>47.170299999999997</c:v>
                </c:pt>
                <c:pt idx="120">
                  <c:v>50.455500000000001</c:v>
                </c:pt>
                <c:pt idx="121">
                  <c:v>52.005099999999999</c:v>
                </c:pt>
                <c:pt idx="122">
                  <c:v>51.881100000000004</c:v>
                </c:pt>
                <c:pt idx="123">
                  <c:v>52.500900000000001</c:v>
                </c:pt>
                <c:pt idx="124">
                  <c:v>51.757100000000001</c:v>
                </c:pt>
                <c:pt idx="125">
                  <c:v>51.3232</c:v>
                </c:pt>
                <c:pt idx="126">
                  <c:v>50.641399999999997</c:v>
                </c:pt>
                <c:pt idx="127">
                  <c:v>50.207500000000003</c:v>
                </c:pt>
                <c:pt idx="128">
                  <c:v>47.976100000000002</c:v>
                </c:pt>
                <c:pt idx="129">
                  <c:v>47.914099999999998</c:v>
                </c:pt>
                <c:pt idx="130">
                  <c:v>46.798400000000001</c:v>
                </c:pt>
                <c:pt idx="131">
                  <c:v>47.604199999999999</c:v>
                </c:pt>
                <c:pt idx="132">
                  <c:v>46.860300000000002</c:v>
                </c:pt>
                <c:pt idx="133">
                  <c:v>46.488399999999999</c:v>
                </c:pt>
                <c:pt idx="134">
                  <c:v>46.1785</c:v>
                </c:pt>
                <c:pt idx="135">
                  <c:v>47.170299999999997</c:v>
                </c:pt>
                <c:pt idx="136">
                  <c:v>49.339700000000001</c:v>
                </c:pt>
                <c:pt idx="137">
                  <c:v>49.525700000000001</c:v>
                </c:pt>
                <c:pt idx="138">
                  <c:v>48.41</c:v>
                </c:pt>
                <c:pt idx="139">
                  <c:v>48.843899999999998</c:v>
                </c:pt>
                <c:pt idx="140">
                  <c:v>47.356200000000001</c:v>
                </c:pt>
                <c:pt idx="141">
                  <c:v>48.161999999999999</c:v>
                </c:pt>
                <c:pt idx="142">
                  <c:v>47.232300000000002</c:v>
                </c:pt>
                <c:pt idx="143">
                  <c:v>46.736400000000003</c:v>
                </c:pt>
                <c:pt idx="144">
                  <c:v>44.690899999999999</c:v>
                </c:pt>
                <c:pt idx="145">
                  <c:v>44.195</c:v>
                </c:pt>
                <c:pt idx="146">
                  <c:v>44.133000000000003</c:v>
                </c:pt>
                <c:pt idx="147">
                  <c:v>43.637099999999997</c:v>
                </c:pt>
                <c:pt idx="148">
                  <c:v>44.814900000000002</c:v>
                </c:pt>
                <c:pt idx="149">
                  <c:v>44.504899999999999</c:v>
                </c:pt>
                <c:pt idx="150">
                  <c:v>45.000799999999998</c:v>
                </c:pt>
                <c:pt idx="151">
                  <c:v>43.637099999999997</c:v>
                </c:pt>
                <c:pt idx="152">
                  <c:v>44.628900000000002</c:v>
                </c:pt>
                <c:pt idx="153">
                  <c:v>44.566899999999997</c:v>
                </c:pt>
                <c:pt idx="154">
                  <c:v>44.504899999999999</c:v>
                </c:pt>
                <c:pt idx="155">
                  <c:v>44.319000000000003</c:v>
                </c:pt>
                <c:pt idx="156">
                  <c:v>43.2652</c:v>
                </c:pt>
                <c:pt idx="157">
                  <c:v>42.831299999999999</c:v>
                </c:pt>
                <c:pt idx="158">
                  <c:v>42.831299999999999</c:v>
                </c:pt>
                <c:pt idx="159">
                  <c:v>42.893300000000004</c:v>
                </c:pt>
                <c:pt idx="160">
                  <c:v>43.637099999999997</c:v>
                </c:pt>
                <c:pt idx="161">
                  <c:v>44.256999999999998</c:v>
                </c:pt>
                <c:pt idx="162">
                  <c:v>44.319000000000003</c:v>
                </c:pt>
                <c:pt idx="163">
                  <c:v>43.823099999999997</c:v>
                </c:pt>
                <c:pt idx="164">
                  <c:v>43.141300000000001</c:v>
                </c:pt>
                <c:pt idx="165">
                  <c:v>43.4512</c:v>
                </c:pt>
                <c:pt idx="166">
                  <c:v>43.141300000000001</c:v>
                </c:pt>
                <c:pt idx="167">
                  <c:v>43.389200000000002</c:v>
                </c:pt>
                <c:pt idx="168">
                  <c:v>43.699100000000001</c:v>
                </c:pt>
                <c:pt idx="169">
                  <c:v>44.133000000000003</c:v>
                </c:pt>
                <c:pt idx="170">
                  <c:v>45.000799999999998</c:v>
                </c:pt>
                <c:pt idx="171">
                  <c:v>45.062800000000003</c:v>
                </c:pt>
                <c:pt idx="172">
                  <c:v>45.000799999999998</c:v>
                </c:pt>
                <c:pt idx="173">
                  <c:v>44.133000000000003</c:v>
                </c:pt>
                <c:pt idx="174">
                  <c:v>43.203299999999999</c:v>
                </c:pt>
                <c:pt idx="175">
                  <c:v>42.5214</c:v>
                </c:pt>
                <c:pt idx="176">
                  <c:v>41.839599999999997</c:v>
                </c:pt>
                <c:pt idx="177">
                  <c:v>41.529699999999998</c:v>
                </c:pt>
                <c:pt idx="178">
                  <c:v>41.325499999999998</c:v>
                </c:pt>
                <c:pt idx="179">
                  <c:v>41.5745</c:v>
                </c:pt>
                <c:pt idx="180">
                  <c:v>41.698999999999998</c:v>
                </c:pt>
                <c:pt idx="181">
                  <c:v>41.761200000000002</c:v>
                </c:pt>
                <c:pt idx="182">
                  <c:v>41.5745</c:v>
                </c:pt>
                <c:pt idx="183">
                  <c:v>42.072400000000002</c:v>
                </c:pt>
                <c:pt idx="184">
                  <c:v>43.068199999999997</c:v>
                </c:pt>
                <c:pt idx="185">
                  <c:v>42.881500000000003</c:v>
                </c:pt>
                <c:pt idx="186">
                  <c:v>42.694800000000001</c:v>
                </c:pt>
                <c:pt idx="187">
                  <c:v>42.9437</c:v>
                </c:pt>
                <c:pt idx="188">
                  <c:v>43.130400000000002</c:v>
                </c:pt>
                <c:pt idx="189">
                  <c:v>43.317100000000003</c:v>
                </c:pt>
                <c:pt idx="190">
                  <c:v>43.192700000000002</c:v>
                </c:pt>
                <c:pt idx="191">
                  <c:v>42.756999999999998</c:v>
                </c:pt>
                <c:pt idx="192">
                  <c:v>43.130400000000002</c:v>
                </c:pt>
                <c:pt idx="193">
                  <c:v>42.756999999999998</c:v>
                </c:pt>
                <c:pt idx="194">
                  <c:v>42.134599999999999</c:v>
                </c:pt>
                <c:pt idx="195">
                  <c:v>41.5745</c:v>
                </c:pt>
                <c:pt idx="196">
                  <c:v>41.325499999999998</c:v>
                </c:pt>
                <c:pt idx="197">
                  <c:v>41.636699999999998</c:v>
                </c:pt>
                <c:pt idx="198">
                  <c:v>41.5122</c:v>
                </c:pt>
                <c:pt idx="199">
                  <c:v>41.5745</c:v>
                </c:pt>
                <c:pt idx="200">
                  <c:v>41.076599999999999</c:v>
                </c:pt>
                <c:pt idx="201">
                  <c:v>40.703200000000002</c:v>
                </c:pt>
                <c:pt idx="202">
                  <c:v>41.5122</c:v>
                </c:pt>
                <c:pt idx="203">
                  <c:v>42.010100000000001</c:v>
                </c:pt>
                <c:pt idx="204">
                  <c:v>41.698999999999998</c:v>
                </c:pt>
                <c:pt idx="205">
                  <c:v>42.072400000000002</c:v>
                </c:pt>
                <c:pt idx="206">
                  <c:v>42.819200000000002</c:v>
                </c:pt>
                <c:pt idx="207">
                  <c:v>43.441600000000001</c:v>
                </c:pt>
                <c:pt idx="208">
                  <c:v>44.0017</c:v>
                </c:pt>
                <c:pt idx="209">
                  <c:v>45.308700000000002</c:v>
                </c:pt>
                <c:pt idx="210">
                  <c:v>44.0017</c:v>
                </c:pt>
                <c:pt idx="211">
                  <c:v>43.192700000000002</c:v>
                </c:pt>
                <c:pt idx="212">
                  <c:v>43.6905</c:v>
                </c:pt>
                <c:pt idx="213">
                  <c:v>43.192700000000002</c:v>
                </c:pt>
                <c:pt idx="214">
                  <c:v>43.814999999999998</c:v>
                </c:pt>
                <c:pt idx="215">
                  <c:v>43.6905</c:v>
                </c:pt>
                <c:pt idx="216">
                  <c:v>44.561900000000001</c:v>
                </c:pt>
                <c:pt idx="217">
                  <c:v>44.748600000000003</c:v>
                </c:pt>
                <c:pt idx="218">
                  <c:v>44.8108</c:v>
                </c:pt>
                <c:pt idx="219">
                  <c:v>44.935299999999998</c:v>
                </c:pt>
                <c:pt idx="220">
                  <c:v>45.433199999999999</c:v>
                </c:pt>
                <c:pt idx="221">
                  <c:v>44.997500000000002</c:v>
                </c:pt>
                <c:pt idx="222">
                  <c:v>43.6905</c:v>
                </c:pt>
                <c:pt idx="223">
                  <c:v>43.441600000000001</c:v>
                </c:pt>
                <c:pt idx="224">
                  <c:v>42.819200000000002</c:v>
                </c:pt>
                <c:pt idx="225">
                  <c:v>43.130400000000002</c:v>
                </c:pt>
                <c:pt idx="226">
                  <c:v>43.566099999999999</c:v>
                </c:pt>
                <c:pt idx="227">
                  <c:v>42.819200000000002</c:v>
                </c:pt>
                <c:pt idx="228">
                  <c:v>42.072400000000002</c:v>
                </c:pt>
                <c:pt idx="229">
                  <c:v>40.329700000000003</c:v>
                </c:pt>
                <c:pt idx="230">
                  <c:v>39.7074</c:v>
                </c:pt>
                <c:pt idx="231">
                  <c:v>40.516399999999997</c:v>
                </c:pt>
                <c:pt idx="232">
                  <c:v>39.831800000000001</c:v>
                </c:pt>
                <c:pt idx="233">
                  <c:v>37.342300000000002</c:v>
                </c:pt>
                <c:pt idx="234">
                  <c:v>36.533299999999997</c:v>
                </c:pt>
                <c:pt idx="235">
                  <c:v>36.844499999999996</c:v>
                </c:pt>
                <c:pt idx="236">
                  <c:v>37.466799999999999</c:v>
                </c:pt>
                <c:pt idx="237">
                  <c:v>36.0976</c:v>
                </c:pt>
                <c:pt idx="238">
                  <c:v>36.222099999999998</c:v>
                </c:pt>
                <c:pt idx="239">
                  <c:v>37.715800000000002</c:v>
                </c:pt>
                <c:pt idx="240">
                  <c:v>40.640900000000002</c:v>
                </c:pt>
                <c:pt idx="241">
                  <c:v>41.263300000000001</c:v>
                </c:pt>
                <c:pt idx="242">
                  <c:v>40.267499999999998</c:v>
                </c:pt>
                <c:pt idx="243">
                  <c:v>38.6875</c:v>
                </c:pt>
                <c:pt idx="244">
                  <c:v>38.375</c:v>
                </c:pt>
                <c:pt idx="245">
                  <c:v>37.5625</c:v>
                </c:pt>
                <c:pt idx="246">
                  <c:v>37.25</c:v>
                </c:pt>
                <c:pt idx="247">
                  <c:v>38.75</c:v>
                </c:pt>
                <c:pt idx="248">
                  <c:v>38.9375</c:v>
                </c:pt>
                <c:pt idx="249">
                  <c:v>38.8125</c:v>
                </c:pt>
                <c:pt idx="250">
                  <c:v>39.0625</c:v>
                </c:pt>
                <c:pt idx="251">
                  <c:v>39</c:v>
                </c:pt>
                <c:pt idx="252">
                  <c:v>37.625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6-4E0F-8DC0-51521EE1505B}"/>
            </c:ext>
          </c:extLst>
        </c:ser>
        <c:ser>
          <c:idx val="1"/>
          <c:order val="1"/>
          <c:tx>
            <c:strRef>
              <c:f>Data!$D$4</c:f>
              <c:strCache>
                <c:ptCount val="1"/>
                <c:pt idx="0">
                  <c:v>Ford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Data!$O$5:$O$257</c:f>
              <c:numCache>
                <c:formatCode>General</c:formatCode>
                <c:ptCount val="253"/>
                <c:pt idx="0">
                  <c:v>36094</c:v>
                </c:pt>
                <c:pt idx="1">
                  <c:v>36095</c:v>
                </c:pt>
                <c:pt idx="2">
                  <c:v>36096</c:v>
                </c:pt>
                <c:pt idx="3">
                  <c:v>36097</c:v>
                </c:pt>
                <c:pt idx="4">
                  <c:v>36098</c:v>
                </c:pt>
                <c:pt idx="5">
                  <c:v>36101</c:v>
                </c:pt>
                <c:pt idx="6">
                  <c:v>36102</c:v>
                </c:pt>
                <c:pt idx="7">
                  <c:v>36103</c:v>
                </c:pt>
                <c:pt idx="8">
                  <c:v>36104</c:v>
                </c:pt>
                <c:pt idx="9">
                  <c:v>36105</c:v>
                </c:pt>
                <c:pt idx="10">
                  <c:v>36108</c:v>
                </c:pt>
                <c:pt idx="11">
                  <c:v>36109</c:v>
                </c:pt>
                <c:pt idx="12">
                  <c:v>36110</c:v>
                </c:pt>
                <c:pt idx="13">
                  <c:v>36111</c:v>
                </c:pt>
                <c:pt idx="14">
                  <c:v>36112</c:v>
                </c:pt>
                <c:pt idx="15">
                  <c:v>36115</c:v>
                </c:pt>
                <c:pt idx="16">
                  <c:v>36116</c:v>
                </c:pt>
                <c:pt idx="17">
                  <c:v>36117</c:v>
                </c:pt>
                <c:pt idx="18">
                  <c:v>36118</c:v>
                </c:pt>
                <c:pt idx="19">
                  <c:v>36119</c:v>
                </c:pt>
                <c:pt idx="20">
                  <c:v>36122</c:v>
                </c:pt>
                <c:pt idx="21">
                  <c:v>36123</c:v>
                </c:pt>
                <c:pt idx="22">
                  <c:v>36124</c:v>
                </c:pt>
                <c:pt idx="23">
                  <c:v>36126</c:v>
                </c:pt>
                <c:pt idx="24">
                  <c:v>36129</c:v>
                </c:pt>
                <c:pt idx="25">
                  <c:v>36130</c:v>
                </c:pt>
                <c:pt idx="26">
                  <c:v>36131</c:v>
                </c:pt>
                <c:pt idx="27">
                  <c:v>36132</c:v>
                </c:pt>
                <c:pt idx="28">
                  <c:v>36133</c:v>
                </c:pt>
                <c:pt idx="29">
                  <c:v>36136</c:v>
                </c:pt>
                <c:pt idx="30">
                  <c:v>36137</c:v>
                </c:pt>
                <c:pt idx="31">
                  <c:v>36138</c:v>
                </c:pt>
                <c:pt idx="32">
                  <c:v>36139</c:v>
                </c:pt>
                <c:pt idx="33">
                  <c:v>36140</c:v>
                </c:pt>
                <c:pt idx="34">
                  <c:v>36143</c:v>
                </c:pt>
                <c:pt idx="35">
                  <c:v>36144</c:v>
                </c:pt>
                <c:pt idx="36">
                  <c:v>36145</c:v>
                </c:pt>
                <c:pt idx="37">
                  <c:v>36146</c:v>
                </c:pt>
                <c:pt idx="38">
                  <c:v>36147</c:v>
                </c:pt>
                <c:pt idx="39">
                  <c:v>36150</c:v>
                </c:pt>
                <c:pt idx="40">
                  <c:v>36151</c:v>
                </c:pt>
                <c:pt idx="41">
                  <c:v>36152</c:v>
                </c:pt>
                <c:pt idx="42">
                  <c:v>36153</c:v>
                </c:pt>
                <c:pt idx="43">
                  <c:v>36157</c:v>
                </c:pt>
                <c:pt idx="44">
                  <c:v>36158</c:v>
                </c:pt>
                <c:pt idx="45">
                  <c:v>36159</c:v>
                </c:pt>
                <c:pt idx="46">
                  <c:v>36160</c:v>
                </c:pt>
                <c:pt idx="47">
                  <c:v>36164</c:v>
                </c:pt>
                <c:pt idx="48">
                  <c:v>36165</c:v>
                </c:pt>
                <c:pt idx="49">
                  <c:v>36166</c:v>
                </c:pt>
                <c:pt idx="50">
                  <c:v>36167</c:v>
                </c:pt>
                <c:pt idx="51">
                  <c:v>36168</c:v>
                </c:pt>
                <c:pt idx="52">
                  <c:v>36171</c:v>
                </c:pt>
                <c:pt idx="53">
                  <c:v>36172</c:v>
                </c:pt>
                <c:pt idx="54">
                  <c:v>36173</c:v>
                </c:pt>
                <c:pt idx="55">
                  <c:v>36174</c:v>
                </c:pt>
                <c:pt idx="56">
                  <c:v>36175</c:v>
                </c:pt>
                <c:pt idx="57">
                  <c:v>36179</c:v>
                </c:pt>
                <c:pt idx="58">
                  <c:v>36180</c:v>
                </c:pt>
                <c:pt idx="59">
                  <c:v>36181</c:v>
                </c:pt>
                <c:pt idx="60">
                  <c:v>36182</c:v>
                </c:pt>
                <c:pt idx="61">
                  <c:v>36185</c:v>
                </c:pt>
                <c:pt idx="62">
                  <c:v>36186</c:v>
                </c:pt>
                <c:pt idx="63">
                  <c:v>36187</c:v>
                </c:pt>
                <c:pt idx="64">
                  <c:v>36188</c:v>
                </c:pt>
                <c:pt idx="65">
                  <c:v>36189</c:v>
                </c:pt>
                <c:pt idx="66">
                  <c:v>36192</c:v>
                </c:pt>
                <c:pt idx="67">
                  <c:v>36193</c:v>
                </c:pt>
                <c:pt idx="68">
                  <c:v>36194</c:v>
                </c:pt>
                <c:pt idx="69">
                  <c:v>36195</c:v>
                </c:pt>
                <c:pt idx="70">
                  <c:v>36196</c:v>
                </c:pt>
                <c:pt idx="71">
                  <c:v>36199</c:v>
                </c:pt>
                <c:pt idx="72">
                  <c:v>36200</c:v>
                </c:pt>
                <c:pt idx="73">
                  <c:v>36201</c:v>
                </c:pt>
                <c:pt idx="74">
                  <c:v>36202</c:v>
                </c:pt>
                <c:pt idx="75">
                  <c:v>36203</c:v>
                </c:pt>
                <c:pt idx="76">
                  <c:v>36207</c:v>
                </c:pt>
                <c:pt idx="77">
                  <c:v>36208</c:v>
                </c:pt>
                <c:pt idx="78">
                  <c:v>36209</c:v>
                </c:pt>
                <c:pt idx="79">
                  <c:v>36210</c:v>
                </c:pt>
                <c:pt idx="80">
                  <c:v>36213</c:v>
                </c:pt>
                <c:pt idx="81">
                  <c:v>36214</c:v>
                </c:pt>
                <c:pt idx="82">
                  <c:v>36215</c:v>
                </c:pt>
                <c:pt idx="83">
                  <c:v>36216</c:v>
                </c:pt>
                <c:pt idx="84">
                  <c:v>36217</c:v>
                </c:pt>
                <c:pt idx="85">
                  <c:v>36220</c:v>
                </c:pt>
                <c:pt idx="86">
                  <c:v>36221</c:v>
                </c:pt>
                <c:pt idx="87">
                  <c:v>36222</c:v>
                </c:pt>
                <c:pt idx="88">
                  <c:v>36223</c:v>
                </c:pt>
                <c:pt idx="89">
                  <c:v>36224</c:v>
                </c:pt>
                <c:pt idx="90">
                  <c:v>36227</c:v>
                </c:pt>
                <c:pt idx="91">
                  <c:v>36228</c:v>
                </c:pt>
                <c:pt idx="92">
                  <c:v>36229</c:v>
                </c:pt>
                <c:pt idx="93">
                  <c:v>36230</c:v>
                </c:pt>
                <c:pt idx="94">
                  <c:v>36231</c:v>
                </c:pt>
                <c:pt idx="95">
                  <c:v>36234</c:v>
                </c:pt>
                <c:pt idx="96">
                  <c:v>36235</c:v>
                </c:pt>
                <c:pt idx="97">
                  <c:v>36236</c:v>
                </c:pt>
                <c:pt idx="98">
                  <c:v>36237</c:v>
                </c:pt>
                <c:pt idx="99">
                  <c:v>36238</c:v>
                </c:pt>
                <c:pt idx="100">
                  <c:v>36241</c:v>
                </c:pt>
                <c:pt idx="101">
                  <c:v>36242</c:v>
                </c:pt>
                <c:pt idx="102">
                  <c:v>36243</c:v>
                </c:pt>
                <c:pt idx="103">
                  <c:v>36244</c:v>
                </c:pt>
                <c:pt idx="104">
                  <c:v>36245</c:v>
                </c:pt>
                <c:pt idx="105">
                  <c:v>36248</c:v>
                </c:pt>
                <c:pt idx="106">
                  <c:v>36249</c:v>
                </c:pt>
                <c:pt idx="107">
                  <c:v>36250</c:v>
                </c:pt>
                <c:pt idx="108">
                  <c:v>36251</c:v>
                </c:pt>
                <c:pt idx="109">
                  <c:v>36255</c:v>
                </c:pt>
                <c:pt idx="110">
                  <c:v>36256</c:v>
                </c:pt>
                <c:pt idx="111">
                  <c:v>36257</c:v>
                </c:pt>
                <c:pt idx="112">
                  <c:v>36258</c:v>
                </c:pt>
                <c:pt idx="113">
                  <c:v>36259</c:v>
                </c:pt>
                <c:pt idx="114">
                  <c:v>36262</c:v>
                </c:pt>
                <c:pt idx="115">
                  <c:v>36263</c:v>
                </c:pt>
                <c:pt idx="116">
                  <c:v>36264</c:v>
                </c:pt>
                <c:pt idx="117">
                  <c:v>36265</c:v>
                </c:pt>
                <c:pt idx="118">
                  <c:v>36266</c:v>
                </c:pt>
                <c:pt idx="119">
                  <c:v>36269</c:v>
                </c:pt>
                <c:pt idx="120">
                  <c:v>36270</c:v>
                </c:pt>
                <c:pt idx="121">
                  <c:v>36271</c:v>
                </c:pt>
                <c:pt idx="122">
                  <c:v>36272</c:v>
                </c:pt>
                <c:pt idx="123">
                  <c:v>36273</c:v>
                </c:pt>
                <c:pt idx="124">
                  <c:v>36276</c:v>
                </c:pt>
                <c:pt idx="125">
                  <c:v>36277</c:v>
                </c:pt>
                <c:pt idx="126">
                  <c:v>36278</c:v>
                </c:pt>
                <c:pt idx="127">
                  <c:v>36279</c:v>
                </c:pt>
                <c:pt idx="128">
                  <c:v>36280</c:v>
                </c:pt>
                <c:pt idx="129">
                  <c:v>36283</c:v>
                </c:pt>
                <c:pt idx="130">
                  <c:v>36284</c:v>
                </c:pt>
                <c:pt idx="131">
                  <c:v>36285</c:v>
                </c:pt>
                <c:pt idx="132">
                  <c:v>36286</c:v>
                </c:pt>
                <c:pt idx="133">
                  <c:v>36287</c:v>
                </c:pt>
                <c:pt idx="134">
                  <c:v>36290</c:v>
                </c:pt>
                <c:pt idx="135">
                  <c:v>36291</c:v>
                </c:pt>
                <c:pt idx="136">
                  <c:v>36292</c:v>
                </c:pt>
                <c:pt idx="137">
                  <c:v>36293</c:v>
                </c:pt>
                <c:pt idx="138">
                  <c:v>36294</c:v>
                </c:pt>
                <c:pt idx="139">
                  <c:v>36297</c:v>
                </c:pt>
                <c:pt idx="140">
                  <c:v>36298</c:v>
                </c:pt>
                <c:pt idx="141">
                  <c:v>36299</c:v>
                </c:pt>
                <c:pt idx="142">
                  <c:v>36300</c:v>
                </c:pt>
                <c:pt idx="143">
                  <c:v>36301</c:v>
                </c:pt>
                <c:pt idx="144">
                  <c:v>36304</c:v>
                </c:pt>
                <c:pt idx="145">
                  <c:v>36305</c:v>
                </c:pt>
                <c:pt idx="146">
                  <c:v>36306</c:v>
                </c:pt>
                <c:pt idx="147">
                  <c:v>36307</c:v>
                </c:pt>
                <c:pt idx="148">
                  <c:v>36308</c:v>
                </c:pt>
                <c:pt idx="149">
                  <c:v>36312</c:v>
                </c:pt>
                <c:pt idx="150">
                  <c:v>36313</c:v>
                </c:pt>
                <c:pt idx="151">
                  <c:v>36314</c:v>
                </c:pt>
                <c:pt idx="152">
                  <c:v>36315</c:v>
                </c:pt>
                <c:pt idx="153">
                  <c:v>36318</c:v>
                </c:pt>
                <c:pt idx="154">
                  <c:v>36319</c:v>
                </c:pt>
                <c:pt idx="155">
                  <c:v>36320</c:v>
                </c:pt>
                <c:pt idx="156">
                  <c:v>36321</c:v>
                </c:pt>
                <c:pt idx="157">
                  <c:v>36322</c:v>
                </c:pt>
                <c:pt idx="158">
                  <c:v>36325</c:v>
                </c:pt>
                <c:pt idx="159">
                  <c:v>36326</c:v>
                </c:pt>
                <c:pt idx="160">
                  <c:v>36327</c:v>
                </c:pt>
                <c:pt idx="161">
                  <c:v>36328</c:v>
                </c:pt>
                <c:pt idx="162">
                  <c:v>36329</c:v>
                </c:pt>
                <c:pt idx="163">
                  <c:v>36332</c:v>
                </c:pt>
                <c:pt idx="164">
                  <c:v>36333</c:v>
                </c:pt>
                <c:pt idx="165">
                  <c:v>36334</c:v>
                </c:pt>
                <c:pt idx="166">
                  <c:v>36335</c:v>
                </c:pt>
                <c:pt idx="167">
                  <c:v>36336</c:v>
                </c:pt>
                <c:pt idx="168">
                  <c:v>36339</c:v>
                </c:pt>
                <c:pt idx="169">
                  <c:v>36340</c:v>
                </c:pt>
                <c:pt idx="170">
                  <c:v>36341</c:v>
                </c:pt>
                <c:pt idx="171">
                  <c:v>36342</c:v>
                </c:pt>
                <c:pt idx="172">
                  <c:v>36343</c:v>
                </c:pt>
                <c:pt idx="173">
                  <c:v>36347</c:v>
                </c:pt>
                <c:pt idx="174">
                  <c:v>36348</c:v>
                </c:pt>
                <c:pt idx="175">
                  <c:v>36349</c:v>
                </c:pt>
                <c:pt idx="176">
                  <c:v>36350</c:v>
                </c:pt>
                <c:pt idx="177">
                  <c:v>36353</c:v>
                </c:pt>
                <c:pt idx="178">
                  <c:v>36354</c:v>
                </c:pt>
                <c:pt idx="179">
                  <c:v>36355</c:v>
                </c:pt>
                <c:pt idx="180">
                  <c:v>36356</c:v>
                </c:pt>
                <c:pt idx="181">
                  <c:v>36357</c:v>
                </c:pt>
                <c:pt idx="182">
                  <c:v>36360</c:v>
                </c:pt>
                <c:pt idx="183">
                  <c:v>36361</c:v>
                </c:pt>
                <c:pt idx="184">
                  <c:v>36362</c:v>
                </c:pt>
                <c:pt idx="185">
                  <c:v>36363</c:v>
                </c:pt>
                <c:pt idx="186">
                  <c:v>36364</c:v>
                </c:pt>
                <c:pt idx="187">
                  <c:v>36367</c:v>
                </c:pt>
                <c:pt idx="188">
                  <c:v>36368</c:v>
                </c:pt>
                <c:pt idx="189">
                  <c:v>36369</c:v>
                </c:pt>
                <c:pt idx="190">
                  <c:v>36370</c:v>
                </c:pt>
                <c:pt idx="191">
                  <c:v>36371</c:v>
                </c:pt>
                <c:pt idx="192">
                  <c:v>36374</c:v>
                </c:pt>
                <c:pt idx="193">
                  <c:v>36375</c:v>
                </c:pt>
                <c:pt idx="194">
                  <c:v>36376</c:v>
                </c:pt>
                <c:pt idx="195">
                  <c:v>36377</c:v>
                </c:pt>
                <c:pt idx="196">
                  <c:v>36378</c:v>
                </c:pt>
                <c:pt idx="197">
                  <c:v>36381</c:v>
                </c:pt>
                <c:pt idx="198">
                  <c:v>36382</c:v>
                </c:pt>
                <c:pt idx="199">
                  <c:v>36383</c:v>
                </c:pt>
                <c:pt idx="200">
                  <c:v>36384</c:v>
                </c:pt>
                <c:pt idx="201">
                  <c:v>36385</c:v>
                </c:pt>
                <c:pt idx="202">
                  <c:v>36388</c:v>
                </c:pt>
                <c:pt idx="203">
                  <c:v>36389</c:v>
                </c:pt>
                <c:pt idx="204">
                  <c:v>36390</c:v>
                </c:pt>
                <c:pt idx="205">
                  <c:v>36391</c:v>
                </c:pt>
                <c:pt idx="206">
                  <c:v>36392</c:v>
                </c:pt>
                <c:pt idx="207">
                  <c:v>36395</c:v>
                </c:pt>
                <c:pt idx="208">
                  <c:v>36396</c:v>
                </c:pt>
                <c:pt idx="209">
                  <c:v>36397</c:v>
                </c:pt>
                <c:pt idx="210">
                  <c:v>36398</c:v>
                </c:pt>
                <c:pt idx="211">
                  <c:v>36399</c:v>
                </c:pt>
                <c:pt idx="212">
                  <c:v>36402</c:v>
                </c:pt>
                <c:pt idx="213">
                  <c:v>36403</c:v>
                </c:pt>
                <c:pt idx="214">
                  <c:v>36404</c:v>
                </c:pt>
                <c:pt idx="215">
                  <c:v>36405</c:v>
                </c:pt>
                <c:pt idx="216">
                  <c:v>36406</c:v>
                </c:pt>
                <c:pt idx="217">
                  <c:v>36410</c:v>
                </c:pt>
                <c:pt idx="218">
                  <c:v>36411</c:v>
                </c:pt>
                <c:pt idx="219">
                  <c:v>36412</c:v>
                </c:pt>
                <c:pt idx="220">
                  <c:v>36413</c:v>
                </c:pt>
                <c:pt idx="221">
                  <c:v>36416</c:v>
                </c:pt>
                <c:pt idx="222">
                  <c:v>36417</c:v>
                </c:pt>
                <c:pt idx="223">
                  <c:v>36418</c:v>
                </c:pt>
                <c:pt idx="224">
                  <c:v>36419</c:v>
                </c:pt>
                <c:pt idx="225">
                  <c:v>36420</c:v>
                </c:pt>
                <c:pt idx="226">
                  <c:v>36423</c:v>
                </c:pt>
                <c:pt idx="227">
                  <c:v>36424</c:v>
                </c:pt>
                <c:pt idx="228">
                  <c:v>36425</c:v>
                </c:pt>
                <c:pt idx="229">
                  <c:v>36426</c:v>
                </c:pt>
                <c:pt idx="230">
                  <c:v>36427</c:v>
                </c:pt>
                <c:pt idx="231">
                  <c:v>36430</c:v>
                </c:pt>
                <c:pt idx="232">
                  <c:v>36431</c:v>
                </c:pt>
                <c:pt idx="233">
                  <c:v>36432</c:v>
                </c:pt>
                <c:pt idx="234">
                  <c:v>36433</c:v>
                </c:pt>
                <c:pt idx="235">
                  <c:v>36434</c:v>
                </c:pt>
                <c:pt idx="236">
                  <c:v>36437</c:v>
                </c:pt>
                <c:pt idx="237">
                  <c:v>36438</c:v>
                </c:pt>
                <c:pt idx="238">
                  <c:v>36439</c:v>
                </c:pt>
                <c:pt idx="239">
                  <c:v>36440</c:v>
                </c:pt>
                <c:pt idx="240">
                  <c:v>36441</c:v>
                </c:pt>
                <c:pt idx="241">
                  <c:v>36444</c:v>
                </c:pt>
                <c:pt idx="242">
                  <c:v>36445</c:v>
                </c:pt>
                <c:pt idx="243">
                  <c:v>36446</c:v>
                </c:pt>
                <c:pt idx="244">
                  <c:v>36447</c:v>
                </c:pt>
                <c:pt idx="245">
                  <c:v>36448</c:v>
                </c:pt>
                <c:pt idx="246">
                  <c:v>36451</c:v>
                </c:pt>
                <c:pt idx="247">
                  <c:v>36452</c:v>
                </c:pt>
                <c:pt idx="248">
                  <c:v>36453</c:v>
                </c:pt>
                <c:pt idx="249">
                  <c:v>36454</c:v>
                </c:pt>
                <c:pt idx="250">
                  <c:v>36455</c:v>
                </c:pt>
                <c:pt idx="251">
                  <c:v>36458</c:v>
                </c:pt>
                <c:pt idx="252">
                  <c:v>36459</c:v>
                </c:pt>
              </c:numCache>
            </c:numRef>
          </c:xVal>
          <c:yVal>
            <c:numRef>
              <c:f>Data!$D$5:$D$257</c:f>
              <c:numCache>
                <c:formatCode>General</c:formatCode>
                <c:ptCount val="253"/>
                <c:pt idx="0">
                  <c:v>48.646000000000001</c:v>
                </c:pt>
                <c:pt idx="1">
                  <c:v>49.130099999999999</c:v>
                </c:pt>
                <c:pt idx="2">
                  <c:v>49.823700000000002</c:v>
                </c:pt>
                <c:pt idx="3">
                  <c:v>50.190100000000001</c:v>
                </c:pt>
                <c:pt idx="4">
                  <c:v>52.998699999999999</c:v>
                </c:pt>
                <c:pt idx="5">
                  <c:v>53.181899999999999</c:v>
                </c:pt>
                <c:pt idx="6">
                  <c:v>52.021799999999999</c:v>
                </c:pt>
                <c:pt idx="7">
                  <c:v>52.7545</c:v>
                </c:pt>
                <c:pt idx="8">
                  <c:v>52.388199999999998</c:v>
                </c:pt>
                <c:pt idx="9">
                  <c:v>52.693399999999997</c:v>
                </c:pt>
                <c:pt idx="10">
                  <c:v>51.7776</c:v>
                </c:pt>
                <c:pt idx="11">
                  <c:v>52.693399999999997</c:v>
                </c:pt>
                <c:pt idx="12">
                  <c:v>52.632399999999997</c:v>
                </c:pt>
                <c:pt idx="13">
                  <c:v>50.800600000000003</c:v>
                </c:pt>
                <c:pt idx="14">
                  <c:v>52.143900000000002</c:v>
                </c:pt>
                <c:pt idx="15">
                  <c:v>53.365099999999998</c:v>
                </c:pt>
                <c:pt idx="16">
                  <c:v>53.548299999999998</c:v>
                </c:pt>
                <c:pt idx="17">
                  <c:v>53.609299999999998</c:v>
                </c:pt>
                <c:pt idx="18">
                  <c:v>53.120899999999999</c:v>
                </c:pt>
                <c:pt idx="19">
                  <c:v>54.097799999999999</c:v>
                </c:pt>
                <c:pt idx="20">
                  <c:v>54.464100000000002</c:v>
                </c:pt>
                <c:pt idx="21">
                  <c:v>53.975700000000003</c:v>
                </c:pt>
                <c:pt idx="22">
                  <c:v>53.548299999999998</c:v>
                </c:pt>
                <c:pt idx="23">
                  <c:v>53.8536</c:v>
                </c:pt>
                <c:pt idx="24">
                  <c:v>53.792499999999997</c:v>
                </c:pt>
                <c:pt idx="25">
                  <c:v>56.784399999999998</c:v>
                </c:pt>
                <c:pt idx="26">
                  <c:v>55.135800000000003</c:v>
                </c:pt>
                <c:pt idx="27">
                  <c:v>53.8536</c:v>
                </c:pt>
                <c:pt idx="28">
                  <c:v>55.0747</c:v>
                </c:pt>
                <c:pt idx="29">
                  <c:v>55.196800000000003</c:v>
                </c:pt>
                <c:pt idx="30">
                  <c:v>53.670400000000001</c:v>
                </c:pt>
                <c:pt idx="31">
                  <c:v>53.548299999999998</c:v>
                </c:pt>
                <c:pt idx="32">
                  <c:v>52.815600000000003</c:v>
                </c:pt>
                <c:pt idx="33">
                  <c:v>53.609299999999998</c:v>
                </c:pt>
                <c:pt idx="34">
                  <c:v>51.167000000000002</c:v>
                </c:pt>
                <c:pt idx="35">
                  <c:v>53.120899999999999</c:v>
                </c:pt>
                <c:pt idx="36">
                  <c:v>54.341999999999999</c:v>
                </c:pt>
                <c:pt idx="37">
                  <c:v>55.685299999999998</c:v>
                </c:pt>
                <c:pt idx="38">
                  <c:v>55.563200000000002</c:v>
                </c:pt>
                <c:pt idx="39">
                  <c:v>54.097799999999999</c:v>
                </c:pt>
                <c:pt idx="40">
                  <c:v>54.586300000000001</c:v>
                </c:pt>
                <c:pt idx="41">
                  <c:v>57.028599999999997</c:v>
                </c:pt>
                <c:pt idx="42">
                  <c:v>57.517099999999999</c:v>
                </c:pt>
                <c:pt idx="43">
                  <c:v>58.188699999999997</c:v>
                </c:pt>
                <c:pt idx="44">
                  <c:v>57.883400000000002</c:v>
                </c:pt>
                <c:pt idx="45">
                  <c:v>56.784399999999998</c:v>
                </c:pt>
                <c:pt idx="46">
                  <c:v>57.3339</c:v>
                </c:pt>
                <c:pt idx="47">
                  <c:v>56.417999999999999</c:v>
                </c:pt>
                <c:pt idx="48">
                  <c:v>58.127699999999997</c:v>
                </c:pt>
                <c:pt idx="49">
                  <c:v>60.325800000000001</c:v>
                </c:pt>
                <c:pt idx="50">
                  <c:v>60.386800000000001</c:v>
                </c:pt>
                <c:pt idx="51">
                  <c:v>63.500799999999998</c:v>
                </c:pt>
                <c:pt idx="52">
                  <c:v>63.012300000000003</c:v>
                </c:pt>
                <c:pt idx="53">
                  <c:v>61.424799999999998</c:v>
                </c:pt>
                <c:pt idx="54">
                  <c:v>59.959400000000002</c:v>
                </c:pt>
                <c:pt idx="55">
                  <c:v>58.982500000000002</c:v>
                </c:pt>
                <c:pt idx="56">
                  <c:v>60.57</c:v>
                </c:pt>
                <c:pt idx="57">
                  <c:v>62.462800000000001</c:v>
                </c:pt>
                <c:pt idx="58">
                  <c:v>63.195500000000003</c:v>
                </c:pt>
                <c:pt idx="59">
                  <c:v>60.631</c:v>
                </c:pt>
                <c:pt idx="60">
                  <c:v>59.4709</c:v>
                </c:pt>
                <c:pt idx="61">
                  <c:v>59.5931</c:v>
                </c:pt>
                <c:pt idx="62">
                  <c:v>60.386800000000001</c:v>
                </c:pt>
                <c:pt idx="63">
                  <c:v>59.363199999999999</c:v>
                </c:pt>
                <c:pt idx="64">
                  <c:v>61.516300000000001</c:v>
                </c:pt>
                <c:pt idx="65">
                  <c:v>60.470500000000001</c:v>
                </c:pt>
                <c:pt idx="66">
                  <c:v>59.793799999999997</c:v>
                </c:pt>
                <c:pt idx="67">
                  <c:v>58.071300000000001</c:v>
                </c:pt>
                <c:pt idx="68">
                  <c:v>59.424700000000001</c:v>
                </c:pt>
                <c:pt idx="69">
                  <c:v>56.902500000000003</c:v>
                </c:pt>
                <c:pt idx="70">
                  <c:v>56.3489</c:v>
                </c:pt>
                <c:pt idx="71">
                  <c:v>57.763800000000003</c:v>
                </c:pt>
                <c:pt idx="72">
                  <c:v>56.594999999999999</c:v>
                </c:pt>
                <c:pt idx="73">
                  <c:v>57.886800000000001</c:v>
                </c:pt>
                <c:pt idx="74">
                  <c:v>59.178600000000003</c:v>
                </c:pt>
                <c:pt idx="75">
                  <c:v>56.963999999999999</c:v>
                </c:pt>
                <c:pt idx="76">
                  <c:v>56.5334</c:v>
                </c:pt>
                <c:pt idx="77">
                  <c:v>58.194400000000002</c:v>
                </c:pt>
                <c:pt idx="78">
                  <c:v>59.117100000000001</c:v>
                </c:pt>
                <c:pt idx="79">
                  <c:v>57.886800000000001</c:v>
                </c:pt>
                <c:pt idx="80">
                  <c:v>59.486199999999997</c:v>
                </c:pt>
                <c:pt idx="81">
                  <c:v>58.317399999999999</c:v>
                </c:pt>
                <c:pt idx="82">
                  <c:v>58.563499999999998</c:v>
                </c:pt>
                <c:pt idx="83">
                  <c:v>58.625</c:v>
                </c:pt>
                <c:pt idx="84">
                  <c:v>58.378900000000002</c:v>
                </c:pt>
                <c:pt idx="85">
                  <c:v>57.456200000000003</c:v>
                </c:pt>
                <c:pt idx="86">
                  <c:v>56.225900000000003</c:v>
                </c:pt>
                <c:pt idx="87">
                  <c:v>55.918300000000002</c:v>
                </c:pt>
                <c:pt idx="88">
                  <c:v>57.456200000000003</c:v>
                </c:pt>
                <c:pt idx="89">
                  <c:v>59.178600000000003</c:v>
                </c:pt>
                <c:pt idx="90">
                  <c:v>59.117100000000001</c:v>
                </c:pt>
                <c:pt idx="91">
                  <c:v>56.841000000000001</c:v>
                </c:pt>
                <c:pt idx="92">
                  <c:v>55.979799999999997</c:v>
                </c:pt>
                <c:pt idx="93">
                  <c:v>57.025599999999997</c:v>
                </c:pt>
                <c:pt idx="94">
                  <c:v>57.025599999999997</c:v>
                </c:pt>
                <c:pt idx="95">
                  <c:v>57.5792</c:v>
                </c:pt>
                <c:pt idx="96">
                  <c:v>57.025599999999997</c:v>
                </c:pt>
                <c:pt idx="97">
                  <c:v>56.471899999999998</c:v>
                </c:pt>
                <c:pt idx="98">
                  <c:v>57.3947</c:v>
                </c:pt>
                <c:pt idx="99">
                  <c:v>57.640700000000002</c:v>
                </c:pt>
                <c:pt idx="100">
                  <c:v>58.317399999999999</c:v>
                </c:pt>
                <c:pt idx="101">
                  <c:v>55.979799999999997</c:v>
                </c:pt>
                <c:pt idx="102">
                  <c:v>55.303100000000001</c:v>
                </c:pt>
                <c:pt idx="103">
                  <c:v>57.456200000000003</c:v>
                </c:pt>
                <c:pt idx="104">
                  <c:v>56.0413</c:v>
                </c:pt>
                <c:pt idx="105">
                  <c:v>56.225900000000003</c:v>
                </c:pt>
                <c:pt idx="106">
                  <c:v>55.733699999999999</c:v>
                </c:pt>
                <c:pt idx="107">
                  <c:v>55.795200000000001</c:v>
                </c:pt>
                <c:pt idx="108">
                  <c:v>55.610700000000001</c:v>
                </c:pt>
                <c:pt idx="109">
                  <c:v>57.3947</c:v>
                </c:pt>
                <c:pt idx="110">
                  <c:v>57.333100000000002</c:v>
                </c:pt>
                <c:pt idx="111">
                  <c:v>59.793799999999997</c:v>
                </c:pt>
                <c:pt idx="112">
                  <c:v>59.916800000000002</c:v>
                </c:pt>
                <c:pt idx="113">
                  <c:v>59.609200000000001</c:v>
                </c:pt>
                <c:pt idx="114">
                  <c:v>60.531999999999996</c:v>
                </c:pt>
                <c:pt idx="115">
                  <c:v>62.192900000000002</c:v>
                </c:pt>
                <c:pt idx="116">
                  <c:v>61.762300000000003</c:v>
                </c:pt>
                <c:pt idx="117">
                  <c:v>61.823799999999999</c:v>
                </c:pt>
                <c:pt idx="118">
                  <c:v>63.853900000000003</c:v>
                </c:pt>
                <c:pt idx="119">
                  <c:v>63.976900000000001</c:v>
                </c:pt>
                <c:pt idx="120">
                  <c:v>62.869599999999998</c:v>
                </c:pt>
                <c:pt idx="121">
                  <c:v>62.992600000000003</c:v>
                </c:pt>
                <c:pt idx="122">
                  <c:v>62.992600000000003</c:v>
                </c:pt>
                <c:pt idx="123">
                  <c:v>62.746600000000001</c:v>
                </c:pt>
                <c:pt idx="124">
                  <c:v>63.177199999999999</c:v>
                </c:pt>
                <c:pt idx="125">
                  <c:v>63.054200000000002</c:v>
                </c:pt>
                <c:pt idx="126">
                  <c:v>63.115699999999997</c:v>
                </c:pt>
                <c:pt idx="127">
                  <c:v>65.058800000000005</c:v>
                </c:pt>
                <c:pt idx="128">
                  <c:v>63.385800000000003</c:v>
                </c:pt>
                <c:pt idx="129">
                  <c:v>66.112099999999998</c:v>
                </c:pt>
                <c:pt idx="130">
                  <c:v>63.5717</c:v>
                </c:pt>
                <c:pt idx="131">
                  <c:v>63.819499999999998</c:v>
                </c:pt>
                <c:pt idx="132">
                  <c:v>61.960700000000003</c:v>
                </c:pt>
                <c:pt idx="133">
                  <c:v>64.315200000000004</c:v>
                </c:pt>
                <c:pt idx="134">
                  <c:v>63.509700000000002</c:v>
                </c:pt>
                <c:pt idx="135">
                  <c:v>63.509700000000002</c:v>
                </c:pt>
                <c:pt idx="136">
                  <c:v>63.9435</c:v>
                </c:pt>
                <c:pt idx="137">
                  <c:v>62.952100000000002</c:v>
                </c:pt>
                <c:pt idx="138">
                  <c:v>60.2258</c:v>
                </c:pt>
                <c:pt idx="139">
                  <c:v>57.065800000000003</c:v>
                </c:pt>
                <c:pt idx="140">
                  <c:v>57.809399999999997</c:v>
                </c:pt>
                <c:pt idx="141">
                  <c:v>57.189799999999998</c:v>
                </c:pt>
                <c:pt idx="142">
                  <c:v>57.437600000000003</c:v>
                </c:pt>
                <c:pt idx="143">
                  <c:v>57.747399999999999</c:v>
                </c:pt>
                <c:pt idx="144">
                  <c:v>55.640700000000002</c:v>
                </c:pt>
                <c:pt idx="145">
                  <c:v>56.198399999999999</c:v>
                </c:pt>
                <c:pt idx="146">
                  <c:v>57.127800000000001</c:v>
                </c:pt>
                <c:pt idx="147">
                  <c:v>55.578800000000001</c:v>
                </c:pt>
                <c:pt idx="148">
                  <c:v>56.632100000000001</c:v>
                </c:pt>
                <c:pt idx="149">
                  <c:v>57.003900000000002</c:v>
                </c:pt>
                <c:pt idx="150">
                  <c:v>56.012500000000003</c:v>
                </c:pt>
                <c:pt idx="151">
                  <c:v>56.136400000000002</c:v>
                </c:pt>
                <c:pt idx="152">
                  <c:v>55.826599999999999</c:v>
                </c:pt>
                <c:pt idx="153">
                  <c:v>56.508200000000002</c:v>
                </c:pt>
                <c:pt idx="154">
                  <c:v>55.516800000000003</c:v>
                </c:pt>
                <c:pt idx="155">
                  <c:v>54.773299999999999</c:v>
                </c:pt>
                <c:pt idx="156">
                  <c:v>54.525399999999998</c:v>
                </c:pt>
                <c:pt idx="157">
                  <c:v>53.905799999999999</c:v>
                </c:pt>
                <c:pt idx="158">
                  <c:v>53.038400000000003</c:v>
                </c:pt>
                <c:pt idx="159">
                  <c:v>52.480699999999999</c:v>
                </c:pt>
                <c:pt idx="160">
                  <c:v>54.339599999999997</c:v>
                </c:pt>
                <c:pt idx="161">
                  <c:v>54.153700000000001</c:v>
                </c:pt>
                <c:pt idx="162">
                  <c:v>54.587400000000002</c:v>
                </c:pt>
                <c:pt idx="163">
                  <c:v>54.463500000000003</c:v>
                </c:pt>
                <c:pt idx="164">
                  <c:v>54.339599999999997</c:v>
                </c:pt>
                <c:pt idx="165">
                  <c:v>52.418799999999997</c:v>
                </c:pt>
                <c:pt idx="166">
                  <c:v>53.4101</c:v>
                </c:pt>
                <c:pt idx="167">
                  <c:v>52.976399999999998</c:v>
                </c:pt>
                <c:pt idx="168">
                  <c:v>52.666600000000003</c:v>
                </c:pt>
                <c:pt idx="169">
                  <c:v>53.100299999999997</c:v>
                </c:pt>
                <c:pt idx="170">
                  <c:v>55.950499999999998</c:v>
                </c:pt>
                <c:pt idx="171">
                  <c:v>58.057200000000002</c:v>
                </c:pt>
                <c:pt idx="172">
                  <c:v>56.941899999999997</c:v>
                </c:pt>
                <c:pt idx="173">
                  <c:v>57.189799999999998</c:v>
                </c:pt>
                <c:pt idx="174">
                  <c:v>57.003900000000002</c:v>
                </c:pt>
                <c:pt idx="175">
                  <c:v>56.012500000000003</c:v>
                </c:pt>
                <c:pt idx="176">
                  <c:v>55.516800000000003</c:v>
                </c:pt>
                <c:pt idx="177">
                  <c:v>55.268999999999998</c:v>
                </c:pt>
                <c:pt idx="178">
                  <c:v>53.038400000000003</c:v>
                </c:pt>
                <c:pt idx="179">
                  <c:v>52.480699999999999</c:v>
                </c:pt>
                <c:pt idx="180">
                  <c:v>53.038400000000003</c:v>
                </c:pt>
                <c:pt idx="181">
                  <c:v>53.595999999999997</c:v>
                </c:pt>
                <c:pt idx="182">
                  <c:v>53.472099999999998</c:v>
                </c:pt>
                <c:pt idx="183">
                  <c:v>52.7286</c:v>
                </c:pt>
                <c:pt idx="184">
                  <c:v>53.905799999999999</c:v>
                </c:pt>
                <c:pt idx="185">
                  <c:v>53.472099999999998</c:v>
                </c:pt>
                <c:pt idx="186">
                  <c:v>52.976399999999998</c:v>
                </c:pt>
                <c:pt idx="187">
                  <c:v>52.604700000000001</c:v>
                </c:pt>
                <c:pt idx="188">
                  <c:v>52.914499999999997</c:v>
                </c:pt>
                <c:pt idx="189">
                  <c:v>52.852499999999999</c:v>
                </c:pt>
                <c:pt idx="190">
                  <c:v>52</c:v>
                </c:pt>
                <c:pt idx="191">
                  <c:v>48.5</c:v>
                </c:pt>
                <c:pt idx="192">
                  <c:v>49.375</c:v>
                </c:pt>
                <c:pt idx="193">
                  <c:v>50.0625</c:v>
                </c:pt>
                <c:pt idx="194">
                  <c:v>49.125</c:v>
                </c:pt>
                <c:pt idx="195">
                  <c:v>48.875</c:v>
                </c:pt>
                <c:pt idx="196">
                  <c:v>48.125</c:v>
                </c:pt>
                <c:pt idx="197">
                  <c:v>48</c:v>
                </c:pt>
                <c:pt idx="198">
                  <c:v>46.375</c:v>
                </c:pt>
                <c:pt idx="199">
                  <c:v>47.8125</c:v>
                </c:pt>
                <c:pt idx="200">
                  <c:v>47.25</c:v>
                </c:pt>
                <c:pt idx="201">
                  <c:v>48.625</c:v>
                </c:pt>
                <c:pt idx="202">
                  <c:v>48.625</c:v>
                </c:pt>
                <c:pt idx="203">
                  <c:v>49.25</c:v>
                </c:pt>
                <c:pt idx="204">
                  <c:v>50.875</c:v>
                </c:pt>
                <c:pt idx="205">
                  <c:v>50.375</c:v>
                </c:pt>
                <c:pt idx="206">
                  <c:v>51.6875</c:v>
                </c:pt>
                <c:pt idx="207">
                  <c:v>51.75</c:v>
                </c:pt>
                <c:pt idx="208">
                  <c:v>51.125</c:v>
                </c:pt>
                <c:pt idx="209">
                  <c:v>52</c:v>
                </c:pt>
                <c:pt idx="210">
                  <c:v>51.625</c:v>
                </c:pt>
                <c:pt idx="211">
                  <c:v>51.625</c:v>
                </c:pt>
                <c:pt idx="212">
                  <c:v>50.75</c:v>
                </c:pt>
                <c:pt idx="213">
                  <c:v>52.125</c:v>
                </c:pt>
                <c:pt idx="214">
                  <c:v>51.875</c:v>
                </c:pt>
                <c:pt idx="215">
                  <c:v>50.9375</c:v>
                </c:pt>
                <c:pt idx="216">
                  <c:v>52.468800000000002</c:v>
                </c:pt>
                <c:pt idx="217">
                  <c:v>51.0625</c:v>
                </c:pt>
                <c:pt idx="218">
                  <c:v>50.406199999999998</c:v>
                </c:pt>
                <c:pt idx="219">
                  <c:v>49.9375</c:v>
                </c:pt>
                <c:pt idx="220">
                  <c:v>50.75</c:v>
                </c:pt>
                <c:pt idx="221">
                  <c:v>51.8125</c:v>
                </c:pt>
                <c:pt idx="222">
                  <c:v>51.1875</c:v>
                </c:pt>
                <c:pt idx="223">
                  <c:v>49.75</c:v>
                </c:pt>
                <c:pt idx="224">
                  <c:v>49.9375</c:v>
                </c:pt>
                <c:pt idx="225">
                  <c:v>49.9375</c:v>
                </c:pt>
                <c:pt idx="226">
                  <c:v>49.9375</c:v>
                </c:pt>
                <c:pt idx="227">
                  <c:v>48.875</c:v>
                </c:pt>
                <c:pt idx="228">
                  <c:v>49.8125</c:v>
                </c:pt>
                <c:pt idx="229">
                  <c:v>49.1875</c:v>
                </c:pt>
                <c:pt idx="230">
                  <c:v>49.6875</c:v>
                </c:pt>
                <c:pt idx="231">
                  <c:v>50.25</c:v>
                </c:pt>
                <c:pt idx="232">
                  <c:v>49.9375</c:v>
                </c:pt>
                <c:pt idx="233">
                  <c:v>49.625</c:v>
                </c:pt>
                <c:pt idx="234">
                  <c:v>50.25</c:v>
                </c:pt>
                <c:pt idx="235">
                  <c:v>50.625</c:v>
                </c:pt>
                <c:pt idx="236">
                  <c:v>51.3125</c:v>
                </c:pt>
                <c:pt idx="237">
                  <c:v>51.8125</c:v>
                </c:pt>
                <c:pt idx="238">
                  <c:v>53</c:v>
                </c:pt>
                <c:pt idx="239">
                  <c:v>51.375</c:v>
                </c:pt>
                <c:pt idx="240">
                  <c:v>52.125</c:v>
                </c:pt>
                <c:pt idx="241">
                  <c:v>53</c:v>
                </c:pt>
                <c:pt idx="242">
                  <c:v>52.9375</c:v>
                </c:pt>
                <c:pt idx="243">
                  <c:v>52.75</c:v>
                </c:pt>
                <c:pt idx="244">
                  <c:v>53.0625</c:v>
                </c:pt>
                <c:pt idx="245">
                  <c:v>50.5625</c:v>
                </c:pt>
                <c:pt idx="246">
                  <c:v>52.0625</c:v>
                </c:pt>
                <c:pt idx="247">
                  <c:v>52.8125</c:v>
                </c:pt>
                <c:pt idx="248">
                  <c:v>53.125</c:v>
                </c:pt>
                <c:pt idx="249">
                  <c:v>53.125</c:v>
                </c:pt>
                <c:pt idx="250">
                  <c:v>53.875</c:v>
                </c:pt>
                <c:pt idx="251">
                  <c:v>54.0625</c:v>
                </c:pt>
                <c:pt idx="252">
                  <c:v>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6-4E0F-8DC0-51521EE1505B}"/>
            </c:ext>
          </c:extLst>
        </c:ser>
        <c:ser>
          <c:idx val="2"/>
          <c:order val="2"/>
          <c:tx>
            <c:strRef>
              <c:f>Data!$E$4</c:f>
              <c:strCache>
                <c:ptCount val="1"/>
                <c:pt idx="0">
                  <c:v>Kellogg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Data!$O$5:$O$257</c:f>
              <c:numCache>
                <c:formatCode>General</c:formatCode>
                <c:ptCount val="253"/>
                <c:pt idx="0">
                  <c:v>36094</c:v>
                </c:pt>
                <c:pt idx="1">
                  <c:v>36095</c:v>
                </c:pt>
                <c:pt idx="2">
                  <c:v>36096</c:v>
                </c:pt>
                <c:pt idx="3">
                  <c:v>36097</c:v>
                </c:pt>
                <c:pt idx="4">
                  <c:v>36098</c:v>
                </c:pt>
                <c:pt idx="5">
                  <c:v>36101</c:v>
                </c:pt>
                <c:pt idx="6">
                  <c:v>36102</c:v>
                </c:pt>
                <c:pt idx="7">
                  <c:v>36103</c:v>
                </c:pt>
                <c:pt idx="8">
                  <c:v>36104</c:v>
                </c:pt>
                <c:pt idx="9">
                  <c:v>36105</c:v>
                </c:pt>
                <c:pt idx="10">
                  <c:v>36108</c:v>
                </c:pt>
                <c:pt idx="11">
                  <c:v>36109</c:v>
                </c:pt>
                <c:pt idx="12">
                  <c:v>36110</c:v>
                </c:pt>
                <c:pt idx="13">
                  <c:v>36111</c:v>
                </c:pt>
                <c:pt idx="14">
                  <c:v>36112</c:v>
                </c:pt>
                <c:pt idx="15">
                  <c:v>36115</c:v>
                </c:pt>
                <c:pt idx="16">
                  <c:v>36116</c:v>
                </c:pt>
                <c:pt idx="17">
                  <c:v>36117</c:v>
                </c:pt>
                <c:pt idx="18">
                  <c:v>36118</c:v>
                </c:pt>
                <c:pt idx="19">
                  <c:v>36119</c:v>
                </c:pt>
                <c:pt idx="20">
                  <c:v>36122</c:v>
                </c:pt>
                <c:pt idx="21">
                  <c:v>36123</c:v>
                </c:pt>
                <c:pt idx="22">
                  <c:v>36124</c:v>
                </c:pt>
                <c:pt idx="23">
                  <c:v>36126</c:v>
                </c:pt>
                <c:pt idx="24">
                  <c:v>36129</c:v>
                </c:pt>
                <c:pt idx="25">
                  <c:v>36130</c:v>
                </c:pt>
                <c:pt idx="26">
                  <c:v>36131</c:v>
                </c:pt>
                <c:pt idx="27">
                  <c:v>36132</c:v>
                </c:pt>
                <c:pt idx="28">
                  <c:v>36133</c:v>
                </c:pt>
                <c:pt idx="29">
                  <c:v>36136</c:v>
                </c:pt>
                <c:pt idx="30">
                  <c:v>36137</c:v>
                </c:pt>
                <c:pt idx="31">
                  <c:v>36138</c:v>
                </c:pt>
                <c:pt idx="32">
                  <c:v>36139</c:v>
                </c:pt>
                <c:pt idx="33">
                  <c:v>36140</c:v>
                </c:pt>
                <c:pt idx="34">
                  <c:v>36143</c:v>
                </c:pt>
                <c:pt idx="35">
                  <c:v>36144</c:v>
                </c:pt>
                <c:pt idx="36">
                  <c:v>36145</c:v>
                </c:pt>
                <c:pt idx="37">
                  <c:v>36146</c:v>
                </c:pt>
                <c:pt idx="38">
                  <c:v>36147</c:v>
                </c:pt>
                <c:pt idx="39">
                  <c:v>36150</c:v>
                </c:pt>
                <c:pt idx="40">
                  <c:v>36151</c:v>
                </c:pt>
                <c:pt idx="41">
                  <c:v>36152</c:v>
                </c:pt>
                <c:pt idx="42">
                  <c:v>36153</c:v>
                </c:pt>
                <c:pt idx="43">
                  <c:v>36157</c:v>
                </c:pt>
                <c:pt idx="44">
                  <c:v>36158</c:v>
                </c:pt>
                <c:pt idx="45">
                  <c:v>36159</c:v>
                </c:pt>
                <c:pt idx="46">
                  <c:v>36160</c:v>
                </c:pt>
                <c:pt idx="47">
                  <c:v>36164</c:v>
                </c:pt>
                <c:pt idx="48">
                  <c:v>36165</c:v>
                </c:pt>
                <c:pt idx="49">
                  <c:v>36166</c:v>
                </c:pt>
                <c:pt idx="50">
                  <c:v>36167</c:v>
                </c:pt>
                <c:pt idx="51">
                  <c:v>36168</c:v>
                </c:pt>
                <c:pt idx="52">
                  <c:v>36171</c:v>
                </c:pt>
                <c:pt idx="53">
                  <c:v>36172</c:v>
                </c:pt>
                <c:pt idx="54">
                  <c:v>36173</c:v>
                </c:pt>
                <c:pt idx="55">
                  <c:v>36174</c:v>
                </c:pt>
                <c:pt idx="56">
                  <c:v>36175</c:v>
                </c:pt>
                <c:pt idx="57">
                  <c:v>36179</c:v>
                </c:pt>
                <c:pt idx="58">
                  <c:v>36180</c:v>
                </c:pt>
                <c:pt idx="59">
                  <c:v>36181</c:v>
                </c:pt>
                <c:pt idx="60">
                  <c:v>36182</c:v>
                </c:pt>
                <c:pt idx="61">
                  <c:v>36185</c:v>
                </c:pt>
                <c:pt idx="62">
                  <c:v>36186</c:v>
                </c:pt>
                <c:pt idx="63">
                  <c:v>36187</c:v>
                </c:pt>
                <c:pt idx="64">
                  <c:v>36188</c:v>
                </c:pt>
                <c:pt idx="65">
                  <c:v>36189</c:v>
                </c:pt>
                <c:pt idx="66">
                  <c:v>36192</c:v>
                </c:pt>
                <c:pt idx="67">
                  <c:v>36193</c:v>
                </c:pt>
                <c:pt idx="68">
                  <c:v>36194</c:v>
                </c:pt>
                <c:pt idx="69">
                  <c:v>36195</c:v>
                </c:pt>
                <c:pt idx="70">
                  <c:v>36196</c:v>
                </c:pt>
                <c:pt idx="71">
                  <c:v>36199</c:v>
                </c:pt>
                <c:pt idx="72">
                  <c:v>36200</c:v>
                </c:pt>
                <c:pt idx="73">
                  <c:v>36201</c:v>
                </c:pt>
                <c:pt idx="74">
                  <c:v>36202</c:v>
                </c:pt>
                <c:pt idx="75">
                  <c:v>36203</c:v>
                </c:pt>
                <c:pt idx="76">
                  <c:v>36207</c:v>
                </c:pt>
                <c:pt idx="77">
                  <c:v>36208</c:v>
                </c:pt>
                <c:pt idx="78">
                  <c:v>36209</c:v>
                </c:pt>
                <c:pt idx="79">
                  <c:v>36210</c:v>
                </c:pt>
                <c:pt idx="80">
                  <c:v>36213</c:v>
                </c:pt>
                <c:pt idx="81">
                  <c:v>36214</c:v>
                </c:pt>
                <c:pt idx="82">
                  <c:v>36215</c:v>
                </c:pt>
                <c:pt idx="83">
                  <c:v>36216</c:v>
                </c:pt>
                <c:pt idx="84">
                  <c:v>36217</c:v>
                </c:pt>
                <c:pt idx="85">
                  <c:v>36220</c:v>
                </c:pt>
                <c:pt idx="86">
                  <c:v>36221</c:v>
                </c:pt>
                <c:pt idx="87">
                  <c:v>36222</c:v>
                </c:pt>
                <c:pt idx="88">
                  <c:v>36223</c:v>
                </c:pt>
                <c:pt idx="89">
                  <c:v>36224</c:v>
                </c:pt>
                <c:pt idx="90">
                  <c:v>36227</c:v>
                </c:pt>
                <c:pt idx="91">
                  <c:v>36228</c:v>
                </c:pt>
                <c:pt idx="92">
                  <c:v>36229</c:v>
                </c:pt>
                <c:pt idx="93">
                  <c:v>36230</c:v>
                </c:pt>
                <c:pt idx="94">
                  <c:v>36231</c:v>
                </c:pt>
                <c:pt idx="95">
                  <c:v>36234</c:v>
                </c:pt>
                <c:pt idx="96">
                  <c:v>36235</c:v>
                </c:pt>
                <c:pt idx="97">
                  <c:v>36236</c:v>
                </c:pt>
                <c:pt idx="98">
                  <c:v>36237</c:v>
                </c:pt>
                <c:pt idx="99">
                  <c:v>36238</c:v>
                </c:pt>
                <c:pt idx="100">
                  <c:v>36241</c:v>
                </c:pt>
                <c:pt idx="101">
                  <c:v>36242</c:v>
                </c:pt>
                <c:pt idx="102">
                  <c:v>36243</c:v>
                </c:pt>
                <c:pt idx="103">
                  <c:v>36244</c:v>
                </c:pt>
                <c:pt idx="104">
                  <c:v>36245</c:v>
                </c:pt>
                <c:pt idx="105">
                  <c:v>36248</c:v>
                </c:pt>
                <c:pt idx="106">
                  <c:v>36249</c:v>
                </c:pt>
                <c:pt idx="107">
                  <c:v>36250</c:v>
                </c:pt>
                <c:pt idx="108">
                  <c:v>36251</c:v>
                </c:pt>
                <c:pt idx="109">
                  <c:v>36255</c:v>
                </c:pt>
                <c:pt idx="110">
                  <c:v>36256</c:v>
                </c:pt>
                <c:pt idx="111">
                  <c:v>36257</c:v>
                </c:pt>
                <c:pt idx="112">
                  <c:v>36258</c:v>
                </c:pt>
                <c:pt idx="113">
                  <c:v>36259</c:v>
                </c:pt>
                <c:pt idx="114">
                  <c:v>36262</c:v>
                </c:pt>
                <c:pt idx="115">
                  <c:v>36263</c:v>
                </c:pt>
                <c:pt idx="116">
                  <c:v>36264</c:v>
                </c:pt>
                <c:pt idx="117">
                  <c:v>36265</c:v>
                </c:pt>
                <c:pt idx="118">
                  <c:v>36266</c:v>
                </c:pt>
                <c:pt idx="119">
                  <c:v>36269</c:v>
                </c:pt>
                <c:pt idx="120">
                  <c:v>36270</c:v>
                </c:pt>
                <c:pt idx="121">
                  <c:v>36271</c:v>
                </c:pt>
                <c:pt idx="122">
                  <c:v>36272</c:v>
                </c:pt>
                <c:pt idx="123">
                  <c:v>36273</c:v>
                </c:pt>
                <c:pt idx="124">
                  <c:v>36276</c:v>
                </c:pt>
                <c:pt idx="125">
                  <c:v>36277</c:v>
                </c:pt>
                <c:pt idx="126">
                  <c:v>36278</c:v>
                </c:pt>
                <c:pt idx="127">
                  <c:v>36279</c:v>
                </c:pt>
                <c:pt idx="128">
                  <c:v>36280</c:v>
                </c:pt>
                <c:pt idx="129">
                  <c:v>36283</c:v>
                </c:pt>
                <c:pt idx="130">
                  <c:v>36284</c:v>
                </c:pt>
                <c:pt idx="131">
                  <c:v>36285</c:v>
                </c:pt>
                <c:pt idx="132">
                  <c:v>36286</c:v>
                </c:pt>
                <c:pt idx="133">
                  <c:v>36287</c:v>
                </c:pt>
                <c:pt idx="134">
                  <c:v>36290</c:v>
                </c:pt>
                <c:pt idx="135">
                  <c:v>36291</c:v>
                </c:pt>
                <c:pt idx="136">
                  <c:v>36292</c:v>
                </c:pt>
                <c:pt idx="137">
                  <c:v>36293</c:v>
                </c:pt>
                <c:pt idx="138">
                  <c:v>36294</c:v>
                </c:pt>
                <c:pt idx="139">
                  <c:v>36297</c:v>
                </c:pt>
                <c:pt idx="140">
                  <c:v>36298</c:v>
                </c:pt>
                <c:pt idx="141">
                  <c:v>36299</c:v>
                </c:pt>
                <c:pt idx="142">
                  <c:v>36300</c:v>
                </c:pt>
                <c:pt idx="143">
                  <c:v>36301</c:v>
                </c:pt>
                <c:pt idx="144">
                  <c:v>36304</c:v>
                </c:pt>
                <c:pt idx="145">
                  <c:v>36305</c:v>
                </c:pt>
                <c:pt idx="146">
                  <c:v>36306</c:v>
                </c:pt>
                <c:pt idx="147">
                  <c:v>36307</c:v>
                </c:pt>
                <c:pt idx="148">
                  <c:v>36308</c:v>
                </c:pt>
                <c:pt idx="149">
                  <c:v>36312</c:v>
                </c:pt>
                <c:pt idx="150">
                  <c:v>36313</c:v>
                </c:pt>
                <c:pt idx="151">
                  <c:v>36314</c:v>
                </c:pt>
                <c:pt idx="152">
                  <c:v>36315</c:v>
                </c:pt>
                <c:pt idx="153">
                  <c:v>36318</c:v>
                </c:pt>
                <c:pt idx="154">
                  <c:v>36319</c:v>
                </c:pt>
                <c:pt idx="155">
                  <c:v>36320</c:v>
                </c:pt>
                <c:pt idx="156">
                  <c:v>36321</c:v>
                </c:pt>
                <c:pt idx="157">
                  <c:v>36322</c:v>
                </c:pt>
                <c:pt idx="158">
                  <c:v>36325</c:v>
                </c:pt>
                <c:pt idx="159">
                  <c:v>36326</c:v>
                </c:pt>
                <c:pt idx="160">
                  <c:v>36327</c:v>
                </c:pt>
                <c:pt idx="161">
                  <c:v>36328</c:v>
                </c:pt>
                <c:pt idx="162">
                  <c:v>36329</c:v>
                </c:pt>
                <c:pt idx="163">
                  <c:v>36332</c:v>
                </c:pt>
                <c:pt idx="164">
                  <c:v>36333</c:v>
                </c:pt>
                <c:pt idx="165">
                  <c:v>36334</c:v>
                </c:pt>
                <c:pt idx="166">
                  <c:v>36335</c:v>
                </c:pt>
                <c:pt idx="167">
                  <c:v>36336</c:v>
                </c:pt>
                <c:pt idx="168">
                  <c:v>36339</c:v>
                </c:pt>
                <c:pt idx="169">
                  <c:v>36340</c:v>
                </c:pt>
                <c:pt idx="170">
                  <c:v>36341</c:v>
                </c:pt>
                <c:pt idx="171">
                  <c:v>36342</c:v>
                </c:pt>
                <c:pt idx="172">
                  <c:v>36343</c:v>
                </c:pt>
                <c:pt idx="173">
                  <c:v>36347</c:v>
                </c:pt>
                <c:pt idx="174">
                  <c:v>36348</c:v>
                </c:pt>
                <c:pt idx="175">
                  <c:v>36349</c:v>
                </c:pt>
                <c:pt idx="176">
                  <c:v>36350</c:v>
                </c:pt>
                <c:pt idx="177">
                  <c:v>36353</c:v>
                </c:pt>
                <c:pt idx="178">
                  <c:v>36354</c:v>
                </c:pt>
                <c:pt idx="179">
                  <c:v>36355</c:v>
                </c:pt>
                <c:pt idx="180">
                  <c:v>36356</c:v>
                </c:pt>
                <c:pt idx="181">
                  <c:v>36357</c:v>
                </c:pt>
                <c:pt idx="182">
                  <c:v>36360</c:v>
                </c:pt>
                <c:pt idx="183">
                  <c:v>36361</c:v>
                </c:pt>
                <c:pt idx="184">
                  <c:v>36362</c:v>
                </c:pt>
                <c:pt idx="185">
                  <c:v>36363</c:v>
                </c:pt>
                <c:pt idx="186">
                  <c:v>36364</c:v>
                </c:pt>
                <c:pt idx="187">
                  <c:v>36367</c:v>
                </c:pt>
                <c:pt idx="188">
                  <c:v>36368</c:v>
                </c:pt>
                <c:pt idx="189">
                  <c:v>36369</c:v>
                </c:pt>
                <c:pt idx="190">
                  <c:v>36370</c:v>
                </c:pt>
                <c:pt idx="191">
                  <c:v>36371</c:v>
                </c:pt>
                <c:pt idx="192">
                  <c:v>36374</c:v>
                </c:pt>
                <c:pt idx="193">
                  <c:v>36375</c:v>
                </c:pt>
                <c:pt idx="194">
                  <c:v>36376</c:v>
                </c:pt>
                <c:pt idx="195">
                  <c:v>36377</c:v>
                </c:pt>
                <c:pt idx="196">
                  <c:v>36378</c:v>
                </c:pt>
                <c:pt idx="197">
                  <c:v>36381</c:v>
                </c:pt>
                <c:pt idx="198">
                  <c:v>36382</c:v>
                </c:pt>
                <c:pt idx="199">
                  <c:v>36383</c:v>
                </c:pt>
                <c:pt idx="200">
                  <c:v>36384</c:v>
                </c:pt>
                <c:pt idx="201">
                  <c:v>36385</c:v>
                </c:pt>
                <c:pt idx="202">
                  <c:v>36388</c:v>
                </c:pt>
                <c:pt idx="203">
                  <c:v>36389</c:v>
                </c:pt>
                <c:pt idx="204">
                  <c:v>36390</c:v>
                </c:pt>
                <c:pt idx="205">
                  <c:v>36391</c:v>
                </c:pt>
                <c:pt idx="206">
                  <c:v>36392</c:v>
                </c:pt>
                <c:pt idx="207">
                  <c:v>36395</c:v>
                </c:pt>
                <c:pt idx="208">
                  <c:v>36396</c:v>
                </c:pt>
                <c:pt idx="209">
                  <c:v>36397</c:v>
                </c:pt>
                <c:pt idx="210">
                  <c:v>36398</c:v>
                </c:pt>
                <c:pt idx="211">
                  <c:v>36399</c:v>
                </c:pt>
                <c:pt idx="212">
                  <c:v>36402</c:v>
                </c:pt>
                <c:pt idx="213">
                  <c:v>36403</c:v>
                </c:pt>
                <c:pt idx="214">
                  <c:v>36404</c:v>
                </c:pt>
                <c:pt idx="215">
                  <c:v>36405</c:v>
                </c:pt>
                <c:pt idx="216">
                  <c:v>36406</c:v>
                </c:pt>
                <c:pt idx="217">
                  <c:v>36410</c:v>
                </c:pt>
                <c:pt idx="218">
                  <c:v>36411</c:v>
                </c:pt>
                <c:pt idx="219">
                  <c:v>36412</c:v>
                </c:pt>
                <c:pt idx="220">
                  <c:v>36413</c:v>
                </c:pt>
                <c:pt idx="221">
                  <c:v>36416</c:v>
                </c:pt>
                <c:pt idx="222">
                  <c:v>36417</c:v>
                </c:pt>
                <c:pt idx="223">
                  <c:v>36418</c:v>
                </c:pt>
                <c:pt idx="224">
                  <c:v>36419</c:v>
                </c:pt>
                <c:pt idx="225">
                  <c:v>36420</c:v>
                </c:pt>
                <c:pt idx="226">
                  <c:v>36423</c:v>
                </c:pt>
                <c:pt idx="227">
                  <c:v>36424</c:v>
                </c:pt>
                <c:pt idx="228">
                  <c:v>36425</c:v>
                </c:pt>
                <c:pt idx="229">
                  <c:v>36426</c:v>
                </c:pt>
                <c:pt idx="230">
                  <c:v>36427</c:v>
                </c:pt>
                <c:pt idx="231">
                  <c:v>36430</c:v>
                </c:pt>
                <c:pt idx="232">
                  <c:v>36431</c:v>
                </c:pt>
                <c:pt idx="233">
                  <c:v>36432</c:v>
                </c:pt>
                <c:pt idx="234">
                  <c:v>36433</c:v>
                </c:pt>
                <c:pt idx="235">
                  <c:v>36434</c:v>
                </c:pt>
                <c:pt idx="236">
                  <c:v>36437</c:v>
                </c:pt>
                <c:pt idx="237">
                  <c:v>36438</c:v>
                </c:pt>
                <c:pt idx="238">
                  <c:v>36439</c:v>
                </c:pt>
                <c:pt idx="239">
                  <c:v>36440</c:v>
                </c:pt>
                <c:pt idx="240">
                  <c:v>36441</c:v>
                </c:pt>
                <c:pt idx="241">
                  <c:v>36444</c:v>
                </c:pt>
                <c:pt idx="242">
                  <c:v>36445</c:v>
                </c:pt>
                <c:pt idx="243">
                  <c:v>36446</c:v>
                </c:pt>
                <c:pt idx="244">
                  <c:v>36447</c:v>
                </c:pt>
                <c:pt idx="245">
                  <c:v>36448</c:v>
                </c:pt>
                <c:pt idx="246">
                  <c:v>36451</c:v>
                </c:pt>
                <c:pt idx="247">
                  <c:v>36452</c:v>
                </c:pt>
                <c:pt idx="248">
                  <c:v>36453</c:v>
                </c:pt>
                <c:pt idx="249">
                  <c:v>36454</c:v>
                </c:pt>
                <c:pt idx="250">
                  <c:v>36455</c:v>
                </c:pt>
                <c:pt idx="251">
                  <c:v>36458</c:v>
                </c:pt>
                <c:pt idx="252">
                  <c:v>36459</c:v>
                </c:pt>
              </c:numCache>
            </c:numRef>
          </c:xVal>
          <c:yVal>
            <c:numRef>
              <c:f>Data!$E$5:$E$257</c:f>
              <c:numCache>
                <c:formatCode>General</c:formatCode>
                <c:ptCount val="253"/>
                <c:pt idx="0">
                  <c:v>32.985199999999999</c:v>
                </c:pt>
                <c:pt idx="1">
                  <c:v>32.4983</c:v>
                </c:pt>
                <c:pt idx="2">
                  <c:v>31.889700000000001</c:v>
                </c:pt>
                <c:pt idx="3">
                  <c:v>31.341999999999999</c:v>
                </c:pt>
                <c:pt idx="4">
                  <c:v>32.133200000000002</c:v>
                </c:pt>
                <c:pt idx="5">
                  <c:v>32.863500000000002</c:v>
                </c:pt>
                <c:pt idx="6">
                  <c:v>33.167700000000004</c:v>
                </c:pt>
                <c:pt idx="7">
                  <c:v>33.898000000000003</c:v>
                </c:pt>
                <c:pt idx="8">
                  <c:v>34.567500000000003</c:v>
                </c:pt>
                <c:pt idx="9">
                  <c:v>34.567500000000003</c:v>
                </c:pt>
                <c:pt idx="10">
                  <c:v>34.080599999999997</c:v>
                </c:pt>
                <c:pt idx="11">
                  <c:v>33.776299999999999</c:v>
                </c:pt>
                <c:pt idx="12">
                  <c:v>33.472000000000001</c:v>
                </c:pt>
                <c:pt idx="13">
                  <c:v>33.411200000000001</c:v>
                </c:pt>
                <c:pt idx="14">
                  <c:v>33.350299999999997</c:v>
                </c:pt>
                <c:pt idx="15">
                  <c:v>33.776299999999999</c:v>
                </c:pt>
                <c:pt idx="16">
                  <c:v>33.2286</c:v>
                </c:pt>
                <c:pt idx="17">
                  <c:v>32.924300000000002</c:v>
                </c:pt>
                <c:pt idx="18">
                  <c:v>33.350299999999997</c:v>
                </c:pt>
                <c:pt idx="19">
                  <c:v>33.167700000000004</c:v>
                </c:pt>
                <c:pt idx="20">
                  <c:v>33.106900000000003</c:v>
                </c:pt>
                <c:pt idx="21">
                  <c:v>33.827599999999997</c:v>
                </c:pt>
                <c:pt idx="22">
                  <c:v>35.482199999999999</c:v>
                </c:pt>
                <c:pt idx="23">
                  <c:v>35.237000000000002</c:v>
                </c:pt>
                <c:pt idx="24">
                  <c:v>35.911099999999998</c:v>
                </c:pt>
                <c:pt idx="25">
                  <c:v>36.5852</c:v>
                </c:pt>
                <c:pt idx="26">
                  <c:v>35.665999999999997</c:v>
                </c:pt>
                <c:pt idx="27">
                  <c:v>34.991900000000001</c:v>
                </c:pt>
                <c:pt idx="28">
                  <c:v>34.317799999999998</c:v>
                </c:pt>
                <c:pt idx="29">
                  <c:v>34.624200000000002</c:v>
                </c:pt>
                <c:pt idx="30">
                  <c:v>34.930599999999998</c:v>
                </c:pt>
                <c:pt idx="31">
                  <c:v>35.053199999999997</c:v>
                </c:pt>
                <c:pt idx="32">
                  <c:v>34.685499999999998</c:v>
                </c:pt>
                <c:pt idx="33">
                  <c:v>34.440399999999997</c:v>
                </c:pt>
                <c:pt idx="34">
                  <c:v>34.808100000000003</c:v>
                </c:pt>
                <c:pt idx="35">
                  <c:v>35.482199999999999</c:v>
                </c:pt>
                <c:pt idx="36">
                  <c:v>34.256500000000003</c:v>
                </c:pt>
                <c:pt idx="37">
                  <c:v>33.888800000000003</c:v>
                </c:pt>
                <c:pt idx="38">
                  <c:v>33.643700000000003</c:v>
                </c:pt>
                <c:pt idx="39">
                  <c:v>33.337299999999999</c:v>
                </c:pt>
                <c:pt idx="40">
                  <c:v>33.153500000000001</c:v>
                </c:pt>
                <c:pt idx="41">
                  <c:v>33.5824</c:v>
                </c:pt>
                <c:pt idx="42">
                  <c:v>34.195300000000003</c:v>
                </c:pt>
                <c:pt idx="43">
                  <c:v>33.950099999999999</c:v>
                </c:pt>
                <c:pt idx="44">
                  <c:v>33.888800000000003</c:v>
                </c:pt>
                <c:pt idx="45">
                  <c:v>33.459899999999998</c:v>
                </c:pt>
                <c:pt idx="46">
                  <c:v>33.459899999999998</c:v>
                </c:pt>
                <c:pt idx="47">
                  <c:v>33.827599999999997</c:v>
                </c:pt>
                <c:pt idx="48">
                  <c:v>35.604700000000001</c:v>
                </c:pt>
                <c:pt idx="49">
                  <c:v>36.462699999999998</c:v>
                </c:pt>
                <c:pt idx="50">
                  <c:v>36.769100000000002</c:v>
                </c:pt>
                <c:pt idx="51">
                  <c:v>36.5852</c:v>
                </c:pt>
                <c:pt idx="52">
                  <c:v>37.994700000000002</c:v>
                </c:pt>
                <c:pt idx="53">
                  <c:v>38.055999999999997</c:v>
                </c:pt>
                <c:pt idx="54">
                  <c:v>37.075499999999998</c:v>
                </c:pt>
                <c:pt idx="55">
                  <c:v>36.524000000000001</c:v>
                </c:pt>
                <c:pt idx="56">
                  <c:v>38.178600000000003</c:v>
                </c:pt>
                <c:pt idx="57">
                  <c:v>37.749600000000001</c:v>
                </c:pt>
                <c:pt idx="58">
                  <c:v>37.136800000000001</c:v>
                </c:pt>
                <c:pt idx="59">
                  <c:v>36.707799999999999</c:v>
                </c:pt>
                <c:pt idx="60">
                  <c:v>37.381900000000002</c:v>
                </c:pt>
                <c:pt idx="61">
                  <c:v>38.055999999999997</c:v>
                </c:pt>
                <c:pt idx="62">
                  <c:v>38.055999999999997</c:v>
                </c:pt>
                <c:pt idx="63">
                  <c:v>38.423699999999997</c:v>
                </c:pt>
                <c:pt idx="64">
                  <c:v>41.242699999999999</c:v>
                </c:pt>
                <c:pt idx="65">
                  <c:v>39.833199999999998</c:v>
                </c:pt>
                <c:pt idx="66">
                  <c:v>39.465499999999999</c:v>
                </c:pt>
                <c:pt idx="67">
                  <c:v>40.200899999999997</c:v>
                </c:pt>
                <c:pt idx="68">
                  <c:v>39.159100000000002</c:v>
                </c:pt>
                <c:pt idx="69">
                  <c:v>38.607500000000002</c:v>
                </c:pt>
                <c:pt idx="70">
                  <c:v>38.852699999999999</c:v>
                </c:pt>
                <c:pt idx="71">
                  <c:v>38.607500000000002</c:v>
                </c:pt>
                <c:pt idx="72">
                  <c:v>37.443199999999997</c:v>
                </c:pt>
                <c:pt idx="73">
                  <c:v>37.5045</c:v>
                </c:pt>
                <c:pt idx="74">
                  <c:v>38.055999999999997</c:v>
                </c:pt>
                <c:pt idx="75">
                  <c:v>37.810899999999997</c:v>
                </c:pt>
                <c:pt idx="76">
                  <c:v>38.1173</c:v>
                </c:pt>
                <c:pt idx="77">
                  <c:v>37.933399999999999</c:v>
                </c:pt>
                <c:pt idx="78">
                  <c:v>37.810899999999997</c:v>
                </c:pt>
                <c:pt idx="79">
                  <c:v>37.688299999999998</c:v>
                </c:pt>
                <c:pt idx="80">
                  <c:v>38.239899999999999</c:v>
                </c:pt>
                <c:pt idx="81">
                  <c:v>37.381900000000002</c:v>
                </c:pt>
                <c:pt idx="82">
                  <c:v>37.136800000000001</c:v>
                </c:pt>
                <c:pt idx="83">
                  <c:v>36.690300000000001</c:v>
                </c:pt>
                <c:pt idx="84">
                  <c:v>36.505299999999998</c:v>
                </c:pt>
                <c:pt idx="85">
                  <c:v>37.2453</c:v>
                </c:pt>
                <c:pt idx="86">
                  <c:v>36.320300000000003</c:v>
                </c:pt>
                <c:pt idx="87">
                  <c:v>36.567</c:v>
                </c:pt>
                <c:pt idx="88">
                  <c:v>36.381999999999998</c:v>
                </c:pt>
                <c:pt idx="89">
                  <c:v>36.690300000000001</c:v>
                </c:pt>
                <c:pt idx="90">
                  <c:v>35.703699999999998</c:v>
                </c:pt>
                <c:pt idx="91">
                  <c:v>35.580399999999997</c:v>
                </c:pt>
                <c:pt idx="92">
                  <c:v>36.012</c:v>
                </c:pt>
                <c:pt idx="93">
                  <c:v>35.8887</c:v>
                </c:pt>
                <c:pt idx="94">
                  <c:v>36.875300000000003</c:v>
                </c:pt>
                <c:pt idx="95">
                  <c:v>37.8003</c:v>
                </c:pt>
                <c:pt idx="96">
                  <c:v>37.491999999999997</c:v>
                </c:pt>
                <c:pt idx="97">
                  <c:v>37.862000000000002</c:v>
                </c:pt>
                <c:pt idx="98">
                  <c:v>37.615299999999998</c:v>
                </c:pt>
                <c:pt idx="99">
                  <c:v>36.505299999999998</c:v>
                </c:pt>
                <c:pt idx="100">
                  <c:v>36.628700000000002</c:v>
                </c:pt>
                <c:pt idx="101">
                  <c:v>34.902099999999997</c:v>
                </c:pt>
                <c:pt idx="102">
                  <c:v>35.148699999999998</c:v>
                </c:pt>
                <c:pt idx="103">
                  <c:v>35.3337</c:v>
                </c:pt>
                <c:pt idx="104">
                  <c:v>33.668799999999997</c:v>
                </c:pt>
                <c:pt idx="105">
                  <c:v>34.285400000000003</c:v>
                </c:pt>
                <c:pt idx="106">
                  <c:v>33.9771</c:v>
                </c:pt>
                <c:pt idx="107">
                  <c:v>33.360500000000002</c:v>
                </c:pt>
                <c:pt idx="108">
                  <c:v>33.8538</c:v>
                </c:pt>
                <c:pt idx="109">
                  <c:v>33.545400000000001</c:v>
                </c:pt>
                <c:pt idx="110">
                  <c:v>32.682099999999998</c:v>
                </c:pt>
                <c:pt idx="111">
                  <c:v>33.8538</c:v>
                </c:pt>
                <c:pt idx="112">
                  <c:v>34.347099999999998</c:v>
                </c:pt>
                <c:pt idx="113">
                  <c:v>33.360500000000002</c:v>
                </c:pt>
                <c:pt idx="114">
                  <c:v>33.792099999999998</c:v>
                </c:pt>
                <c:pt idx="115">
                  <c:v>34.347099999999998</c:v>
                </c:pt>
                <c:pt idx="116">
                  <c:v>33.545400000000001</c:v>
                </c:pt>
                <c:pt idx="117">
                  <c:v>33.9771</c:v>
                </c:pt>
                <c:pt idx="118">
                  <c:v>34.223799999999997</c:v>
                </c:pt>
                <c:pt idx="119">
                  <c:v>34.778700000000001</c:v>
                </c:pt>
                <c:pt idx="120">
                  <c:v>34.902099999999997</c:v>
                </c:pt>
                <c:pt idx="121">
                  <c:v>36.381999999999998</c:v>
                </c:pt>
                <c:pt idx="122">
                  <c:v>36.505299999999998</c:v>
                </c:pt>
                <c:pt idx="123">
                  <c:v>36.135399999999997</c:v>
                </c:pt>
                <c:pt idx="124">
                  <c:v>36.875300000000003</c:v>
                </c:pt>
                <c:pt idx="125">
                  <c:v>37.183599999999998</c:v>
                </c:pt>
                <c:pt idx="126">
                  <c:v>36.875300000000003</c:v>
                </c:pt>
                <c:pt idx="127">
                  <c:v>36.936999999999998</c:v>
                </c:pt>
                <c:pt idx="128">
                  <c:v>36.505299999999998</c:v>
                </c:pt>
                <c:pt idx="129">
                  <c:v>36.628700000000002</c:v>
                </c:pt>
                <c:pt idx="130">
                  <c:v>35.950400000000002</c:v>
                </c:pt>
                <c:pt idx="131">
                  <c:v>36.4437</c:v>
                </c:pt>
                <c:pt idx="132">
                  <c:v>36.4437</c:v>
                </c:pt>
                <c:pt idx="133">
                  <c:v>36.752000000000002</c:v>
                </c:pt>
                <c:pt idx="134">
                  <c:v>36.135399999999997</c:v>
                </c:pt>
                <c:pt idx="135">
                  <c:v>36.567</c:v>
                </c:pt>
                <c:pt idx="136">
                  <c:v>35.950400000000002</c:v>
                </c:pt>
                <c:pt idx="137">
                  <c:v>36.197000000000003</c:v>
                </c:pt>
                <c:pt idx="138">
                  <c:v>36.320300000000003</c:v>
                </c:pt>
                <c:pt idx="139">
                  <c:v>36.073700000000002</c:v>
                </c:pt>
                <c:pt idx="140">
                  <c:v>35.7654</c:v>
                </c:pt>
                <c:pt idx="141">
                  <c:v>35.703699999999998</c:v>
                </c:pt>
                <c:pt idx="142">
                  <c:v>35.271999999999998</c:v>
                </c:pt>
                <c:pt idx="143">
                  <c:v>34.840400000000002</c:v>
                </c:pt>
                <c:pt idx="144">
                  <c:v>34.963700000000003</c:v>
                </c:pt>
                <c:pt idx="145">
                  <c:v>35.2104</c:v>
                </c:pt>
                <c:pt idx="146">
                  <c:v>35.195500000000003</c:v>
                </c:pt>
                <c:pt idx="147">
                  <c:v>34.388500000000001</c:v>
                </c:pt>
                <c:pt idx="148">
                  <c:v>34.450600000000001</c:v>
                </c:pt>
                <c:pt idx="149">
                  <c:v>33.829900000000002</c:v>
                </c:pt>
                <c:pt idx="150">
                  <c:v>33.7057</c:v>
                </c:pt>
                <c:pt idx="151">
                  <c:v>33.4574</c:v>
                </c:pt>
                <c:pt idx="152">
                  <c:v>34.202300000000001</c:v>
                </c:pt>
                <c:pt idx="153">
                  <c:v>34.264400000000002</c:v>
                </c:pt>
                <c:pt idx="154">
                  <c:v>34.016100000000002</c:v>
                </c:pt>
                <c:pt idx="155">
                  <c:v>33.954000000000001</c:v>
                </c:pt>
                <c:pt idx="156">
                  <c:v>33.892000000000003</c:v>
                </c:pt>
                <c:pt idx="157">
                  <c:v>33.395400000000002</c:v>
                </c:pt>
                <c:pt idx="158">
                  <c:v>33.829900000000002</c:v>
                </c:pt>
                <c:pt idx="159">
                  <c:v>33.829900000000002</c:v>
                </c:pt>
                <c:pt idx="160">
                  <c:v>33.767800000000001</c:v>
                </c:pt>
                <c:pt idx="161">
                  <c:v>33.581600000000002</c:v>
                </c:pt>
                <c:pt idx="162">
                  <c:v>32.464300000000001</c:v>
                </c:pt>
                <c:pt idx="163">
                  <c:v>31.781500000000001</c:v>
                </c:pt>
                <c:pt idx="164">
                  <c:v>31.9056</c:v>
                </c:pt>
                <c:pt idx="165">
                  <c:v>32.650500000000001</c:v>
                </c:pt>
                <c:pt idx="166">
                  <c:v>32.898800000000001</c:v>
                </c:pt>
                <c:pt idx="167">
                  <c:v>32.8367</c:v>
                </c:pt>
                <c:pt idx="168">
                  <c:v>32.8367</c:v>
                </c:pt>
                <c:pt idx="169">
                  <c:v>32.960900000000002</c:v>
                </c:pt>
                <c:pt idx="170">
                  <c:v>32.7746</c:v>
                </c:pt>
                <c:pt idx="171">
                  <c:v>32.7746</c:v>
                </c:pt>
                <c:pt idx="172">
                  <c:v>32.464300000000001</c:v>
                </c:pt>
                <c:pt idx="173">
                  <c:v>32.402200000000001</c:v>
                </c:pt>
                <c:pt idx="174">
                  <c:v>33.0229</c:v>
                </c:pt>
                <c:pt idx="175">
                  <c:v>32.029800000000002</c:v>
                </c:pt>
                <c:pt idx="176">
                  <c:v>32.526299999999999</c:v>
                </c:pt>
                <c:pt idx="177">
                  <c:v>32.277999999999999</c:v>
                </c:pt>
                <c:pt idx="178">
                  <c:v>31.7194</c:v>
                </c:pt>
                <c:pt idx="179">
                  <c:v>32.1539</c:v>
                </c:pt>
                <c:pt idx="180">
                  <c:v>32.1539</c:v>
                </c:pt>
                <c:pt idx="181">
                  <c:v>32.029800000000002</c:v>
                </c:pt>
                <c:pt idx="182">
                  <c:v>32.1539</c:v>
                </c:pt>
                <c:pt idx="183">
                  <c:v>31.843499999999999</c:v>
                </c:pt>
                <c:pt idx="184">
                  <c:v>32.898800000000001</c:v>
                </c:pt>
                <c:pt idx="185">
                  <c:v>33.2712</c:v>
                </c:pt>
                <c:pt idx="186">
                  <c:v>33.2712</c:v>
                </c:pt>
                <c:pt idx="187">
                  <c:v>33.519500000000001</c:v>
                </c:pt>
                <c:pt idx="188">
                  <c:v>34.1402</c:v>
                </c:pt>
                <c:pt idx="189">
                  <c:v>33.581600000000002</c:v>
                </c:pt>
                <c:pt idx="190">
                  <c:v>35.505899999999997</c:v>
                </c:pt>
                <c:pt idx="191">
                  <c:v>34.574800000000003</c:v>
                </c:pt>
                <c:pt idx="192">
                  <c:v>33.7057</c:v>
                </c:pt>
                <c:pt idx="193">
                  <c:v>33.767800000000001</c:v>
                </c:pt>
                <c:pt idx="194">
                  <c:v>33.954000000000001</c:v>
                </c:pt>
                <c:pt idx="195">
                  <c:v>34.512700000000002</c:v>
                </c:pt>
                <c:pt idx="196">
                  <c:v>34.326500000000003</c:v>
                </c:pt>
                <c:pt idx="197">
                  <c:v>34.202300000000001</c:v>
                </c:pt>
                <c:pt idx="198">
                  <c:v>34.078200000000002</c:v>
                </c:pt>
                <c:pt idx="199">
                  <c:v>33.954000000000001</c:v>
                </c:pt>
                <c:pt idx="200">
                  <c:v>33.581600000000002</c:v>
                </c:pt>
                <c:pt idx="201">
                  <c:v>33.829900000000002</c:v>
                </c:pt>
                <c:pt idx="202">
                  <c:v>33.954000000000001</c:v>
                </c:pt>
                <c:pt idx="203">
                  <c:v>33.892000000000003</c:v>
                </c:pt>
                <c:pt idx="204">
                  <c:v>33.7057</c:v>
                </c:pt>
                <c:pt idx="205">
                  <c:v>33.581600000000002</c:v>
                </c:pt>
                <c:pt idx="206">
                  <c:v>33.892000000000003</c:v>
                </c:pt>
                <c:pt idx="207">
                  <c:v>33.954000000000001</c:v>
                </c:pt>
                <c:pt idx="208">
                  <c:v>33.954000000000001</c:v>
                </c:pt>
                <c:pt idx="209">
                  <c:v>35.071300000000001</c:v>
                </c:pt>
                <c:pt idx="210">
                  <c:v>35.630000000000003</c:v>
                </c:pt>
                <c:pt idx="211">
                  <c:v>35.8125</c:v>
                </c:pt>
                <c:pt idx="212">
                  <c:v>35.4375</c:v>
                </c:pt>
                <c:pt idx="213">
                  <c:v>35.5625</c:v>
                </c:pt>
                <c:pt idx="214">
                  <c:v>35.625</c:v>
                </c:pt>
                <c:pt idx="215">
                  <c:v>35.9375</c:v>
                </c:pt>
                <c:pt idx="216">
                  <c:v>37.25</c:v>
                </c:pt>
                <c:pt idx="217">
                  <c:v>37.9375</c:v>
                </c:pt>
                <c:pt idx="218">
                  <c:v>38.1875</c:v>
                </c:pt>
                <c:pt idx="219">
                  <c:v>38.875</c:v>
                </c:pt>
                <c:pt idx="220">
                  <c:v>39</c:v>
                </c:pt>
                <c:pt idx="221">
                  <c:v>38</c:v>
                </c:pt>
                <c:pt idx="222">
                  <c:v>37.4375</c:v>
                </c:pt>
                <c:pt idx="223">
                  <c:v>37.6875</c:v>
                </c:pt>
                <c:pt idx="224">
                  <c:v>37.625</c:v>
                </c:pt>
                <c:pt idx="225">
                  <c:v>36.875</c:v>
                </c:pt>
                <c:pt idx="226">
                  <c:v>36.5625</c:v>
                </c:pt>
                <c:pt idx="227">
                  <c:v>36.125</c:v>
                </c:pt>
                <c:pt idx="228">
                  <c:v>36.125</c:v>
                </c:pt>
                <c:pt idx="229">
                  <c:v>36.1875</c:v>
                </c:pt>
                <c:pt idx="230">
                  <c:v>37</c:v>
                </c:pt>
                <c:pt idx="231">
                  <c:v>36.6875</c:v>
                </c:pt>
                <c:pt idx="232">
                  <c:v>36.6875</c:v>
                </c:pt>
                <c:pt idx="233">
                  <c:v>37.4375</c:v>
                </c:pt>
                <c:pt idx="234">
                  <c:v>37.4375</c:v>
                </c:pt>
                <c:pt idx="235">
                  <c:v>37.125</c:v>
                </c:pt>
                <c:pt idx="236">
                  <c:v>37.625</c:v>
                </c:pt>
                <c:pt idx="237">
                  <c:v>37.75</c:v>
                </c:pt>
                <c:pt idx="238">
                  <c:v>38.25</c:v>
                </c:pt>
                <c:pt idx="239">
                  <c:v>37.5625</c:v>
                </c:pt>
                <c:pt idx="240">
                  <c:v>38.375</c:v>
                </c:pt>
                <c:pt idx="241">
                  <c:v>37.4375</c:v>
                </c:pt>
                <c:pt idx="242">
                  <c:v>37.125</c:v>
                </c:pt>
                <c:pt idx="243">
                  <c:v>37.5</c:v>
                </c:pt>
                <c:pt idx="244">
                  <c:v>39.6875</c:v>
                </c:pt>
                <c:pt idx="245">
                  <c:v>38.5</c:v>
                </c:pt>
                <c:pt idx="246">
                  <c:v>40.875</c:v>
                </c:pt>
                <c:pt idx="247">
                  <c:v>39.5</c:v>
                </c:pt>
                <c:pt idx="248">
                  <c:v>39</c:v>
                </c:pt>
                <c:pt idx="249">
                  <c:v>39.8125</c:v>
                </c:pt>
                <c:pt idx="250">
                  <c:v>39.4375</c:v>
                </c:pt>
                <c:pt idx="251">
                  <c:v>39.6875</c:v>
                </c:pt>
                <c:pt idx="252">
                  <c:v>38.8125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76-4E0F-8DC0-51521EE15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365792"/>
        <c:axId val="903363632"/>
      </c:scatterChart>
      <c:valAx>
        <c:axId val="903365792"/>
        <c:scaling>
          <c:orientation val="minMax"/>
        </c:scaling>
        <c:delete val="0"/>
        <c:axPos val="b"/>
        <c:numFmt formatCode="m/d/yyyy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3363632"/>
        <c:crosses val="autoZero"/>
        <c:crossBetween val="midCat"/>
      </c:valAx>
      <c:valAx>
        <c:axId val="9033636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3365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345176410492909"/>
          <c:y val="0.48557847489132328"/>
          <c:w val="0.10998215266195216"/>
          <c:h val="0.10327847349253323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1C4892F-B2B9-48C0-B649-D35B82A11914}">
  <sheetPr/>
  <sheetViews>
    <sheetView tabSelected="1" zoomScale="13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7EB8DE7-9CBB-ECE8-73B3-ACFD2799191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8a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8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 for page 485"/>
      <sheetName val="Page for page 485中文"/>
      <sheetName val="Page 485"/>
      <sheetName val="Page 485 中文"/>
      <sheetName val="Page 486, 488"/>
      <sheetName val="Page 486, 488 中文"/>
      <sheetName val="Page 487, top"/>
      <sheetName val="Page 487, top 中文"/>
      <sheetName val="Page 487, bottom"/>
      <sheetName val="Page 487, bottom 中文"/>
      <sheetName val="Page 490, top"/>
      <sheetName val="Page 490, top 中文"/>
      <sheetName val="Page 490, bottom"/>
      <sheetName val="Page 490, bottom 中文"/>
      <sheetName val="Page 491, top"/>
      <sheetName val="Page 491, top中文"/>
      <sheetName val="Page 491, bottom"/>
      <sheetName val="Page 491, bottom 中文"/>
      <sheetName val="Page 494"/>
      <sheetName val="Page 494 中文"/>
      <sheetName val="Page 496"/>
      <sheetName val="Page 496 中文"/>
      <sheetName val="Page 497"/>
      <sheetName val="Page 497 中文"/>
      <sheetName val="Page 504"/>
      <sheetName val="Page 504 (中文)"/>
      <sheetName val="VBA program, page 187"/>
    </sheetNames>
    <sheetDataSet>
      <sheetData sheetId="0"/>
      <sheetData sheetId="1"/>
      <sheetData sheetId="4"/>
      <sheetData sheetId="5"/>
      <sheetData sheetId="8"/>
      <sheetData sheetId="9"/>
      <sheetData sheetId="12"/>
      <sheetData sheetId="13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B3D5-FAF9-4304-9673-DDB309FEE0BA}">
  <sheetPr codeName="Sheet4"/>
  <dimension ref="A1:O257"/>
  <sheetViews>
    <sheetView workbookViewId="0">
      <selection activeCell="O5" sqref="O5"/>
    </sheetView>
  </sheetViews>
  <sheetFormatPr defaultRowHeight="13.2" x14ac:dyDescent="0.25"/>
  <cols>
    <col min="1" max="1" width="11.109375" style="2" customWidth="1"/>
    <col min="2" max="256" width="8.88671875" style="2"/>
    <col min="257" max="257" width="11.109375" style="2" customWidth="1"/>
    <col min="258" max="512" width="8.88671875" style="2"/>
    <col min="513" max="513" width="11.109375" style="2" customWidth="1"/>
    <col min="514" max="768" width="8.88671875" style="2"/>
    <col min="769" max="769" width="11.109375" style="2" customWidth="1"/>
    <col min="770" max="1024" width="8.88671875" style="2"/>
    <col min="1025" max="1025" width="11.109375" style="2" customWidth="1"/>
    <col min="1026" max="1280" width="8.88671875" style="2"/>
    <col min="1281" max="1281" width="11.109375" style="2" customWidth="1"/>
    <col min="1282" max="1536" width="8.88671875" style="2"/>
    <col min="1537" max="1537" width="11.109375" style="2" customWidth="1"/>
    <col min="1538" max="1792" width="8.88671875" style="2"/>
    <col min="1793" max="1793" width="11.109375" style="2" customWidth="1"/>
    <col min="1794" max="2048" width="8.88671875" style="2"/>
    <col min="2049" max="2049" width="11.109375" style="2" customWidth="1"/>
    <col min="2050" max="2304" width="8.88671875" style="2"/>
    <col min="2305" max="2305" width="11.109375" style="2" customWidth="1"/>
    <col min="2306" max="2560" width="8.88671875" style="2"/>
    <col min="2561" max="2561" width="11.109375" style="2" customWidth="1"/>
    <col min="2562" max="2816" width="8.88671875" style="2"/>
    <col min="2817" max="2817" width="11.109375" style="2" customWidth="1"/>
    <col min="2818" max="3072" width="8.88671875" style="2"/>
    <col min="3073" max="3073" width="11.109375" style="2" customWidth="1"/>
    <col min="3074" max="3328" width="8.88671875" style="2"/>
    <col min="3329" max="3329" width="11.109375" style="2" customWidth="1"/>
    <col min="3330" max="3584" width="8.88671875" style="2"/>
    <col min="3585" max="3585" width="11.109375" style="2" customWidth="1"/>
    <col min="3586" max="3840" width="8.88671875" style="2"/>
    <col min="3841" max="3841" width="11.109375" style="2" customWidth="1"/>
    <col min="3842" max="4096" width="8.88671875" style="2"/>
    <col min="4097" max="4097" width="11.109375" style="2" customWidth="1"/>
    <col min="4098" max="4352" width="8.88671875" style="2"/>
    <col min="4353" max="4353" width="11.109375" style="2" customWidth="1"/>
    <col min="4354" max="4608" width="8.88671875" style="2"/>
    <col min="4609" max="4609" width="11.109375" style="2" customWidth="1"/>
    <col min="4610" max="4864" width="8.88671875" style="2"/>
    <col min="4865" max="4865" width="11.109375" style="2" customWidth="1"/>
    <col min="4866" max="5120" width="8.88671875" style="2"/>
    <col min="5121" max="5121" width="11.109375" style="2" customWidth="1"/>
    <col min="5122" max="5376" width="8.88671875" style="2"/>
    <col min="5377" max="5377" width="11.109375" style="2" customWidth="1"/>
    <col min="5378" max="5632" width="8.88671875" style="2"/>
    <col min="5633" max="5633" width="11.109375" style="2" customWidth="1"/>
    <col min="5634" max="5888" width="8.88671875" style="2"/>
    <col min="5889" max="5889" width="11.109375" style="2" customWidth="1"/>
    <col min="5890" max="6144" width="8.88671875" style="2"/>
    <col min="6145" max="6145" width="11.109375" style="2" customWidth="1"/>
    <col min="6146" max="6400" width="8.88671875" style="2"/>
    <col min="6401" max="6401" width="11.109375" style="2" customWidth="1"/>
    <col min="6402" max="6656" width="8.88671875" style="2"/>
    <col min="6657" max="6657" width="11.109375" style="2" customWidth="1"/>
    <col min="6658" max="6912" width="8.88671875" style="2"/>
    <col min="6913" max="6913" width="11.109375" style="2" customWidth="1"/>
    <col min="6914" max="7168" width="8.88671875" style="2"/>
    <col min="7169" max="7169" width="11.109375" style="2" customWidth="1"/>
    <col min="7170" max="7424" width="8.88671875" style="2"/>
    <col min="7425" max="7425" width="11.109375" style="2" customWidth="1"/>
    <col min="7426" max="7680" width="8.88671875" style="2"/>
    <col min="7681" max="7681" width="11.109375" style="2" customWidth="1"/>
    <col min="7682" max="7936" width="8.88671875" style="2"/>
    <col min="7937" max="7937" width="11.109375" style="2" customWidth="1"/>
    <col min="7938" max="8192" width="8.88671875" style="2"/>
    <col min="8193" max="8193" width="11.109375" style="2" customWidth="1"/>
    <col min="8194" max="8448" width="8.88671875" style="2"/>
    <col min="8449" max="8449" width="11.109375" style="2" customWidth="1"/>
    <col min="8450" max="8704" width="8.88671875" style="2"/>
    <col min="8705" max="8705" width="11.109375" style="2" customWidth="1"/>
    <col min="8706" max="8960" width="8.88671875" style="2"/>
    <col min="8961" max="8961" width="11.109375" style="2" customWidth="1"/>
    <col min="8962" max="9216" width="8.88671875" style="2"/>
    <col min="9217" max="9217" width="11.109375" style="2" customWidth="1"/>
    <col min="9218" max="9472" width="8.88671875" style="2"/>
    <col min="9473" max="9473" width="11.109375" style="2" customWidth="1"/>
    <col min="9474" max="9728" width="8.88671875" style="2"/>
    <col min="9729" max="9729" width="11.109375" style="2" customWidth="1"/>
    <col min="9730" max="9984" width="8.88671875" style="2"/>
    <col min="9985" max="9985" width="11.109375" style="2" customWidth="1"/>
    <col min="9986" max="10240" width="8.88671875" style="2"/>
    <col min="10241" max="10241" width="11.109375" style="2" customWidth="1"/>
    <col min="10242" max="10496" width="8.88671875" style="2"/>
    <col min="10497" max="10497" width="11.109375" style="2" customWidth="1"/>
    <col min="10498" max="10752" width="8.88671875" style="2"/>
    <col min="10753" max="10753" width="11.109375" style="2" customWidth="1"/>
    <col min="10754" max="11008" width="8.88671875" style="2"/>
    <col min="11009" max="11009" width="11.109375" style="2" customWidth="1"/>
    <col min="11010" max="11264" width="8.88671875" style="2"/>
    <col min="11265" max="11265" width="11.109375" style="2" customWidth="1"/>
    <col min="11266" max="11520" width="8.88671875" style="2"/>
    <col min="11521" max="11521" width="11.109375" style="2" customWidth="1"/>
    <col min="11522" max="11776" width="8.88671875" style="2"/>
    <col min="11777" max="11777" width="11.109375" style="2" customWidth="1"/>
    <col min="11778" max="12032" width="8.88671875" style="2"/>
    <col min="12033" max="12033" width="11.109375" style="2" customWidth="1"/>
    <col min="12034" max="12288" width="8.88671875" style="2"/>
    <col min="12289" max="12289" width="11.109375" style="2" customWidth="1"/>
    <col min="12290" max="12544" width="8.88671875" style="2"/>
    <col min="12545" max="12545" width="11.109375" style="2" customWidth="1"/>
    <col min="12546" max="12800" width="8.88671875" style="2"/>
    <col min="12801" max="12801" width="11.109375" style="2" customWidth="1"/>
    <col min="12802" max="13056" width="8.88671875" style="2"/>
    <col min="13057" max="13057" width="11.109375" style="2" customWidth="1"/>
    <col min="13058" max="13312" width="8.88671875" style="2"/>
    <col min="13313" max="13313" width="11.109375" style="2" customWidth="1"/>
    <col min="13314" max="13568" width="8.88671875" style="2"/>
    <col min="13569" max="13569" width="11.109375" style="2" customWidth="1"/>
    <col min="13570" max="13824" width="8.88671875" style="2"/>
    <col min="13825" max="13825" width="11.109375" style="2" customWidth="1"/>
    <col min="13826" max="14080" width="8.88671875" style="2"/>
    <col min="14081" max="14081" width="11.109375" style="2" customWidth="1"/>
    <col min="14082" max="14336" width="8.88671875" style="2"/>
    <col min="14337" max="14337" width="11.109375" style="2" customWidth="1"/>
    <col min="14338" max="14592" width="8.88671875" style="2"/>
    <col min="14593" max="14593" width="11.109375" style="2" customWidth="1"/>
    <col min="14594" max="14848" width="8.88671875" style="2"/>
    <col min="14849" max="14849" width="11.109375" style="2" customWidth="1"/>
    <col min="14850" max="15104" width="8.88671875" style="2"/>
    <col min="15105" max="15105" width="11.109375" style="2" customWidth="1"/>
    <col min="15106" max="15360" width="8.88671875" style="2"/>
    <col min="15361" max="15361" width="11.109375" style="2" customWidth="1"/>
    <col min="15362" max="15616" width="8.88671875" style="2"/>
    <col min="15617" max="15617" width="11.109375" style="2" customWidth="1"/>
    <col min="15618" max="15872" width="8.88671875" style="2"/>
    <col min="15873" max="15873" width="11.109375" style="2" customWidth="1"/>
    <col min="15874" max="16128" width="8.88671875" style="2"/>
    <col min="16129" max="16129" width="11.109375" style="2" customWidth="1"/>
    <col min="16130" max="16384" width="8.88671875" style="2"/>
  </cols>
  <sheetData>
    <row r="1" spans="1:15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x14ac:dyDescent="0.25">
      <c r="L2" s="2" t="s">
        <v>1</v>
      </c>
      <c r="M2" s="2">
        <f>MIN(I6:I257)</f>
        <v>-2.8458988066466028E-2</v>
      </c>
    </row>
    <row r="3" spans="1:15" x14ac:dyDescent="0.25">
      <c r="I3" s="2" t="s">
        <v>2</v>
      </c>
      <c r="L3" s="2" t="s">
        <v>3</v>
      </c>
      <c r="M3" s="2">
        <f>MAX(I6:I257)</f>
        <v>2.8495959166508541E-2</v>
      </c>
    </row>
    <row r="4" spans="1:15" x14ac:dyDescent="0.25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  <c r="F4" s="2" t="s">
        <v>9</v>
      </c>
      <c r="G4" s="2" t="s">
        <v>10</v>
      </c>
      <c r="I4" s="2" t="s">
        <v>5</v>
      </c>
      <c r="J4" s="2" t="s">
        <v>11</v>
      </c>
      <c r="L4" s="2" t="s">
        <v>12</v>
      </c>
      <c r="M4" s="2">
        <v>30</v>
      </c>
    </row>
    <row r="5" spans="1:15" x14ac:dyDescent="0.25">
      <c r="A5" s="3">
        <v>36094</v>
      </c>
      <c r="B5" s="2">
        <v>1072.32</v>
      </c>
      <c r="C5" s="2">
        <v>44.895299999999999</v>
      </c>
      <c r="D5" s="2">
        <v>48.646000000000001</v>
      </c>
      <c r="E5" s="2">
        <v>32.985199999999999</v>
      </c>
      <c r="F5" s="2">
        <v>92.375</v>
      </c>
      <c r="G5" s="2">
        <v>44</v>
      </c>
      <c r="L5" s="2" t="s">
        <v>13</v>
      </c>
      <c r="M5" s="2">
        <f>(M3-M2)/M4</f>
        <v>1.8984982410991523E-3</v>
      </c>
      <c r="O5" s="2">
        <v>36094</v>
      </c>
    </row>
    <row r="6" spans="1:15" x14ac:dyDescent="0.25">
      <c r="A6" s="3">
        <v>36095</v>
      </c>
      <c r="B6" s="2">
        <v>1065.3399999999999</v>
      </c>
      <c r="C6" s="2">
        <v>44.279499999999999</v>
      </c>
      <c r="D6" s="2">
        <v>49.130099999999999</v>
      </c>
      <c r="E6" s="2">
        <v>32.4983</v>
      </c>
      <c r="F6" s="2">
        <v>92.4375</v>
      </c>
      <c r="G6" s="2">
        <v>44.6875</v>
      </c>
      <c r="I6" s="2">
        <f t="shared" ref="I6:I69" si="0">LN(B6/B5)</f>
        <v>-6.5305285281922519E-3</v>
      </c>
      <c r="J6" s="2">
        <f t="shared" ref="J6:J69" si="1">LN(F6/F5)</f>
        <v>6.7636120265276056E-4</v>
      </c>
      <c r="O6" s="2">
        <v>36095</v>
      </c>
    </row>
    <row r="7" spans="1:15" x14ac:dyDescent="0.25">
      <c r="A7" s="3">
        <v>36096</v>
      </c>
      <c r="B7" s="2">
        <v>1068.0899999999999</v>
      </c>
      <c r="C7" s="2">
        <v>45.3264</v>
      </c>
      <c r="D7" s="2">
        <v>49.823700000000002</v>
      </c>
      <c r="E7" s="2">
        <v>31.889700000000001</v>
      </c>
      <c r="F7" s="2">
        <v>92.6875</v>
      </c>
      <c r="G7" s="2">
        <v>43</v>
      </c>
      <c r="I7" s="2">
        <f t="shared" si="0"/>
        <v>2.5780096118196648E-3</v>
      </c>
      <c r="J7" s="2">
        <f t="shared" si="1"/>
        <v>2.7008794271322408E-3</v>
      </c>
      <c r="O7" s="2">
        <v>36096</v>
      </c>
    </row>
    <row r="8" spans="1:15" x14ac:dyDescent="0.25">
      <c r="A8" s="3">
        <v>36097</v>
      </c>
      <c r="B8" s="2">
        <v>1085.93</v>
      </c>
      <c r="C8" s="2">
        <v>46.496600000000001</v>
      </c>
      <c r="D8" s="2">
        <v>50.190100000000001</v>
      </c>
      <c r="E8" s="2">
        <v>31.341999999999999</v>
      </c>
      <c r="F8" s="2">
        <v>93.0625</v>
      </c>
      <c r="G8" s="2">
        <v>43.375</v>
      </c>
      <c r="I8" s="2">
        <f t="shared" si="0"/>
        <v>1.6564756061968819E-2</v>
      </c>
      <c r="J8" s="2">
        <f t="shared" si="1"/>
        <v>4.0376905460769736E-3</v>
      </c>
      <c r="L8" s="2">
        <f>M2</f>
        <v>-2.8458988066466028E-2</v>
      </c>
      <c r="M8" s="2">
        <f t="array" ref="M8:M38">FREQUENCY(I6:I257,L8:L38)</f>
        <v>1</v>
      </c>
      <c r="O8" s="2">
        <v>36097</v>
      </c>
    </row>
    <row r="9" spans="1:15" x14ac:dyDescent="0.25">
      <c r="A9" s="3">
        <v>36098</v>
      </c>
      <c r="B9" s="2">
        <v>1098.67</v>
      </c>
      <c r="C9" s="2">
        <v>46.311799999999998</v>
      </c>
      <c r="D9" s="2">
        <v>52.998699999999999</v>
      </c>
      <c r="E9" s="2">
        <v>32.133200000000002</v>
      </c>
      <c r="F9" s="2">
        <v>92.25</v>
      </c>
      <c r="G9" s="2">
        <v>43.875</v>
      </c>
      <c r="I9" s="2">
        <f t="shared" si="0"/>
        <v>1.1663594642690903E-2</v>
      </c>
      <c r="J9" s="2">
        <f t="shared" si="1"/>
        <v>-8.7690275235911726E-3</v>
      </c>
      <c r="L9" s="2">
        <f t="shared" ref="L9:L38" si="2">L8+$M$5</f>
        <v>-2.6560489825366875E-2</v>
      </c>
      <c r="M9" s="2">
        <v>1</v>
      </c>
      <c r="O9" s="2">
        <v>36098</v>
      </c>
    </row>
    <row r="10" spans="1:15" x14ac:dyDescent="0.25">
      <c r="A10" s="3">
        <v>36101</v>
      </c>
      <c r="B10" s="2">
        <v>1111.5999999999999</v>
      </c>
      <c r="C10" s="2">
        <v>46.373399999999997</v>
      </c>
      <c r="D10" s="2">
        <v>53.181899999999999</v>
      </c>
      <c r="E10" s="2">
        <v>32.863500000000002</v>
      </c>
      <c r="F10" s="2">
        <v>86.3125</v>
      </c>
      <c r="G10" s="2">
        <v>44</v>
      </c>
      <c r="I10" s="2">
        <f t="shared" si="0"/>
        <v>1.1700061531115918E-2</v>
      </c>
      <c r="J10" s="2">
        <f t="shared" si="1"/>
        <v>-6.652785175112573E-2</v>
      </c>
      <c r="L10" s="2">
        <f t="shared" si="2"/>
        <v>-2.4661991584267722E-2</v>
      </c>
      <c r="M10" s="2">
        <v>0</v>
      </c>
      <c r="O10" s="2">
        <v>36101</v>
      </c>
    </row>
    <row r="11" spans="1:15" x14ac:dyDescent="0.25">
      <c r="A11" s="3">
        <v>36102</v>
      </c>
      <c r="B11" s="2">
        <v>1110.8399999999999</v>
      </c>
      <c r="C11" s="2">
        <v>46.127000000000002</v>
      </c>
      <c r="D11" s="2">
        <v>52.021799999999999</v>
      </c>
      <c r="E11" s="2">
        <v>33.167700000000004</v>
      </c>
      <c r="F11" s="2">
        <v>87.875</v>
      </c>
      <c r="G11" s="2">
        <v>44</v>
      </c>
      <c r="I11" s="2">
        <f t="shared" si="0"/>
        <v>-6.8393300122839256E-4</v>
      </c>
      <c r="J11" s="2">
        <f t="shared" si="1"/>
        <v>1.7940918961318074E-2</v>
      </c>
      <c r="L11" s="2">
        <f t="shared" si="2"/>
        <v>-2.2763493343168569E-2</v>
      </c>
      <c r="M11" s="2">
        <v>2</v>
      </c>
      <c r="O11" s="2">
        <v>36102</v>
      </c>
    </row>
    <row r="12" spans="1:15" x14ac:dyDescent="0.25">
      <c r="A12" s="3">
        <v>36103</v>
      </c>
      <c r="B12" s="2">
        <v>1118.67</v>
      </c>
      <c r="C12" s="2">
        <v>44.956899999999997</v>
      </c>
      <c r="D12" s="2">
        <v>52.7545</v>
      </c>
      <c r="E12" s="2">
        <v>33.898000000000003</v>
      </c>
      <c r="F12" s="2">
        <v>88.0625</v>
      </c>
      <c r="G12" s="2">
        <v>43.1875</v>
      </c>
      <c r="I12" s="2">
        <f t="shared" si="0"/>
        <v>7.0239937852107411E-3</v>
      </c>
      <c r="J12" s="2">
        <f t="shared" si="1"/>
        <v>2.1314395280700397E-3</v>
      </c>
      <c r="L12" s="2">
        <f t="shared" si="2"/>
        <v>-2.0864995102069416E-2</v>
      </c>
      <c r="M12" s="2">
        <v>7</v>
      </c>
      <c r="O12" s="2">
        <v>36103</v>
      </c>
    </row>
    <row r="13" spans="1:15" x14ac:dyDescent="0.25">
      <c r="A13" s="3">
        <v>36104</v>
      </c>
      <c r="B13" s="2">
        <v>1133.8499999999999</v>
      </c>
      <c r="C13" s="2">
        <v>45.880699999999997</v>
      </c>
      <c r="D13" s="2">
        <v>52.388199999999998</v>
      </c>
      <c r="E13" s="2">
        <v>34.567500000000003</v>
      </c>
      <c r="F13" s="2">
        <v>90.6875</v>
      </c>
      <c r="G13" s="2">
        <v>44.6875</v>
      </c>
      <c r="I13" s="2">
        <f t="shared" si="0"/>
        <v>1.3478441753964411E-2</v>
      </c>
      <c r="J13" s="2">
        <f t="shared" si="1"/>
        <v>2.9372740985507614E-2</v>
      </c>
      <c r="L13" s="2">
        <f t="shared" si="2"/>
        <v>-1.8966496860970263E-2</v>
      </c>
      <c r="M13" s="2">
        <v>2</v>
      </c>
      <c r="O13" s="2">
        <v>36104</v>
      </c>
    </row>
    <row r="14" spans="1:15" x14ac:dyDescent="0.25">
      <c r="A14" s="3">
        <v>36105</v>
      </c>
      <c r="B14" s="2">
        <v>1141.01</v>
      </c>
      <c r="C14" s="2">
        <v>46.619700000000002</v>
      </c>
      <c r="D14" s="2">
        <v>52.693399999999997</v>
      </c>
      <c r="E14" s="2">
        <v>34.567500000000003</v>
      </c>
      <c r="F14" s="2">
        <v>91.0625</v>
      </c>
      <c r="G14" s="2">
        <v>45.75</v>
      </c>
      <c r="I14" s="2">
        <f t="shared" si="0"/>
        <v>6.2949136592676857E-3</v>
      </c>
      <c r="J14" s="2">
        <f t="shared" si="1"/>
        <v>4.1265533110170435E-3</v>
      </c>
      <c r="L14" s="2">
        <f t="shared" si="2"/>
        <v>-1.706799861987111E-2</v>
      </c>
      <c r="M14" s="2">
        <v>9</v>
      </c>
      <c r="O14" s="2">
        <v>36105</v>
      </c>
    </row>
    <row r="15" spans="1:15" x14ac:dyDescent="0.25">
      <c r="A15" s="3">
        <v>36108</v>
      </c>
      <c r="B15" s="2">
        <v>1130.2</v>
      </c>
      <c r="C15" s="2">
        <v>45.880699999999997</v>
      </c>
      <c r="D15" s="2">
        <v>51.7776</v>
      </c>
      <c r="E15" s="2">
        <v>34.080599999999997</v>
      </c>
      <c r="F15" s="2">
        <v>92.5625</v>
      </c>
      <c r="G15" s="2">
        <v>47.875</v>
      </c>
      <c r="I15" s="2">
        <f t="shared" si="0"/>
        <v>-9.519226869819937E-3</v>
      </c>
      <c r="J15" s="2">
        <f t="shared" si="1"/>
        <v>1.6338008072593918E-2</v>
      </c>
      <c r="L15" s="2">
        <f t="shared" si="2"/>
        <v>-1.5169500378771957E-2</v>
      </c>
      <c r="M15" s="2">
        <v>4</v>
      </c>
      <c r="O15" s="2">
        <v>36108</v>
      </c>
    </row>
    <row r="16" spans="1:15" x14ac:dyDescent="0.25">
      <c r="A16" s="3">
        <v>36109</v>
      </c>
      <c r="B16" s="2">
        <v>1128.26</v>
      </c>
      <c r="C16" s="2">
        <v>46.804499999999997</v>
      </c>
      <c r="D16" s="2">
        <v>52.693399999999997</v>
      </c>
      <c r="E16" s="2">
        <v>33.776299999999999</v>
      </c>
      <c r="F16" s="2">
        <v>94.3125</v>
      </c>
      <c r="G16" s="2">
        <v>48.75</v>
      </c>
      <c r="I16" s="2">
        <f t="shared" si="0"/>
        <v>-1.7179852440644709E-3</v>
      </c>
      <c r="J16" s="2">
        <f t="shared" si="1"/>
        <v>1.8729644500050199E-2</v>
      </c>
      <c r="L16" s="2">
        <f t="shared" si="2"/>
        <v>-1.3271002137672804E-2</v>
      </c>
      <c r="M16" s="2">
        <v>5</v>
      </c>
      <c r="O16" s="2">
        <v>36109</v>
      </c>
    </row>
    <row r="17" spans="1:15" x14ac:dyDescent="0.25">
      <c r="A17" s="3">
        <v>36110</v>
      </c>
      <c r="B17" s="2">
        <v>1120.97</v>
      </c>
      <c r="C17" s="2">
        <v>45.264899999999997</v>
      </c>
      <c r="D17" s="2">
        <v>52.632399999999997</v>
      </c>
      <c r="E17" s="2">
        <v>33.472000000000001</v>
      </c>
      <c r="F17" s="2">
        <v>94.9375</v>
      </c>
      <c r="G17" s="2">
        <v>47.4375</v>
      </c>
      <c r="I17" s="2">
        <f t="shared" si="0"/>
        <v>-6.4822410574262466E-3</v>
      </c>
      <c r="J17" s="2">
        <f t="shared" si="1"/>
        <v>6.6050438279240424E-3</v>
      </c>
      <c r="L17" s="2">
        <f t="shared" si="2"/>
        <v>-1.1372503896573651E-2</v>
      </c>
      <c r="M17" s="2">
        <v>7</v>
      </c>
      <c r="O17" s="2">
        <v>36110</v>
      </c>
    </row>
    <row r="18" spans="1:15" x14ac:dyDescent="0.25">
      <c r="A18" s="3">
        <v>36111</v>
      </c>
      <c r="B18" s="2">
        <v>1117.69</v>
      </c>
      <c r="C18" s="2">
        <v>45.080100000000002</v>
      </c>
      <c r="D18" s="2">
        <v>50.800600000000003</v>
      </c>
      <c r="E18" s="2">
        <v>33.411200000000001</v>
      </c>
      <c r="F18" s="2">
        <v>93.75</v>
      </c>
      <c r="G18" s="2">
        <v>46.9375</v>
      </c>
      <c r="I18" s="2">
        <f t="shared" si="0"/>
        <v>-2.9303264873289897E-3</v>
      </c>
      <c r="J18" s="2">
        <f t="shared" si="1"/>
        <v>-1.2587115505471367E-2</v>
      </c>
      <c r="L18" s="2">
        <f t="shared" si="2"/>
        <v>-9.4740056554744982E-3</v>
      </c>
      <c r="M18" s="2">
        <v>6</v>
      </c>
      <c r="O18" s="2">
        <v>36111</v>
      </c>
    </row>
    <row r="19" spans="1:15" x14ac:dyDescent="0.25">
      <c r="A19" s="3">
        <v>36112</v>
      </c>
      <c r="B19" s="2">
        <v>1125.72</v>
      </c>
      <c r="C19" s="2">
        <v>45.264899999999997</v>
      </c>
      <c r="D19" s="2">
        <v>52.143900000000002</v>
      </c>
      <c r="E19" s="2">
        <v>33.350299999999997</v>
      </c>
      <c r="F19" s="2">
        <v>93.6875</v>
      </c>
      <c r="G19" s="2">
        <v>46.625</v>
      </c>
      <c r="I19" s="2">
        <f t="shared" si="0"/>
        <v>7.1587755189366116E-3</v>
      </c>
      <c r="J19" s="2">
        <f t="shared" si="1"/>
        <v>-6.6688898770376765E-4</v>
      </c>
      <c r="L19" s="2">
        <f t="shared" si="2"/>
        <v>-7.5755074143753461E-3</v>
      </c>
      <c r="M19" s="2">
        <v>11</v>
      </c>
      <c r="O19" s="2">
        <v>36112</v>
      </c>
    </row>
    <row r="20" spans="1:15" x14ac:dyDescent="0.25">
      <c r="A20" s="3">
        <v>36115</v>
      </c>
      <c r="B20" s="2">
        <v>1135.8699999999999</v>
      </c>
      <c r="C20" s="2">
        <v>47.666699999999999</v>
      </c>
      <c r="D20" s="2">
        <v>53.365099999999998</v>
      </c>
      <c r="E20" s="2">
        <v>33.776299999999999</v>
      </c>
      <c r="F20" s="2">
        <v>91.8125</v>
      </c>
      <c r="G20" s="2">
        <v>45</v>
      </c>
      <c r="I20" s="2">
        <f t="shared" si="0"/>
        <v>8.9760461871488464E-3</v>
      </c>
      <c r="J20" s="2">
        <f t="shared" si="1"/>
        <v>-2.0216321928720395E-2</v>
      </c>
      <c r="L20" s="2">
        <f t="shared" si="2"/>
        <v>-5.677009173276194E-3</v>
      </c>
      <c r="M20" s="2">
        <v>18</v>
      </c>
      <c r="O20" s="2">
        <v>36115</v>
      </c>
    </row>
    <row r="21" spans="1:15" x14ac:dyDescent="0.25">
      <c r="A21" s="3">
        <v>36116</v>
      </c>
      <c r="B21" s="2">
        <v>1139.32</v>
      </c>
      <c r="C21" s="2">
        <v>46.496600000000001</v>
      </c>
      <c r="D21" s="2">
        <v>53.548299999999998</v>
      </c>
      <c r="E21" s="2">
        <v>33.2286</v>
      </c>
      <c r="F21" s="2">
        <v>92.5625</v>
      </c>
      <c r="G21" s="2">
        <v>43.75</v>
      </c>
      <c r="I21" s="2">
        <f t="shared" si="0"/>
        <v>3.0327160757938313E-3</v>
      </c>
      <c r="J21" s="2">
        <f t="shared" si="1"/>
        <v>8.1356380939215586E-3</v>
      </c>
      <c r="L21" s="2">
        <f t="shared" si="2"/>
        <v>-3.7785109321770418E-3</v>
      </c>
      <c r="M21" s="2">
        <v>15</v>
      </c>
      <c r="O21" s="2">
        <v>36116</v>
      </c>
    </row>
    <row r="22" spans="1:15" x14ac:dyDescent="0.25">
      <c r="A22" s="3">
        <v>36117</v>
      </c>
      <c r="B22" s="2">
        <v>1144.48</v>
      </c>
      <c r="C22" s="2">
        <v>46.619700000000002</v>
      </c>
      <c r="D22" s="2">
        <v>53.609299999999998</v>
      </c>
      <c r="E22" s="2">
        <v>32.924300000000002</v>
      </c>
      <c r="F22" s="2">
        <v>89.984399999999994</v>
      </c>
      <c r="G22" s="2">
        <v>41.75</v>
      </c>
      <c r="I22" s="2">
        <f t="shared" si="0"/>
        <v>4.518792171271299E-3</v>
      </c>
      <c r="J22" s="2">
        <f t="shared" si="1"/>
        <v>-2.8247770055044284E-2</v>
      </c>
      <c r="L22" s="2">
        <f t="shared" si="2"/>
        <v>-1.8800126910778895E-3</v>
      </c>
      <c r="M22" s="2">
        <v>18</v>
      </c>
      <c r="O22" s="2">
        <v>36117</v>
      </c>
    </row>
    <row r="23" spans="1:15" x14ac:dyDescent="0.25">
      <c r="A23" s="3">
        <v>36118</v>
      </c>
      <c r="B23" s="2">
        <v>1152.6099999999999</v>
      </c>
      <c r="C23" s="2">
        <v>48.036200000000001</v>
      </c>
      <c r="D23" s="2">
        <v>53.120899999999999</v>
      </c>
      <c r="E23" s="2">
        <v>33.350299999999997</v>
      </c>
      <c r="F23" s="2">
        <v>90.5625</v>
      </c>
      <c r="G23" s="2">
        <v>43.5</v>
      </c>
      <c r="I23" s="2">
        <f t="shared" si="0"/>
        <v>7.0785506416418719E-3</v>
      </c>
      <c r="J23" s="2">
        <f t="shared" si="1"/>
        <v>6.4038981079278393E-3</v>
      </c>
      <c r="L23" s="2">
        <f t="shared" si="2"/>
        <v>1.8485550021262852E-5</v>
      </c>
      <c r="M23" s="2">
        <v>17</v>
      </c>
      <c r="O23" s="2">
        <v>36118</v>
      </c>
    </row>
    <row r="24" spans="1:15" x14ac:dyDescent="0.25">
      <c r="A24" s="3">
        <v>36119</v>
      </c>
      <c r="B24" s="2">
        <v>1163.55</v>
      </c>
      <c r="C24" s="2">
        <v>48.467300000000002</v>
      </c>
      <c r="D24" s="2">
        <v>54.097799999999999</v>
      </c>
      <c r="E24" s="2">
        <v>33.167700000000004</v>
      </c>
      <c r="F24" s="2">
        <v>89.5</v>
      </c>
      <c r="G24" s="2">
        <v>43.5</v>
      </c>
      <c r="I24" s="2">
        <f t="shared" si="0"/>
        <v>9.4467406032745019E-3</v>
      </c>
      <c r="J24" s="2">
        <f t="shared" si="1"/>
        <v>-1.1801594800091427E-2</v>
      </c>
      <c r="L24" s="2">
        <f t="shared" si="2"/>
        <v>1.9169837911204152E-3</v>
      </c>
      <c r="M24" s="2">
        <v>14</v>
      </c>
      <c r="O24" s="2">
        <v>36119</v>
      </c>
    </row>
    <row r="25" spans="1:15" x14ac:dyDescent="0.25">
      <c r="A25" s="3">
        <v>36122</v>
      </c>
      <c r="B25" s="2">
        <v>1188.21</v>
      </c>
      <c r="C25" s="2">
        <v>48.959899999999998</v>
      </c>
      <c r="D25" s="2">
        <v>54.464100000000002</v>
      </c>
      <c r="E25" s="2">
        <v>33.106900000000003</v>
      </c>
      <c r="F25" s="2">
        <v>92.125</v>
      </c>
      <c r="G25" s="2">
        <v>43.75</v>
      </c>
      <c r="I25" s="2">
        <f t="shared" si="0"/>
        <v>2.0972296372802894E-2</v>
      </c>
      <c r="J25" s="2">
        <f t="shared" si="1"/>
        <v>2.8907725228691027E-2</v>
      </c>
      <c r="L25" s="2">
        <f t="shared" si="2"/>
        <v>3.8154820322195675E-3</v>
      </c>
      <c r="M25" s="2">
        <v>17</v>
      </c>
      <c r="O25" s="2">
        <v>36122</v>
      </c>
    </row>
    <row r="26" spans="1:15" x14ac:dyDescent="0.25">
      <c r="A26" s="3">
        <v>36123</v>
      </c>
      <c r="B26" s="2">
        <v>1182.99</v>
      </c>
      <c r="C26" s="2">
        <v>48.159300000000002</v>
      </c>
      <c r="D26" s="2">
        <v>53.975700000000003</v>
      </c>
      <c r="E26" s="2">
        <v>33.827599999999997</v>
      </c>
      <c r="F26" s="2">
        <v>91.4375</v>
      </c>
      <c r="G26" s="2">
        <v>43.405000000000001</v>
      </c>
      <c r="I26" s="2">
        <f t="shared" si="0"/>
        <v>-4.4028411205099659E-3</v>
      </c>
      <c r="J26" s="2">
        <f t="shared" si="1"/>
        <v>-7.4906717291576257E-3</v>
      </c>
      <c r="L26" s="2">
        <f t="shared" si="2"/>
        <v>5.7139802733187197E-3</v>
      </c>
      <c r="M26" s="2">
        <v>13</v>
      </c>
      <c r="O26" s="2">
        <v>36123</v>
      </c>
    </row>
    <row r="27" spans="1:15" x14ac:dyDescent="0.25">
      <c r="A27" s="3">
        <v>36124</v>
      </c>
      <c r="B27" s="2">
        <v>1186.8699999999999</v>
      </c>
      <c r="C27" s="2">
        <v>48.097799999999999</v>
      </c>
      <c r="D27" s="2">
        <v>53.548299999999998</v>
      </c>
      <c r="E27" s="2">
        <v>35.482199999999999</v>
      </c>
      <c r="F27" s="2">
        <v>90.9375</v>
      </c>
      <c r="G27" s="2">
        <v>42.41</v>
      </c>
      <c r="I27" s="2">
        <f t="shared" si="0"/>
        <v>3.2744579568442268E-3</v>
      </c>
      <c r="J27" s="2">
        <f t="shared" si="1"/>
        <v>-5.4832214145313701E-3</v>
      </c>
      <c r="L27" s="2">
        <f t="shared" si="2"/>
        <v>7.6124785144178718E-3</v>
      </c>
      <c r="M27" s="2">
        <v>18</v>
      </c>
      <c r="O27" s="2">
        <v>36124</v>
      </c>
    </row>
    <row r="28" spans="1:15" x14ac:dyDescent="0.25">
      <c r="A28" s="3">
        <v>36126</v>
      </c>
      <c r="B28" s="2">
        <v>1192.33</v>
      </c>
      <c r="C28" s="2">
        <v>48.590400000000002</v>
      </c>
      <c r="D28" s="2">
        <v>53.8536</v>
      </c>
      <c r="E28" s="2">
        <v>35.237000000000002</v>
      </c>
      <c r="F28" s="2">
        <v>91.1875</v>
      </c>
      <c r="G28" s="2">
        <v>42.223500000000001</v>
      </c>
      <c r="I28" s="2">
        <f t="shared" si="0"/>
        <v>4.5897861340694016E-3</v>
      </c>
      <c r="J28" s="2">
        <f t="shared" si="1"/>
        <v>2.7453689171927482E-3</v>
      </c>
      <c r="L28" s="2">
        <f t="shared" si="2"/>
        <v>9.5109767555170248E-3</v>
      </c>
      <c r="M28" s="2">
        <v>9</v>
      </c>
      <c r="O28" s="2">
        <v>36126</v>
      </c>
    </row>
    <row r="29" spans="1:15" x14ac:dyDescent="0.25">
      <c r="A29" s="3">
        <v>36129</v>
      </c>
      <c r="B29" s="2">
        <v>1163.6300000000001</v>
      </c>
      <c r="C29" s="2">
        <v>47.297199999999997</v>
      </c>
      <c r="D29" s="2">
        <v>53.792499999999997</v>
      </c>
      <c r="E29" s="2">
        <v>35.911099999999998</v>
      </c>
      <c r="F29" s="2">
        <v>96.0625</v>
      </c>
      <c r="G29" s="2">
        <v>43.778100000000002</v>
      </c>
      <c r="I29" s="2">
        <f t="shared" si="0"/>
        <v>-2.436494660381228E-2</v>
      </c>
      <c r="J29" s="2">
        <f t="shared" si="1"/>
        <v>5.2081195015810211E-2</v>
      </c>
      <c r="L29" s="2">
        <f t="shared" si="2"/>
        <v>1.1409474996616178E-2</v>
      </c>
      <c r="M29" s="2">
        <v>10</v>
      </c>
      <c r="O29" s="2">
        <v>36129</v>
      </c>
    </row>
    <row r="30" spans="1:15" x14ac:dyDescent="0.25">
      <c r="A30" s="3">
        <v>36130</v>
      </c>
      <c r="B30" s="2">
        <v>1175.28</v>
      </c>
      <c r="C30" s="2">
        <v>47.173999999999999</v>
      </c>
      <c r="D30" s="2">
        <v>56.784399999999998</v>
      </c>
      <c r="E30" s="2">
        <v>36.5852</v>
      </c>
      <c r="F30" s="2">
        <v>94.625</v>
      </c>
      <c r="G30" s="2">
        <v>44.275599999999997</v>
      </c>
      <c r="I30" s="2">
        <f t="shared" si="0"/>
        <v>9.9619877177872778E-3</v>
      </c>
      <c r="J30" s="2">
        <f t="shared" si="1"/>
        <v>-1.5077309541201752E-2</v>
      </c>
      <c r="L30" s="2">
        <f t="shared" si="2"/>
        <v>1.3307973237715331E-2</v>
      </c>
      <c r="M30" s="2">
        <v>9</v>
      </c>
      <c r="O30" s="2">
        <v>36130</v>
      </c>
    </row>
    <row r="31" spans="1:15" x14ac:dyDescent="0.25">
      <c r="A31" s="3">
        <v>36131</v>
      </c>
      <c r="B31" s="2">
        <v>1171.25</v>
      </c>
      <c r="C31" s="2">
        <v>48.159300000000002</v>
      </c>
      <c r="D31" s="2">
        <v>55.135800000000003</v>
      </c>
      <c r="E31" s="2">
        <v>35.665999999999997</v>
      </c>
      <c r="F31" s="2">
        <v>97.5625</v>
      </c>
      <c r="G31" s="2">
        <v>44.835299999999997</v>
      </c>
      <c r="I31" s="2">
        <f t="shared" si="0"/>
        <v>-3.4348625095396209E-3</v>
      </c>
      <c r="J31" s="2">
        <f t="shared" si="1"/>
        <v>3.0571486518037899E-2</v>
      </c>
      <c r="L31" s="2">
        <f t="shared" si="2"/>
        <v>1.5206471478814484E-2</v>
      </c>
      <c r="M31" s="2">
        <v>9</v>
      </c>
      <c r="O31" s="2">
        <v>36131</v>
      </c>
    </row>
    <row r="32" spans="1:15" x14ac:dyDescent="0.25">
      <c r="A32" s="3">
        <v>36132</v>
      </c>
      <c r="B32" s="2">
        <v>1150.1400000000001</v>
      </c>
      <c r="C32" s="2">
        <v>47.173999999999999</v>
      </c>
      <c r="D32" s="2">
        <v>53.8536</v>
      </c>
      <c r="E32" s="2">
        <v>34.991900000000001</v>
      </c>
      <c r="F32" s="2">
        <v>96.4375</v>
      </c>
      <c r="G32" s="2">
        <v>45.3949</v>
      </c>
      <c r="I32" s="2">
        <f t="shared" si="0"/>
        <v>-1.8187880474507933E-2</v>
      </c>
      <c r="J32" s="2">
        <f t="shared" si="1"/>
        <v>-1.1598068152271273E-2</v>
      </c>
      <c r="L32" s="2">
        <f t="shared" si="2"/>
        <v>1.7104969719913637E-2</v>
      </c>
      <c r="M32" s="2">
        <v>10</v>
      </c>
      <c r="O32" s="2">
        <v>36132</v>
      </c>
    </row>
    <row r="33" spans="1:15" x14ac:dyDescent="0.25">
      <c r="A33" s="3">
        <v>36133</v>
      </c>
      <c r="B33" s="2">
        <v>1176.74</v>
      </c>
      <c r="C33" s="2">
        <v>49.021500000000003</v>
      </c>
      <c r="D33" s="2">
        <v>55.0747</v>
      </c>
      <c r="E33" s="2">
        <v>34.317799999999998</v>
      </c>
      <c r="F33" s="2">
        <v>94</v>
      </c>
      <c r="G33" s="2">
        <v>45.270499999999998</v>
      </c>
      <c r="I33" s="2">
        <f t="shared" si="0"/>
        <v>2.2864229185290248E-2</v>
      </c>
      <c r="J33" s="2">
        <f t="shared" si="1"/>
        <v>-2.5600347853375668E-2</v>
      </c>
      <c r="L33" s="2">
        <f t="shared" si="2"/>
        <v>1.900346796101279E-2</v>
      </c>
      <c r="M33" s="2">
        <v>4</v>
      </c>
      <c r="O33" s="2">
        <v>36133</v>
      </c>
    </row>
    <row r="34" spans="1:15" x14ac:dyDescent="0.25">
      <c r="A34" s="3">
        <v>36136</v>
      </c>
      <c r="B34" s="2">
        <v>1187.7</v>
      </c>
      <c r="C34" s="2">
        <v>49.021500000000003</v>
      </c>
      <c r="D34" s="2">
        <v>55.196800000000003</v>
      </c>
      <c r="E34" s="2">
        <v>34.624200000000002</v>
      </c>
      <c r="F34" s="2">
        <v>92.625</v>
      </c>
      <c r="G34" s="2">
        <v>44.275599999999997</v>
      </c>
      <c r="I34" s="2">
        <f t="shared" si="0"/>
        <v>9.2707605167804547E-3</v>
      </c>
      <c r="J34" s="2">
        <f t="shared" si="1"/>
        <v>-1.4735698653752951E-2</v>
      </c>
      <c r="L34" s="2">
        <f t="shared" si="2"/>
        <v>2.0901966202111943E-2</v>
      </c>
      <c r="M34" s="2">
        <v>1</v>
      </c>
      <c r="O34" s="2">
        <v>36136</v>
      </c>
    </row>
    <row r="35" spans="1:15" x14ac:dyDescent="0.25">
      <c r="A35" s="3">
        <v>36137</v>
      </c>
      <c r="B35" s="2">
        <v>1181.3800000000001</v>
      </c>
      <c r="C35" s="2">
        <v>48.898400000000002</v>
      </c>
      <c r="D35" s="2">
        <v>53.670400000000001</v>
      </c>
      <c r="E35" s="2">
        <v>34.930599999999998</v>
      </c>
      <c r="F35" s="2">
        <v>95.0625</v>
      </c>
      <c r="G35" s="2">
        <v>44.275599999999997</v>
      </c>
      <c r="I35" s="2">
        <f t="shared" si="0"/>
        <v>-5.3354171175663337E-3</v>
      </c>
      <c r="J35" s="2">
        <f t="shared" si="1"/>
        <v>2.5975486403260736E-2</v>
      </c>
      <c r="L35" s="2">
        <f t="shared" si="2"/>
        <v>2.2800464443211096E-2</v>
      </c>
      <c r="M35" s="2">
        <v>9</v>
      </c>
      <c r="O35" s="2">
        <v>36137</v>
      </c>
    </row>
    <row r="36" spans="1:15" x14ac:dyDescent="0.25">
      <c r="A36" s="3">
        <v>36138</v>
      </c>
      <c r="B36" s="2">
        <v>1183.49</v>
      </c>
      <c r="C36" s="2">
        <v>48.652000000000001</v>
      </c>
      <c r="D36" s="2">
        <v>53.548299999999998</v>
      </c>
      <c r="E36" s="2">
        <v>35.053199999999997</v>
      </c>
      <c r="F36" s="2">
        <v>93.875</v>
      </c>
      <c r="G36" s="2">
        <v>44.897399999999998</v>
      </c>
      <c r="I36" s="2">
        <f t="shared" si="0"/>
        <v>1.7844537415599758E-3</v>
      </c>
      <c r="J36" s="2">
        <f t="shared" si="1"/>
        <v>-1.2570459935212792E-2</v>
      </c>
      <c r="L36" s="2">
        <f t="shared" si="2"/>
        <v>2.4698962684310249E-2</v>
      </c>
      <c r="M36" s="2">
        <v>3</v>
      </c>
      <c r="O36" s="2">
        <v>36138</v>
      </c>
    </row>
    <row r="37" spans="1:15" x14ac:dyDescent="0.25">
      <c r="A37" s="3">
        <v>36139</v>
      </c>
      <c r="B37" s="2">
        <v>1165.02</v>
      </c>
      <c r="C37" s="2">
        <v>47.420299999999997</v>
      </c>
      <c r="D37" s="2">
        <v>52.815600000000003</v>
      </c>
      <c r="E37" s="2">
        <v>34.685499999999998</v>
      </c>
      <c r="F37" s="2">
        <v>95</v>
      </c>
      <c r="G37" s="2">
        <v>45.643700000000003</v>
      </c>
      <c r="I37" s="2">
        <f t="shared" si="0"/>
        <v>-1.5729446169770962E-2</v>
      </c>
      <c r="J37" s="2">
        <f t="shared" si="1"/>
        <v>1.1912781516241961E-2</v>
      </c>
      <c r="L37" s="2">
        <f t="shared" si="2"/>
        <v>2.6597460925409402E-2</v>
      </c>
      <c r="M37" s="2">
        <v>2</v>
      </c>
      <c r="O37" s="2">
        <v>36139</v>
      </c>
    </row>
    <row r="38" spans="1:15" x14ac:dyDescent="0.25">
      <c r="A38" s="3">
        <v>36140</v>
      </c>
      <c r="B38" s="2">
        <v>1166.46</v>
      </c>
      <c r="C38" s="2">
        <v>48.159300000000002</v>
      </c>
      <c r="D38" s="2">
        <v>53.609299999999998</v>
      </c>
      <c r="E38" s="2">
        <v>34.440399999999997</v>
      </c>
      <c r="F38" s="2">
        <v>94.0625</v>
      </c>
      <c r="G38" s="2">
        <v>46.265500000000003</v>
      </c>
      <c r="I38" s="2">
        <f t="shared" si="0"/>
        <v>1.2352670261860284E-3</v>
      </c>
      <c r="J38" s="2">
        <f t="shared" si="1"/>
        <v>-9.9174366573459155E-3</v>
      </c>
      <c r="L38" s="2">
        <f t="shared" si="2"/>
        <v>2.8495959166508555E-2</v>
      </c>
      <c r="M38" s="2">
        <v>1</v>
      </c>
      <c r="O38" s="2">
        <v>36140</v>
      </c>
    </row>
    <row r="39" spans="1:15" x14ac:dyDescent="0.25">
      <c r="A39" s="3">
        <v>36143</v>
      </c>
      <c r="B39" s="2">
        <v>1141.2</v>
      </c>
      <c r="C39" s="2">
        <v>47.050800000000002</v>
      </c>
      <c r="D39" s="2">
        <v>51.167000000000002</v>
      </c>
      <c r="E39" s="2">
        <v>34.808100000000003</v>
      </c>
      <c r="F39" s="2">
        <v>92.25</v>
      </c>
      <c r="G39" s="2">
        <v>45.768000000000001</v>
      </c>
      <c r="I39" s="2">
        <f t="shared" si="0"/>
        <v>-2.1893180921258488E-2</v>
      </c>
      <c r="J39" s="2">
        <f t="shared" si="1"/>
        <v>-1.9457172022558335E-2</v>
      </c>
      <c r="O39" s="2">
        <v>36143</v>
      </c>
    </row>
    <row r="40" spans="1:15" x14ac:dyDescent="0.25">
      <c r="A40" s="3">
        <v>36144</v>
      </c>
      <c r="B40" s="2">
        <v>1162.83</v>
      </c>
      <c r="C40" s="2">
        <v>46.311799999999998</v>
      </c>
      <c r="D40" s="2">
        <v>53.120899999999999</v>
      </c>
      <c r="E40" s="2">
        <v>35.482199999999999</v>
      </c>
      <c r="F40" s="2">
        <v>94.25</v>
      </c>
      <c r="G40" s="2">
        <v>47.073900000000002</v>
      </c>
      <c r="I40" s="2">
        <f t="shared" si="0"/>
        <v>1.8776348806168575E-2</v>
      </c>
      <c r="J40" s="2">
        <f t="shared" si="1"/>
        <v>2.1448543407483475E-2</v>
      </c>
      <c r="O40" s="2">
        <v>36144</v>
      </c>
    </row>
    <row r="41" spans="1:15" x14ac:dyDescent="0.25">
      <c r="A41" s="3">
        <v>36145</v>
      </c>
      <c r="B41" s="2">
        <v>1161.94</v>
      </c>
      <c r="C41" s="2">
        <v>45.449599999999997</v>
      </c>
      <c r="D41" s="2">
        <v>54.341999999999999</v>
      </c>
      <c r="E41" s="2">
        <v>34.256500000000003</v>
      </c>
      <c r="F41" s="2">
        <v>95.875</v>
      </c>
      <c r="G41" s="2">
        <v>47.882300000000001</v>
      </c>
      <c r="I41" s="2">
        <f t="shared" si="0"/>
        <v>-7.6566717867125079E-4</v>
      </c>
      <c r="J41" s="2">
        <f t="shared" si="1"/>
        <v>1.709443335930004E-2</v>
      </c>
      <c r="O41" s="2">
        <v>36145</v>
      </c>
    </row>
    <row r="42" spans="1:15" x14ac:dyDescent="0.25">
      <c r="A42" s="3">
        <v>36146</v>
      </c>
      <c r="B42" s="2">
        <v>1179.98</v>
      </c>
      <c r="C42" s="2">
        <v>46.989199999999997</v>
      </c>
      <c r="D42" s="2">
        <v>55.685299999999998</v>
      </c>
      <c r="E42" s="2">
        <v>33.888800000000003</v>
      </c>
      <c r="F42" s="2">
        <v>91.8125</v>
      </c>
      <c r="G42" s="2">
        <v>46.762999999999998</v>
      </c>
      <c r="I42" s="2">
        <f t="shared" si="0"/>
        <v>1.5406467196687272E-2</v>
      </c>
      <c r="J42" s="2">
        <f t="shared" si="1"/>
        <v>-4.3296805753324188E-2</v>
      </c>
      <c r="O42" s="2">
        <v>36146</v>
      </c>
    </row>
    <row r="43" spans="1:15" x14ac:dyDescent="0.25">
      <c r="A43" s="3">
        <v>36147</v>
      </c>
      <c r="B43" s="2">
        <v>1188.03</v>
      </c>
      <c r="C43" s="2">
        <v>46.373399999999997</v>
      </c>
      <c r="D43" s="2">
        <v>55.563200000000002</v>
      </c>
      <c r="E43" s="2">
        <v>33.643700000000003</v>
      </c>
      <c r="F43" s="2">
        <v>92.375</v>
      </c>
      <c r="G43" s="2">
        <v>47.136099999999999</v>
      </c>
      <c r="I43" s="2">
        <f t="shared" si="0"/>
        <v>6.7989839654735724E-3</v>
      </c>
      <c r="J43" s="2">
        <f t="shared" si="1"/>
        <v>6.1079253342698394E-3</v>
      </c>
      <c r="O43" s="2">
        <v>36147</v>
      </c>
    </row>
    <row r="44" spans="1:15" x14ac:dyDescent="0.25">
      <c r="A44" s="3">
        <v>36150</v>
      </c>
      <c r="B44" s="2">
        <v>1202.8399999999999</v>
      </c>
      <c r="C44" s="2">
        <v>45.634399999999999</v>
      </c>
      <c r="D44" s="2">
        <v>54.097799999999999</v>
      </c>
      <c r="E44" s="2">
        <v>33.337299999999999</v>
      </c>
      <c r="F44" s="2">
        <v>92.5625</v>
      </c>
      <c r="G44" s="2">
        <v>44.773099999999999</v>
      </c>
      <c r="I44" s="2">
        <f t="shared" si="0"/>
        <v>1.2388954169025758E-2</v>
      </c>
      <c r="J44" s="2">
        <f t="shared" si="1"/>
        <v>2.027712759651613E-3</v>
      </c>
      <c r="O44" s="2">
        <v>36150</v>
      </c>
    </row>
    <row r="45" spans="1:15" x14ac:dyDescent="0.25">
      <c r="A45" s="3">
        <v>36151</v>
      </c>
      <c r="B45" s="2">
        <v>1203.57</v>
      </c>
      <c r="C45" s="2">
        <v>46.619700000000002</v>
      </c>
      <c r="D45" s="2">
        <v>54.586300000000001</v>
      </c>
      <c r="E45" s="2">
        <v>33.153500000000001</v>
      </c>
      <c r="F45" s="2">
        <v>92.25</v>
      </c>
      <c r="G45" s="2">
        <v>45.768000000000001</v>
      </c>
      <c r="I45" s="2">
        <f t="shared" si="0"/>
        <v>6.0671292289577827E-4</v>
      </c>
      <c r="J45" s="2">
        <f t="shared" si="1"/>
        <v>-3.3818091073809682E-3</v>
      </c>
      <c r="O45" s="2">
        <v>36151</v>
      </c>
    </row>
    <row r="46" spans="1:15" x14ac:dyDescent="0.25">
      <c r="A46" s="3">
        <v>36152</v>
      </c>
      <c r="B46" s="2">
        <v>1228.54</v>
      </c>
      <c r="C46" s="2">
        <v>47.666699999999999</v>
      </c>
      <c r="D46" s="2">
        <v>57.028599999999997</v>
      </c>
      <c r="E46" s="2">
        <v>33.5824</v>
      </c>
      <c r="F46" s="2">
        <v>93.25</v>
      </c>
      <c r="G46" s="2">
        <v>47.2605</v>
      </c>
      <c r="I46" s="2">
        <f t="shared" si="0"/>
        <v>2.0534332242802881E-2</v>
      </c>
      <c r="J46" s="2">
        <f t="shared" si="1"/>
        <v>1.0781775603288413E-2</v>
      </c>
      <c r="O46" s="2">
        <v>36152</v>
      </c>
    </row>
    <row r="47" spans="1:15" x14ac:dyDescent="0.25">
      <c r="A47" s="3">
        <v>36153</v>
      </c>
      <c r="B47" s="2">
        <v>1226.27</v>
      </c>
      <c r="C47" s="2">
        <v>47.173999999999999</v>
      </c>
      <c r="D47" s="2">
        <v>57.517099999999999</v>
      </c>
      <c r="E47" s="2">
        <v>34.195300000000003</v>
      </c>
      <c r="F47" s="2">
        <v>94.625</v>
      </c>
      <c r="G47" s="2">
        <v>49.685699999999997</v>
      </c>
      <c r="I47" s="2">
        <f t="shared" si="0"/>
        <v>-1.8494308292898315E-3</v>
      </c>
      <c r="J47" s="2">
        <f t="shared" si="1"/>
        <v>1.4637653233687827E-2</v>
      </c>
      <c r="O47" s="2">
        <v>36153</v>
      </c>
    </row>
    <row r="48" spans="1:15" x14ac:dyDescent="0.25">
      <c r="A48" s="3">
        <v>36157</v>
      </c>
      <c r="B48" s="2">
        <v>1225.49</v>
      </c>
      <c r="C48" s="2">
        <v>46.2502</v>
      </c>
      <c r="D48" s="2">
        <v>58.188699999999997</v>
      </c>
      <c r="E48" s="2">
        <v>33.950099999999999</v>
      </c>
      <c r="F48" s="2">
        <v>95.3125</v>
      </c>
      <c r="G48" s="2">
        <v>49.001600000000003</v>
      </c>
      <c r="I48" s="2">
        <f t="shared" si="0"/>
        <v>-6.3627763428325773E-4</v>
      </c>
      <c r="J48" s="2">
        <f t="shared" si="1"/>
        <v>7.239255044117889E-3</v>
      </c>
      <c r="O48" s="2">
        <v>36157</v>
      </c>
    </row>
    <row r="49" spans="1:15" x14ac:dyDescent="0.25">
      <c r="A49" s="3">
        <v>36158</v>
      </c>
      <c r="B49" s="2">
        <v>1241.81</v>
      </c>
      <c r="C49" s="2">
        <v>48.2209</v>
      </c>
      <c r="D49" s="2">
        <v>57.883400000000002</v>
      </c>
      <c r="E49" s="2">
        <v>33.888800000000003</v>
      </c>
      <c r="F49" s="2">
        <v>92.1875</v>
      </c>
      <c r="G49" s="2">
        <v>46.389899999999997</v>
      </c>
      <c r="I49" s="2">
        <f t="shared" si="0"/>
        <v>1.3229228724756412E-2</v>
      </c>
      <c r="J49" s="2">
        <f t="shared" si="1"/>
        <v>-3.3336420267591836E-2</v>
      </c>
      <c r="O49" s="2">
        <v>36158</v>
      </c>
    </row>
    <row r="50" spans="1:15" x14ac:dyDescent="0.25">
      <c r="A50" s="3">
        <v>36159</v>
      </c>
      <c r="B50" s="2">
        <v>1231.93</v>
      </c>
      <c r="C50" s="2">
        <v>47.912999999999997</v>
      </c>
      <c r="D50" s="2">
        <v>56.784399999999998</v>
      </c>
      <c r="E50" s="2">
        <v>33.459899999999998</v>
      </c>
      <c r="F50" s="2">
        <v>86.4375</v>
      </c>
      <c r="G50" s="2">
        <v>47.011699999999998</v>
      </c>
      <c r="I50" s="2">
        <f t="shared" si="0"/>
        <v>-7.9879474274777654E-3</v>
      </c>
      <c r="J50" s="2">
        <f t="shared" si="1"/>
        <v>-6.4402937109162006E-2</v>
      </c>
      <c r="O50" s="2">
        <v>36159</v>
      </c>
    </row>
    <row r="51" spans="1:15" x14ac:dyDescent="0.25">
      <c r="A51" s="3">
        <v>36160</v>
      </c>
      <c r="B51" s="2">
        <v>1229.23</v>
      </c>
      <c r="C51" s="2">
        <v>48.282499999999999</v>
      </c>
      <c r="D51" s="2">
        <v>57.3339</v>
      </c>
      <c r="E51" s="2">
        <v>33.459899999999998</v>
      </c>
      <c r="F51" s="2">
        <v>83.375</v>
      </c>
      <c r="G51" s="2">
        <v>46.638599999999997</v>
      </c>
      <c r="I51" s="2">
        <f t="shared" si="0"/>
        <v>-2.1940882211275207E-3</v>
      </c>
      <c r="J51" s="2">
        <f t="shared" si="1"/>
        <v>-3.6073105189189145E-2</v>
      </c>
      <c r="O51" s="2">
        <v>36160</v>
      </c>
    </row>
    <row r="52" spans="1:15" x14ac:dyDescent="0.25">
      <c r="A52" s="3">
        <v>36164</v>
      </c>
      <c r="B52" s="2">
        <v>1228.0999999999999</v>
      </c>
      <c r="C52" s="2">
        <v>48.036200000000001</v>
      </c>
      <c r="D52" s="2">
        <v>56.417999999999999</v>
      </c>
      <c r="E52" s="2">
        <v>33.827599999999997</v>
      </c>
      <c r="F52" s="2">
        <v>83.8125</v>
      </c>
      <c r="G52" s="2">
        <v>47.944499999999998</v>
      </c>
      <c r="I52" s="2">
        <f t="shared" si="0"/>
        <v>-9.1969745996695268E-4</v>
      </c>
      <c r="J52" s="2">
        <f t="shared" si="1"/>
        <v>5.2336568061095504E-3</v>
      </c>
      <c r="O52" s="2">
        <v>36164</v>
      </c>
    </row>
    <row r="53" spans="1:15" x14ac:dyDescent="0.25">
      <c r="A53" s="3">
        <v>36165</v>
      </c>
      <c r="B53" s="2">
        <v>1244.78</v>
      </c>
      <c r="C53" s="2">
        <v>48.097799999999999</v>
      </c>
      <c r="D53" s="2">
        <v>58.127699999999997</v>
      </c>
      <c r="E53" s="2">
        <v>35.604700000000001</v>
      </c>
      <c r="F53" s="2">
        <v>85</v>
      </c>
      <c r="G53" s="2">
        <v>48.379800000000003</v>
      </c>
      <c r="I53" s="2">
        <f t="shared" si="0"/>
        <v>1.3490547840669578E-2</v>
      </c>
      <c r="J53" s="2">
        <f t="shared" si="1"/>
        <v>1.4069095448419234E-2</v>
      </c>
      <c r="O53" s="2">
        <v>36165</v>
      </c>
    </row>
    <row r="54" spans="1:15" x14ac:dyDescent="0.25">
      <c r="A54" s="3">
        <v>36166</v>
      </c>
      <c r="B54" s="2">
        <v>1272.3399999999999</v>
      </c>
      <c r="C54" s="2">
        <v>47.728200000000001</v>
      </c>
      <c r="D54" s="2">
        <v>60.325800000000001</v>
      </c>
      <c r="E54" s="2">
        <v>36.462699999999998</v>
      </c>
      <c r="F54" s="2">
        <v>84.5625</v>
      </c>
      <c r="G54" s="2">
        <v>49.499099999999999</v>
      </c>
      <c r="I54" s="2">
        <f t="shared" si="0"/>
        <v>2.189891732344024E-2</v>
      </c>
      <c r="J54" s="2">
        <f t="shared" si="1"/>
        <v>-5.1603505593096352E-3</v>
      </c>
      <c r="O54" s="2">
        <v>36166</v>
      </c>
    </row>
    <row r="55" spans="1:15" x14ac:dyDescent="0.25">
      <c r="A55" s="3">
        <v>36167</v>
      </c>
      <c r="B55" s="2">
        <v>1269.73</v>
      </c>
      <c r="C55" s="2">
        <v>47.112400000000001</v>
      </c>
      <c r="D55" s="2">
        <v>60.386800000000001</v>
      </c>
      <c r="E55" s="2">
        <v>36.769100000000002</v>
      </c>
      <c r="F55" s="2">
        <v>84.3125</v>
      </c>
      <c r="G55" s="2">
        <v>48.815100000000001</v>
      </c>
      <c r="I55" s="2">
        <f t="shared" si="0"/>
        <v>-2.0534453552565695E-3</v>
      </c>
      <c r="J55" s="2">
        <f t="shared" si="1"/>
        <v>-2.9607719630321337E-3</v>
      </c>
      <c r="O55" s="2">
        <v>36167</v>
      </c>
    </row>
    <row r="56" spans="1:15" x14ac:dyDescent="0.25">
      <c r="A56" s="3">
        <v>36168</v>
      </c>
      <c r="B56" s="2">
        <v>1275.0899999999999</v>
      </c>
      <c r="C56" s="2">
        <v>46.927599999999998</v>
      </c>
      <c r="D56" s="2">
        <v>63.500799999999998</v>
      </c>
      <c r="E56" s="2">
        <v>36.5852</v>
      </c>
      <c r="F56" s="2">
        <v>84.6875</v>
      </c>
      <c r="G56" s="2">
        <v>49.001600000000003</v>
      </c>
      <c r="I56" s="2">
        <f t="shared" si="0"/>
        <v>4.2124849113970332E-3</v>
      </c>
      <c r="J56" s="2">
        <f t="shared" si="1"/>
        <v>4.4378771060453294E-3</v>
      </c>
      <c r="O56" s="2">
        <v>36168</v>
      </c>
    </row>
    <row r="57" spans="1:15" x14ac:dyDescent="0.25">
      <c r="A57" s="3">
        <v>36171</v>
      </c>
      <c r="B57" s="2">
        <v>1263.8800000000001</v>
      </c>
      <c r="C57" s="2">
        <v>46.311799999999998</v>
      </c>
      <c r="D57" s="2">
        <v>63.012300000000003</v>
      </c>
      <c r="E57" s="2">
        <v>37.994700000000002</v>
      </c>
      <c r="F57" s="2">
        <v>81.75</v>
      </c>
      <c r="G57" s="2">
        <v>48.193199999999997</v>
      </c>
      <c r="I57" s="2">
        <f t="shared" si="0"/>
        <v>-8.830409845420906E-3</v>
      </c>
      <c r="J57" s="2">
        <f t="shared" si="1"/>
        <v>-3.5302201296657239E-2</v>
      </c>
      <c r="O57" s="2">
        <v>36171</v>
      </c>
    </row>
    <row r="58" spans="1:15" x14ac:dyDescent="0.25">
      <c r="A58" s="3">
        <v>36172</v>
      </c>
      <c r="B58" s="2">
        <v>1239.51</v>
      </c>
      <c r="C58" s="2">
        <v>45.880699999999997</v>
      </c>
      <c r="D58" s="2">
        <v>61.424799999999998</v>
      </c>
      <c r="E58" s="2">
        <v>38.055999999999997</v>
      </c>
      <c r="F58" s="2">
        <v>84.1875</v>
      </c>
      <c r="G58" s="2">
        <v>48.193199999999997</v>
      </c>
      <c r="I58" s="2">
        <f t="shared" si="0"/>
        <v>-1.9470214279204773E-2</v>
      </c>
      <c r="J58" s="2">
        <f t="shared" si="1"/>
        <v>2.9380644393219961E-2</v>
      </c>
      <c r="O58" s="2">
        <v>36172</v>
      </c>
    </row>
    <row r="59" spans="1:15" x14ac:dyDescent="0.25">
      <c r="A59" s="3">
        <v>36173</v>
      </c>
      <c r="B59" s="2">
        <v>1234.4000000000001</v>
      </c>
      <c r="C59" s="2">
        <v>47.511800000000001</v>
      </c>
      <c r="D59" s="2">
        <v>59.959400000000002</v>
      </c>
      <c r="E59" s="2">
        <v>37.075499999999998</v>
      </c>
      <c r="F59" s="2">
        <v>82.9375</v>
      </c>
      <c r="G59" s="2">
        <v>48.6907</v>
      </c>
      <c r="I59" s="2">
        <f t="shared" si="0"/>
        <v>-4.1311181630115778E-3</v>
      </c>
      <c r="J59" s="2">
        <f t="shared" si="1"/>
        <v>-1.4959142078156507E-2</v>
      </c>
      <c r="O59" s="2">
        <v>36173</v>
      </c>
    </row>
    <row r="60" spans="1:15" x14ac:dyDescent="0.25">
      <c r="A60" s="3">
        <v>36174</v>
      </c>
      <c r="B60" s="2">
        <v>1212.19</v>
      </c>
      <c r="C60" s="2">
        <v>46.893999999999998</v>
      </c>
      <c r="D60" s="2">
        <v>58.982500000000002</v>
      </c>
      <c r="E60" s="2">
        <v>36.524000000000001</v>
      </c>
      <c r="F60" s="2">
        <v>83.8125</v>
      </c>
      <c r="G60" s="2">
        <v>50.618400000000001</v>
      </c>
      <c r="I60" s="2">
        <f t="shared" si="0"/>
        <v>-1.8156381029578336E-2</v>
      </c>
      <c r="J60" s="2">
        <f t="shared" si="1"/>
        <v>1.0494848949471053E-2</v>
      </c>
      <c r="O60" s="2">
        <v>36174</v>
      </c>
    </row>
    <row r="61" spans="1:15" x14ac:dyDescent="0.25">
      <c r="A61" s="3">
        <v>36175</v>
      </c>
      <c r="B61" s="2">
        <v>1243.26</v>
      </c>
      <c r="C61" s="2">
        <v>47.079300000000003</v>
      </c>
      <c r="D61" s="2">
        <v>60.57</v>
      </c>
      <c r="E61" s="2">
        <v>38.178600000000003</v>
      </c>
      <c r="F61" s="2">
        <v>85.125</v>
      </c>
      <c r="G61" s="2">
        <v>51.4268</v>
      </c>
      <c r="I61" s="2">
        <f t="shared" si="0"/>
        <v>2.5308320977673323E-2</v>
      </c>
      <c r="J61" s="2">
        <f t="shared" si="1"/>
        <v>1.5538603427779166E-2</v>
      </c>
      <c r="O61" s="2">
        <v>36175</v>
      </c>
    </row>
    <row r="62" spans="1:15" x14ac:dyDescent="0.25">
      <c r="A62" s="3">
        <v>36179</v>
      </c>
      <c r="B62" s="2">
        <v>1252</v>
      </c>
      <c r="C62" s="2">
        <v>45.843600000000002</v>
      </c>
      <c r="D62" s="2">
        <v>62.462800000000001</v>
      </c>
      <c r="E62" s="2">
        <v>37.749600000000001</v>
      </c>
      <c r="F62" s="2">
        <v>85.75</v>
      </c>
      <c r="G62" s="2">
        <v>50.431899999999999</v>
      </c>
      <c r="I62" s="2">
        <f t="shared" si="0"/>
        <v>7.0053106629976254E-3</v>
      </c>
      <c r="J62" s="2">
        <f t="shared" si="1"/>
        <v>7.3153215763729152E-3</v>
      </c>
      <c r="O62" s="2">
        <v>36179</v>
      </c>
    </row>
    <row r="63" spans="1:15" x14ac:dyDescent="0.25">
      <c r="A63" s="3">
        <v>36180</v>
      </c>
      <c r="B63" s="2">
        <v>1256.6199999999999</v>
      </c>
      <c r="C63" s="2">
        <v>46.337899999999998</v>
      </c>
      <c r="D63" s="2">
        <v>63.195500000000003</v>
      </c>
      <c r="E63" s="2">
        <v>37.136800000000001</v>
      </c>
      <c r="F63" s="2">
        <v>84.9375</v>
      </c>
      <c r="G63" s="2">
        <v>49.685699999999997</v>
      </c>
      <c r="I63" s="2">
        <f t="shared" si="0"/>
        <v>3.683304145856697E-3</v>
      </c>
      <c r="J63" s="2">
        <f t="shared" si="1"/>
        <v>-9.5203941346868083E-3</v>
      </c>
      <c r="O63" s="2">
        <v>36180</v>
      </c>
    </row>
    <row r="64" spans="1:15" x14ac:dyDescent="0.25">
      <c r="A64" s="3">
        <v>36181</v>
      </c>
      <c r="B64" s="2">
        <v>1235.1600000000001</v>
      </c>
      <c r="C64" s="2">
        <v>44.484400000000001</v>
      </c>
      <c r="D64" s="2">
        <v>60.631</v>
      </c>
      <c r="E64" s="2">
        <v>36.707799999999999</v>
      </c>
      <c r="F64" s="2">
        <v>84.75</v>
      </c>
      <c r="G64" s="2">
        <v>50.618400000000001</v>
      </c>
      <c r="I64" s="2">
        <f t="shared" si="0"/>
        <v>-1.7225060479432095E-2</v>
      </c>
      <c r="J64" s="2">
        <f t="shared" si="1"/>
        <v>-2.209945650802844E-3</v>
      </c>
      <c r="O64" s="2">
        <v>36181</v>
      </c>
    </row>
    <row r="65" spans="1:15" x14ac:dyDescent="0.25">
      <c r="A65" s="3">
        <v>36182</v>
      </c>
      <c r="B65" s="2">
        <v>1225.19</v>
      </c>
      <c r="C65" s="2">
        <v>43.743000000000002</v>
      </c>
      <c r="D65" s="2">
        <v>59.4709</v>
      </c>
      <c r="E65" s="2">
        <v>37.381900000000002</v>
      </c>
      <c r="F65" s="2">
        <v>84.8125</v>
      </c>
      <c r="G65" s="2">
        <v>51.240299999999998</v>
      </c>
      <c r="I65" s="2">
        <f t="shared" si="0"/>
        <v>-8.1045823339025852E-3</v>
      </c>
      <c r="J65" s="2">
        <f t="shared" si="1"/>
        <v>7.3719133452835618E-4</v>
      </c>
      <c r="O65" s="2">
        <v>36182</v>
      </c>
    </row>
    <row r="66" spans="1:15" x14ac:dyDescent="0.25">
      <c r="A66" s="3">
        <v>36185</v>
      </c>
      <c r="B66" s="2">
        <v>1233.98</v>
      </c>
      <c r="C66" s="2">
        <v>42.939799999999998</v>
      </c>
      <c r="D66" s="2">
        <v>59.5931</v>
      </c>
      <c r="E66" s="2">
        <v>38.055999999999997</v>
      </c>
      <c r="F66" s="2">
        <v>85.8125</v>
      </c>
      <c r="G66" s="2">
        <v>51.862099999999998</v>
      </c>
      <c r="I66" s="2">
        <f t="shared" si="0"/>
        <v>7.1487838859956984E-3</v>
      </c>
      <c r="J66" s="2">
        <f t="shared" si="1"/>
        <v>1.1721745933101916E-2</v>
      </c>
      <c r="O66" s="2">
        <v>36185</v>
      </c>
    </row>
    <row r="67" spans="1:15" x14ac:dyDescent="0.25">
      <c r="A67" s="3">
        <v>36186</v>
      </c>
      <c r="B67" s="2">
        <v>1252.31</v>
      </c>
      <c r="C67" s="2">
        <v>45.040399999999998</v>
      </c>
      <c r="D67" s="2">
        <v>60.386800000000001</v>
      </c>
      <c r="E67" s="2">
        <v>38.055999999999997</v>
      </c>
      <c r="F67" s="2">
        <v>86.9375</v>
      </c>
      <c r="G67" s="2">
        <v>53.167999999999999</v>
      </c>
      <c r="I67" s="2">
        <f t="shared" si="0"/>
        <v>1.4745127966577955E-2</v>
      </c>
      <c r="J67" s="2">
        <f t="shared" si="1"/>
        <v>1.3024786155471783E-2</v>
      </c>
      <c r="O67" s="2">
        <v>36186</v>
      </c>
    </row>
    <row r="68" spans="1:15" x14ac:dyDescent="0.25">
      <c r="A68" s="3">
        <v>36187</v>
      </c>
      <c r="B68" s="2">
        <v>1243.17</v>
      </c>
      <c r="C68" s="2">
        <v>45.2258</v>
      </c>
      <c r="D68" s="2">
        <v>59.363199999999999</v>
      </c>
      <c r="E68" s="2">
        <v>38.423699999999997</v>
      </c>
      <c r="F68" s="2">
        <v>90</v>
      </c>
      <c r="G68" s="2">
        <v>54.660499999999999</v>
      </c>
      <c r="I68" s="2">
        <f t="shared" si="0"/>
        <v>-7.3252767970515484E-3</v>
      </c>
      <c r="J68" s="2">
        <f t="shared" si="1"/>
        <v>3.4620200646603455E-2</v>
      </c>
      <c r="O68" s="2">
        <v>36187</v>
      </c>
    </row>
    <row r="69" spans="1:15" x14ac:dyDescent="0.25">
      <c r="A69" s="3">
        <v>36188</v>
      </c>
      <c r="B69" s="2">
        <v>1265.3699999999999</v>
      </c>
      <c r="C69" s="2">
        <v>45.503799999999998</v>
      </c>
      <c r="D69" s="2">
        <v>61.516300000000001</v>
      </c>
      <c r="E69" s="2">
        <v>41.242699999999999</v>
      </c>
      <c r="F69" s="2">
        <v>88.8125</v>
      </c>
      <c r="G69" s="2">
        <v>54.7226</v>
      </c>
      <c r="I69" s="2">
        <f t="shared" si="0"/>
        <v>1.7700000465214038E-2</v>
      </c>
      <c r="J69" s="2">
        <f t="shared" si="1"/>
        <v>-1.328226447294562E-2</v>
      </c>
      <c r="O69" s="2">
        <v>36188</v>
      </c>
    </row>
    <row r="70" spans="1:15" x14ac:dyDescent="0.25">
      <c r="A70" s="3">
        <v>36189</v>
      </c>
      <c r="B70" s="2">
        <v>1279.6400000000001</v>
      </c>
      <c r="C70" s="2">
        <v>45.9054</v>
      </c>
      <c r="D70" s="2">
        <v>60.470500000000001</v>
      </c>
      <c r="E70" s="2">
        <v>39.833199999999998</v>
      </c>
      <c r="F70" s="2">
        <v>87.625</v>
      </c>
      <c r="G70" s="2">
        <v>54.598300000000002</v>
      </c>
      <c r="I70" s="2">
        <f t="shared" ref="I70:I133" si="3">LN(B70/B69)</f>
        <v>1.1214218842162478E-2</v>
      </c>
      <c r="J70" s="2">
        <f t="shared" ref="J70:J133" si="4">LN(F70/F69)</f>
        <v>-1.3461060502565236E-2</v>
      </c>
      <c r="O70" s="2">
        <v>36189</v>
      </c>
    </row>
    <row r="71" spans="1:15" x14ac:dyDescent="0.25">
      <c r="A71" s="3">
        <v>36192</v>
      </c>
      <c r="B71" s="2">
        <v>1273</v>
      </c>
      <c r="C71" s="2">
        <v>45.287599999999998</v>
      </c>
      <c r="D71" s="2">
        <v>59.793799999999997</v>
      </c>
      <c r="E71" s="2">
        <v>39.465499999999999</v>
      </c>
      <c r="F71" s="2">
        <v>90.25</v>
      </c>
      <c r="G71" s="2">
        <v>53.727699999999999</v>
      </c>
      <c r="I71" s="2">
        <f t="shared" si="3"/>
        <v>-5.2024687980578325E-3</v>
      </c>
      <c r="J71" s="2">
        <f t="shared" si="4"/>
        <v>2.9517251858236185E-2</v>
      </c>
      <c r="O71" s="2">
        <v>36192</v>
      </c>
    </row>
    <row r="72" spans="1:15" x14ac:dyDescent="0.25">
      <c r="A72" s="3">
        <v>36193</v>
      </c>
      <c r="B72" s="2">
        <v>1261.99</v>
      </c>
      <c r="C72" s="2">
        <v>45.596499999999999</v>
      </c>
      <c r="D72" s="2">
        <v>58.071300000000001</v>
      </c>
      <c r="E72" s="2">
        <v>40.200899999999997</v>
      </c>
      <c r="F72" s="2">
        <v>91.0625</v>
      </c>
      <c r="G72" s="2">
        <v>54.4739</v>
      </c>
      <c r="I72" s="2">
        <f t="shared" si="3"/>
        <v>-8.6864794179119364E-3</v>
      </c>
      <c r="J72" s="2">
        <f t="shared" si="4"/>
        <v>8.9624867424333739E-3</v>
      </c>
      <c r="O72" s="2">
        <v>36193</v>
      </c>
    </row>
    <row r="73" spans="1:15" x14ac:dyDescent="0.25">
      <c r="A73" s="3">
        <v>36194</v>
      </c>
      <c r="B73" s="2">
        <v>1272.07</v>
      </c>
      <c r="C73" s="2">
        <v>46.090800000000002</v>
      </c>
      <c r="D73" s="2">
        <v>59.424700000000001</v>
      </c>
      <c r="E73" s="2">
        <v>39.159100000000002</v>
      </c>
      <c r="F73" s="2">
        <v>94.6875</v>
      </c>
      <c r="G73" s="2">
        <v>55.468899999999998</v>
      </c>
      <c r="I73" s="2">
        <f t="shared" si="3"/>
        <v>7.9556546929392818E-3</v>
      </c>
      <c r="J73" s="2">
        <f t="shared" si="4"/>
        <v>3.9035911748264679E-2</v>
      </c>
      <c r="O73" s="2">
        <v>36194</v>
      </c>
    </row>
    <row r="74" spans="1:15" x14ac:dyDescent="0.25">
      <c r="A74" s="3">
        <v>36195</v>
      </c>
      <c r="B74" s="2">
        <v>1248.49</v>
      </c>
      <c r="C74" s="2">
        <v>45.102200000000003</v>
      </c>
      <c r="D74" s="2">
        <v>56.902500000000003</v>
      </c>
      <c r="E74" s="2">
        <v>38.607500000000002</v>
      </c>
      <c r="F74" s="2">
        <v>93.3125</v>
      </c>
      <c r="G74" s="2">
        <v>53.914200000000001</v>
      </c>
      <c r="I74" s="2">
        <f t="shared" si="3"/>
        <v>-1.8710673756216774E-2</v>
      </c>
      <c r="J74" s="2">
        <f t="shared" si="4"/>
        <v>-1.4627920404279108E-2</v>
      </c>
      <c r="O74" s="2">
        <v>36195</v>
      </c>
    </row>
    <row r="75" spans="1:15" x14ac:dyDescent="0.25">
      <c r="A75" s="3">
        <v>36196</v>
      </c>
      <c r="B75" s="2">
        <v>1239.4000000000001</v>
      </c>
      <c r="C75" s="2">
        <v>45.287599999999998</v>
      </c>
      <c r="D75" s="2">
        <v>56.3489</v>
      </c>
      <c r="E75" s="2">
        <v>38.852699999999999</v>
      </c>
      <c r="F75" s="2">
        <v>98.375</v>
      </c>
      <c r="G75" s="2">
        <v>55.530999999999999</v>
      </c>
      <c r="I75" s="2">
        <f t="shared" si="3"/>
        <v>-7.30742954820973E-3</v>
      </c>
      <c r="J75" s="2">
        <f t="shared" si="4"/>
        <v>5.2832631438158223E-2</v>
      </c>
      <c r="O75" s="2">
        <v>36196</v>
      </c>
    </row>
    <row r="76" spans="1:15" x14ac:dyDescent="0.25">
      <c r="A76" s="3">
        <v>36199</v>
      </c>
      <c r="B76" s="2">
        <v>1243.77</v>
      </c>
      <c r="C76" s="2">
        <v>44.607999999999997</v>
      </c>
      <c r="D76" s="2">
        <v>57.763800000000003</v>
      </c>
      <c r="E76" s="2">
        <v>38.607500000000002</v>
      </c>
      <c r="F76" s="2">
        <v>99.4375</v>
      </c>
      <c r="G76" s="2">
        <v>55.220100000000002</v>
      </c>
      <c r="I76" s="2">
        <f t="shared" si="3"/>
        <v>3.5196982175170429E-3</v>
      </c>
      <c r="J76" s="2">
        <f t="shared" si="4"/>
        <v>1.0742599360438327E-2</v>
      </c>
      <c r="O76" s="2">
        <v>36199</v>
      </c>
    </row>
    <row r="77" spans="1:15" x14ac:dyDescent="0.25">
      <c r="A77" s="3">
        <v>36200</v>
      </c>
      <c r="B77" s="2">
        <v>1216.1400000000001</v>
      </c>
      <c r="C77" s="2">
        <v>43.8048</v>
      </c>
      <c r="D77" s="2">
        <v>56.594999999999999</v>
      </c>
      <c r="E77" s="2">
        <v>37.443199999999997</v>
      </c>
      <c r="F77" s="2">
        <v>94.375</v>
      </c>
      <c r="G77" s="2">
        <v>55.095700000000001</v>
      </c>
      <c r="I77" s="2">
        <f t="shared" si="3"/>
        <v>-2.2465181267596106E-2</v>
      </c>
      <c r="J77" s="2">
        <f t="shared" si="4"/>
        <v>-5.2253098528816905E-2</v>
      </c>
      <c r="O77" s="2">
        <v>36200</v>
      </c>
    </row>
    <row r="78" spans="1:15" x14ac:dyDescent="0.25">
      <c r="A78" s="3">
        <v>36201</v>
      </c>
      <c r="B78" s="2">
        <v>1223.55</v>
      </c>
      <c r="C78" s="2">
        <v>44.484400000000001</v>
      </c>
      <c r="D78" s="2">
        <v>57.886800000000001</v>
      </c>
      <c r="E78" s="2">
        <v>37.5045</v>
      </c>
      <c r="F78" s="2">
        <v>94.9375</v>
      </c>
      <c r="G78" s="2">
        <v>56.028500000000001</v>
      </c>
      <c r="I78" s="2">
        <f t="shared" si="3"/>
        <v>6.0745609367708966E-3</v>
      </c>
      <c r="J78" s="2">
        <f t="shared" si="4"/>
        <v>5.9425727868028513E-3</v>
      </c>
      <c r="O78" s="2">
        <v>36201</v>
      </c>
    </row>
    <row r="79" spans="1:15" x14ac:dyDescent="0.25">
      <c r="A79" s="3">
        <v>36202</v>
      </c>
      <c r="B79" s="2">
        <v>1254.04</v>
      </c>
      <c r="C79" s="2">
        <v>45.349400000000003</v>
      </c>
      <c r="D79" s="2">
        <v>59.178600000000003</v>
      </c>
      <c r="E79" s="2">
        <v>38.055999999999997</v>
      </c>
      <c r="F79" s="2">
        <v>93.625</v>
      </c>
      <c r="G79" s="2">
        <v>56.8369</v>
      </c>
      <c r="I79" s="2">
        <f t="shared" si="3"/>
        <v>2.4613870196073705E-2</v>
      </c>
      <c r="J79" s="2">
        <f t="shared" si="4"/>
        <v>-1.392133851860812E-2</v>
      </c>
      <c r="O79" s="2">
        <v>36202</v>
      </c>
    </row>
    <row r="80" spans="1:15" x14ac:dyDescent="0.25">
      <c r="A80" s="3">
        <v>36203</v>
      </c>
      <c r="B80" s="2">
        <v>1230.1300000000001</v>
      </c>
      <c r="C80" s="2">
        <v>44.484400000000001</v>
      </c>
      <c r="D80" s="2">
        <v>56.963999999999999</v>
      </c>
      <c r="E80" s="2">
        <v>37.810899999999997</v>
      </c>
      <c r="F80" s="2">
        <v>94.1875</v>
      </c>
      <c r="G80" s="2">
        <v>57.272199999999998</v>
      </c>
      <c r="I80" s="2">
        <f t="shared" si="3"/>
        <v>-1.9250484772305072E-2</v>
      </c>
      <c r="J80" s="2">
        <f t="shared" si="4"/>
        <v>5.9900345493307432E-3</v>
      </c>
      <c r="O80" s="2">
        <v>36203</v>
      </c>
    </row>
    <row r="81" spans="1:15" x14ac:dyDescent="0.25">
      <c r="A81" s="3">
        <v>36207</v>
      </c>
      <c r="B81" s="2">
        <v>1241.8699999999999</v>
      </c>
      <c r="C81" s="2">
        <v>46.399700000000003</v>
      </c>
      <c r="D81" s="2">
        <v>56.5334</v>
      </c>
      <c r="E81" s="2">
        <v>38.1173</v>
      </c>
      <c r="F81" s="2">
        <v>93.25</v>
      </c>
      <c r="G81" s="2">
        <v>57.521000000000001</v>
      </c>
      <c r="I81" s="2">
        <f t="shared" si="3"/>
        <v>9.4984532894029586E-3</v>
      </c>
      <c r="J81" s="2">
        <f t="shared" si="4"/>
        <v>-1.0003417862789266E-2</v>
      </c>
      <c r="O81" s="2">
        <v>36207</v>
      </c>
    </row>
    <row r="82" spans="1:15" x14ac:dyDescent="0.25">
      <c r="A82" s="3">
        <v>36208</v>
      </c>
      <c r="B82" s="2">
        <v>1224.03</v>
      </c>
      <c r="C82" s="2">
        <v>44.484400000000001</v>
      </c>
      <c r="D82" s="2">
        <v>58.194400000000002</v>
      </c>
      <c r="E82" s="2">
        <v>37.933399999999999</v>
      </c>
      <c r="F82" s="2">
        <v>92.5625</v>
      </c>
      <c r="G82" s="2">
        <v>58.204999999999998</v>
      </c>
      <c r="I82" s="2">
        <f t="shared" si="3"/>
        <v>-1.4469614552037838E-2</v>
      </c>
      <c r="J82" s="2">
        <f t="shared" si="4"/>
        <v>-7.3999664959073265E-3</v>
      </c>
      <c r="O82" s="2">
        <v>36208</v>
      </c>
    </row>
    <row r="83" spans="1:15" x14ac:dyDescent="0.25">
      <c r="A83" s="3">
        <v>36209</v>
      </c>
      <c r="B83" s="2">
        <v>1237.28</v>
      </c>
      <c r="C83" s="2">
        <v>45.472900000000003</v>
      </c>
      <c r="D83" s="2">
        <v>59.117100000000001</v>
      </c>
      <c r="E83" s="2">
        <v>37.810899999999997</v>
      </c>
      <c r="F83" s="2">
        <v>92.3125</v>
      </c>
      <c r="G83" s="2">
        <v>57.956200000000003</v>
      </c>
      <c r="I83" s="2">
        <f t="shared" si="3"/>
        <v>1.0766728284892731E-2</v>
      </c>
      <c r="J83" s="2">
        <f t="shared" si="4"/>
        <v>-2.7045317364189302E-3</v>
      </c>
      <c r="O83" s="2">
        <v>36209</v>
      </c>
    </row>
    <row r="84" spans="1:15" x14ac:dyDescent="0.25">
      <c r="A84" s="3">
        <v>36210</v>
      </c>
      <c r="B84" s="2">
        <v>1239.22</v>
      </c>
      <c r="C84" s="2">
        <v>45.472900000000003</v>
      </c>
      <c r="D84" s="2">
        <v>57.886800000000001</v>
      </c>
      <c r="E84" s="2">
        <v>37.688299999999998</v>
      </c>
      <c r="F84" s="2">
        <v>89.5625</v>
      </c>
      <c r="G84" s="2">
        <v>56.339399999999998</v>
      </c>
      <c r="I84" s="2">
        <f t="shared" si="3"/>
        <v>1.5667275564973525E-3</v>
      </c>
      <c r="J84" s="2">
        <f t="shared" si="4"/>
        <v>-3.0242854703207957E-2</v>
      </c>
      <c r="O84" s="2">
        <v>36210</v>
      </c>
    </row>
    <row r="85" spans="1:15" x14ac:dyDescent="0.25">
      <c r="A85" s="3">
        <v>36213</v>
      </c>
      <c r="B85" s="2">
        <v>1272.1400000000001</v>
      </c>
      <c r="C85" s="2">
        <v>46.708599999999997</v>
      </c>
      <c r="D85" s="2">
        <v>59.486199999999997</v>
      </c>
      <c r="E85" s="2">
        <v>38.239899999999999</v>
      </c>
      <c r="F85" s="2">
        <v>92</v>
      </c>
      <c r="G85" s="2">
        <v>56.277299999999997</v>
      </c>
      <c r="I85" s="2">
        <f t="shared" si="3"/>
        <v>2.6218372319450817E-2</v>
      </c>
      <c r="J85" s="2">
        <f t="shared" si="4"/>
        <v>2.685187146064975E-2</v>
      </c>
      <c r="O85" s="2">
        <v>36213</v>
      </c>
    </row>
    <row r="86" spans="1:15" x14ac:dyDescent="0.25">
      <c r="A86" s="3">
        <v>36214</v>
      </c>
      <c r="B86" s="2">
        <v>1271.18</v>
      </c>
      <c r="C86" s="2">
        <v>46.646799999999999</v>
      </c>
      <c r="D86" s="2">
        <v>58.317399999999999</v>
      </c>
      <c r="E86" s="2">
        <v>37.381900000000002</v>
      </c>
      <c r="F86" s="2">
        <v>91.1875</v>
      </c>
      <c r="G86" s="2">
        <v>56.339399999999998</v>
      </c>
      <c r="I86" s="2">
        <f t="shared" si="3"/>
        <v>-7.54918803447687E-4</v>
      </c>
      <c r="J86" s="2">
        <f t="shared" si="4"/>
        <v>-8.8707507660359553E-3</v>
      </c>
      <c r="O86" s="2">
        <v>36214</v>
      </c>
    </row>
    <row r="87" spans="1:15" x14ac:dyDescent="0.25">
      <c r="A87" s="3">
        <v>36215</v>
      </c>
      <c r="B87" s="2">
        <v>1253.4100000000001</v>
      </c>
      <c r="C87" s="2">
        <v>45.2258</v>
      </c>
      <c r="D87" s="2">
        <v>58.563499999999998</v>
      </c>
      <c r="E87" s="2">
        <v>37.136800000000001</v>
      </c>
      <c r="F87" s="2">
        <v>90.1875</v>
      </c>
      <c r="G87" s="2">
        <v>55.530999999999999</v>
      </c>
      <c r="I87" s="2">
        <f t="shared" si="3"/>
        <v>-1.4077765875450425E-2</v>
      </c>
      <c r="J87" s="2">
        <f t="shared" si="4"/>
        <v>-1.1026989748914764E-2</v>
      </c>
      <c r="O87" s="2">
        <v>36215</v>
      </c>
    </row>
    <row r="88" spans="1:15" x14ac:dyDescent="0.25">
      <c r="A88" s="3">
        <v>36216</v>
      </c>
      <c r="B88" s="2">
        <v>1245.02</v>
      </c>
      <c r="C88" s="2">
        <v>45.720100000000002</v>
      </c>
      <c r="D88" s="2">
        <v>58.625</v>
      </c>
      <c r="E88" s="2">
        <v>36.690300000000001</v>
      </c>
      <c r="F88" s="2">
        <v>88</v>
      </c>
      <c r="G88" s="2">
        <v>55.344499999999996</v>
      </c>
      <c r="I88" s="2">
        <f t="shared" si="3"/>
        <v>-6.7162430309681068E-3</v>
      </c>
      <c r="J88" s="2">
        <f t="shared" si="4"/>
        <v>-2.4554022055883144E-2</v>
      </c>
      <c r="O88" s="2">
        <v>36216</v>
      </c>
    </row>
    <row r="89" spans="1:15" x14ac:dyDescent="0.25">
      <c r="A89" s="3">
        <v>36217</v>
      </c>
      <c r="B89" s="2">
        <v>1238.33</v>
      </c>
      <c r="C89" s="2">
        <v>45.781799999999997</v>
      </c>
      <c r="D89" s="2">
        <v>58.378900000000002</v>
      </c>
      <c r="E89" s="2">
        <v>36.505299999999998</v>
      </c>
      <c r="F89" s="2">
        <v>86.75</v>
      </c>
      <c r="G89" s="2">
        <v>54.349499999999999</v>
      </c>
      <c r="I89" s="2">
        <f t="shared" si="3"/>
        <v>-5.3878963367207464E-3</v>
      </c>
      <c r="J89" s="2">
        <f t="shared" si="4"/>
        <v>-1.4306395651237858E-2</v>
      </c>
      <c r="O89" s="2">
        <v>36217</v>
      </c>
    </row>
    <row r="90" spans="1:15" x14ac:dyDescent="0.25">
      <c r="A90" s="3">
        <v>36220</v>
      </c>
      <c r="B90" s="2">
        <v>1236.1600000000001</v>
      </c>
      <c r="C90" s="2">
        <v>45.411099999999998</v>
      </c>
      <c r="D90" s="2">
        <v>57.456200000000003</v>
      </c>
      <c r="E90" s="2">
        <v>37.2453</v>
      </c>
      <c r="F90" s="2">
        <v>84.9375</v>
      </c>
      <c r="G90" s="2">
        <v>54.349499999999999</v>
      </c>
      <c r="I90" s="2">
        <f t="shared" si="3"/>
        <v>-1.7538972121700046E-3</v>
      </c>
      <c r="J90" s="2">
        <f t="shared" si="4"/>
        <v>-2.1114726915606077E-2</v>
      </c>
      <c r="O90" s="2">
        <v>36220</v>
      </c>
    </row>
    <row r="91" spans="1:15" x14ac:dyDescent="0.25">
      <c r="A91" s="3">
        <v>36221</v>
      </c>
      <c r="B91" s="2">
        <v>1225.5</v>
      </c>
      <c r="C91" s="2">
        <v>45.349400000000003</v>
      </c>
      <c r="D91" s="2">
        <v>56.225900000000003</v>
      </c>
      <c r="E91" s="2">
        <v>36.320300000000003</v>
      </c>
      <c r="F91" s="2">
        <v>84.625</v>
      </c>
      <c r="G91" s="2">
        <v>53.851999999999997</v>
      </c>
      <c r="I91" s="2">
        <f t="shared" si="3"/>
        <v>-8.6608765097493049E-3</v>
      </c>
      <c r="J91" s="2">
        <f t="shared" si="4"/>
        <v>-3.6859606789233904E-3</v>
      </c>
      <c r="O91" s="2">
        <v>36221</v>
      </c>
    </row>
    <row r="92" spans="1:15" x14ac:dyDescent="0.25">
      <c r="A92" s="3">
        <v>36222</v>
      </c>
      <c r="B92" s="2">
        <v>1227.7</v>
      </c>
      <c r="C92" s="2">
        <v>46.461500000000001</v>
      </c>
      <c r="D92" s="2">
        <v>55.918300000000002</v>
      </c>
      <c r="E92" s="2">
        <v>36.567</v>
      </c>
      <c r="F92" s="2">
        <v>86</v>
      </c>
      <c r="G92" s="2">
        <v>54.847000000000001</v>
      </c>
      <c r="I92" s="2">
        <f t="shared" si="3"/>
        <v>1.7935762186270707E-3</v>
      </c>
      <c r="J92" s="2">
        <f t="shared" si="4"/>
        <v>1.6117565021068692E-2</v>
      </c>
      <c r="O92" s="2">
        <v>36222</v>
      </c>
    </row>
    <row r="93" spans="1:15" x14ac:dyDescent="0.25">
      <c r="A93" s="3">
        <v>36223</v>
      </c>
      <c r="B93" s="2">
        <v>1246.6400000000001</v>
      </c>
      <c r="C93" s="2">
        <v>47.8825</v>
      </c>
      <c r="D93" s="2">
        <v>57.456200000000003</v>
      </c>
      <c r="E93" s="2">
        <v>36.381999999999998</v>
      </c>
      <c r="F93" s="2">
        <v>86.5</v>
      </c>
      <c r="G93" s="2">
        <v>55.966299999999997</v>
      </c>
      <c r="I93" s="2">
        <f t="shared" si="3"/>
        <v>1.5309431950564877E-2</v>
      </c>
      <c r="J93" s="2">
        <f t="shared" si="4"/>
        <v>5.7971176843259146E-3</v>
      </c>
      <c r="O93" s="2">
        <v>36223</v>
      </c>
    </row>
    <row r="94" spans="1:15" x14ac:dyDescent="0.25">
      <c r="A94" s="3">
        <v>36224</v>
      </c>
      <c r="B94" s="2">
        <v>1275.47</v>
      </c>
      <c r="C94" s="2">
        <v>48.871000000000002</v>
      </c>
      <c r="D94" s="2">
        <v>59.178600000000003</v>
      </c>
      <c r="E94" s="2">
        <v>36.690300000000001</v>
      </c>
      <c r="F94" s="2">
        <v>88.9375</v>
      </c>
      <c r="G94" s="2">
        <v>56.2151</v>
      </c>
      <c r="I94" s="2">
        <f t="shared" si="3"/>
        <v>2.286280597974143E-2</v>
      </c>
      <c r="J94" s="2">
        <f t="shared" si="4"/>
        <v>2.7789461912237447E-2</v>
      </c>
      <c r="O94" s="2">
        <v>36224</v>
      </c>
    </row>
    <row r="95" spans="1:15" x14ac:dyDescent="0.25">
      <c r="A95" s="3">
        <v>36227</v>
      </c>
      <c r="B95" s="2">
        <v>1282.73</v>
      </c>
      <c r="C95" s="2">
        <v>49.365299999999998</v>
      </c>
      <c r="D95" s="2">
        <v>59.117100000000001</v>
      </c>
      <c r="E95" s="2">
        <v>35.703699999999998</v>
      </c>
      <c r="F95" s="2">
        <v>85</v>
      </c>
      <c r="G95" s="2">
        <v>55.344499999999996</v>
      </c>
      <c r="I95" s="2">
        <f t="shared" si="3"/>
        <v>5.6758810807937725E-3</v>
      </c>
      <c r="J95" s="2">
        <f t="shared" si="4"/>
        <v>-4.5282619359754701E-2</v>
      </c>
      <c r="O95" s="2">
        <v>36227</v>
      </c>
    </row>
    <row r="96" spans="1:15" x14ac:dyDescent="0.25">
      <c r="A96" s="3">
        <v>36228</v>
      </c>
      <c r="B96" s="2">
        <v>1279.8399999999999</v>
      </c>
      <c r="C96" s="2">
        <v>49.118200000000002</v>
      </c>
      <c r="D96" s="2">
        <v>56.841000000000001</v>
      </c>
      <c r="E96" s="2">
        <v>35.580399999999997</v>
      </c>
      <c r="F96" s="2">
        <v>82.875</v>
      </c>
      <c r="G96" s="2">
        <v>54.162999999999997</v>
      </c>
      <c r="I96" s="2">
        <f t="shared" si="3"/>
        <v>-2.2555490973827277E-3</v>
      </c>
      <c r="J96" s="2">
        <f t="shared" si="4"/>
        <v>-2.5317807984289897E-2</v>
      </c>
      <c r="O96" s="2">
        <v>36228</v>
      </c>
    </row>
    <row r="97" spans="1:15" x14ac:dyDescent="0.25">
      <c r="A97" s="3">
        <v>36229</v>
      </c>
      <c r="B97" s="2">
        <v>1286.8399999999999</v>
      </c>
      <c r="C97" s="2">
        <v>49.118200000000002</v>
      </c>
      <c r="D97" s="2">
        <v>55.979799999999997</v>
      </c>
      <c r="E97" s="2">
        <v>36.012</v>
      </c>
      <c r="F97" s="2">
        <v>81</v>
      </c>
      <c r="G97" s="2">
        <v>54.038600000000002</v>
      </c>
      <c r="I97" s="2">
        <f t="shared" si="3"/>
        <v>5.4545306429075223E-3</v>
      </c>
      <c r="J97" s="2">
        <f t="shared" si="4"/>
        <v>-2.2884293833587845E-2</v>
      </c>
      <c r="O97" s="2">
        <v>36229</v>
      </c>
    </row>
    <row r="98" spans="1:15" x14ac:dyDescent="0.25">
      <c r="A98" s="3">
        <v>36230</v>
      </c>
      <c r="B98" s="2">
        <v>1297.68</v>
      </c>
      <c r="C98" s="2">
        <v>50.044899999999998</v>
      </c>
      <c r="D98" s="2">
        <v>57.025599999999997</v>
      </c>
      <c r="E98" s="2">
        <v>35.8887</v>
      </c>
      <c r="F98" s="2">
        <v>77.6875</v>
      </c>
      <c r="G98" s="2">
        <v>52.670499999999997</v>
      </c>
      <c r="I98" s="2">
        <f t="shared" si="3"/>
        <v>8.3884539984399112E-3</v>
      </c>
      <c r="J98" s="2">
        <f t="shared" si="4"/>
        <v>-4.1754785401508905E-2</v>
      </c>
      <c r="O98" s="2">
        <v>36230</v>
      </c>
    </row>
    <row r="99" spans="1:15" x14ac:dyDescent="0.25">
      <c r="A99" s="3">
        <v>36231</v>
      </c>
      <c r="B99" s="2">
        <v>1294.5899999999999</v>
      </c>
      <c r="C99" s="2">
        <v>49.241700000000002</v>
      </c>
      <c r="D99" s="2">
        <v>57.025599999999997</v>
      </c>
      <c r="E99" s="2">
        <v>36.875300000000003</v>
      </c>
      <c r="F99" s="2">
        <v>77.5625</v>
      </c>
      <c r="G99" s="2">
        <v>52.670499999999997</v>
      </c>
      <c r="I99" s="2">
        <f t="shared" si="3"/>
        <v>-2.3840120539177743E-3</v>
      </c>
      <c r="J99" s="2">
        <f t="shared" si="4"/>
        <v>-1.6103063061039058E-3</v>
      </c>
      <c r="O99" s="2">
        <v>36231</v>
      </c>
    </row>
    <row r="100" spans="1:15" x14ac:dyDescent="0.25">
      <c r="A100" s="3">
        <v>36234</v>
      </c>
      <c r="B100" s="2">
        <v>1307.26</v>
      </c>
      <c r="C100" s="2">
        <v>50.106699999999996</v>
      </c>
      <c r="D100" s="2">
        <v>57.5792</v>
      </c>
      <c r="E100" s="2">
        <v>37.8003</v>
      </c>
      <c r="F100" s="2">
        <v>78.125</v>
      </c>
      <c r="G100" s="2">
        <v>52.888199999999998</v>
      </c>
      <c r="I100" s="2">
        <f t="shared" si="3"/>
        <v>9.739300997244035E-3</v>
      </c>
      <c r="J100" s="2">
        <f t="shared" si="4"/>
        <v>7.2260450917396276E-3</v>
      </c>
      <c r="O100" s="2">
        <v>36234</v>
      </c>
    </row>
    <row r="101" spans="1:15" x14ac:dyDescent="0.25">
      <c r="A101" s="3">
        <v>36235</v>
      </c>
      <c r="B101" s="2">
        <v>1306.3800000000001</v>
      </c>
      <c r="C101" s="2">
        <v>50.2303</v>
      </c>
      <c r="D101" s="2">
        <v>57.025599999999997</v>
      </c>
      <c r="E101" s="2">
        <v>37.491999999999997</v>
      </c>
      <c r="F101" s="2">
        <v>79.875</v>
      </c>
      <c r="G101" s="2">
        <v>53.416800000000002</v>
      </c>
      <c r="I101" s="2">
        <f t="shared" si="3"/>
        <v>-6.7339039290282893E-4</v>
      </c>
      <c r="J101" s="2">
        <f t="shared" si="4"/>
        <v>2.215280464113328E-2</v>
      </c>
      <c r="O101" s="2">
        <v>36235</v>
      </c>
    </row>
    <row r="102" spans="1:15" x14ac:dyDescent="0.25">
      <c r="A102" s="3">
        <v>36236</v>
      </c>
      <c r="B102" s="2">
        <v>1297.82</v>
      </c>
      <c r="C102" s="2">
        <v>48.747500000000002</v>
      </c>
      <c r="D102" s="2">
        <v>56.471899999999998</v>
      </c>
      <c r="E102" s="2">
        <v>37.862000000000002</v>
      </c>
      <c r="F102" s="2">
        <v>82.3125</v>
      </c>
      <c r="G102" s="2">
        <v>53.5411</v>
      </c>
      <c r="I102" s="2">
        <f t="shared" si="3"/>
        <v>-6.5740195289357931E-3</v>
      </c>
      <c r="J102" s="2">
        <f t="shared" si="4"/>
        <v>3.0060066805801033E-2</v>
      </c>
      <c r="O102" s="2">
        <v>36236</v>
      </c>
    </row>
    <row r="103" spans="1:15" x14ac:dyDescent="0.25">
      <c r="A103" s="3">
        <v>36237</v>
      </c>
      <c r="B103" s="2">
        <v>1316.55</v>
      </c>
      <c r="C103" s="2">
        <v>48.9328</v>
      </c>
      <c r="D103" s="2">
        <v>57.3947</v>
      </c>
      <c r="E103" s="2">
        <v>37.615299999999998</v>
      </c>
      <c r="F103" s="2">
        <v>79.375</v>
      </c>
      <c r="G103" s="2">
        <v>53.167999999999999</v>
      </c>
      <c r="I103" s="2">
        <f t="shared" si="3"/>
        <v>1.4328744942889418E-2</v>
      </c>
      <c r="J103" s="2">
        <f t="shared" si="4"/>
        <v>-3.6339522290644126E-2</v>
      </c>
      <c r="O103" s="2">
        <v>36237</v>
      </c>
    </row>
    <row r="104" spans="1:15" x14ac:dyDescent="0.25">
      <c r="A104" s="3">
        <v>36238</v>
      </c>
      <c r="B104" s="2">
        <v>1299.29</v>
      </c>
      <c r="C104" s="2">
        <v>47.45</v>
      </c>
      <c r="D104" s="2">
        <v>57.640700000000002</v>
      </c>
      <c r="E104" s="2">
        <v>36.505299999999998</v>
      </c>
      <c r="F104" s="2">
        <v>80.25</v>
      </c>
      <c r="G104" s="2">
        <v>53.230200000000004</v>
      </c>
      <c r="I104" s="2">
        <f t="shared" si="3"/>
        <v>-1.3196717299099121E-2</v>
      </c>
      <c r="J104" s="2">
        <f t="shared" si="4"/>
        <v>1.0963304797269594E-2</v>
      </c>
      <c r="O104" s="2">
        <v>36238</v>
      </c>
    </row>
    <row r="105" spans="1:15" x14ac:dyDescent="0.25">
      <c r="A105" s="3">
        <v>36241</v>
      </c>
      <c r="B105" s="2">
        <v>1297.01</v>
      </c>
      <c r="C105" s="2">
        <v>48.006100000000004</v>
      </c>
      <c r="D105" s="2">
        <v>58.317399999999999</v>
      </c>
      <c r="E105" s="2">
        <v>36.628700000000002</v>
      </c>
      <c r="F105" s="2">
        <v>79.5625</v>
      </c>
      <c r="G105" s="2">
        <v>53.105800000000002</v>
      </c>
      <c r="I105" s="2">
        <f t="shared" si="3"/>
        <v>-1.7563460201846202E-3</v>
      </c>
      <c r="J105" s="2">
        <f t="shared" si="4"/>
        <v>-8.6038856924999935E-3</v>
      </c>
      <c r="O105" s="2">
        <v>36241</v>
      </c>
    </row>
    <row r="106" spans="1:15" x14ac:dyDescent="0.25">
      <c r="A106" s="3">
        <v>36242</v>
      </c>
      <c r="B106" s="2">
        <v>1262.1400000000001</v>
      </c>
      <c r="C106" s="2">
        <v>45.720100000000002</v>
      </c>
      <c r="D106" s="2">
        <v>55.979799999999997</v>
      </c>
      <c r="E106" s="2">
        <v>34.902099999999997</v>
      </c>
      <c r="F106" s="2">
        <v>76.375</v>
      </c>
      <c r="G106" s="2">
        <v>53.976399999999998</v>
      </c>
      <c r="I106" s="2">
        <f t="shared" si="3"/>
        <v>-2.7252922414856925E-2</v>
      </c>
      <c r="J106" s="2">
        <f t="shared" si="4"/>
        <v>-4.0887458825865863E-2</v>
      </c>
      <c r="O106" s="2">
        <v>36242</v>
      </c>
    </row>
    <row r="107" spans="1:15" x14ac:dyDescent="0.25">
      <c r="A107" s="3">
        <v>36243</v>
      </c>
      <c r="B107" s="2">
        <v>1268.5899999999999</v>
      </c>
      <c r="C107" s="2">
        <v>46.646799999999999</v>
      </c>
      <c r="D107" s="2">
        <v>55.303100000000001</v>
      </c>
      <c r="E107" s="2">
        <v>35.148699999999998</v>
      </c>
      <c r="F107" s="2">
        <v>78.4375</v>
      </c>
      <c r="G107" s="2">
        <v>54.7226</v>
      </c>
      <c r="I107" s="2">
        <f t="shared" si="3"/>
        <v>5.0973544912879315E-3</v>
      </c>
      <c r="J107" s="2">
        <f t="shared" si="4"/>
        <v>2.6646711834343605E-2</v>
      </c>
      <c r="O107" s="2">
        <v>36243</v>
      </c>
    </row>
    <row r="108" spans="1:15" x14ac:dyDescent="0.25">
      <c r="A108" s="3">
        <v>36244</v>
      </c>
      <c r="B108" s="2">
        <v>1289.99</v>
      </c>
      <c r="C108" s="2">
        <v>46.708599999999997</v>
      </c>
      <c r="D108" s="2">
        <v>57.456200000000003</v>
      </c>
      <c r="E108" s="2">
        <v>35.3337</v>
      </c>
      <c r="F108" s="2">
        <v>78.5</v>
      </c>
      <c r="G108" s="2">
        <v>54.784799999999997</v>
      </c>
      <c r="I108" s="2">
        <f t="shared" si="3"/>
        <v>1.6728418924303337E-2</v>
      </c>
      <c r="J108" s="2">
        <f t="shared" si="4"/>
        <v>7.9649546225963545E-4</v>
      </c>
      <c r="O108" s="2">
        <v>36244</v>
      </c>
    </row>
    <row r="109" spans="1:15" x14ac:dyDescent="0.25">
      <c r="A109" s="3">
        <v>36245</v>
      </c>
      <c r="B109" s="2">
        <v>1282.8</v>
      </c>
      <c r="C109" s="2">
        <v>46.2761</v>
      </c>
      <c r="D109" s="2">
        <v>56.0413</v>
      </c>
      <c r="E109" s="2">
        <v>33.668799999999997</v>
      </c>
      <c r="F109" s="2">
        <v>80.6875</v>
      </c>
      <c r="G109" s="2">
        <v>55.220100000000002</v>
      </c>
      <c r="I109" s="2">
        <f t="shared" si="3"/>
        <v>-5.5892775686870316E-3</v>
      </c>
      <c r="J109" s="2">
        <f t="shared" si="4"/>
        <v>2.7485043818498481E-2</v>
      </c>
      <c r="O109" s="2">
        <v>36245</v>
      </c>
    </row>
    <row r="110" spans="1:15" x14ac:dyDescent="0.25">
      <c r="A110" s="3">
        <v>36248</v>
      </c>
      <c r="B110" s="2">
        <v>1310.17</v>
      </c>
      <c r="C110" s="2">
        <v>47.388199999999998</v>
      </c>
      <c r="D110" s="2">
        <v>56.225900000000003</v>
      </c>
      <c r="E110" s="2">
        <v>34.285400000000003</v>
      </c>
      <c r="F110" s="2">
        <v>78.375</v>
      </c>
      <c r="G110" s="2">
        <v>56.090699999999998</v>
      </c>
      <c r="I110" s="2">
        <f t="shared" si="3"/>
        <v>2.1111710949036997E-2</v>
      </c>
      <c r="J110" s="2">
        <f t="shared" si="4"/>
        <v>-2.9078669653776455E-2</v>
      </c>
      <c r="O110" s="2">
        <v>36248</v>
      </c>
    </row>
    <row r="111" spans="1:15" x14ac:dyDescent="0.25">
      <c r="A111" s="3">
        <v>36249</v>
      </c>
      <c r="B111" s="2">
        <v>1300.75</v>
      </c>
      <c r="C111" s="2">
        <v>47.3264</v>
      </c>
      <c r="D111" s="2">
        <v>55.733699999999999</v>
      </c>
      <c r="E111" s="2">
        <v>33.9771</v>
      </c>
      <c r="F111" s="2">
        <v>78.5</v>
      </c>
      <c r="G111" s="2">
        <v>56.961300000000001</v>
      </c>
      <c r="I111" s="2">
        <f t="shared" si="3"/>
        <v>-7.2158785976239297E-3</v>
      </c>
      <c r="J111" s="2">
        <f t="shared" si="4"/>
        <v>1.593625835278026E-3</v>
      </c>
      <c r="O111" s="2">
        <v>36249</v>
      </c>
    </row>
    <row r="112" spans="1:15" x14ac:dyDescent="0.25">
      <c r="A112" s="3">
        <v>36250</v>
      </c>
      <c r="B112" s="2">
        <v>1286.3699999999999</v>
      </c>
      <c r="C112" s="2">
        <v>46.2761</v>
      </c>
      <c r="D112" s="2">
        <v>55.795200000000001</v>
      </c>
      <c r="E112" s="2">
        <v>33.360500000000002</v>
      </c>
      <c r="F112" s="2">
        <v>76.25</v>
      </c>
      <c r="G112" s="2">
        <v>57.147799999999997</v>
      </c>
      <c r="I112" s="2">
        <f t="shared" si="3"/>
        <v>-1.1116722913169791E-2</v>
      </c>
      <c r="J112" s="2">
        <f t="shared" si="4"/>
        <v>-2.9081209300841737E-2</v>
      </c>
      <c r="O112" s="2">
        <v>36250</v>
      </c>
    </row>
    <row r="113" spans="1:15" x14ac:dyDescent="0.25">
      <c r="A113" s="3">
        <v>36251</v>
      </c>
      <c r="B113" s="2">
        <v>1293.72</v>
      </c>
      <c r="C113" s="2">
        <v>47.017499999999998</v>
      </c>
      <c r="D113" s="2">
        <v>55.610700000000001</v>
      </c>
      <c r="E113" s="2">
        <v>33.8538</v>
      </c>
      <c r="F113" s="2">
        <v>77.25</v>
      </c>
      <c r="G113" s="2">
        <v>57.894100000000002</v>
      </c>
      <c r="I113" s="2">
        <f t="shared" si="3"/>
        <v>5.6974910817838382E-3</v>
      </c>
      <c r="J113" s="2">
        <f t="shared" si="4"/>
        <v>1.3029500290333897E-2</v>
      </c>
      <c r="O113" s="2">
        <v>36251</v>
      </c>
    </row>
    <row r="114" spans="1:15" x14ac:dyDescent="0.25">
      <c r="A114" s="3">
        <v>36255</v>
      </c>
      <c r="B114" s="2">
        <v>1321.12</v>
      </c>
      <c r="C114" s="2">
        <v>47.697099999999999</v>
      </c>
      <c r="D114" s="2">
        <v>57.3947</v>
      </c>
      <c r="E114" s="2">
        <v>33.545400000000001</v>
      </c>
      <c r="F114" s="2">
        <v>77.5625</v>
      </c>
      <c r="G114" s="2">
        <v>59.137799999999999</v>
      </c>
      <c r="I114" s="2">
        <f t="shared" si="3"/>
        <v>2.0958072330091386E-2</v>
      </c>
      <c r="J114" s="2">
        <f t="shared" si="4"/>
        <v>4.037147186971163E-3</v>
      </c>
      <c r="O114" s="2">
        <v>36255</v>
      </c>
    </row>
    <row r="115" spans="1:15" x14ac:dyDescent="0.25">
      <c r="A115" s="3">
        <v>36256</v>
      </c>
      <c r="B115" s="2">
        <v>1317.89</v>
      </c>
      <c r="C115" s="2">
        <v>47.697099999999999</v>
      </c>
      <c r="D115" s="2">
        <v>57.333100000000002</v>
      </c>
      <c r="E115" s="2">
        <v>32.682099999999998</v>
      </c>
      <c r="F115" s="2">
        <v>78.4375</v>
      </c>
      <c r="G115" s="2">
        <v>58.9512</v>
      </c>
      <c r="I115" s="2">
        <f t="shared" si="3"/>
        <v>-2.4478888771845113E-3</v>
      </c>
      <c r="J115" s="2">
        <f t="shared" si="4"/>
        <v>1.1218066361277096E-2</v>
      </c>
      <c r="O115" s="2">
        <v>36256</v>
      </c>
    </row>
    <row r="116" spans="1:15" x14ac:dyDescent="0.25">
      <c r="A116" s="3">
        <v>36257</v>
      </c>
      <c r="B116" s="2">
        <v>1326.89</v>
      </c>
      <c r="C116" s="2">
        <v>47.944299999999998</v>
      </c>
      <c r="D116" s="2">
        <v>59.793799999999997</v>
      </c>
      <c r="E116" s="2">
        <v>33.8538</v>
      </c>
      <c r="F116" s="2">
        <v>79.3125</v>
      </c>
      <c r="G116" s="2">
        <v>58.267200000000003</v>
      </c>
      <c r="I116" s="2">
        <f t="shared" si="3"/>
        <v>6.8058853591072008E-3</v>
      </c>
      <c r="J116" s="2">
        <f t="shared" si="4"/>
        <v>1.1093616148503477E-2</v>
      </c>
      <c r="O116" s="2">
        <v>36257</v>
      </c>
    </row>
    <row r="117" spans="1:15" x14ac:dyDescent="0.25">
      <c r="A117" s="3">
        <v>36258</v>
      </c>
      <c r="B117" s="2">
        <v>1343.98</v>
      </c>
      <c r="C117" s="2">
        <v>50.848100000000002</v>
      </c>
      <c r="D117" s="2">
        <v>59.916800000000002</v>
      </c>
      <c r="E117" s="2">
        <v>34.347099999999998</v>
      </c>
      <c r="F117" s="2">
        <v>78.6875</v>
      </c>
      <c r="G117" s="2">
        <v>58.826799999999999</v>
      </c>
      <c r="I117" s="2">
        <f t="shared" si="3"/>
        <v>1.2797502868950279E-2</v>
      </c>
      <c r="J117" s="2">
        <f t="shared" si="4"/>
        <v>-7.9114336700405064E-3</v>
      </c>
      <c r="O117" s="2">
        <v>36258</v>
      </c>
    </row>
    <row r="118" spans="1:15" x14ac:dyDescent="0.25">
      <c r="A118" s="3">
        <v>36259</v>
      </c>
      <c r="B118" s="2">
        <v>1348.35</v>
      </c>
      <c r="C118" s="2">
        <v>50.353900000000003</v>
      </c>
      <c r="D118" s="2">
        <v>59.609200000000001</v>
      </c>
      <c r="E118" s="2">
        <v>33.360500000000002</v>
      </c>
      <c r="F118" s="2">
        <v>79.125</v>
      </c>
      <c r="G118" s="2">
        <v>59.324300000000001</v>
      </c>
      <c r="I118" s="2">
        <f t="shared" si="3"/>
        <v>3.2462616675265014E-3</v>
      </c>
      <c r="J118" s="2">
        <f t="shared" si="4"/>
        <v>5.5445686597743937E-3</v>
      </c>
      <c r="O118" s="2">
        <v>36259</v>
      </c>
    </row>
    <row r="119" spans="1:15" x14ac:dyDescent="0.25">
      <c r="A119" s="3">
        <v>36262</v>
      </c>
      <c r="B119" s="2">
        <v>1358.63</v>
      </c>
      <c r="C119" s="2">
        <v>51.898499999999999</v>
      </c>
      <c r="D119" s="2">
        <v>60.531999999999996</v>
      </c>
      <c r="E119" s="2">
        <v>33.792099999999998</v>
      </c>
      <c r="F119" s="2">
        <v>76.875</v>
      </c>
      <c r="G119" s="2">
        <v>58.640300000000003</v>
      </c>
      <c r="I119" s="2">
        <f t="shared" si="3"/>
        <v>7.5952163804312457E-3</v>
      </c>
      <c r="J119" s="2">
        <f t="shared" si="4"/>
        <v>-2.8848154337658277E-2</v>
      </c>
      <c r="O119" s="2">
        <v>36262</v>
      </c>
    </row>
    <row r="120" spans="1:15" x14ac:dyDescent="0.25">
      <c r="A120" s="3">
        <v>36263</v>
      </c>
      <c r="B120" s="2">
        <v>1349.82</v>
      </c>
      <c r="C120" s="2">
        <v>52.439</v>
      </c>
      <c r="D120" s="2">
        <v>62.192900000000002</v>
      </c>
      <c r="E120" s="2">
        <v>34.347099999999998</v>
      </c>
      <c r="F120" s="2">
        <v>79.125</v>
      </c>
      <c r="G120" s="2">
        <v>60.630200000000002</v>
      </c>
      <c r="I120" s="2">
        <f t="shared" si="3"/>
        <v>-6.5055888584864968E-3</v>
      </c>
      <c r="J120" s="2">
        <f t="shared" si="4"/>
        <v>2.8848154337658343E-2</v>
      </c>
      <c r="O120" s="2">
        <v>36263</v>
      </c>
    </row>
    <row r="121" spans="1:15" x14ac:dyDescent="0.25">
      <c r="A121" s="3">
        <v>36264</v>
      </c>
      <c r="B121" s="2">
        <v>1328.44</v>
      </c>
      <c r="C121" s="2">
        <v>51.075299999999999</v>
      </c>
      <c r="D121" s="2">
        <v>61.762300000000003</v>
      </c>
      <c r="E121" s="2">
        <v>33.545400000000001</v>
      </c>
      <c r="F121" s="2">
        <v>80.5</v>
      </c>
      <c r="G121" s="2">
        <v>59.821800000000003</v>
      </c>
      <c r="I121" s="2">
        <f t="shared" si="3"/>
        <v>-1.5965928747985351E-2</v>
      </c>
      <c r="J121" s="2">
        <f t="shared" si="4"/>
        <v>1.7228303960177348E-2</v>
      </c>
      <c r="O121" s="2">
        <v>36264</v>
      </c>
    </row>
    <row r="122" spans="1:15" x14ac:dyDescent="0.25">
      <c r="A122" s="3">
        <v>36265</v>
      </c>
      <c r="B122" s="2">
        <v>1322.85</v>
      </c>
      <c r="C122" s="2">
        <v>49.525700000000001</v>
      </c>
      <c r="D122" s="2">
        <v>61.823799999999999</v>
      </c>
      <c r="E122" s="2">
        <v>33.9771</v>
      </c>
      <c r="F122" s="2">
        <v>79.875</v>
      </c>
      <c r="G122" s="2">
        <v>58.0184</v>
      </c>
      <c r="I122" s="2">
        <f t="shared" si="3"/>
        <v>-4.2168214591779031E-3</v>
      </c>
      <c r="J122" s="2">
        <f t="shared" si="4"/>
        <v>-7.7942717268187972E-3</v>
      </c>
      <c r="O122" s="2">
        <v>36265</v>
      </c>
    </row>
    <row r="123" spans="1:15" x14ac:dyDescent="0.25">
      <c r="A123" s="3">
        <v>36266</v>
      </c>
      <c r="B123" s="2">
        <v>1319</v>
      </c>
      <c r="C123" s="2">
        <v>48.657899999999998</v>
      </c>
      <c r="D123" s="2">
        <v>63.853900000000003</v>
      </c>
      <c r="E123" s="2">
        <v>34.223799999999997</v>
      </c>
      <c r="F123" s="2">
        <v>79.6875</v>
      </c>
      <c r="G123" s="2">
        <v>58.826799999999999</v>
      </c>
      <c r="I123" s="2">
        <f t="shared" si="3"/>
        <v>-2.9146262849847975E-3</v>
      </c>
      <c r="J123" s="2">
        <f t="shared" si="4"/>
        <v>-2.3501773449536266E-3</v>
      </c>
      <c r="O123" s="2">
        <v>36266</v>
      </c>
    </row>
    <row r="124" spans="1:15" x14ac:dyDescent="0.25">
      <c r="A124" s="3">
        <v>36269</v>
      </c>
      <c r="B124" s="2">
        <v>1289.48</v>
      </c>
      <c r="C124" s="2">
        <v>47.170299999999997</v>
      </c>
      <c r="D124" s="2">
        <v>63.976900000000001</v>
      </c>
      <c r="E124" s="2">
        <v>34.778700000000001</v>
      </c>
      <c r="F124" s="2">
        <v>79.0625</v>
      </c>
      <c r="G124" s="2">
        <v>60.1327</v>
      </c>
      <c r="I124" s="2">
        <f t="shared" si="3"/>
        <v>-2.2634837403747988E-2</v>
      </c>
      <c r="J124" s="2">
        <f t="shared" si="4"/>
        <v>-7.874056430905883E-3</v>
      </c>
      <c r="O124" s="2">
        <v>36269</v>
      </c>
    </row>
    <row r="125" spans="1:15" x14ac:dyDescent="0.25">
      <c r="A125" s="3">
        <v>36270</v>
      </c>
      <c r="B125" s="2">
        <v>1306.17</v>
      </c>
      <c r="C125" s="2">
        <v>50.455500000000001</v>
      </c>
      <c r="D125" s="2">
        <v>62.869599999999998</v>
      </c>
      <c r="E125" s="2">
        <v>34.902099999999997</v>
      </c>
      <c r="F125" s="2">
        <v>77.9375</v>
      </c>
      <c r="G125" s="2">
        <v>61.6252</v>
      </c>
      <c r="I125" s="2">
        <f t="shared" si="3"/>
        <v>1.2860154504924223E-2</v>
      </c>
      <c r="J125" s="2">
        <f t="shared" si="4"/>
        <v>-1.4331455481584187E-2</v>
      </c>
      <c r="O125" s="2">
        <v>36270</v>
      </c>
    </row>
    <row r="126" spans="1:15" x14ac:dyDescent="0.25">
      <c r="A126" s="3">
        <v>36271</v>
      </c>
      <c r="B126" s="2">
        <v>1336.12</v>
      </c>
      <c r="C126" s="2">
        <v>52.005099999999999</v>
      </c>
      <c r="D126" s="2">
        <v>62.992600000000003</v>
      </c>
      <c r="E126" s="2">
        <v>36.381999999999998</v>
      </c>
      <c r="F126" s="2">
        <v>79.125</v>
      </c>
      <c r="G126" s="2">
        <v>56.650399999999998</v>
      </c>
      <c r="I126" s="2">
        <f t="shared" si="3"/>
        <v>2.2670700603774498E-2</v>
      </c>
      <c r="J126" s="2">
        <f t="shared" si="4"/>
        <v>1.5121657024085005E-2</v>
      </c>
      <c r="O126" s="2">
        <v>36271</v>
      </c>
    </row>
    <row r="127" spans="1:15" x14ac:dyDescent="0.25">
      <c r="A127" s="3">
        <v>36272</v>
      </c>
      <c r="B127" s="2">
        <v>1358.82</v>
      </c>
      <c r="C127" s="2">
        <v>51.881100000000004</v>
      </c>
      <c r="D127" s="2">
        <v>62.992600000000003</v>
      </c>
      <c r="E127" s="2">
        <v>36.505299999999998</v>
      </c>
      <c r="F127" s="2">
        <v>78.0625</v>
      </c>
      <c r="G127" s="2">
        <v>51.302500000000002</v>
      </c>
      <c r="I127" s="2">
        <f t="shared" si="3"/>
        <v>1.6846784625432681E-2</v>
      </c>
      <c r="J127" s="2">
        <f t="shared" si="4"/>
        <v>-1.3519092578543831E-2</v>
      </c>
      <c r="O127" s="2">
        <v>36272</v>
      </c>
    </row>
    <row r="128" spans="1:15" x14ac:dyDescent="0.25">
      <c r="A128" s="3">
        <v>36273</v>
      </c>
      <c r="B128" s="2">
        <v>1356.85</v>
      </c>
      <c r="C128" s="2">
        <v>52.500900000000001</v>
      </c>
      <c r="D128" s="2">
        <v>62.746600000000001</v>
      </c>
      <c r="E128" s="2">
        <v>36.135399999999997</v>
      </c>
      <c r="F128" s="2">
        <v>79.875</v>
      </c>
      <c r="G128" s="2">
        <v>50.805</v>
      </c>
      <c r="I128" s="2">
        <f t="shared" si="3"/>
        <v>-1.4508392739618885E-3</v>
      </c>
      <c r="J128" s="2">
        <f t="shared" si="4"/>
        <v>2.2953124811902405E-2</v>
      </c>
      <c r="O128" s="2">
        <v>36273</v>
      </c>
    </row>
    <row r="129" spans="1:15" x14ac:dyDescent="0.25">
      <c r="A129" s="3">
        <v>36276</v>
      </c>
      <c r="B129" s="2">
        <v>1360.04</v>
      </c>
      <c r="C129" s="2">
        <v>51.757100000000001</v>
      </c>
      <c r="D129" s="2">
        <v>63.177199999999999</v>
      </c>
      <c r="E129" s="2">
        <v>36.875300000000003</v>
      </c>
      <c r="F129" s="2">
        <v>81.3125</v>
      </c>
      <c r="G129" s="2">
        <v>50.2453</v>
      </c>
      <c r="I129" s="2">
        <f t="shared" si="3"/>
        <v>2.3482742885498693E-3</v>
      </c>
      <c r="J129" s="2">
        <f t="shared" si="4"/>
        <v>1.7836843575025088E-2</v>
      </c>
      <c r="O129" s="2">
        <v>36276</v>
      </c>
    </row>
    <row r="130" spans="1:15" x14ac:dyDescent="0.25">
      <c r="A130" s="3">
        <v>36277</v>
      </c>
      <c r="B130" s="2">
        <v>1362.8</v>
      </c>
      <c r="C130" s="2">
        <v>51.3232</v>
      </c>
      <c r="D130" s="2">
        <v>63.054200000000002</v>
      </c>
      <c r="E130" s="2">
        <v>37.183599999999998</v>
      </c>
      <c r="F130" s="2">
        <v>82.0625</v>
      </c>
      <c r="G130" s="2">
        <v>52.857100000000003</v>
      </c>
      <c r="I130" s="2">
        <f t="shared" si="3"/>
        <v>2.0272957245253539E-3</v>
      </c>
      <c r="J130" s="2">
        <f t="shared" si="4"/>
        <v>9.1813957902908781E-3</v>
      </c>
      <c r="O130" s="2">
        <v>36277</v>
      </c>
    </row>
    <row r="131" spans="1:15" x14ac:dyDescent="0.25">
      <c r="A131" s="3">
        <v>36278</v>
      </c>
      <c r="B131" s="2">
        <v>1350.91</v>
      </c>
      <c r="C131" s="2">
        <v>50.641399999999997</v>
      </c>
      <c r="D131" s="2">
        <v>63.115699999999997</v>
      </c>
      <c r="E131" s="2">
        <v>36.875300000000003</v>
      </c>
      <c r="F131" s="2">
        <v>82.125</v>
      </c>
      <c r="G131" s="2">
        <v>53.914200000000001</v>
      </c>
      <c r="I131" s="2">
        <f t="shared" si="3"/>
        <v>-8.762967366148143E-3</v>
      </c>
      <c r="J131" s="2">
        <f t="shared" si="4"/>
        <v>7.6132474175960086E-4</v>
      </c>
      <c r="O131" s="2">
        <v>36278</v>
      </c>
    </row>
    <row r="132" spans="1:15" x14ac:dyDescent="0.25">
      <c r="A132" s="3">
        <v>36279</v>
      </c>
      <c r="B132" s="2">
        <v>1342.83</v>
      </c>
      <c r="C132" s="2">
        <v>50.207500000000003</v>
      </c>
      <c r="D132" s="2">
        <v>65.058800000000005</v>
      </c>
      <c r="E132" s="2">
        <v>36.936999999999998</v>
      </c>
      <c r="F132" s="2">
        <v>84</v>
      </c>
      <c r="G132" s="2">
        <v>52.732700000000001</v>
      </c>
      <c r="I132" s="2">
        <f t="shared" si="3"/>
        <v>-5.9991121881196006E-3</v>
      </c>
      <c r="J132" s="2">
        <f t="shared" si="4"/>
        <v>2.2574322038538975E-2</v>
      </c>
      <c r="O132" s="2">
        <v>36279</v>
      </c>
    </row>
    <row r="133" spans="1:15" x14ac:dyDescent="0.25">
      <c r="A133" s="3">
        <v>36280</v>
      </c>
      <c r="B133" s="2">
        <v>1335.18</v>
      </c>
      <c r="C133" s="2">
        <v>47.976100000000002</v>
      </c>
      <c r="D133" s="2">
        <v>63.385800000000003</v>
      </c>
      <c r="E133" s="2">
        <v>36.505299999999998</v>
      </c>
      <c r="F133" s="2">
        <v>88</v>
      </c>
      <c r="G133" s="2">
        <v>52.670499999999997</v>
      </c>
      <c r="I133" s="2">
        <f t="shared" si="3"/>
        <v>-5.7132130264640982E-3</v>
      </c>
      <c r="J133" s="2">
        <f t="shared" si="4"/>
        <v>4.6520015634892907E-2</v>
      </c>
      <c r="O133" s="2">
        <v>36280</v>
      </c>
    </row>
    <row r="134" spans="1:15" x14ac:dyDescent="0.25">
      <c r="A134" s="3">
        <v>36283</v>
      </c>
      <c r="B134" s="2">
        <v>1354.63</v>
      </c>
      <c r="C134" s="2">
        <v>47.914099999999998</v>
      </c>
      <c r="D134" s="2">
        <v>66.112099999999998</v>
      </c>
      <c r="E134" s="2">
        <v>36.628700000000002</v>
      </c>
      <c r="F134" s="2">
        <v>86</v>
      </c>
      <c r="G134" s="2">
        <v>53.105800000000002</v>
      </c>
      <c r="I134" s="2">
        <f t="shared" ref="I134:I197" si="5">LN(B134/B133)</f>
        <v>1.4462240088678798E-2</v>
      </c>
      <c r="J134" s="2">
        <f t="shared" ref="J134:J197" si="6">LN(F134/F133)</f>
        <v>-2.2989518224698718E-2</v>
      </c>
      <c r="O134" s="2">
        <v>36283</v>
      </c>
    </row>
    <row r="135" spans="1:15" x14ac:dyDescent="0.25">
      <c r="A135" s="3">
        <v>36284</v>
      </c>
      <c r="B135" s="2">
        <v>1332</v>
      </c>
      <c r="C135" s="2">
        <v>46.798400000000001</v>
      </c>
      <c r="D135" s="2">
        <v>63.5717</v>
      </c>
      <c r="E135" s="2">
        <v>35.950400000000002</v>
      </c>
      <c r="F135" s="2">
        <v>84.9375</v>
      </c>
      <c r="G135" s="2">
        <v>56.463799999999999</v>
      </c>
      <c r="I135" s="2">
        <f t="shared" si="5"/>
        <v>-1.6846782194423992E-2</v>
      </c>
      <c r="J135" s="2">
        <f t="shared" si="6"/>
        <v>-1.2431604342145224E-2</v>
      </c>
      <c r="O135" s="2">
        <v>36284</v>
      </c>
    </row>
    <row r="136" spans="1:15" x14ac:dyDescent="0.25">
      <c r="A136" s="3">
        <v>36285</v>
      </c>
      <c r="B136" s="2">
        <v>1347.31</v>
      </c>
      <c r="C136" s="2">
        <v>47.604199999999999</v>
      </c>
      <c r="D136" s="2">
        <v>63.819499999999998</v>
      </c>
      <c r="E136" s="2">
        <v>36.4437</v>
      </c>
      <c r="F136" s="2">
        <v>82</v>
      </c>
      <c r="G136" s="2">
        <v>56.712600000000002</v>
      </c>
      <c r="I136" s="2">
        <f t="shared" si="5"/>
        <v>1.1428439885834049E-2</v>
      </c>
      <c r="J136" s="2">
        <f t="shared" si="6"/>
        <v>-3.5196444647109387E-2</v>
      </c>
      <c r="O136" s="2">
        <v>36285</v>
      </c>
    </row>
    <row r="137" spans="1:15" x14ac:dyDescent="0.25">
      <c r="A137" s="3">
        <v>36286</v>
      </c>
      <c r="B137" s="2">
        <v>1332.05</v>
      </c>
      <c r="C137" s="2">
        <v>46.860300000000002</v>
      </c>
      <c r="D137" s="2">
        <v>61.960700000000003</v>
      </c>
      <c r="E137" s="2">
        <v>36.4437</v>
      </c>
      <c r="F137" s="2">
        <v>83.125</v>
      </c>
      <c r="G137" s="2">
        <v>54.7226</v>
      </c>
      <c r="I137" s="2">
        <f t="shared" si="5"/>
        <v>-1.1390903052812283E-2</v>
      </c>
      <c r="J137" s="2">
        <f t="shared" si="6"/>
        <v>1.3626251711765056E-2</v>
      </c>
      <c r="O137" s="2">
        <v>36286</v>
      </c>
    </row>
    <row r="138" spans="1:15" x14ac:dyDescent="0.25">
      <c r="A138" s="3">
        <v>36287</v>
      </c>
      <c r="B138" s="2">
        <v>1345</v>
      </c>
      <c r="C138" s="2">
        <v>46.488399999999999</v>
      </c>
      <c r="D138" s="2">
        <v>64.315200000000004</v>
      </c>
      <c r="E138" s="2">
        <v>36.752000000000002</v>
      </c>
      <c r="F138" s="2">
        <v>81</v>
      </c>
      <c r="G138" s="2">
        <v>53.603299999999997</v>
      </c>
      <c r="I138" s="2">
        <f t="shared" si="5"/>
        <v>9.6749041025832889E-3</v>
      </c>
      <c r="J138" s="2">
        <f t="shared" si="6"/>
        <v>-2.5896344303579479E-2</v>
      </c>
      <c r="O138" s="2">
        <v>36287</v>
      </c>
    </row>
    <row r="139" spans="1:15" x14ac:dyDescent="0.25">
      <c r="A139" s="3">
        <v>36290</v>
      </c>
      <c r="B139" s="2">
        <v>1340.3</v>
      </c>
      <c r="C139" s="2">
        <v>46.1785</v>
      </c>
      <c r="D139" s="2">
        <v>63.509700000000002</v>
      </c>
      <c r="E139" s="2">
        <v>36.135399999999997</v>
      </c>
      <c r="F139" s="2">
        <v>86.625</v>
      </c>
      <c r="G139" s="2">
        <v>55.717599999999997</v>
      </c>
      <c r="I139" s="2">
        <f t="shared" si="5"/>
        <v>-3.5005435514885749E-3</v>
      </c>
      <c r="J139" s="2">
        <f t="shared" si="6"/>
        <v>6.713930283762852E-2</v>
      </c>
      <c r="O139" s="2">
        <v>36290</v>
      </c>
    </row>
    <row r="140" spans="1:15" x14ac:dyDescent="0.25">
      <c r="A140" s="3">
        <v>36291</v>
      </c>
      <c r="B140" s="2">
        <v>1355.61</v>
      </c>
      <c r="C140" s="2">
        <v>47.170299999999997</v>
      </c>
      <c r="D140" s="2">
        <v>63.509700000000002</v>
      </c>
      <c r="E140" s="2">
        <v>36.567</v>
      </c>
      <c r="F140" s="2">
        <v>88.875</v>
      </c>
      <c r="G140" s="2">
        <v>55.634700000000002</v>
      </c>
      <c r="I140" s="2">
        <f t="shared" si="5"/>
        <v>1.1358068028554573E-2</v>
      </c>
      <c r="J140" s="2">
        <f t="shared" si="6"/>
        <v>2.5642430613337652E-2</v>
      </c>
      <c r="O140" s="2">
        <v>36291</v>
      </c>
    </row>
    <row r="141" spans="1:15" x14ac:dyDescent="0.25">
      <c r="A141" s="3">
        <v>36292</v>
      </c>
      <c r="B141" s="2">
        <v>1364</v>
      </c>
      <c r="C141" s="2">
        <v>49.339700000000001</v>
      </c>
      <c r="D141" s="2">
        <v>63.9435</v>
      </c>
      <c r="E141" s="2">
        <v>35.950400000000002</v>
      </c>
      <c r="F141" s="2">
        <v>85.875</v>
      </c>
      <c r="G141" s="2">
        <v>57.044199999999996</v>
      </c>
      <c r="I141" s="2">
        <f t="shared" si="5"/>
        <v>6.170021890401921E-3</v>
      </c>
      <c r="J141" s="2">
        <f t="shared" si="6"/>
        <v>-3.4338137580891569E-2</v>
      </c>
      <c r="O141" s="2">
        <v>36292</v>
      </c>
    </row>
    <row r="142" spans="1:15" x14ac:dyDescent="0.25">
      <c r="A142" s="3">
        <v>36293</v>
      </c>
      <c r="B142" s="2">
        <v>1367.56</v>
      </c>
      <c r="C142" s="2">
        <v>49.525700000000001</v>
      </c>
      <c r="D142" s="2">
        <v>62.952100000000002</v>
      </c>
      <c r="E142" s="2">
        <v>36.197000000000003</v>
      </c>
      <c r="F142" s="2">
        <v>90.125</v>
      </c>
      <c r="G142" s="2">
        <v>58.370800000000003</v>
      </c>
      <c r="I142" s="2">
        <f t="shared" si="5"/>
        <v>2.6065706157767797E-3</v>
      </c>
      <c r="J142" s="2">
        <f t="shared" si="6"/>
        <v>4.8304845062599779E-2</v>
      </c>
      <c r="O142" s="2">
        <v>36293</v>
      </c>
    </row>
    <row r="143" spans="1:15" x14ac:dyDescent="0.25">
      <c r="A143" s="3">
        <v>36294</v>
      </c>
      <c r="B143" s="2">
        <v>1337.8</v>
      </c>
      <c r="C143" s="2">
        <v>48.41</v>
      </c>
      <c r="D143" s="2">
        <v>60.2258</v>
      </c>
      <c r="E143" s="2">
        <v>36.320300000000003</v>
      </c>
      <c r="F143" s="2">
        <v>93</v>
      </c>
      <c r="G143" s="2">
        <v>58.3294</v>
      </c>
      <c r="I143" s="2">
        <f t="shared" si="5"/>
        <v>-2.2001656334876409E-2</v>
      </c>
      <c r="J143" s="2">
        <f t="shared" si="6"/>
        <v>3.1401897548142779E-2</v>
      </c>
      <c r="O143" s="2">
        <v>36294</v>
      </c>
    </row>
    <row r="144" spans="1:15" x14ac:dyDescent="0.25">
      <c r="A144" s="3">
        <v>36297</v>
      </c>
      <c r="B144" s="2">
        <v>1339.49</v>
      </c>
      <c r="C144" s="2">
        <v>48.843899999999998</v>
      </c>
      <c r="D144" s="2">
        <v>57.065800000000003</v>
      </c>
      <c r="E144" s="2">
        <v>36.073700000000002</v>
      </c>
      <c r="F144" s="2">
        <v>94.25</v>
      </c>
      <c r="G144" s="2">
        <v>56.712600000000002</v>
      </c>
      <c r="I144" s="2">
        <f t="shared" si="5"/>
        <v>1.2624708002978563E-3</v>
      </c>
      <c r="J144" s="2">
        <f t="shared" si="6"/>
        <v>1.3351333174864196E-2</v>
      </c>
      <c r="O144" s="2">
        <v>36297</v>
      </c>
    </row>
    <row r="145" spans="1:15" x14ac:dyDescent="0.25">
      <c r="A145" s="3">
        <v>36298</v>
      </c>
      <c r="B145" s="2">
        <v>1333.32</v>
      </c>
      <c r="C145" s="2">
        <v>47.356200000000001</v>
      </c>
      <c r="D145" s="2">
        <v>57.809399999999997</v>
      </c>
      <c r="E145" s="2">
        <v>35.7654</v>
      </c>
      <c r="F145" s="2">
        <v>94.5625</v>
      </c>
      <c r="G145" s="2">
        <v>55.634700000000002</v>
      </c>
      <c r="I145" s="2">
        <f t="shared" si="5"/>
        <v>-4.616872100687933E-3</v>
      </c>
      <c r="J145" s="2">
        <f t="shared" si="6"/>
        <v>3.3101652204546241E-3</v>
      </c>
      <c r="O145" s="2">
        <v>36298</v>
      </c>
    </row>
    <row r="146" spans="1:15" x14ac:dyDescent="0.25">
      <c r="A146" s="3">
        <v>36299</v>
      </c>
      <c r="B146" s="2">
        <v>1344.23</v>
      </c>
      <c r="C146" s="2">
        <v>48.161999999999999</v>
      </c>
      <c r="D146" s="2">
        <v>57.189799999999998</v>
      </c>
      <c r="E146" s="2">
        <v>35.703699999999998</v>
      </c>
      <c r="F146" s="2">
        <v>93.3125</v>
      </c>
      <c r="G146" s="2">
        <v>56.298000000000002</v>
      </c>
      <c r="I146" s="2">
        <f t="shared" si="5"/>
        <v>8.1492860103271492E-3</v>
      </c>
      <c r="J146" s="2">
        <f t="shared" si="6"/>
        <v>-1.3306916249165579E-2</v>
      </c>
      <c r="O146" s="2">
        <v>36299</v>
      </c>
    </row>
    <row r="147" spans="1:15" x14ac:dyDescent="0.25">
      <c r="A147" s="3">
        <v>36300</v>
      </c>
      <c r="B147" s="2">
        <v>1338.83</v>
      </c>
      <c r="C147" s="2">
        <v>47.232300000000002</v>
      </c>
      <c r="D147" s="2">
        <v>57.437600000000003</v>
      </c>
      <c r="E147" s="2">
        <v>35.271999999999998</v>
      </c>
      <c r="F147" s="2">
        <v>94.0625</v>
      </c>
      <c r="G147" s="2">
        <v>53.147300000000001</v>
      </c>
      <c r="I147" s="2">
        <f t="shared" si="5"/>
        <v>-4.0252601814510175E-3</v>
      </c>
      <c r="J147" s="2">
        <f t="shared" si="6"/>
        <v>8.0053796437856307E-3</v>
      </c>
      <c r="O147" s="2">
        <v>36300</v>
      </c>
    </row>
    <row r="148" spans="1:15" x14ac:dyDescent="0.25">
      <c r="A148" s="3">
        <v>36301</v>
      </c>
      <c r="B148" s="2">
        <v>1330.29</v>
      </c>
      <c r="C148" s="2">
        <v>46.736400000000003</v>
      </c>
      <c r="D148" s="2">
        <v>57.747399999999999</v>
      </c>
      <c r="E148" s="2">
        <v>34.840400000000002</v>
      </c>
      <c r="F148" s="2">
        <v>94.9375</v>
      </c>
      <c r="G148" s="2">
        <v>51.364699999999999</v>
      </c>
      <c r="I148" s="2">
        <f t="shared" si="5"/>
        <v>-6.3991346525930342E-3</v>
      </c>
      <c r="J148" s="2">
        <f t="shared" si="6"/>
        <v>9.2593254127967262E-3</v>
      </c>
      <c r="O148" s="2">
        <v>36301</v>
      </c>
    </row>
    <row r="149" spans="1:15" x14ac:dyDescent="0.25">
      <c r="A149" s="3">
        <v>36304</v>
      </c>
      <c r="B149" s="2">
        <v>1306.6500000000001</v>
      </c>
      <c r="C149" s="2">
        <v>44.690899999999999</v>
      </c>
      <c r="D149" s="2">
        <v>55.640700000000002</v>
      </c>
      <c r="E149" s="2">
        <v>34.963700000000003</v>
      </c>
      <c r="F149" s="2">
        <v>92.6875</v>
      </c>
      <c r="G149" s="2">
        <v>52.069400000000002</v>
      </c>
      <c r="I149" s="2">
        <f t="shared" si="5"/>
        <v>-1.7930353627189987E-2</v>
      </c>
      <c r="J149" s="2">
        <f t="shared" si="6"/>
        <v>-2.3985160457840771E-2</v>
      </c>
      <c r="O149" s="2">
        <v>36304</v>
      </c>
    </row>
    <row r="150" spans="1:15" x14ac:dyDescent="0.25">
      <c r="A150" s="3">
        <v>36305</v>
      </c>
      <c r="B150" s="2">
        <v>1284.4000000000001</v>
      </c>
      <c r="C150" s="2">
        <v>44.195</v>
      </c>
      <c r="D150" s="2">
        <v>56.198399999999999</v>
      </c>
      <c r="E150" s="2">
        <v>35.2104</v>
      </c>
      <c r="F150" s="2">
        <v>89.625</v>
      </c>
      <c r="G150" s="2">
        <v>52.94</v>
      </c>
      <c r="I150" s="2">
        <f t="shared" si="5"/>
        <v>-1.7174926717651869E-2</v>
      </c>
      <c r="J150" s="2">
        <f t="shared" si="6"/>
        <v>-3.3599320978366376E-2</v>
      </c>
      <c r="O150" s="2">
        <v>36305</v>
      </c>
    </row>
    <row r="151" spans="1:15" x14ac:dyDescent="0.25">
      <c r="A151" s="3">
        <v>36306</v>
      </c>
      <c r="B151" s="2">
        <v>1304.76</v>
      </c>
      <c r="C151" s="2">
        <v>44.133000000000003</v>
      </c>
      <c r="D151" s="2">
        <v>57.127800000000001</v>
      </c>
      <c r="E151" s="2">
        <v>35.195500000000003</v>
      </c>
      <c r="F151" s="2">
        <v>93</v>
      </c>
      <c r="G151" s="2">
        <v>53.313099999999999</v>
      </c>
      <c r="I151" s="2">
        <f t="shared" si="5"/>
        <v>1.5727432582299406E-2</v>
      </c>
      <c r="J151" s="2">
        <f t="shared" si="6"/>
        <v>3.6965194233471547E-2</v>
      </c>
      <c r="O151" s="2">
        <v>36306</v>
      </c>
    </row>
    <row r="152" spans="1:15" x14ac:dyDescent="0.25">
      <c r="A152" s="3">
        <v>36307</v>
      </c>
      <c r="B152" s="2">
        <v>1281.4100000000001</v>
      </c>
      <c r="C152" s="2">
        <v>43.637099999999997</v>
      </c>
      <c r="D152" s="2">
        <v>55.578800000000001</v>
      </c>
      <c r="E152" s="2">
        <v>34.388500000000001</v>
      </c>
      <c r="F152" s="2">
        <v>92.375</v>
      </c>
      <c r="G152" s="2">
        <v>54.183700000000002</v>
      </c>
      <c r="I152" s="2">
        <f t="shared" si="5"/>
        <v>-1.8058081658773966E-2</v>
      </c>
      <c r="J152" s="2">
        <f t="shared" si="6"/>
        <v>-6.743113884890085E-3</v>
      </c>
      <c r="O152" s="2">
        <v>36307</v>
      </c>
    </row>
    <row r="153" spans="1:15" x14ac:dyDescent="0.25">
      <c r="A153" s="3">
        <v>36308</v>
      </c>
      <c r="B153" s="2">
        <v>1301.8399999999999</v>
      </c>
      <c r="C153" s="2">
        <v>44.814900000000002</v>
      </c>
      <c r="D153" s="2">
        <v>56.632100000000001</v>
      </c>
      <c r="E153" s="2">
        <v>34.450600000000001</v>
      </c>
      <c r="F153" s="2">
        <v>89.0625</v>
      </c>
      <c r="G153" s="2">
        <v>55.095700000000001</v>
      </c>
      <c r="I153" s="2">
        <f t="shared" si="5"/>
        <v>1.5817614213474381E-2</v>
      </c>
      <c r="J153" s="2">
        <f t="shared" si="6"/>
        <v>-3.6518008805396143E-2</v>
      </c>
      <c r="O153" s="2">
        <v>36308</v>
      </c>
    </row>
    <row r="154" spans="1:15" x14ac:dyDescent="0.25">
      <c r="A154" s="3">
        <v>36312</v>
      </c>
      <c r="B154" s="2">
        <v>1294.26</v>
      </c>
      <c r="C154" s="2">
        <v>44.504899999999999</v>
      </c>
      <c r="D154" s="2">
        <v>57.003900000000002</v>
      </c>
      <c r="E154" s="2">
        <v>33.829900000000002</v>
      </c>
      <c r="F154" s="2">
        <v>89.968800000000002</v>
      </c>
      <c r="G154" s="2">
        <v>54.308100000000003</v>
      </c>
      <c r="I154" s="2">
        <f t="shared" si="5"/>
        <v>-5.8395451176784085E-3</v>
      </c>
      <c r="J154" s="2">
        <f t="shared" si="6"/>
        <v>1.0124573097848991E-2</v>
      </c>
      <c r="O154" s="2">
        <v>36312</v>
      </c>
    </row>
    <row r="155" spans="1:15" x14ac:dyDescent="0.25">
      <c r="A155" s="3">
        <v>36313</v>
      </c>
      <c r="B155" s="2">
        <v>1294.81</v>
      </c>
      <c r="C155" s="2">
        <v>45.000799999999998</v>
      </c>
      <c r="D155" s="2">
        <v>56.012500000000003</v>
      </c>
      <c r="E155" s="2">
        <v>33.7057</v>
      </c>
      <c r="F155" s="2">
        <v>85.625</v>
      </c>
      <c r="G155" s="2">
        <v>53.603299999999997</v>
      </c>
      <c r="I155" s="2">
        <f t="shared" si="5"/>
        <v>4.2486298807933474E-4</v>
      </c>
      <c r="J155" s="2">
        <f t="shared" si="6"/>
        <v>-4.9485646978429401E-2</v>
      </c>
      <c r="O155" s="2">
        <v>36313</v>
      </c>
    </row>
    <row r="156" spans="1:15" x14ac:dyDescent="0.25">
      <c r="A156" s="3">
        <v>36314</v>
      </c>
      <c r="B156" s="2">
        <v>1299.54</v>
      </c>
      <c r="C156" s="2">
        <v>43.637099999999997</v>
      </c>
      <c r="D156" s="2">
        <v>56.136400000000002</v>
      </c>
      <c r="E156" s="2">
        <v>33.4574</v>
      </c>
      <c r="F156" s="2">
        <v>83.281199999999998</v>
      </c>
      <c r="G156" s="2">
        <v>51.488999999999997</v>
      </c>
      <c r="I156" s="2">
        <f t="shared" si="5"/>
        <v>3.6463894546999104E-3</v>
      </c>
      <c r="J156" s="2">
        <f t="shared" si="6"/>
        <v>-2.7754463157585743E-2</v>
      </c>
      <c r="O156" s="2">
        <v>36314</v>
      </c>
    </row>
    <row r="157" spans="1:15" x14ac:dyDescent="0.25">
      <c r="A157" s="3">
        <v>36315</v>
      </c>
      <c r="B157" s="2">
        <v>1327.75</v>
      </c>
      <c r="C157" s="2">
        <v>44.628900000000002</v>
      </c>
      <c r="D157" s="2">
        <v>55.826599999999999</v>
      </c>
      <c r="E157" s="2">
        <v>34.202300000000001</v>
      </c>
      <c r="F157" s="2">
        <v>86.406199999999998</v>
      </c>
      <c r="G157" s="2">
        <v>51.571899999999999</v>
      </c>
      <c r="I157" s="2">
        <f t="shared" si="5"/>
        <v>2.1475424625048825E-2</v>
      </c>
      <c r="J157" s="2">
        <f t="shared" si="6"/>
        <v>3.683659906989302E-2</v>
      </c>
      <c r="O157" s="2">
        <v>36315</v>
      </c>
    </row>
    <row r="158" spans="1:15" x14ac:dyDescent="0.25">
      <c r="A158" s="3">
        <v>36318</v>
      </c>
      <c r="B158" s="2">
        <v>1334.52</v>
      </c>
      <c r="C158" s="2">
        <v>44.566899999999997</v>
      </c>
      <c r="D158" s="2">
        <v>56.508200000000002</v>
      </c>
      <c r="E158" s="2">
        <v>34.264400000000002</v>
      </c>
      <c r="F158" s="2">
        <v>85.593800000000002</v>
      </c>
      <c r="G158" s="2">
        <v>52.815600000000003</v>
      </c>
      <c r="I158" s="2">
        <f t="shared" si="5"/>
        <v>5.0858963162423339E-3</v>
      </c>
      <c r="J158" s="2">
        <f t="shared" si="6"/>
        <v>-9.4465818767147155E-3</v>
      </c>
      <c r="O158" s="2">
        <v>36318</v>
      </c>
    </row>
    <row r="159" spans="1:15" x14ac:dyDescent="0.25">
      <c r="A159" s="3">
        <v>36319</v>
      </c>
      <c r="B159" s="2">
        <v>1317.33</v>
      </c>
      <c r="C159" s="2">
        <v>44.504899999999999</v>
      </c>
      <c r="D159" s="2">
        <v>55.516800000000003</v>
      </c>
      <c r="E159" s="2">
        <v>34.016100000000002</v>
      </c>
      <c r="F159" s="2">
        <v>86.218800000000002</v>
      </c>
      <c r="G159" s="2">
        <v>54.4739</v>
      </c>
      <c r="I159" s="2">
        <f t="shared" si="5"/>
        <v>-1.2964715786676035E-2</v>
      </c>
      <c r="J159" s="2">
        <f t="shared" si="6"/>
        <v>7.2754007196703984E-3</v>
      </c>
      <c r="O159" s="2">
        <v>36319</v>
      </c>
    </row>
    <row r="160" spans="1:15" x14ac:dyDescent="0.25">
      <c r="A160" s="3">
        <v>36320</v>
      </c>
      <c r="B160" s="2">
        <v>1318.64</v>
      </c>
      <c r="C160" s="2">
        <v>44.319000000000003</v>
      </c>
      <c r="D160" s="2">
        <v>54.773299999999999</v>
      </c>
      <c r="E160" s="2">
        <v>33.954000000000001</v>
      </c>
      <c r="F160" s="2">
        <v>83.5625</v>
      </c>
      <c r="G160" s="2">
        <v>55.717599999999997</v>
      </c>
      <c r="I160" s="2">
        <f t="shared" si="5"/>
        <v>9.9394159102576124E-4</v>
      </c>
      <c r="J160" s="2">
        <f t="shared" si="6"/>
        <v>-3.1293396475490447E-2</v>
      </c>
      <c r="O160" s="2">
        <v>36320</v>
      </c>
    </row>
    <row r="161" spans="1:15" x14ac:dyDescent="0.25">
      <c r="A161" s="3">
        <v>36321</v>
      </c>
      <c r="B161" s="2">
        <v>1302.82</v>
      </c>
      <c r="C161" s="2">
        <v>43.2652</v>
      </c>
      <c r="D161" s="2">
        <v>54.525399999999998</v>
      </c>
      <c r="E161" s="2">
        <v>33.892000000000003</v>
      </c>
      <c r="F161" s="2">
        <v>84.531199999999998</v>
      </c>
      <c r="G161" s="2">
        <v>54.681199999999997</v>
      </c>
      <c r="I161" s="2">
        <f t="shared" si="5"/>
        <v>-1.2069756588349518E-2</v>
      </c>
      <c r="J161" s="2">
        <f t="shared" si="6"/>
        <v>1.1525842121291166E-2</v>
      </c>
      <c r="O161" s="2">
        <v>36321</v>
      </c>
    </row>
    <row r="162" spans="1:15" x14ac:dyDescent="0.25">
      <c r="A162" s="3">
        <v>36322</v>
      </c>
      <c r="B162" s="2">
        <v>1293.6400000000001</v>
      </c>
      <c r="C162" s="2">
        <v>42.831299999999999</v>
      </c>
      <c r="D162" s="2">
        <v>53.905799999999999</v>
      </c>
      <c r="E162" s="2">
        <v>33.395400000000002</v>
      </c>
      <c r="F162" s="2">
        <v>82.9375</v>
      </c>
      <c r="G162" s="2">
        <v>54.681199999999997</v>
      </c>
      <c r="I162" s="2">
        <f t="shared" si="5"/>
        <v>-7.0711955904195498E-3</v>
      </c>
      <c r="J162" s="2">
        <f t="shared" si="6"/>
        <v>-1.9033384891026777E-2</v>
      </c>
      <c r="O162" s="2">
        <v>36322</v>
      </c>
    </row>
    <row r="163" spans="1:15" x14ac:dyDescent="0.25">
      <c r="A163" s="3">
        <v>36325</v>
      </c>
      <c r="B163" s="2">
        <v>1294</v>
      </c>
      <c r="C163" s="2">
        <v>42.831299999999999</v>
      </c>
      <c r="D163" s="2">
        <v>53.038400000000003</v>
      </c>
      <c r="E163" s="2">
        <v>33.829900000000002</v>
      </c>
      <c r="F163" s="2">
        <v>80.093800000000002</v>
      </c>
      <c r="G163" s="2">
        <v>54.017899999999997</v>
      </c>
      <c r="I163" s="2">
        <f t="shared" si="5"/>
        <v>2.7824581651428651E-4</v>
      </c>
      <c r="J163" s="2">
        <f t="shared" si="6"/>
        <v>-3.4888864259841113E-2</v>
      </c>
      <c r="O163" s="2">
        <v>36325</v>
      </c>
    </row>
    <row r="164" spans="1:15" x14ac:dyDescent="0.25">
      <c r="A164" s="3">
        <v>36326</v>
      </c>
      <c r="B164" s="2">
        <v>1301.1600000000001</v>
      </c>
      <c r="C164" s="2">
        <v>42.893300000000004</v>
      </c>
      <c r="D164" s="2">
        <v>52.480699999999999</v>
      </c>
      <c r="E164" s="2">
        <v>33.829900000000002</v>
      </c>
      <c r="F164" s="2">
        <v>80.718800000000002</v>
      </c>
      <c r="G164" s="2">
        <v>54.764099999999999</v>
      </c>
      <c r="I164" s="2">
        <f t="shared" si="5"/>
        <v>5.5179782112449822E-3</v>
      </c>
      <c r="J164" s="2">
        <f t="shared" si="6"/>
        <v>7.7730618981027488E-3</v>
      </c>
      <c r="O164" s="2">
        <v>36326</v>
      </c>
    </row>
    <row r="165" spans="1:15" x14ac:dyDescent="0.25">
      <c r="A165" s="3">
        <v>36327</v>
      </c>
      <c r="B165" s="2">
        <v>1330.41</v>
      </c>
      <c r="C165" s="2">
        <v>43.637099999999997</v>
      </c>
      <c r="D165" s="2">
        <v>54.339599999999997</v>
      </c>
      <c r="E165" s="2">
        <v>33.767800000000001</v>
      </c>
      <c r="F165" s="2">
        <v>80.6875</v>
      </c>
      <c r="G165" s="2">
        <v>55.717599999999997</v>
      </c>
      <c r="I165" s="2">
        <f t="shared" si="5"/>
        <v>2.2230991114758132E-2</v>
      </c>
      <c r="J165" s="2">
        <f t="shared" si="6"/>
        <v>-3.8784112382662245E-4</v>
      </c>
      <c r="O165" s="2">
        <v>36327</v>
      </c>
    </row>
    <row r="166" spans="1:15" x14ac:dyDescent="0.25">
      <c r="A166" s="3">
        <v>36328</v>
      </c>
      <c r="B166" s="2">
        <v>1339.9</v>
      </c>
      <c r="C166" s="2">
        <v>44.256999999999998</v>
      </c>
      <c r="D166" s="2">
        <v>54.153700000000001</v>
      </c>
      <c r="E166" s="2">
        <v>33.581600000000002</v>
      </c>
      <c r="F166" s="2">
        <v>80.906199999999998</v>
      </c>
      <c r="G166" s="2">
        <v>56.753999999999998</v>
      </c>
      <c r="I166" s="2">
        <f t="shared" si="5"/>
        <v>7.1078189077134262E-3</v>
      </c>
      <c r="J166" s="2">
        <f t="shared" si="6"/>
        <v>2.7067903455314296E-3</v>
      </c>
      <c r="O166" s="2">
        <v>36328</v>
      </c>
    </row>
    <row r="167" spans="1:15" x14ac:dyDescent="0.25">
      <c r="A167" s="3">
        <v>36329</v>
      </c>
      <c r="B167" s="2">
        <v>1342.84</v>
      </c>
      <c r="C167" s="2">
        <v>44.319000000000003</v>
      </c>
      <c r="D167" s="2">
        <v>54.587400000000002</v>
      </c>
      <c r="E167" s="2">
        <v>32.464300000000001</v>
      </c>
      <c r="F167" s="2">
        <v>79.5</v>
      </c>
      <c r="G167" s="2">
        <v>58.370800000000003</v>
      </c>
      <c r="I167" s="2">
        <f t="shared" si="5"/>
        <v>2.1917898692870716E-3</v>
      </c>
      <c r="J167" s="2">
        <f t="shared" si="6"/>
        <v>-1.7533437292106352E-2</v>
      </c>
      <c r="O167" s="2">
        <v>36329</v>
      </c>
    </row>
    <row r="168" spans="1:15" x14ac:dyDescent="0.25">
      <c r="A168" s="3">
        <v>36332</v>
      </c>
      <c r="B168" s="2">
        <v>1349</v>
      </c>
      <c r="C168" s="2">
        <v>43.823099999999997</v>
      </c>
      <c r="D168" s="2">
        <v>54.463500000000003</v>
      </c>
      <c r="E168" s="2">
        <v>31.781500000000001</v>
      </c>
      <c r="F168" s="2">
        <v>77.468800000000002</v>
      </c>
      <c r="G168" s="2">
        <v>58.039200000000001</v>
      </c>
      <c r="I168" s="2">
        <f t="shared" si="5"/>
        <v>4.5768030439062518E-3</v>
      </c>
      <c r="J168" s="2">
        <f t="shared" si="6"/>
        <v>-2.5881747003489542E-2</v>
      </c>
      <c r="O168" s="2">
        <v>36332</v>
      </c>
    </row>
    <row r="169" spans="1:15" x14ac:dyDescent="0.25">
      <c r="A169" s="3">
        <v>36333</v>
      </c>
      <c r="B169" s="2">
        <v>1335.88</v>
      </c>
      <c r="C169" s="2">
        <v>43.141300000000001</v>
      </c>
      <c r="D169" s="2">
        <v>54.339599999999997</v>
      </c>
      <c r="E169" s="2">
        <v>31.9056</v>
      </c>
      <c r="F169" s="2">
        <v>76.125</v>
      </c>
      <c r="G169" s="2">
        <v>56.007800000000003</v>
      </c>
      <c r="I169" s="2">
        <f t="shared" si="5"/>
        <v>-9.7733265045361825E-3</v>
      </c>
      <c r="J169" s="2">
        <f t="shared" si="6"/>
        <v>-1.7498548626735562E-2</v>
      </c>
      <c r="O169" s="2">
        <v>36333</v>
      </c>
    </row>
    <row r="170" spans="1:15" x14ac:dyDescent="0.25">
      <c r="A170" s="3">
        <v>36334</v>
      </c>
      <c r="B170" s="2">
        <v>1333.06</v>
      </c>
      <c r="C170" s="2">
        <v>43.4512</v>
      </c>
      <c r="D170" s="2">
        <v>52.418799999999997</v>
      </c>
      <c r="E170" s="2">
        <v>32.650500000000001</v>
      </c>
      <c r="F170" s="2">
        <v>74.8125</v>
      </c>
      <c r="G170" s="2">
        <v>55.302999999999997</v>
      </c>
      <c r="I170" s="2">
        <f t="shared" si="5"/>
        <v>-2.1131992846738085E-3</v>
      </c>
      <c r="J170" s="2">
        <f t="shared" si="6"/>
        <v>-1.7391742711869222E-2</v>
      </c>
      <c r="O170" s="2">
        <v>36334</v>
      </c>
    </row>
    <row r="171" spans="1:15" x14ac:dyDescent="0.25">
      <c r="A171" s="3">
        <v>36335</v>
      </c>
      <c r="B171" s="2">
        <v>1315.78</v>
      </c>
      <c r="C171" s="2">
        <v>43.141300000000001</v>
      </c>
      <c r="D171" s="2">
        <v>53.4101</v>
      </c>
      <c r="E171" s="2">
        <v>32.898800000000001</v>
      </c>
      <c r="F171" s="2">
        <v>74.281199999999998</v>
      </c>
      <c r="G171" s="2">
        <v>54.308100000000003</v>
      </c>
      <c r="I171" s="2">
        <f t="shared" si="5"/>
        <v>-1.3047405760568594E-2</v>
      </c>
      <c r="J171" s="2">
        <f t="shared" si="6"/>
        <v>-7.1270918753259501E-3</v>
      </c>
      <c r="O171" s="2">
        <v>36335</v>
      </c>
    </row>
    <row r="172" spans="1:15" x14ac:dyDescent="0.25">
      <c r="A172" s="3">
        <v>36336</v>
      </c>
      <c r="B172" s="2">
        <v>1315.31</v>
      </c>
      <c r="C172" s="2">
        <v>43.389200000000002</v>
      </c>
      <c r="D172" s="2">
        <v>52.976399999999998</v>
      </c>
      <c r="E172" s="2">
        <v>32.8367</v>
      </c>
      <c r="F172" s="2">
        <v>75.875</v>
      </c>
      <c r="G172" s="2">
        <v>53.893500000000003</v>
      </c>
      <c r="I172" s="2">
        <f t="shared" si="5"/>
        <v>-3.5726638389356702E-4</v>
      </c>
      <c r="J172" s="2">
        <f t="shared" si="6"/>
        <v>2.1229357936796388E-2</v>
      </c>
      <c r="O172" s="2">
        <v>36336</v>
      </c>
    </row>
    <row r="173" spans="1:15" x14ac:dyDescent="0.25">
      <c r="A173" s="3">
        <v>36339</v>
      </c>
      <c r="B173" s="2">
        <v>1331.35</v>
      </c>
      <c r="C173" s="2">
        <v>43.699100000000001</v>
      </c>
      <c r="D173" s="2">
        <v>52.666600000000003</v>
      </c>
      <c r="E173" s="2">
        <v>32.8367</v>
      </c>
      <c r="F173" s="2">
        <v>75.0625</v>
      </c>
      <c r="G173" s="2">
        <v>54.4739</v>
      </c>
      <c r="I173" s="2">
        <f t="shared" si="5"/>
        <v>1.2121085733375074E-2</v>
      </c>
      <c r="J173" s="2">
        <f t="shared" si="6"/>
        <v>-1.076614953946007E-2</v>
      </c>
      <c r="O173" s="2">
        <v>36339</v>
      </c>
    </row>
    <row r="174" spans="1:15" x14ac:dyDescent="0.25">
      <c r="A174" s="3">
        <v>36340</v>
      </c>
      <c r="B174" s="2">
        <v>1351.45</v>
      </c>
      <c r="C174" s="2">
        <v>44.133000000000003</v>
      </c>
      <c r="D174" s="2">
        <v>53.100299999999997</v>
      </c>
      <c r="E174" s="2">
        <v>32.960900000000002</v>
      </c>
      <c r="F174" s="2">
        <v>76.75</v>
      </c>
      <c r="G174" s="2">
        <v>56.049199999999999</v>
      </c>
      <c r="I174" s="2">
        <f t="shared" si="5"/>
        <v>1.4984625094229502E-2</v>
      </c>
      <c r="J174" s="2">
        <f t="shared" si="6"/>
        <v>2.2232286627104157E-2</v>
      </c>
      <c r="O174" s="2">
        <v>36340</v>
      </c>
    </row>
    <row r="175" spans="1:15" x14ac:dyDescent="0.25">
      <c r="A175" s="3">
        <v>36341</v>
      </c>
      <c r="B175" s="2">
        <v>1372.71</v>
      </c>
      <c r="C175" s="2">
        <v>45.000799999999998</v>
      </c>
      <c r="D175" s="2">
        <v>55.950499999999998</v>
      </c>
      <c r="E175" s="2">
        <v>32.7746</v>
      </c>
      <c r="F175" s="2">
        <v>76.4375</v>
      </c>
      <c r="G175" s="2">
        <v>56.090699999999998</v>
      </c>
      <c r="I175" s="2">
        <f t="shared" si="5"/>
        <v>1.5608798042336038E-2</v>
      </c>
      <c r="J175" s="2">
        <f t="shared" si="6"/>
        <v>-4.0799730199154189E-3</v>
      </c>
      <c r="O175" s="2">
        <v>36341</v>
      </c>
    </row>
    <row r="176" spans="1:15" x14ac:dyDescent="0.25">
      <c r="A176" s="3">
        <v>36342</v>
      </c>
      <c r="B176" s="2">
        <v>1380.96</v>
      </c>
      <c r="C176" s="2">
        <v>45.062800000000003</v>
      </c>
      <c r="D176" s="2">
        <v>58.057200000000002</v>
      </c>
      <c r="E176" s="2">
        <v>32.7746</v>
      </c>
      <c r="F176" s="2">
        <v>77.718800000000002</v>
      </c>
      <c r="G176" s="2">
        <v>57.002699999999997</v>
      </c>
      <c r="I176" s="2">
        <f t="shared" si="5"/>
        <v>5.9920213273232104E-3</v>
      </c>
      <c r="J176" s="2">
        <f t="shared" si="6"/>
        <v>1.6623770901476129E-2</v>
      </c>
      <c r="O176" s="2">
        <v>36342</v>
      </c>
    </row>
    <row r="177" spans="1:15" x14ac:dyDescent="0.25">
      <c r="A177" s="3">
        <v>36343</v>
      </c>
      <c r="B177" s="2">
        <v>1391.22</v>
      </c>
      <c r="C177" s="2">
        <v>45.000799999999998</v>
      </c>
      <c r="D177" s="2">
        <v>56.941899999999997</v>
      </c>
      <c r="E177" s="2">
        <v>32.464300000000001</v>
      </c>
      <c r="F177" s="2">
        <v>74.406199999999998</v>
      </c>
      <c r="G177" s="2">
        <v>57.417299999999997</v>
      </c>
      <c r="I177" s="2">
        <f t="shared" si="5"/>
        <v>7.4021505435967958E-3</v>
      </c>
      <c r="J177" s="2">
        <f t="shared" si="6"/>
        <v>-4.3557912648517043E-2</v>
      </c>
      <c r="O177" s="2">
        <v>36343</v>
      </c>
    </row>
    <row r="178" spans="1:15" x14ac:dyDescent="0.25">
      <c r="A178" s="3">
        <v>36347</v>
      </c>
      <c r="B178" s="2">
        <v>1388.12</v>
      </c>
      <c r="C178" s="2">
        <v>44.133000000000003</v>
      </c>
      <c r="D178" s="2">
        <v>57.189799999999998</v>
      </c>
      <c r="E178" s="2">
        <v>32.402200000000001</v>
      </c>
      <c r="F178" s="2">
        <v>73.875</v>
      </c>
      <c r="G178" s="2">
        <v>56.878399999999999</v>
      </c>
      <c r="I178" s="2">
        <f t="shared" si="5"/>
        <v>-2.230746353829258E-3</v>
      </c>
      <c r="J178" s="2">
        <f t="shared" si="6"/>
        <v>-7.1647959740879169E-3</v>
      </c>
      <c r="O178" s="2">
        <v>36347</v>
      </c>
    </row>
    <row r="179" spans="1:15" x14ac:dyDescent="0.25">
      <c r="A179" s="3">
        <v>36348</v>
      </c>
      <c r="B179" s="2">
        <v>1395.86</v>
      </c>
      <c r="C179" s="2">
        <v>43.203299999999999</v>
      </c>
      <c r="D179" s="2">
        <v>57.003900000000002</v>
      </c>
      <c r="E179" s="2">
        <v>33.0229</v>
      </c>
      <c r="F179" s="2">
        <v>72.875</v>
      </c>
      <c r="G179" s="2">
        <v>56.961300000000001</v>
      </c>
      <c r="I179" s="2">
        <f t="shared" si="5"/>
        <v>5.5603990992208075E-3</v>
      </c>
      <c r="J179" s="2">
        <f t="shared" si="6"/>
        <v>-1.3628831055605787E-2</v>
      </c>
      <c r="O179" s="2">
        <v>36348</v>
      </c>
    </row>
    <row r="180" spans="1:15" x14ac:dyDescent="0.25">
      <c r="A180" s="3">
        <v>36349</v>
      </c>
      <c r="B180" s="2">
        <v>1394.42</v>
      </c>
      <c r="C180" s="2">
        <v>42.5214</v>
      </c>
      <c r="D180" s="2">
        <v>56.012500000000003</v>
      </c>
      <c r="E180" s="2">
        <v>32.029800000000002</v>
      </c>
      <c r="F180" s="2">
        <v>75</v>
      </c>
      <c r="G180" s="2">
        <v>55.924900000000001</v>
      </c>
      <c r="I180" s="2">
        <f t="shared" si="5"/>
        <v>-1.0321545707534655E-3</v>
      </c>
      <c r="J180" s="2">
        <f t="shared" si="6"/>
        <v>2.8742468865653945E-2</v>
      </c>
      <c r="O180" s="2">
        <v>36349</v>
      </c>
    </row>
    <row r="181" spans="1:15" x14ac:dyDescent="0.25">
      <c r="A181" s="3">
        <v>36350</v>
      </c>
      <c r="B181" s="2">
        <v>1403.28</v>
      </c>
      <c r="C181" s="2">
        <v>41.839599999999997</v>
      </c>
      <c r="D181" s="2">
        <v>55.516800000000003</v>
      </c>
      <c r="E181" s="2">
        <v>32.526299999999999</v>
      </c>
      <c r="F181" s="2">
        <v>78.125</v>
      </c>
      <c r="G181" s="2">
        <v>56.132199999999997</v>
      </c>
      <c r="I181" s="2">
        <f t="shared" si="5"/>
        <v>6.33379534594233E-3</v>
      </c>
      <c r="J181" s="2">
        <f t="shared" si="6"/>
        <v>4.08219945202552E-2</v>
      </c>
      <c r="O181" s="2">
        <v>36350</v>
      </c>
    </row>
    <row r="182" spans="1:15" x14ac:dyDescent="0.25">
      <c r="A182" s="3">
        <v>36353</v>
      </c>
      <c r="B182" s="2">
        <v>1399.1</v>
      </c>
      <c r="C182" s="2">
        <v>41.529699999999998</v>
      </c>
      <c r="D182" s="2">
        <v>55.268999999999998</v>
      </c>
      <c r="E182" s="2">
        <v>32.277999999999999</v>
      </c>
      <c r="F182" s="2">
        <v>78.875</v>
      </c>
      <c r="G182" s="2">
        <v>56.961300000000001</v>
      </c>
      <c r="I182" s="2">
        <f t="shared" si="5"/>
        <v>-2.9831807962845736E-3</v>
      </c>
      <c r="J182" s="2">
        <f t="shared" si="6"/>
        <v>9.5542128048117115E-3</v>
      </c>
      <c r="O182" s="2">
        <v>36353</v>
      </c>
    </row>
    <row r="183" spans="1:15" x14ac:dyDescent="0.25">
      <c r="A183" s="3">
        <v>36354</v>
      </c>
      <c r="B183" s="2">
        <v>1393.56</v>
      </c>
      <c r="C183" s="2">
        <v>41.325499999999998</v>
      </c>
      <c r="D183" s="2">
        <v>53.038400000000003</v>
      </c>
      <c r="E183" s="2">
        <v>31.7194</v>
      </c>
      <c r="F183" s="2">
        <v>81.375</v>
      </c>
      <c r="G183" s="2">
        <v>58.495199999999997</v>
      </c>
      <c r="I183" s="2">
        <f t="shared" si="5"/>
        <v>-3.9675486935734925E-3</v>
      </c>
      <c r="J183" s="2">
        <f t="shared" si="6"/>
        <v>3.1203779667356074E-2</v>
      </c>
      <c r="O183" s="2">
        <v>36354</v>
      </c>
    </row>
    <row r="184" spans="1:15" x14ac:dyDescent="0.25">
      <c r="A184" s="3">
        <v>36355</v>
      </c>
      <c r="B184" s="2">
        <v>1398.17</v>
      </c>
      <c r="C184" s="2">
        <v>41.5745</v>
      </c>
      <c r="D184" s="2">
        <v>52.480699999999999</v>
      </c>
      <c r="E184" s="2">
        <v>32.1539</v>
      </c>
      <c r="F184" s="2">
        <v>80.3125</v>
      </c>
      <c r="G184" s="2">
        <v>56.919800000000002</v>
      </c>
      <c r="I184" s="2">
        <f t="shared" si="5"/>
        <v>3.3026146441140717E-3</v>
      </c>
      <c r="J184" s="2">
        <f t="shared" si="6"/>
        <v>-1.3142825439194416E-2</v>
      </c>
      <c r="O184" s="2">
        <v>36355</v>
      </c>
    </row>
    <row r="185" spans="1:15" x14ac:dyDescent="0.25">
      <c r="A185" s="3">
        <v>36356</v>
      </c>
      <c r="B185" s="2">
        <v>1409.62</v>
      </c>
      <c r="C185" s="2">
        <v>41.698999999999998</v>
      </c>
      <c r="D185" s="2">
        <v>53.038400000000003</v>
      </c>
      <c r="E185" s="2">
        <v>32.1539</v>
      </c>
      <c r="F185" s="2">
        <v>80.031199999999998</v>
      </c>
      <c r="G185" s="2">
        <v>57.956200000000003</v>
      </c>
      <c r="I185" s="2">
        <f t="shared" si="5"/>
        <v>8.15592581372695E-3</v>
      </c>
      <c r="J185" s="2">
        <f t="shared" si="6"/>
        <v>-3.5087164458901185E-3</v>
      </c>
      <c r="O185" s="2">
        <v>36356</v>
      </c>
    </row>
    <row r="186" spans="1:15" x14ac:dyDescent="0.25">
      <c r="A186" s="3">
        <v>36357</v>
      </c>
      <c r="B186" s="2">
        <v>1418.78</v>
      </c>
      <c r="C186" s="2">
        <v>41.761200000000002</v>
      </c>
      <c r="D186" s="2">
        <v>53.595999999999997</v>
      </c>
      <c r="E186" s="2">
        <v>32.029800000000002</v>
      </c>
      <c r="F186" s="2">
        <v>82.625</v>
      </c>
      <c r="G186" s="2">
        <v>60.360700000000001</v>
      </c>
      <c r="I186" s="2">
        <f t="shared" si="5"/>
        <v>6.4771828770941358E-3</v>
      </c>
      <c r="J186" s="2">
        <f t="shared" si="6"/>
        <v>3.1895739528201524E-2</v>
      </c>
      <c r="O186" s="2">
        <v>36357</v>
      </c>
    </row>
    <row r="187" spans="1:15" x14ac:dyDescent="0.25">
      <c r="A187" s="3">
        <v>36360</v>
      </c>
      <c r="B187" s="2">
        <v>1407.65</v>
      </c>
      <c r="C187" s="2">
        <v>41.5745</v>
      </c>
      <c r="D187" s="2">
        <v>53.472099999999998</v>
      </c>
      <c r="E187" s="2">
        <v>32.1539</v>
      </c>
      <c r="F187" s="2">
        <v>80</v>
      </c>
      <c r="G187" s="2">
        <v>58.785400000000003</v>
      </c>
      <c r="I187" s="2">
        <f t="shared" si="5"/>
        <v>-7.8757001090848638E-3</v>
      </c>
      <c r="J187" s="2">
        <f t="shared" si="6"/>
        <v>-3.2285663497968721E-2</v>
      </c>
      <c r="O187" s="2">
        <v>36360</v>
      </c>
    </row>
    <row r="188" spans="1:15" x14ac:dyDescent="0.25">
      <c r="A188" s="3">
        <v>36361</v>
      </c>
      <c r="B188" s="2">
        <v>1377.1</v>
      </c>
      <c r="C188" s="2">
        <v>42.072400000000002</v>
      </c>
      <c r="D188" s="2">
        <v>52.7286</v>
      </c>
      <c r="E188" s="2">
        <v>31.843499999999999</v>
      </c>
      <c r="F188" s="2">
        <v>79.531199999999998</v>
      </c>
      <c r="G188" s="2">
        <v>60.6509</v>
      </c>
      <c r="I188" s="2">
        <f t="shared" si="5"/>
        <v>-2.1941808538436872E-2</v>
      </c>
      <c r="J188" s="2">
        <f t="shared" si="6"/>
        <v>-5.8772371728761565E-3</v>
      </c>
      <c r="O188" s="2">
        <v>36361</v>
      </c>
    </row>
    <row r="189" spans="1:15" x14ac:dyDescent="0.25">
      <c r="A189" s="3">
        <v>36362</v>
      </c>
      <c r="B189" s="2">
        <v>1379.29</v>
      </c>
      <c r="C189" s="2">
        <v>43.068199999999997</v>
      </c>
      <c r="D189" s="2">
        <v>53.905799999999999</v>
      </c>
      <c r="E189" s="2">
        <v>32.898800000000001</v>
      </c>
      <c r="F189" s="2">
        <v>83.406199999999998</v>
      </c>
      <c r="G189" s="2">
        <v>63.0139</v>
      </c>
      <c r="I189" s="2">
        <f t="shared" si="5"/>
        <v>1.5890352677368422E-3</v>
      </c>
      <c r="J189" s="2">
        <f t="shared" si="6"/>
        <v>4.757324962815343E-2</v>
      </c>
      <c r="O189" s="2">
        <v>36362</v>
      </c>
    </row>
    <row r="190" spans="1:15" x14ac:dyDescent="0.25">
      <c r="A190" s="3">
        <v>36363</v>
      </c>
      <c r="B190" s="2">
        <v>1360.97</v>
      </c>
      <c r="C190" s="2">
        <v>42.881500000000003</v>
      </c>
      <c r="D190" s="2">
        <v>53.472099999999998</v>
      </c>
      <c r="E190" s="2">
        <v>33.2712</v>
      </c>
      <c r="F190" s="2">
        <v>83.8125</v>
      </c>
      <c r="G190" s="2">
        <v>60.982599999999998</v>
      </c>
      <c r="I190" s="2">
        <f t="shared" si="5"/>
        <v>-1.3371193208016646E-2</v>
      </c>
      <c r="J190" s="2">
        <f t="shared" si="6"/>
        <v>4.8595139127384761E-3</v>
      </c>
      <c r="O190" s="2">
        <v>36363</v>
      </c>
    </row>
    <row r="191" spans="1:15" x14ac:dyDescent="0.25">
      <c r="A191" s="3">
        <v>36364</v>
      </c>
      <c r="B191" s="2">
        <v>1356.94</v>
      </c>
      <c r="C191" s="2">
        <v>42.694800000000001</v>
      </c>
      <c r="D191" s="2">
        <v>52.976399999999998</v>
      </c>
      <c r="E191" s="2">
        <v>33.2712</v>
      </c>
      <c r="F191" s="2">
        <v>86.468800000000002</v>
      </c>
      <c r="G191" s="2">
        <v>62.060400000000001</v>
      </c>
      <c r="I191" s="2">
        <f t="shared" si="5"/>
        <v>-2.9655161159964369E-3</v>
      </c>
      <c r="J191" s="2">
        <f t="shared" si="6"/>
        <v>3.1201494188719942E-2</v>
      </c>
      <c r="O191" s="2">
        <v>36364</v>
      </c>
    </row>
    <row r="192" spans="1:15" x14ac:dyDescent="0.25">
      <c r="A192" s="3">
        <v>36367</v>
      </c>
      <c r="B192" s="2">
        <v>1347.76</v>
      </c>
      <c r="C192" s="2">
        <v>42.9437</v>
      </c>
      <c r="D192" s="2">
        <v>52.604700000000001</v>
      </c>
      <c r="E192" s="2">
        <v>33.519500000000001</v>
      </c>
      <c r="F192" s="2">
        <v>87.5</v>
      </c>
      <c r="G192" s="2">
        <v>60.194899999999997</v>
      </c>
      <c r="I192" s="2">
        <f t="shared" si="5"/>
        <v>-6.7882095988553012E-3</v>
      </c>
      <c r="J192" s="2">
        <f t="shared" si="6"/>
        <v>1.1855138132951484E-2</v>
      </c>
      <c r="O192" s="2">
        <v>36367</v>
      </c>
    </row>
    <row r="193" spans="1:15" x14ac:dyDescent="0.25">
      <c r="A193" s="3">
        <v>36368</v>
      </c>
      <c r="B193" s="2">
        <v>1362.84</v>
      </c>
      <c r="C193" s="2">
        <v>43.130400000000002</v>
      </c>
      <c r="D193" s="2">
        <v>52.914499999999997</v>
      </c>
      <c r="E193" s="2">
        <v>34.1402</v>
      </c>
      <c r="F193" s="2">
        <v>87</v>
      </c>
      <c r="G193" s="2">
        <v>59.655999999999999</v>
      </c>
      <c r="I193" s="2">
        <f t="shared" si="5"/>
        <v>1.1126802613606629E-2</v>
      </c>
      <c r="J193" s="2">
        <f t="shared" si="6"/>
        <v>-5.7306747089849834E-3</v>
      </c>
      <c r="O193" s="2">
        <v>36368</v>
      </c>
    </row>
    <row r="194" spans="1:15" x14ac:dyDescent="0.25">
      <c r="A194" s="3">
        <v>36369</v>
      </c>
      <c r="B194" s="2">
        <v>1365.4</v>
      </c>
      <c r="C194" s="2">
        <v>43.317100000000003</v>
      </c>
      <c r="D194" s="2">
        <v>52.852499999999999</v>
      </c>
      <c r="E194" s="2">
        <v>33.581600000000002</v>
      </c>
      <c r="F194" s="2">
        <v>84.3125</v>
      </c>
      <c r="G194" s="2">
        <v>56.588200000000001</v>
      </c>
      <c r="I194" s="2">
        <f t="shared" si="5"/>
        <v>1.8766682926248852E-3</v>
      </c>
      <c r="J194" s="2">
        <f t="shared" si="6"/>
        <v>-3.1377984686609031E-2</v>
      </c>
      <c r="O194" s="2">
        <v>36369</v>
      </c>
    </row>
    <row r="195" spans="1:15" x14ac:dyDescent="0.25">
      <c r="A195" s="3">
        <v>36370</v>
      </c>
      <c r="B195" s="2">
        <v>1341.03</v>
      </c>
      <c r="C195" s="2">
        <v>43.192700000000002</v>
      </c>
      <c r="D195" s="2">
        <v>52</v>
      </c>
      <c r="E195" s="2">
        <v>35.505899999999997</v>
      </c>
      <c r="F195" s="2">
        <v>85.781199999999998</v>
      </c>
      <c r="G195" s="2">
        <v>57.624600000000001</v>
      </c>
      <c r="I195" s="2">
        <f t="shared" si="5"/>
        <v>-1.8009450588083443E-2</v>
      </c>
      <c r="J195" s="2">
        <f t="shared" si="6"/>
        <v>1.7269734297800082E-2</v>
      </c>
      <c r="O195" s="2">
        <v>36370</v>
      </c>
    </row>
    <row r="196" spans="1:15" x14ac:dyDescent="0.25">
      <c r="A196" s="3">
        <v>36371</v>
      </c>
      <c r="B196" s="2">
        <v>1328.72</v>
      </c>
      <c r="C196" s="2">
        <v>42.756999999999998</v>
      </c>
      <c r="D196" s="2">
        <v>48.5</v>
      </c>
      <c r="E196" s="2">
        <v>34.574800000000003</v>
      </c>
      <c r="F196" s="2">
        <v>80.9375</v>
      </c>
      <c r="G196" s="2">
        <v>59.448700000000002</v>
      </c>
      <c r="I196" s="2">
        <f t="shared" si="5"/>
        <v>-9.2219026053530582E-3</v>
      </c>
      <c r="J196" s="2">
        <f t="shared" si="6"/>
        <v>-5.8122616371917721E-2</v>
      </c>
      <c r="O196" s="2">
        <v>36371</v>
      </c>
    </row>
    <row r="197" spans="1:15" x14ac:dyDescent="0.25">
      <c r="A197" s="3">
        <v>36374</v>
      </c>
      <c r="B197" s="2">
        <v>1328.05</v>
      </c>
      <c r="C197" s="2">
        <v>43.130400000000002</v>
      </c>
      <c r="D197" s="2">
        <v>49.375</v>
      </c>
      <c r="E197" s="2">
        <v>33.7057</v>
      </c>
      <c r="F197" s="2">
        <v>78.125</v>
      </c>
      <c r="G197" s="2">
        <v>58.5366</v>
      </c>
      <c r="I197" s="2">
        <f t="shared" si="5"/>
        <v>-5.0437186072072721E-4</v>
      </c>
      <c r="J197" s="2">
        <f t="shared" si="6"/>
        <v>-3.5367143837291358E-2</v>
      </c>
      <c r="O197" s="2">
        <v>36374</v>
      </c>
    </row>
    <row r="198" spans="1:15" x14ac:dyDescent="0.25">
      <c r="A198" s="3">
        <v>36375</v>
      </c>
      <c r="B198" s="2">
        <v>1322.18</v>
      </c>
      <c r="C198" s="2">
        <v>42.756999999999998</v>
      </c>
      <c r="D198" s="2">
        <v>50.0625</v>
      </c>
      <c r="E198" s="2">
        <v>33.767800000000001</v>
      </c>
      <c r="F198" s="2">
        <v>79.156199999999998</v>
      </c>
      <c r="G198" s="2">
        <v>58.412300000000002</v>
      </c>
      <c r="I198" s="2">
        <f t="shared" ref="I198:I257" si="7">LN(B198/B197)</f>
        <v>-4.4298114495922702E-3</v>
      </c>
      <c r="J198" s="2">
        <f t="shared" ref="J198:J257" si="8">LN(F198/F197)</f>
        <v>1.3113007483122802E-2</v>
      </c>
      <c r="O198" s="2">
        <v>36375</v>
      </c>
    </row>
    <row r="199" spans="1:15" x14ac:dyDescent="0.25">
      <c r="A199" s="3">
        <v>36376</v>
      </c>
      <c r="B199" s="2">
        <v>1305.33</v>
      </c>
      <c r="C199" s="2">
        <v>42.134599999999999</v>
      </c>
      <c r="D199" s="2">
        <v>49.125</v>
      </c>
      <c r="E199" s="2">
        <v>33.954000000000001</v>
      </c>
      <c r="F199" s="2">
        <v>81.3125</v>
      </c>
      <c r="G199" s="2">
        <v>60.692399999999999</v>
      </c>
      <c r="I199" s="2">
        <f t="shared" si="7"/>
        <v>-1.2826007127548739E-2</v>
      </c>
      <c r="J199" s="2">
        <f t="shared" si="8"/>
        <v>2.6876640733035737E-2</v>
      </c>
      <c r="O199" s="2">
        <v>36376</v>
      </c>
    </row>
    <row r="200" spans="1:15" x14ac:dyDescent="0.25">
      <c r="A200" s="3">
        <v>36377</v>
      </c>
      <c r="B200" s="2">
        <v>1313.71</v>
      </c>
      <c r="C200" s="2">
        <v>41.5745</v>
      </c>
      <c r="D200" s="2">
        <v>48.875</v>
      </c>
      <c r="E200" s="2">
        <v>34.512700000000002</v>
      </c>
      <c r="F200" s="2">
        <v>77.8125</v>
      </c>
      <c r="G200" s="2">
        <v>60.609499999999997</v>
      </c>
      <c r="I200" s="2">
        <f t="shared" si="7"/>
        <v>6.3993131816047098E-3</v>
      </c>
      <c r="J200" s="2">
        <f t="shared" si="8"/>
        <v>-4.3997669613697235E-2</v>
      </c>
      <c r="O200" s="2">
        <v>36377</v>
      </c>
    </row>
    <row r="201" spans="1:15" x14ac:dyDescent="0.25">
      <c r="A201" s="3">
        <v>36378</v>
      </c>
      <c r="B201" s="2">
        <v>1300.29</v>
      </c>
      <c r="C201" s="2">
        <v>41.325499999999998</v>
      </c>
      <c r="D201" s="2">
        <v>48.125</v>
      </c>
      <c r="E201" s="2">
        <v>34.326500000000003</v>
      </c>
      <c r="F201" s="2">
        <v>74.875</v>
      </c>
      <c r="G201" s="2">
        <v>55.883400000000002</v>
      </c>
      <c r="I201" s="2">
        <f t="shared" si="7"/>
        <v>-1.0267879039738392E-2</v>
      </c>
      <c r="J201" s="2">
        <f t="shared" si="8"/>
        <v>-3.8482030223413309E-2</v>
      </c>
      <c r="O201" s="2">
        <v>36378</v>
      </c>
    </row>
    <row r="202" spans="1:15" x14ac:dyDescent="0.25">
      <c r="A202" s="3">
        <v>36381</v>
      </c>
      <c r="B202" s="2">
        <v>1297.8</v>
      </c>
      <c r="C202" s="2">
        <v>41.636699999999998</v>
      </c>
      <c r="D202" s="2">
        <v>48</v>
      </c>
      <c r="E202" s="2">
        <v>34.202300000000001</v>
      </c>
      <c r="F202" s="2">
        <v>70.875</v>
      </c>
      <c r="G202" s="2">
        <v>54.4739</v>
      </c>
      <c r="I202" s="2">
        <f t="shared" si="7"/>
        <v>-1.916793307679885E-3</v>
      </c>
      <c r="J202" s="2">
        <f t="shared" si="8"/>
        <v>-5.4902294387697288E-2</v>
      </c>
      <c r="O202" s="2">
        <v>36381</v>
      </c>
    </row>
    <row r="203" spans="1:15" x14ac:dyDescent="0.25">
      <c r="A203" s="3">
        <v>36382</v>
      </c>
      <c r="B203" s="2">
        <v>1281.43</v>
      </c>
      <c r="C203" s="2">
        <v>41.5122</v>
      </c>
      <c r="D203" s="2">
        <v>46.375</v>
      </c>
      <c r="E203" s="2">
        <v>34.078200000000002</v>
      </c>
      <c r="F203" s="2">
        <v>71.906199999999998</v>
      </c>
      <c r="G203" s="2">
        <v>56.2151</v>
      </c>
      <c r="I203" s="2">
        <f t="shared" si="7"/>
        <v>-1.2693881362959144E-2</v>
      </c>
      <c r="J203" s="2">
        <f t="shared" si="8"/>
        <v>1.4444729837633475E-2</v>
      </c>
      <c r="O203" s="2">
        <v>36382</v>
      </c>
    </row>
    <row r="204" spans="1:15" x14ac:dyDescent="0.25">
      <c r="A204" s="3">
        <v>36383</v>
      </c>
      <c r="B204" s="2">
        <v>1301.93</v>
      </c>
      <c r="C204" s="2">
        <v>41.5745</v>
      </c>
      <c r="D204" s="2">
        <v>47.8125</v>
      </c>
      <c r="E204" s="2">
        <v>33.954000000000001</v>
      </c>
      <c r="F204" s="2">
        <v>71.093800000000002</v>
      </c>
      <c r="G204" s="2">
        <v>55.883400000000002</v>
      </c>
      <c r="I204" s="2">
        <f t="shared" si="7"/>
        <v>1.5871137058239889E-2</v>
      </c>
      <c r="J204" s="2">
        <f t="shared" si="8"/>
        <v>-1.1362360003769414E-2</v>
      </c>
      <c r="O204" s="2">
        <v>36383</v>
      </c>
    </row>
    <row r="205" spans="1:15" x14ac:dyDescent="0.25">
      <c r="A205" s="3">
        <v>36384</v>
      </c>
      <c r="B205" s="2">
        <v>1298.1600000000001</v>
      </c>
      <c r="C205" s="2">
        <v>41.076599999999999</v>
      </c>
      <c r="D205" s="2">
        <v>47.25</v>
      </c>
      <c r="E205" s="2">
        <v>33.581600000000002</v>
      </c>
      <c r="F205" s="2">
        <v>73.75</v>
      </c>
      <c r="G205" s="2">
        <v>56.629600000000003</v>
      </c>
      <c r="I205" s="2">
        <f t="shared" si="7"/>
        <v>-2.8999016510675335E-3</v>
      </c>
      <c r="J205" s="2">
        <f t="shared" si="8"/>
        <v>3.6680863338148878E-2</v>
      </c>
      <c r="O205" s="2">
        <v>36384</v>
      </c>
    </row>
    <row r="206" spans="1:15" x14ac:dyDescent="0.25">
      <c r="A206" s="3">
        <v>36385</v>
      </c>
      <c r="B206" s="2">
        <v>1327.68</v>
      </c>
      <c r="C206" s="2">
        <v>40.703200000000002</v>
      </c>
      <c r="D206" s="2">
        <v>48.625</v>
      </c>
      <c r="E206" s="2">
        <v>33.829900000000002</v>
      </c>
      <c r="F206" s="2">
        <v>74.9375</v>
      </c>
      <c r="G206" s="2">
        <v>56.422400000000003</v>
      </c>
      <c r="I206" s="2">
        <f t="shared" si="7"/>
        <v>2.2485180913221846E-2</v>
      </c>
      <c r="J206" s="2">
        <f t="shared" si="8"/>
        <v>1.5973437567803714E-2</v>
      </c>
      <c r="O206" s="2">
        <v>36385</v>
      </c>
    </row>
    <row r="207" spans="1:15" x14ac:dyDescent="0.25">
      <c r="A207" s="3">
        <v>36388</v>
      </c>
      <c r="B207" s="2">
        <v>1330.77</v>
      </c>
      <c r="C207" s="2">
        <v>41.5122</v>
      </c>
      <c r="D207" s="2">
        <v>48.625</v>
      </c>
      <c r="E207" s="2">
        <v>33.954000000000001</v>
      </c>
      <c r="F207" s="2">
        <v>75.25</v>
      </c>
      <c r="G207" s="2">
        <v>54.556800000000003</v>
      </c>
      <c r="I207" s="2">
        <f t="shared" si="7"/>
        <v>2.3246639143454395E-3</v>
      </c>
      <c r="J207" s="2">
        <f t="shared" si="8"/>
        <v>4.1614708412521986E-3</v>
      </c>
      <c r="O207" s="2">
        <v>36388</v>
      </c>
    </row>
    <row r="208" spans="1:15" x14ac:dyDescent="0.25">
      <c r="A208" s="3">
        <v>36389</v>
      </c>
      <c r="B208" s="2">
        <v>1344.16</v>
      </c>
      <c r="C208" s="2">
        <v>42.010100000000001</v>
      </c>
      <c r="D208" s="2">
        <v>49.25</v>
      </c>
      <c r="E208" s="2">
        <v>33.892000000000003</v>
      </c>
      <c r="F208" s="2">
        <v>75.625</v>
      </c>
      <c r="G208" s="2">
        <v>54.971400000000003</v>
      </c>
      <c r="I208" s="2">
        <f t="shared" si="7"/>
        <v>1.0011560557688561E-2</v>
      </c>
      <c r="J208" s="2">
        <f t="shared" si="8"/>
        <v>4.9710127220204021E-3</v>
      </c>
      <c r="O208" s="2">
        <v>36389</v>
      </c>
    </row>
    <row r="209" spans="1:15" x14ac:dyDescent="0.25">
      <c r="A209" s="3">
        <v>36390</v>
      </c>
      <c r="B209" s="2">
        <v>1332.84</v>
      </c>
      <c r="C209" s="2">
        <v>41.698999999999998</v>
      </c>
      <c r="D209" s="2">
        <v>50.875</v>
      </c>
      <c r="E209" s="2">
        <v>33.7057</v>
      </c>
      <c r="F209" s="2">
        <v>73.25</v>
      </c>
      <c r="G209" s="2">
        <v>52.732700000000001</v>
      </c>
      <c r="I209" s="2">
        <f t="shared" si="7"/>
        <v>-8.4572786495081421E-3</v>
      </c>
      <c r="J209" s="2">
        <f t="shared" si="8"/>
        <v>-3.1908668453828899E-2</v>
      </c>
      <c r="O209" s="2">
        <v>36390</v>
      </c>
    </row>
    <row r="210" spans="1:15" x14ac:dyDescent="0.25">
      <c r="A210" s="3">
        <v>36391</v>
      </c>
      <c r="B210" s="2">
        <v>1323.59</v>
      </c>
      <c r="C210" s="2">
        <v>42.072400000000002</v>
      </c>
      <c r="D210" s="2">
        <v>50.375</v>
      </c>
      <c r="E210" s="2">
        <v>33.581600000000002</v>
      </c>
      <c r="F210" s="2">
        <v>70.5</v>
      </c>
      <c r="G210" s="2">
        <v>51.654899999999998</v>
      </c>
      <c r="I210" s="2">
        <f t="shared" si="7"/>
        <v>-6.9642621007262335E-3</v>
      </c>
      <c r="J210" s="2">
        <f t="shared" si="8"/>
        <v>-3.826553807895372E-2</v>
      </c>
      <c r="O210" s="2">
        <v>36391</v>
      </c>
    </row>
    <row r="211" spans="1:15" x14ac:dyDescent="0.25">
      <c r="A211" s="3">
        <v>36392</v>
      </c>
      <c r="B211" s="2">
        <v>1336.61</v>
      </c>
      <c r="C211" s="2">
        <v>42.819200000000002</v>
      </c>
      <c r="D211" s="2">
        <v>51.6875</v>
      </c>
      <c r="E211" s="2">
        <v>33.892000000000003</v>
      </c>
      <c r="F211" s="2">
        <v>69.343800000000002</v>
      </c>
      <c r="G211" s="2">
        <v>50.2453</v>
      </c>
      <c r="I211" s="2">
        <f t="shared" si="7"/>
        <v>9.7888158525881938E-3</v>
      </c>
      <c r="J211" s="2">
        <f t="shared" si="8"/>
        <v>-1.653596864009952E-2</v>
      </c>
      <c r="O211" s="2">
        <v>36392</v>
      </c>
    </row>
    <row r="212" spans="1:15" x14ac:dyDescent="0.25">
      <c r="A212" s="3">
        <v>36395</v>
      </c>
      <c r="B212" s="2">
        <v>1360.22</v>
      </c>
      <c r="C212" s="2">
        <v>43.441600000000001</v>
      </c>
      <c r="D212" s="2">
        <v>51.75</v>
      </c>
      <c r="E212" s="2">
        <v>33.954000000000001</v>
      </c>
      <c r="F212" s="2">
        <v>69.5</v>
      </c>
      <c r="G212" s="2">
        <v>50.950099999999999</v>
      </c>
      <c r="I212" s="2">
        <f t="shared" si="7"/>
        <v>1.7509893634589973E-2</v>
      </c>
      <c r="J212" s="2">
        <f t="shared" si="8"/>
        <v>2.2500113926230479E-3</v>
      </c>
      <c r="O212" s="2">
        <v>36395</v>
      </c>
    </row>
    <row r="213" spans="1:15" x14ac:dyDescent="0.25">
      <c r="A213" s="3">
        <v>36396</v>
      </c>
      <c r="B213" s="2">
        <v>1363.5</v>
      </c>
      <c r="C213" s="2">
        <v>44.0017</v>
      </c>
      <c r="D213" s="2">
        <v>51.125</v>
      </c>
      <c r="E213" s="2">
        <v>33.954000000000001</v>
      </c>
      <c r="F213" s="2">
        <v>70.25</v>
      </c>
      <c r="G213" s="2">
        <v>52.4011</v>
      </c>
      <c r="I213" s="2">
        <f t="shared" si="7"/>
        <v>2.4084719321624034E-3</v>
      </c>
      <c r="J213" s="2">
        <f t="shared" si="8"/>
        <v>1.0733555643108633E-2</v>
      </c>
      <c r="O213" s="2">
        <v>36396</v>
      </c>
    </row>
    <row r="214" spans="1:15" x14ac:dyDescent="0.25">
      <c r="A214" s="3">
        <v>36397</v>
      </c>
      <c r="B214" s="2">
        <v>1381.79</v>
      </c>
      <c r="C214" s="2">
        <v>45.308700000000002</v>
      </c>
      <c r="D214" s="2">
        <v>52</v>
      </c>
      <c r="E214" s="2">
        <v>35.071300000000001</v>
      </c>
      <c r="F214" s="2">
        <v>71.1875</v>
      </c>
      <c r="G214" s="2">
        <v>49.747900000000001</v>
      </c>
      <c r="I214" s="2">
        <f t="shared" si="7"/>
        <v>1.3324836805536398E-2</v>
      </c>
      <c r="J214" s="2">
        <f t="shared" si="8"/>
        <v>1.3256932993545795E-2</v>
      </c>
      <c r="O214" s="2">
        <v>36397</v>
      </c>
    </row>
    <row r="215" spans="1:15" x14ac:dyDescent="0.25">
      <c r="A215" s="3">
        <v>36398</v>
      </c>
      <c r="B215" s="2">
        <v>1362.01</v>
      </c>
      <c r="C215" s="2">
        <v>44.0017</v>
      </c>
      <c r="D215" s="2">
        <v>51.625</v>
      </c>
      <c r="E215" s="2">
        <v>35.630000000000003</v>
      </c>
      <c r="F215" s="2">
        <v>70.875</v>
      </c>
      <c r="G215" s="2">
        <v>49.457700000000003</v>
      </c>
      <c r="I215" s="2">
        <f t="shared" si="7"/>
        <v>-1.4418210264769324E-2</v>
      </c>
      <c r="J215" s="2">
        <f t="shared" si="8"/>
        <v>-4.3994791594847791E-3</v>
      </c>
      <c r="O215" s="2">
        <v>36398</v>
      </c>
    </row>
    <row r="216" spans="1:15" x14ac:dyDescent="0.25">
      <c r="A216" s="3">
        <v>36399</v>
      </c>
      <c r="B216" s="2">
        <v>1348.27</v>
      </c>
      <c r="C216" s="2">
        <v>43.192700000000002</v>
      </c>
      <c r="D216" s="2">
        <v>51.625</v>
      </c>
      <c r="E216" s="2">
        <v>35.8125</v>
      </c>
      <c r="F216" s="2">
        <v>71.781199999999998</v>
      </c>
      <c r="G216" s="2">
        <v>49.747900000000001</v>
      </c>
      <c r="I216" s="2">
        <f t="shared" si="7"/>
        <v>-1.0139260674965992E-2</v>
      </c>
      <c r="J216" s="2">
        <f t="shared" si="8"/>
        <v>1.2704841280481563E-2</v>
      </c>
      <c r="O216" s="2">
        <v>36399</v>
      </c>
    </row>
    <row r="217" spans="1:15" x14ac:dyDescent="0.25">
      <c r="A217" s="3">
        <v>36402</v>
      </c>
      <c r="B217" s="2">
        <v>1324.02</v>
      </c>
      <c r="C217" s="2">
        <v>43.6905</v>
      </c>
      <c r="D217" s="2">
        <v>50.75</v>
      </c>
      <c r="E217" s="2">
        <v>35.4375</v>
      </c>
      <c r="F217" s="2">
        <v>69.218800000000002</v>
      </c>
      <c r="G217" s="2">
        <v>48.628500000000003</v>
      </c>
      <c r="I217" s="2">
        <f t="shared" si="7"/>
        <v>-1.8149726028400134E-2</v>
      </c>
      <c r="J217" s="2">
        <f t="shared" si="8"/>
        <v>-3.6350101301519291E-2</v>
      </c>
      <c r="O217" s="2">
        <v>36402</v>
      </c>
    </row>
    <row r="218" spans="1:15" x14ac:dyDescent="0.25">
      <c r="A218" s="3">
        <v>36403</v>
      </c>
      <c r="B218" s="2">
        <v>1320.41</v>
      </c>
      <c r="C218" s="2">
        <v>43.192700000000002</v>
      </c>
      <c r="D218" s="2">
        <v>52.125</v>
      </c>
      <c r="E218" s="2">
        <v>35.5625</v>
      </c>
      <c r="F218" s="2">
        <v>70.218800000000002</v>
      </c>
      <c r="G218" s="2">
        <v>49.2089</v>
      </c>
      <c r="I218" s="2">
        <f t="shared" si="7"/>
        <v>-2.7302687100977034E-3</v>
      </c>
      <c r="J218" s="2">
        <f t="shared" si="8"/>
        <v>1.4343579418995979E-2</v>
      </c>
      <c r="O218" s="2">
        <v>36403</v>
      </c>
    </row>
    <row r="219" spans="1:15" x14ac:dyDescent="0.25">
      <c r="A219" s="3">
        <v>36404</v>
      </c>
      <c r="B219" s="2">
        <v>1331.07</v>
      </c>
      <c r="C219" s="2">
        <v>43.814999999999998</v>
      </c>
      <c r="D219" s="2">
        <v>51.875</v>
      </c>
      <c r="E219" s="2">
        <v>35.625</v>
      </c>
      <c r="F219" s="2">
        <v>68.906199999999998</v>
      </c>
      <c r="G219" s="2">
        <v>48.421199999999999</v>
      </c>
      <c r="I219" s="2">
        <f t="shared" si="7"/>
        <v>8.0408356353155359E-3</v>
      </c>
      <c r="J219" s="2">
        <f t="shared" si="8"/>
        <v>-1.8869921988500484E-2</v>
      </c>
      <c r="O219" s="2">
        <v>36404</v>
      </c>
    </row>
    <row r="220" spans="1:15" x14ac:dyDescent="0.25">
      <c r="A220" s="3">
        <v>36405</v>
      </c>
      <c r="B220" s="2">
        <v>1319.11</v>
      </c>
      <c r="C220" s="2">
        <v>43.6905</v>
      </c>
      <c r="D220" s="2">
        <v>50.9375</v>
      </c>
      <c r="E220" s="2">
        <v>35.9375</v>
      </c>
      <c r="F220" s="2">
        <v>67.1875</v>
      </c>
      <c r="G220" s="2">
        <v>47.716500000000003</v>
      </c>
      <c r="I220" s="2">
        <f t="shared" si="7"/>
        <v>-9.025863295733896E-3</v>
      </c>
      <c r="J220" s="2">
        <f t="shared" si="8"/>
        <v>-2.5258941135391798E-2</v>
      </c>
      <c r="O220" s="2">
        <v>36405</v>
      </c>
    </row>
    <row r="221" spans="1:15" x14ac:dyDescent="0.25">
      <c r="A221" s="3">
        <v>36406</v>
      </c>
      <c r="B221" s="2">
        <v>1357.24</v>
      </c>
      <c r="C221" s="2">
        <v>44.561900000000001</v>
      </c>
      <c r="D221" s="2">
        <v>52.468800000000002</v>
      </c>
      <c r="E221" s="2">
        <v>37.25</v>
      </c>
      <c r="F221" s="2">
        <v>66.875</v>
      </c>
      <c r="G221" s="2">
        <v>46.141100000000002</v>
      </c>
      <c r="I221" s="2">
        <f t="shared" si="7"/>
        <v>2.8495959166508541E-2</v>
      </c>
      <c r="J221" s="2">
        <f t="shared" si="8"/>
        <v>-4.6620131058113011E-3</v>
      </c>
      <c r="O221" s="2">
        <v>36406</v>
      </c>
    </row>
    <row r="222" spans="1:15" x14ac:dyDescent="0.25">
      <c r="A222" s="3">
        <v>36410</v>
      </c>
      <c r="B222" s="2">
        <v>1350.45</v>
      </c>
      <c r="C222" s="2">
        <v>44.748600000000003</v>
      </c>
      <c r="D222" s="2">
        <v>51.0625</v>
      </c>
      <c r="E222" s="2">
        <v>37.9375</v>
      </c>
      <c r="F222" s="2">
        <v>65.9375</v>
      </c>
      <c r="G222" s="2">
        <v>45.933799999999998</v>
      </c>
      <c r="I222" s="2">
        <f t="shared" si="7"/>
        <v>-5.0153556964411912E-3</v>
      </c>
      <c r="J222" s="2">
        <f t="shared" si="8"/>
        <v>-1.4117881545784932E-2</v>
      </c>
      <c r="O222" s="2">
        <v>36410</v>
      </c>
    </row>
    <row r="223" spans="1:15" x14ac:dyDescent="0.25">
      <c r="A223" s="3">
        <v>36411</v>
      </c>
      <c r="B223" s="2">
        <v>1344.15</v>
      </c>
      <c r="C223" s="2">
        <v>44.8108</v>
      </c>
      <c r="D223" s="2">
        <v>50.406199999999998</v>
      </c>
      <c r="E223" s="2">
        <v>38.1875</v>
      </c>
      <c r="F223" s="2">
        <v>63.968800000000002</v>
      </c>
      <c r="G223" s="2">
        <v>45.477800000000002</v>
      </c>
      <c r="I223" s="2">
        <f t="shared" si="7"/>
        <v>-4.6760272242572882E-3</v>
      </c>
      <c r="J223" s="2">
        <f t="shared" si="8"/>
        <v>-3.0311859177471992E-2</v>
      </c>
      <c r="O223" s="2">
        <v>36411</v>
      </c>
    </row>
    <row r="224" spans="1:15" x14ac:dyDescent="0.25">
      <c r="A224" s="3">
        <v>36412</v>
      </c>
      <c r="B224" s="2">
        <v>1347.66</v>
      </c>
      <c r="C224" s="2">
        <v>44.935299999999998</v>
      </c>
      <c r="D224" s="2">
        <v>49.9375</v>
      </c>
      <c r="E224" s="2">
        <v>38.875</v>
      </c>
      <c r="F224" s="2">
        <v>67</v>
      </c>
      <c r="G224" s="2">
        <v>46.472799999999999</v>
      </c>
      <c r="I224" s="2">
        <f t="shared" si="7"/>
        <v>2.607912140420254E-3</v>
      </c>
      <c r="J224" s="2">
        <f t="shared" si="8"/>
        <v>4.6297154898052355E-2</v>
      </c>
      <c r="O224" s="2">
        <v>36412</v>
      </c>
    </row>
    <row r="225" spans="1:15" x14ac:dyDescent="0.25">
      <c r="A225" s="3">
        <v>36413</v>
      </c>
      <c r="B225" s="2">
        <v>1351.66</v>
      </c>
      <c r="C225" s="2">
        <v>45.433199999999999</v>
      </c>
      <c r="D225" s="2">
        <v>50.75</v>
      </c>
      <c r="E225" s="2">
        <v>39</v>
      </c>
      <c r="F225" s="2">
        <v>65.781199999999998</v>
      </c>
      <c r="G225" s="2">
        <v>47.0946</v>
      </c>
      <c r="I225" s="2">
        <f t="shared" si="7"/>
        <v>2.9637115479909672E-3</v>
      </c>
      <c r="J225" s="2">
        <f t="shared" si="8"/>
        <v>-1.8358536169511597E-2</v>
      </c>
      <c r="O225" s="2">
        <v>36413</v>
      </c>
    </row>
    <row r="226" spans="1:15" x14ac:dyDescent="0.25">
      <c r="A226" s="3">
        <v>36416</v>
      </c>
      <c r="B226" s="2">
        <v>1344.13</v>
      </c>
      <c r="C226" s="2">
        <v>44.997500000000002</v>
      </c>
      <c r="D226" s="2">
        <v>51.8125</v>
      </c>
      <c r="E226" s="2">
        <v>38</v>
      </c>
      <c r="F226" s="2">
        <v>66.8125</v>
      </c>
      <c r="G226" s="2">
        <v>47.0946</v>
      </c>
      <c r="I226" s="2">
        <f t="shared" si="7"/>
        <v>-5.5865030908548666E-3</v>
      </c>
      <c r="J226" s="2">
        <f t="shared" si="8"/>
        <v>1.5556105563809479E-2</v>
      </c>
      <c r="O226" s="2">
        <v>36416</v>
      </c>
    </row>
    <row r="227" spans="1:15" x14ac:dyDescent="0.25">
      <c r="A227" s="3">
        <v>36417</v>
      </c>
      <c r="B227" s="2">
        <v>1336.29</v>
      </c>
      <c r="C227" s="2">
        <v>43.6905</v>
      </c>
      <c r="D227" s="2">
        <v>51.1875</v>
      </c>
      <c r="E227" s="2">
        <v>37.4375</v>
      </c>
      <c r="F227" s="2">
        <v>65.593800000000002</v>
      </c>
      <c r="G227" s="2">
        <v>44.441400000000002</v>
      </c>
      <c r="I227" s="2">
        <f t="shared" si="7"/>
        <v>-5.8498461864272102E-3</v>
      </c>
      <c r="J227" s="2">
        <f t="shared" si="8"/>
        <v>-1.8409009496901461E-2</v>
      </c>
      <c r="O227" s="2">
        <v>36417</v>
      </c>
    </row>
    <row r="228" spans="1:15" x14ac:dyDescent="0.25">
      <c r="A228" s="3">
        <v>36418</v>
      </c>
      <c r="B228" s="2">
        <v>1317.97</v>
      </c>
      <c r="C228" s="2">
        <v>43.441600000000001</v>
      </c>
      <c r="D228" s="2">
        <v>49.75</v>
      </c>
      <c r="E228" s="2">
        <v>37.6875</v>
      </c>
      <c r="F228" s="2">
        <v>66.781199999999998</v>
      </c>
      <c r="G228" s="2">
        <v>42.948999999999998</v>
      </c>
      <c r="I228" s="2">
        <f t="shared" si="7"/>
        <v>-1.3804443366310541E-2</v>
      </c>
      <c r="J228" s="2">
        <f t="shared" si="8"/>
        <v>1.7940424517628999E-2</v>
      </c>
      <c r="O228" s="2">
        <v>36418</v>
      </c>
    </row>
    <row r="229" spans="1:15" x14ac:dyDescent="0.25">
      <c r="A229" s="3">
        <v>36419</v>
      </c>
      <c r="B229" s="2">
        <v>1318.48</v>
      </c>
      <c r="C229" s="2">
        <v>42.819200000000002</v>
      </c>
      <c r="D229" s="2">
        <v>49.9375</v>
      </c>
      <c r="E229" s="2">
        <v>37.625</v>
      </c>
      <c r="F229" s="2">
        <v>63.6875</v>
      </c>
      <c r="G229" s="2">
        <v>42.078400000000002</v>
      </c>
      <c r="I229" s="2">
        <f t="shared" si="7"/>
        <v>3.8688388276763685E-4</v>
      </c>
      <c r="J229" s="2">
        <f t="shared" si="8"/>
        <v>-4.7433292823047861E-2</v>
      </c>
      <c r="O229" s="2">
        <v>36419</v>
      </c>
    </row>
    <row r="230" spans="1:15" x14ac:dyDescent="0.25">
      <c r="A230" s="3">
        <v>36420</v>
      </c>
      <c r="B230" s="2">
        <v>1335.42</v>
      </c>
      <c r="C230" s="2">
        <v>43.130400000000002</v>
      </c>
      <c r="D230" s="2">
        <v>49.9375</v>
      </c>
      <c r="E230" s="2">
        <v>36.875</v>
      </c>
      <c r="F230" s="2">
        <v>61.0625</v>
      </c>
      <c r="G230" s="2">
        <v>41.249299999999998</v>
      </c>
      <c r="I230" s="2">
        <f t="shared" si="7"/>
        <v>1.2766291171674649E-2</v>
      </c>
      <c r="J230" s="2">
        <f t="shared" si="8"/>
        <v>-4.2090381179942023E-2</v>
      </c>
      <c r="O230" s="2">
        <v>36420</v>
      </c>
    </row>
    <row r="231" spans="1:15" x14ac:dyDescent="0.25">
      <c r="A231" s="3">
        <v>36423</v>
      </c>
      <c r="B231" s="2">
        <v>1335.53</v>
      </c>
      <c r="C231" s="2">
        <v>43.566099999999999</v>
      </c>
      <c r="D231" s="2">
        <v>49.9375</v>
      </c>
      <c r="E231" s="2">
        <v>36.5625</v>
      </c>
      <c r="F231" s="2">
        <v>63.375</v>
      </c>
      <c r="G231" s="2">
        <v>41.3322</v>
      </c>
      <c r="I231" s="2">
        <f t="shared" si="7"/>
        <v>8.2367696933360448E-5</v>
      </c>
      <c r="J231" s="2">
        <f t="shared" si="8"/>
        <v>3.7171532108345728E-2</v>
      </c>
      <c r="O231" s="2">
        <v>36423</v>
      </c>
    </row>
    <row r="232" spans="1:15" x14ac:dyDescent="0.25">
      <c r="A232" s="3">
        <v>36424</v>
      </c>
      <c r="B232" s="2">
        <v>1307.58</v>
      </c>
      <c r="C232" s="2">
        <v>42.819200000000002</v>
      </c>
      <c r="D232" s="2">
        <v>48.875</v>
      </c>
      <c r="E232" s="2">
        <v>36.125</v>
      </c>
      <c r="F232" s="2">
        <v>64.75</v>
      </c>
      <c r="G232" s="2">
        <v>41.207799999999999</v>
      </c>
      <c r="I232" s="2">
        <f t="shared" si="7"/>
        <v>-2.115011625875789E-2</v>
      </c>
      <c r="J232" s="2">
        <f t="shared" si="8"/>
        <v>2.1464238668300002E-2</v>
      </c>
      <c r="O232" s="2">
        <v>36424</v>
      </c>
    </row>
    <row r="233" spans="1:15" x14ac:dyDescent="0.25">
      <c r="A233" s="3">
        <v>36425</v>
      </c>
      <c r="B233" s="2">
        <v>1310.51</v>
      </c>
      <c r="C233" s="2">
        <v>42.072400000000002</v>
      </c>
      <c r="D233" s="2">
        <v>49.8125</v>
      </c>
      <c r="E233" s="2">
        <v>36.125</v>
      </c>
      <c r="F233" s="2">
        <v>61</v>
      </c>
      <c r="G233" s="2">
        <v>41.249299999999998</v>
      </c>
      <c r="I233" s="2">
        <f t="shared" si="7"/>
        <v>2.2382738738877138E-3</v>
      </c>
      <c r="J233" s="2">
        <f t="shared" si="8"/>
        <v>-5.9659836406335875E-2</v>
      </c>
      <c r="O233" s="2">
        <v>36425</v>
      </c>
    </row>
    <row r="234" spans="1:15" x14ac:dyDescent="0.25">
      <c r="A234" s="3">
        <v>36426</v>
      </c>
      <c r="B234" s="2">
        <v>1280.4100000000001</v>
      </c>
      <c r="C234" s="2">
        <v>40.329700000000003</v>
      </c>
      <c r="D234" s="2">
        <v>49.1875</v>
      </c>
      <c r="E234" s="2">
        <v>36.1875</v>
      </c>
      <c r="F234" s="2">
        <v>64.031199999999998</v>
      </c>
      <c r="G234" s="2">
        <v>41.829700000000003</v>
      </c>
      <c r="I234" s="2">
        <f t="shared" si="7"/>
        <v>-2.3236035285096161E-2</v>
      </c>
      <c r="J234" s="2">
        <f t="shared" si="8"/>
        <v>4.8496600396840714E-2</v>
      </c>
      <c r="O234" s="2">
        <v>36426</v>
      </c>
    </row>
    <row r="235" spans="1:15" x14ac:dyDescent="0.25">
      <c r="A235" s="3">
        <v>36427</v>
      </c>
      <c r="B235" s="2">
        <v>1277.3599999999999</v>
      </c>
      <c r="C235" s="2">
        <v>39.7074</v>
      </c>
      <c r="D235" s="2">
        <v>49.6875</v>
      </c>
      <c r="E235" s="2">
        <v>37</v>
      </c>
      <c r="F235" s="2">
        <v>62.125</v>
      </c>
      <c r="G235" s="2">
        <v>41.912599999999998</v>
      </c>
      <c r="I235" s="2">
        <f t="shared" si="7"/>
        <v>-2.3848910931203106E-3</v>
      </c>
      <c r="J235" s="2">
        <f t="shared" si="8"/>
        <v>-3.0221980153359022E-2</v>
      </c>
      <c r="O235" s="2">
        <v>36427</v>
      </c>
    </row>
    <row r="236" spans="1:15" x14ac:dyDescent="0.25">
      <c r="A236" s="3">
        <v>36430</v>
      </c>
      <c r="B236" s="2">
        <v>1283.31</v>
      </c>
      <c r="C236" s="2">
        <v>40.516399999999997</v>
      </c>
      <c r="D236" s="2">
        <v>50.25</v>
      </c>
      <c r="E236" s="2">
        <v>36.6875</v>
      </c>
      <c r="F236" s="2">
        <v>60.843800000000002</v>
      </c>
      <c r="G236" s="2">
        <v>41.539499999999997</v>
      </c>
      <c r="I236" s="2">
        <f t="shared" si="7"/>
        <v>4.6472295988012604E-3</v>
      </c>
      <c r="J236" s="2">
        <f t="shared" si="8"/>
        <v>-2.0838560067564339E-2</v>
      </c>
      <c r="O236" s="2">
        <v>36430</v>
      </c>
    </row>
    <row r="237" spans="1:15" x14ac:dyDescent="0.25">
      <c r="A237" s="3">
        <v>36431</v>
      </c>
      <c r="B237" s="2">
        <v>1282.2</v>
      </c>
      <c r="C237" s="2">
        <v>39.831800000000001</v>
      </c>
      <c r="D237" s="2">
        <v>49.9375</v>
      </c>
      <c r="E237" s="2">
        <v>36.6875</v>
      </c>
      <c r="F237" s="2">
        <v>59.593800000000002</v>
      </c>
      <c r="G237" s="2">
        <v>42.368600000000001</v>
      </c>
      <c r="I237" s="2">
        <f t="shared" si="7"/>
        <v>-8.6532507709010352E-4</v>
      </c>
      <c r="J237" s="2">
        <f t="shared" si="8"/>
        <v>-2.0758382534729478E-2</v>
      </c>
      <c r="O237" s="2">
        <v>36431</v>
      </c>
    </row>
    <row r="238" spans="1:15" x14ac:dyDescent="0.25">
      <c r="A238" s="3">
        <v>36432</v>
      </c>
      <c r="B238" s="2">
        <v>1268.3699999999999</v>
      </c>
      <c r="C238" s="2">
        <v>37.342300000000002</v>
      </c>
      <c r="D238" s="2">
        <v>49.625</v>
      </c>
      <c r="E238" s="2">
        <v>37.4375</v>
      </c>
      <c r="F238" s="2">
        <v>56.8125</v>
      </c>
      <c r="G238" s="2">
        <v>41.9955</v>
      </c>
      <c r="I238" s="2">
        <f t="shared" si="7"/>
        <v>-1.0844741013518011E-2</v>
      </c>
      <c r="J238" s="2">
        <f t="shared" si="8"/>
        <v>-4.7795169876801373E-2</v>
      </c>
      <c r="O238" s="2">
        <v>36432</v>
      </c>
    </row>
    <row r="239" spans="1:15" x14ac:dyDescent="0.25">
      <c r="A239" s="3">
        <v>36433</v>
      </c>
      <c r="B239" s="2">
        <v>1282.71</v>
      </c>
      <c r="C239" s="2">
        <v>36.533299999999997</v>
      </c>
      <c r="D239" s="2">
        <v>50.25</v>
      </c>
      <c r="E239" s="2">
        <v>37.4375</v>
      </c>
      <c r="F239" s="2">
        <v>55.875</v>
      </c>
      <c r="G239" s="2">
        <v>41.746699999999997</v>
      </c>
      <c r="I239" s="2">
        <f t="shared" si="7"/>
        <v>1.1242415790972985E-2</v>
      </c>
      <c r="J239" s="2">
        <f t="shared" si="8"/>
        <v>-1.6639319003964669E-2</v>
      </c>
      <c r="O239" s="2">
        <v>36433</v>
      </c>
    </row>
    <row r="240" spans="1:15" x14ac:dyDescent="0.25">
      <c r="A240" s="3">
        <v>36434</v>
      </c>
      <c r="B240" s="2">
        <v>1282.81</v>
      </c>
      <c r="C240" s="2">
        <v>36.844499999999996</v>
      </c>
      <c r="D240" s="2">
        <v>50.625</v>
      </c>
      <c r="E240" s="2">
        <v>37.125</v>
      </c>
      <c r="F240" s="2">
        <v>54.875</v>
      </c>
      <c r="G240" s="2">
        <v>40.668900000000001</v>
      </c>
      <c r="I240" s="2">
        <f t="shared" si="7"/>
        <v>7.7956905462177266E-5</v>
      </c>
      <c r="J240" s="2">
        <f t="shared" si="8"/>
        <v>-1.8059181538397532E-2</v>
      </c>
      <c r="O240" s="2">
        <v>36434</v>
      </c>
    </row>
    <row r="241" spans="1:15" x14ac:dyDescent="0.25">
      <c r="A241" s="3">
        <v>36437</v>
      </c>
      <c r="B241" s="2">
        <v>1304.5999999999999</v>
      </c>
      <c r="C241" s="2">
        <v>37.466799999999999</v>
      </c>
      <c r="D241" s="2">
        <v>51.3125</v>
      </c>
      <c r="E241" s="2">
        <v>37.625</v>
      </c>
      <c r="F241" s="2">
        <v>55.9375</v>
      </c>
      <c r="G241" s="2">
        <v>40.461599999999997</v>
      </c>
      <c r="I241" s="2">
        <f t="shared" si="7"/>
        <v>1.6843496125921502E-2</v>
      </c>
      <c r="J241" s="2">
        <f t="shared" si="8"/>
        <v>1.9177124639738637E-2</v>
      </c>
      <c r="O241" s="2">
        <v>36437</v>
      </c>
    </row>
    <row r="242" spans="1:15" x14ac:dyDescent="0.25">
      <c r="A242" s="3">
        <v>36438</v>
      </c>
      <c r="B242" s="2">
        <v>1301.3499999999999</v>
      </c>
      <c r="C242" s="2">
        <v>36.0976</v>
      </c>
      <c r="D242" s="2">
        <v>51.8125</v>
      </c>
      <c r="E242" s="2">
        <v>37.75</v>
      </c>
      <c r="F242" s="2">
        <v>54.406199999999998</v>
      </c>
      <c r="G242" s="2">
        <v>40.378700000000002</v>
      </c>
      <c r="I242" s="2">
        <f t="shared" si="7"/>
        <v>-2.4942932020867829E-3</v>
      </c>
      <c r="J242" s="2">
        <f t="shared" si="8"/>
        <v>-2.7756878079096024E-2</v>
      </c>
      <c r="O242" s="2">
        <v>36438</v>
      </c>
    </row>
    <row r="243" spans="1:15" x14ac:dyDescent="0.25">
      <c r="A243" s="3">
        <v>36439</v>
      </c>
      <c r="B243" s="2">
        <v>1325.4</v>
      </c>
      <c r="C243" s="2">
        <v>36.222099999999998</v>
      </c>
      <c r="D243" s="2">
        <v>53</v>
      </c>
      <c r="E243" s="2">
        <v>38.25</v>
      </c>
      <c r="F243" s="2">
        <v>55</v>
      </c>
      <c r="G243" s="2">
        <v>40.627400000000002</v>
      </c>
      <c r="I243" s="2">
        <f t="shared" si="7"/>
        <v>1.8312113494217859E-2</v>
      </c>
      <c r="J243" s="2">
        <f t="shared" si="8"/>
        <v>1.0855067276492733E-2</v>
      </c>
      <c r="O243" s="2">
        <v>36439</v>
      </c>
    </row>
    <row r="244" spans="1:15" x14ac:dyDescent="0.25">
      <c r="A244" s="3">
        <v>36440</v>
      </c>
      <c r="B244" s="2">
        <v>1317.64</v>
      </c>
      <c r="C244" s="2">
        <v>37.715800000000002</v>
      </c>
      <c r="D244" s="2">
        <v>51.375</v>
      </c>
      <c r="E244" s="2">
        <v>37.5625</v>
      </c>
      <c r="F244" s="2">
        <v>54.375</v>
      </c>
      <c r="G244" s="2">
        <v>40.834699999999998</v>
      </c>
      <c r="I244" s="2">
        <f t="shared" si="7"/>
        <v>-5.8720430244180478E-3</v>
      </c>
      <c r="J244" s="2">
        <f t="shared" si="8"/>
        <v>-1.1428695823622744E-2</v>
      </c>
      <c r="O244" s="2">
        <v>36440</v>
      </c>
    </row>
    <row r="245" spans="1:15" x14ac:dyDescent="0.25">
      <c r="A245" s="3">
        <v>36441</v>
      </c>
      <c r="B245" s="2">
        <v>1336.02</v>
      </c>
      <c r="C245" s="2">
        <v>40.640900000000002</v>
      </c>
      <c r="D245" s="2">
        <v>52.125</v>
      </c>
      <c r="E245" s="2">
        <v>38.375</v>
      </c>
      <c r="F245" s="2">
        <v>55.531199999999998</v>
      </c>
      <c r="G245" s="2">
        <v>41.5809</v>
      </c>
      <c r="I245" s="2">
        <f t="shared" si="7"/>
        <v>1.3852787414712429E-2</v>
      </c>
      <c r="J245" s="2">
        <f t="shared" si="8"/>
        <v>2.1040535551748875E-2</v>
      </c>
      <c r="O245" s="2">
        <v>36441</v>
      </c>
    </row>
    <row r="246" spans="1:15" x14ac:dyDescent="0.25">
      <c r="A246" s="3">
        <v>36444</v>
      </c>
      <c r="B246" s="2">
        <v>1335.21</v>
      </c>
      <c r="C246" s="2">
        <v>41.263300000000001</v>
      </c>
      <c r="D246" s="2">
        <v>53</v>
      </c>
      <c r="E246" s="2">
        <v>37.4375</v>
      </c>
      <c r="F246" s="2">
        <v>56.031199999999998</v>
      </c>
      <c r="G246" s="2">
        <v>42.036900000000003</v>
      </c>
      <c r="I246" s="2">
        <f t="shared" si="7"/>
        <v>-6.0646221016256367E-4</v>
      </c>
      <c r="J246" s="2">
        <f t="shared" si="8"/>
        <v>8.9636534852365127E-3</v>
      </c>
      <c r="O246" s="2">
        <v>36444</v>
      </c>
    </row>
    <row r="247" spans="1:15" x14ac:dyDescent="0.25">
      <c r="A247" s="3">
        <v>36445</v>
      </c>
      <c r="B247" s="2">
        <v>1313.04</v>
      </c>
      <c r="C247" s="2">
        <v>40.267499999999998</v>
      </c>
      <c r="D247" s="2">
        <v>52.9375</v>
      </c>
      <c r="E247" s="2">
        <v>37.125</v>
      </c>
      <c r="F247" s="2">
        <v>55.343800000000002</v>
      </c>
      <c r="G247" s="2">
        <v>42.6173</v>
      </c>
      <c r="I247" s="2">
        <f t="shared" si="7"/>
        <v>-1.674352341057837E-2</v>
      </c>
      <c r="J247" s="2">
        <f t="shared" si="8"/>
        <v>-1.2344040018752975E-2</v>
      </c>
      <c r="O247" s="2">
        <v>36445</v>
      </c>
    </row>
    <row r="248" spans="1:15" x14ac:dyDescent="0.25">
      <c r="A248" s="3">
        <v>36446</v>
      </c>
      <c r="B248" s="2">
        <v>1285.55</v>
      </c>
      <c r="C248" s="2">
        <v>38.6875</v>
      </c>
      <c r="D248" s="2">
        <v>52.75</v>
      </c>
      <c r="E248" s="2">
        <v>37.5</v>
      </c>
      <c r="F248" s="2">
        <v>54.656199999999998</v>
      </c>
      <c r="G248" s="2">
        <v>42.368600000000001</v>
      </c>
      <c r="I248" s="2">
        <f t="shared" si="7"/>
        <v>-2.1158417102690528E-2</v>
      </c>
      <c r="J248" s="2">
        <f t="shared" si="8"/>
        <v>-1.2501981017085599E-2</v>
      </c>
      <c r="O248" s="2">
        <v>36446</v>
      </c>
    </row>
    <row r="249" spans="1:15" x14ac:dyDescent="0.25">
      <c r="A249" s="3">
        <v>36447</v>
      </c>
      <c r="B249" s="2">
        <v>1283.42</v>
      </c>
      <c r="C249" s="2">
        <v>38.375</v>
      </c>
      <c r="D249" s="2">
        <v>53.0625</v>
      </c>
      <c r="E249" s="2">
        <v>39.6875</v>
      </c>
      <c r="F249" s="2">
        <v>53.1875</v>
      </c>
      <c r="G249" s="2">
        <v>41.290700000000001</v>
      </c>
      <c r="I249" s="2">
        <f t="shared" si="7"/>
        <v>-1.6582525199512197E-3</v>
      </c>
      <c r="J249" s="2">
        <f t="shared" si="8"/>
        <v>-2.723925107640222E-2</v>
      </c>
      <c r="O249" s="2">
        <v>36447</v>
      </c>
    </row>
    <row r="250" spans="1:15" x14ac:dyDescent="0.25">
      <c r="A250" s="3">
        <v>36448</v>
      </c>
      <c r="B250" s="2">
        <v>1247.4100000000001</v>
      </c>
      <c r="C250" s="2">
        <v>37.5625</v>
      </c>
      <c r="D250" s="2">
        <v>50.5625</v>
      </c>
      <c r="E250" s="2">
        <v>38.5</v>
      </c>
      <c r="F250" s="2">
        <v>52.75</v>
      </c>
      <c r="G250" s="2">
        <v>39.922699999999999</v>
      </c>
      <c r="I250" s="2">
        <f t="shared" si="7"/>
        <v>-2.8458988066466028E-2</v>
      </c>
      <c r="J250" s="2">
        <f t="shared" si="8"/>
        <v>-8.2596339774170333E-3</v>
      </c>
      <c r="O250" s="2">
        <v>36448</v>
      </c>
    </row>
    <row r="251" spans="1:15" x14ac:dyDescent="0.25">
      <c r="A251" s="3">
        <v>36451</v>
      </c>
      <c r="B251" s="2">
        <v>1254.1300000000001</v>
      </c>
      <c r="C251" s="2">
        <v>37.25</v>
      </c>
      <c r="D251" s="2">
        <v>52.0625</v>
      </c>
      <c r="E251" s="2">
        <v>40.875</v>
      </c>
      <c r="F251" s="2">
        <v>52.593800000000002</v>
      </c>
      <c r="G251" s="2">
        <v>41.042000000000002</v>
      </c>
      <c r="I251" s="2">
        <f t="shared" si="7"/>
        <v>5.3727033466738558E-3</v>
      </c>
      <c r="J251" s="2">
        <f t="shared" si="8"/>
        <v>-2.9655302822446075E-3</v>
      </c>
      <c r="O251" s="2">
        <v>36451</v>
      </c>
    </row>
    <row r="252" spans="1:15" x14ac:dyDescent="0.25">
      <c r="A252" s="3">
        <v>36452</v>
      </c>
      <c r="B252" s="2">
        <v>1261.32</v>
      </c>
      <c r="C252" s="2">
        <v>38.75</v>
      </c>
      <c r="D252" s="2">
        <v>52.8125</v>
      </c>
      <c r="E252" s="2">
        <v>39.5</v>
      </c>
      <c r="F252" s="2">
        <v>52.906199999999998</v>
      </c>
      <c r="G252" s="2">
        <v>40.834699999999998</v>
      </c>
      <c r="I252" s="2">
        <f t="shared" si="7"/>
        <v>5.7166865420170184E-3</v>
      </c>
      <c r="J252" s="2">
        <f t="shared" si="8"/>
        <v>5.9222921911042618E-3</v>
      </c>
      <c r="O252" s="2">
        <v>36452</v>
      </c>
    </row>
    <row r="253" spans="1:15" x14ac:dyDescent="0.25">
      <c r="A253" s="3">
        <v>36453</v>
      </c>
      <c r="B253" s="2">
        <v>1289.43</v>
      </c>
      <c r="C253" s="2">
        <v>38.9375</v>
      </c>
      <c r="D253" s="2">
        <v>53.125</v>
      </c>
      <c r="E253" s="2">
        <v>39</v>
      </c>
      <c r="F253" s="2">
        <v>52.9375</v>
      </c>
      <c r="G253" s="2">
        <v>41.456499999999998</v>
      </c>
      <c r="I253" s="2">
        <f t="shared" si="7"/>
        <v>2.2041468618237046E-2</v>
      </c>
      <c r="J253" s="2">
        <f t="shared" si="8"/>
        <v>5.9143814723779608E-4</v>
      </c>
      <c r="O253" s="2">
        <v>36453</v>
      </c>
    </row>
    <row r="254" spans="1:15" x14ac:dyDescent="0.25">
      <c r="A254" s="3">
        <v>36454</v>
      </c>
      <c r="B254" s="2">
        <v>1283.6099999999999</v>
      </c>
      <c r="C254" s="2">
        <v>38.8125</v>
      </c>
      <c r="D254" s="2">
        <v>53.125</v>
      </c>
      <c r="E254" s="2">
        <v>39.8125</v>
      </c>
      <c r="F254" s="2">
        <v>52.843800000000002</v>
      </c>
      <c r="G254" s="2">
        <v>42.451500000000003</v>
      </c>
      <c r="I254" s="2">
        <f t="shared" si="7"/>
        <v>-4.5238394471765857E-3</v>
      </c>
      <c r="J254" s="2">
        <f t="shared" si="8"/>
        <v>-1.7715801281780246E-3</v>
      </c>
      <c r="O254" s="2">
        <v>36454</v>
      </c>
    </row>
    <row r="255" spans="1:15" x14ac:dyDescent="0.25">
      <c r="A255" s="3">
        <v>36455</v>
      </c>
      <c r="B255" s="2">
        <v>1301.6500000000001</v>
      </c>
      <c r="C255" s="2">
        <v>39.0625</v>
      </c>
      <c r="D255" s="2">
        <v>53.875</v>
      </c>
      <c r="E255" s="2">
        <v>39.4375</v>
      </c>
      <c r="F255" s="2">
        <v>52.718800000000002</v>
      </c>
      <c r="G255" s="2">
        <v>42.244199999999999</v>
      </c>
      <c r="I255" s="2">
        <f t="shared" si="7"/>
        <v>1.3956269632068736E-2</v>
      </c>
      <c r="J255" s="2">
        <f t="shared" si="8"/>
        <v>-2.3682641091389194E-3</v>
      </c>
      <c r="O255" s="2">
        <v>36455</v>
      </c>
    </row>
    <row r="256" spans="1:15" x14ac:dyDescent="0.25">
      <c r="A256" s="3">
        <v>36458</v>
      </c>
      <c r="B256" s="2">
        <v>1293.6300000000001</v>
      </c>
      <c r="C256" s="2">
        <v>39</v>
      </c>
      <c r="D256" s="2">
        <v>54.0625</v>
      </c>
      <c r="E256" s="2">
        <v>39.6875</v>
      </c>
      <c r="F256" s="2">
        <v>53.531199999999998</v>
      </c>
      <c r="G256" s="2">
        <v>42.078400000000002</v>
      </c>
      <c r="I256" s="2">
        <f t="shared" si="7"/>
        <v>-6.1804703377848196E-3</v>
      </c>
      <c r="J256" s="2">
        <f t="shared" si="8"/>
        <v>1.5292533315142102E-2</v>
      </c>
      <c r="O256" s="2">
        <v>36458</v>
      </c>
    </row>
    <row r="257" spans="1:15" x14ac:dyDescent="0.25">
      <c r="A257" s="3">
        <v>36459</v>
      </c>
      <c r="B257" s="2">
        <v>1281.9100000000001</v>
      </c>
      <c r="C257" s="2">
        <v>37.625</v>
      </c>
      <c r="D257" s="2">
        <v>54</v>
      </c>
      <c r="E257" s="2">
        <v>38.8125</v>
      </c>
      <c r="F257" s="2">
        <v>54</v>
      </c>
      <c r="G257" s="2">
        <v>42.6173</v>
      </c>
      <c r="I257" s="2">
        <f t="shared" si="7"/>
        <v>-9.1010668804369817E-3</v>
      </c>
      <c r="J257" s="2">
        <f t="shared" si="8"/>
        <v>8.7193850741760261E-3</v>
      </c>
      <c r="O257" s="2">
        <v>36459</v>
      </c>
    </row>
  </sheetData>
  <mergeCells count="1">
    <mergeCell ref="A1:M1"/>
  </mergeCells>
  <phoneticPr fontId="1" type="noConversion"/>
  <pageMargins left="0.75" right="0.75" top="1" bottom="1" header="0.5" footer="0.5"/>
  <pageSetup orientation="portrait" verticalDpi="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图表</vt:lpstr>
      </vt:variant>
      <vt:variant>
        <vt:i4>1</vt:i4>
      </vt:variant>
    </vt:vector>
  </HeadingPairs>
  <TitlesOfParts>
    <vt:vector size="3" baseType="lpstr">
      <vt:lpstr>Sheet1</vt:lpstr>
      <vt:lpstr>Data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2024-11-25T03:14:17Z</dcterms:modified>
</cp:coreProperties>
</file>