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"/>
    </mc:Choice>
  </mc:AlternateContent>
  <xr:revisionPtr revIDLastSave="0" documentId="13_ncr:1_{B1C2175B-ADFF-4967-B6AC-69E739C5B03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Sheet2" sheetId="2" r:id="rId2"/>
  </sheets>
  <externalReferences>
    <externalReference r:id="rId3"/>
  </externalReferences>
  <definedNames>
    <definedName name="tax">Sheet1!$B$10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35" i="1" s="1"/>
  <c r="D15" i="1"/>
  <c r="D16" i="1"/>
  <c r="D17" i="1"/>
  <c r="D18" i="1"/>
  <c r="D19" i="1"/>
  <c r="D20" i="1"/>
  <c r="D21" i="1"/>
  <c r="D14" i="1"/>
  <c r="C29" i="1"/>
  <c r="I29" i="1" s="1"/>
  <c r="C14" i="1"/>
  <c r="C15" i="1" s="1"/>
  <c r="B13" i="1"/>
  <c r="I13" i="1" s="1"/>
  <c r="B6" i="1"/>
  <c r="B8" i="1" s="1"/>
  <c r="C35" i="1"/>
  <c r="C34" i="1"/>
  <c r="J31" i="1"/>
  <c r="C8" i="1"/>
  <c r="J14" i="1"/>
  <c r="F24" i="1" l="1"/>
  <c r="F19" i="1"/>
  <c r="F21" i="1"/>
  <c r="F26" i="1"/>
  <c r="F14" i="1"/>
  <c r="F16" i="1"/>
  <c r="F23" i="1"/>
  <c r="F25" i="1"/>
  <c r="F18" i="1"/>
  <c r="F28" i="1"/>
  <c r="F15" i="1"/>
  <c r="F20" i="1"/>
  <c r="F22" i="1"/>
  <c r="F17" i="1"/>
  <c r="F27" i="1"/>
  <c r="C16" i="1"/>
  <c r="E14" i="1"/>
  <c r="C17" i="1" l="1"/>
  <c r="G14" i="1"/>
  <c r="C18" i="1" l="1"/>
  <c r="H14" i="1"/>
  <c r="E15" i="1" s="1"/>
  <c r="G15" i="1" l="1"/>
  <c r="C19" i="1"/>
  <c r="I14" i="1"/>
  <c r="H15" i="1" l="1"/>
  <c r="E16" i="1" s="1"/>
  <c r="C20" i="1"/>
  <c r="C21" i="1" l="1"/>
  <c r="G16" i="1"/>
  <c r="I15" i="1"/>
  <c r="H16" i="1" l="1"/>
  <c r="E17" i="1" s="1"/>
  <c r="C22" i="1"/>
  <c r="G17" i="1" l="1"/>
  <c r="I16" i="1"/>
  <c r="C23" i="1"/>
  <c r="C24" i="1" l="1"/>
  <c r="H17" i="1"/>
  <c r="E18" i="1" s="1"/>
  <c r="I17" i="1"/>
  <c r="G18" i="1" l="1"/>
  <c r="C25" i="1"/>
  <c r="C26" i="1" l="1"/>
  <c r="H18" i="1"/>
  <c r="E19" i="1" s="1"/>
  <c r="G19" i="1" l="1"/>
  <c r="I18" i="1"/>
  <c r="C27" i="1"/>
  <c r="C28" i="1" l="1"/>
  <c r="H19" i="1"/>
  <c r="E20" i="1" s="1"/>
  <c r="I19" i="1"/>
  <c r="G20" i="1" l="1"/>
  <c r="H20" i="1" l="1"/>
  <c r="E21" i="1" s="1"/>
  <c r="I20" i="1"/>
  <c r="G21" i="1" l="1"/>
  <c r="H21" i="1" l="1"/>
  <c r="E22" i="1" s="1"/>
  <c r="I21" i="1"/>
  <c r="G22" i="1" l="1"/>
  <c r="H22" i="1" l="1"/>
  <c r="E23" i="1" s="1"/>
  <c r="I22" i="1"/>
  <c r="G23" i="1" l="1"/>
  <c r="H23" i="1" l="1"/>
  <c r="E24" i="1" s="1"/>
  <c r="I23" i="1"/>
  <c r="G24" i="1" l="1"/>
  <c r="H24" i="1" l="1"/>
  <c r="E25" i="1" s="1"/>
  <c r="I24" i="1"/>
  <c r="G25" i="1" l="1"/>
  <c r="H25" i="1" l="1"/>
  <c r="E26" i="1" s="1"/>
  <c r="I25" i="1"/>
  <c r="G26" i="1" l="1"/>
  <c r="H26" i="1" l="1"/>
  <c r="E27" i="1" s="1"/>
  <c r="I26" i="1"/>
  <c r="G27" i="1" l="1"/>
  <c r="H27" i="1" l="1"/>
  <c r="E28" i="1" s="1"/>
  <c r="G28" i="1" s="1"/>
  <c r="I27" i="1"/>
  <c r="H28" i="1" l="1"/>
  <c r="I28" i="1"/>
  <c r="I31" i="1" l="1"/>
</calcChain>
</file>

<file path=xl/sharedStrings.xml><?xml version="1.0" encoding="utf-8"?>
<sst xmlns="http://schemas.openxmlformats.org/spreadsheetml/2006/main" count="41" uniqueCount="38">
  <si>
    <t>BASIC LEVERAGED LEASE EXAMPLE</t>
  </si>
  <si>
    <t>Cost of asset</t>
  </si>
  <si>
    <t>Lease term</t>
  </si>
  <si>
    <t>Residual value</t>
  </si>
  <si>
    <t>&lt;-- Realized year 16</t>
  </si>
  <si>
    <t>Equity</t>
  </si>
  <si>
    <t>Debt</t>
  </si>
  <si>
    <t>&lt;-- 15-year term loan, equal payments of interest and principal</t>
  </si>
  <si>
    <t>Interest</t>
  </si>
  <si>
    <t>Annual debt payment</t>
  </si>
  <si>
    <t>Annual rent received</t>
  </si>
  <si>
    <t>Tax rate</t>
  </si>
  <si>
    <t>Year</t>
  </si>
  <si>
    <t>Equity Invested</t>
  </si>
  <si>
    <t>Depreciation</t>
  </si>
  <si>
    <t>Principal at start of year</t>
  </si>
  <si>
    <t>Loan payment</t>
  </si>
  <si>
    <t>Repayment of principal</t>
  </si>
  <si>
    <t>Cash flow to equity</t>
  </si>
  <si>
    <t>IRR of cash flows</t>
  </si>
  <si>
    <t>Data table:  NPV of leveraged lease cash flows</t>
  </si>
  <si>
    <t>Rental or salvage</t>
    <phoneticPr fontId="1" type="noConversion"/>
  </si>
  <si>
    <t>Year</t>
    <phoneticPr fontId="1" type="noConversion"/>
  </si>
  <si>
    <t>Depreciation%</t>
    <phoneticPr fontId="1" type="noConversion"/>
  </si>
  <si>
    <t>+</t>
    <phoneticPr fontId="1" type="noConversion"/>
  </si>
  <si>
    <t>-</t>
    <phoneticPr fontId="1" type="noConversion"/>
  </si>
  <si>
    <r>
      <rPr>
        <b/>
        <sz val="16"/>
        <color theme="1"/>
        <rFont val="等线"/>
        <family val="3"/>
        <charset val="134"/>
      </rPr>
      <t>项目</t>
    </r>
    <phoneticPr fontId="1" type="noConversion"/>
  </si>
  <si>
    <r>
      <rPr>
        <b/>
        <sz val="16"/>
        <color theme="1"/>
        <rFont val="等线"/>
        <family val="3"/>
        <charset val="134"/>
      </rPr>
      <t>解释</t>
    </r>
    <phoneticPr fontId="1" type="noConversion"/>
  </si>
  <si>
    <r>
      <t>+(1-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等线"/>
        <family val="2"/>
        <charset val="134"/>
      </rPr>
      <t>利息</t>
    </r>
    <phoneticPr fontId="1" type="noConversion"/>
  </si>
  <si>
    <r>
      <rPr>
        <sz val="11"/>
        <color theme="1"/>
        <rFont val="等线"/>
        <family val="2"/>
        <charset val="134"/>
      </rPr>
      <t>资产所有者得到的税后租金</t>
    </r>
    <phoneticPr fontId="1" type="noConversion"/>
  </si>
  <si>
    <r>
      <t>+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×</t>
    </r>
    <r>
      <rPr>
        <sz val="11"/>
        <color theme="1"/>
        <rFont val="Malgun Gothic Semilight"/>
        <family val="2"/>
        <charset val="134"/>
      </rPr>
      <t>折旧</t>
    </r>
    <phoneticPr fontId="1" type="noConversion"/>
  </si>
  <si>
    <r>
      <rPr>
        <sz val="11"/>
        <color theme="1"/>
        <rFont val="等线"/>
        <family val="2"/>
        <charset val="134"/>
      </rPr>
      <t>资产所有者得到的资产折旧的避税</t>
    </r>
    <phoneticPr fontId="1" type="noConversion"/>
  </si>
  <si>
    <r>
      <t>-(1-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等线"/>
        <family val="2"/>
        <charset val="134"/>
      </rPr>
      <t>利息</t>
    </r>
    <phoneticPr fontId="1" type="noConversion"/>
  </si>
  <si>
    <r>
      <rPr>
        <sz val="11"/>
        <color theme="1"/>
        <rFont val="等线"/>
        <family val="2"/>
        <charset val="134"/>
      </rPr>
      <t>负债利息是可以抵税的</t>
    </r>
    <phoneticPr fontId="1" type="noConversion"/>
  </si>
  <si>
    <r>
      <t>-</t>
    </r>
    <r>
      <rPr>
        <sz val="11"/>
        <color theme="1"/>
        <rFont val="等线"/>
        <family val="2"/>
        <charset val="134"/>
      </rPr>
      <t>负债本金偿还</t>
    </r>
    <phoneticPr fontId="1" type="noConversion"/>
  </si>
  <si>
    <r>
      <rPr>
        <sz val="11"/>
        <color theme="1"/>
        <rFont val="等线"/>
        <family val="2"/>
        <charset val="134"/>
      </rPr>
      <t>负债本金偿还是不可以抵税的</t>
    </r>
    <phoneticPr fontId="1" type="noConversion"/>
  </si>
  <si>
    <r>
      <t>+(1-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Malgun Gothic Semilight"/>
        <family val="2"/>
        <charset val="134"/>
      </rPr>
      <t>残值</t>
    </r>
    <phoneticPr fontId="1" type="noConversion"/>
  </si>
  <si>
    <r>
      <rPr>
        <sz val="11"/>
        <color theme="1"/>
        <rFont val="等线"/>
        <family val="2"/>
        <charset val="134"/>
      </rPr>
      <t>该项目仅在最后一年发生，残值通常要全额课税，因为这里是按资产全部价值折旧的。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</si>
</sst>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</font>
    <font>
      <b/>
      <sz val="14"/>
      <name val="Arial"/>
      <family val="2"/>
    </font>
    <font>
      <b/>
      <sz val="10"/>
      <name val="Arial"/>
      <family val="2"/>
    </font>
    <font>
      <sz val="11"/>
      <color theme="1"/>
      <name val="Malgun Gothic Semilight"/>
      <family val="2"/>
      <charset val="134"/>
    </font>
    <font>
      <b/>
      <sz val="16"/>
      <color theme="1"/>
      <name val="Arial Black"/>
      <family val="2"/>
    </font>
    <font>
      <b/>
      <sz val="16"/>
      <color theme="1"/>
      <name val="等线"/>
      <family val="3"/>
      <charset val="134"/>
    </font>
    <font>
      <sz val="11"/>
      <color theme="1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/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right"/>
    </xf>
    <xf numFmtId="38" fontId="0" fillId="0" borderId="0" xfId="0" applyNumberFormat="1" applyAlignment="1">
      <alignment horizontal="right"/>
    </xf>
    <xf numFmtId="9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176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quotePrefix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9" fontId="0" fillId="3" borderId="0" xfId="0" applyNumberFormat="1" applyFill="1" applyAlignment="1">
      <alignment horizontal="center"/>
    </xf>
    <xf numFmtId="0" fontId="9" fillId="0" borderId="0" xfId="0" applyFont="1" applyAlignment="1">
      <alignment horizontal="left"/>
    </xf>
    <xf numFmtId="3" fontId="0" fillId="3" borderId="0" xfId="0" applyNumberFormat="1" applyFill="1" applyAlignment="1">
      <alignment horizontal="right"/>
    </xf>
    <xf numFmtId="0" fontId="3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>
                <a:solidFill>
                  <a:sysClr val="windowText" lastClr="000000"/>
                </a:solidFill>
              </a:rPr>
              <a:t>LEVERAGED LEASE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Sheet1!$I$12</c:f>
              <c:strCache>
                <c:ptCount val="1"/>
                <c:pt idx="0">
                  <c:v>Cash flow to equity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3175">
                <a:solidFill>
                  <a:schemeClr val="tx1"/>
                </a:solidFill>
              </a:ln>
              <a:effectLst/>
            </c:spPr>
          </c:marker>
          <c:xVal>
            <c:numRef>
              <c:f>Sheet1!$A$13:$A$29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Sheet1!$I$13:$I$29</c:f>
              <c:numCache>
                <c:formatCode>#,##0</c:formatCode>
                <c:ptCount val="17"/>
                <c:pt idx="0">
                  <c:v>-200000</c:v>
                </c:pt>
                <c:pt idx="1">
                  <c:v>49940.978490102221</c:v>
                </c:pt>
                <c:pt idx="2">
                  <c:v>89773.817629706318</c:v>
                </c:pt>
                <c:pt idx="3">
                  <c:v>60665.940683270819</c:v>
                </c:pt>
                <c:pt idx="4">
                  <c:v>39487.276042191763</c:v>
                </c:pt>
                <c:pt idx="5">
                  <c:v>23826.744937004805</c:v>
                </c:pt>
                <c:pt idx="6">
                  <c:v>22352.160721299151</c:v>
                </c:pt>
                <c:pt idx="7">
                  <c:v>20730.118084022935</c:v>
                </c:pt>
                <c:pt idx="8">
                  <c:v>1185.871183019095</c:v>
                </c:pt>
                <c:pt idx="9">
                  <c:v>-18696.800408085124</c:v>
                </c:pt>
                <c:pt idx="10">
                  <c:v>-20855.739158299773</c:v>
                </c:pt>
                <c:pt idx="11">
                  <c:v>-23230.571783535888</c:v>
                </c:pt>
                <c:pt idx="12">
                  <c:v>-25842.887671295604</c:v>
                </c:pt>
                <c:pt idx="13">
                  <c:v>-28716.435147831296</c:v>
                </c:pt>
                <c:pt idx="14">
                  <c:v>-31877.337372020556</c:v>
                </c:pt>
                <c:pt idx="15">
                  <c:v>-35354.32981862875</c:v>
                </c:pt>
                <c:pt idx="16">
                  <c:v>180000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AC-4237-9A00-48D26FAE5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231616"/>
        <c:axId val="578233776"/>
      </c:scatterChart>
      <c:valAx>
        <c:axId val="578231616"/>
        <c:scaling>
          <c:orientation val="minMax"/>
          <c:max val="1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year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91556083626270357"/>
              <c:y val="0.43226462545840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8233776"/>
        <c:crosses val="autoZero"/>
        <c:crossBetween val="midCat"/>
        <c:majorUnit val="1"/>
      </c:valAx>
      <c:valAx>
        <c:axId val="578233776"/>
        <c:scaling>
          <c:orientation val="minMax"/>
          <c:max val="180000"/>
          <c:min val="-2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Cash</a:t>
                </a:r>
                <a:r>
                  <a:rPr lang="en-US" altLang="zh-CN" baseline="0"/>
                  <a:t> flow($)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8231616"/>
        <c:crosses val="autoZero"/>
        <c:crossBetween val="midCat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533338</xdr:colOff>
      <xdr:row>0</xdr:row>
      <xdr:rowOff>51561</xdr:rowOff>
    </xdr:from>
    <xdr:to>
      <xdr:col>26</xdr:col>
      <xdr:colOff>361491</xdr:colOff>
      <xdr:row>53</xdr:row>
      <xdr:rowOff>15575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81876B2-455A-2694-9809-5E529EEE3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23009" y="51561"/>
          <a:ext cx="9595088" cy="95630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6</xdr:col>
      <xdr:colOff>1116330</xdr:colOff>
      <xdr:row>34</xdr:row>
      <xdr:rowOff>86268</xdr:rowOff>
    </xdr:from>
    <xdr:to>
      <xdr:col>10</xdr:col>
      <xdr:colOff>346982</xdr:colOff>
      <xdr:row>50</xdr:row>
      <xdr:rowOff>38915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BC79F38-A6D8-E64B-7705-4F1CB57C0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2884170</xdr:colOff>
      <xdr:row>28</xdr:row>
      <xdr:rowOff>76200</xdr:rowOff>
    </xdr:from>
    <xdr:to>
      <xdr:col>11</xdr:col>
      <xdr:colOff>478328</xdr:colOff>
      <xdr:row>37</xdr:row>
      <xdr:rowOff>140970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581507B-919C-A707-A15F-5383FCA45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636770" y="5200650"/>
          <a:ext cx="8538383" cy="16078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95"/>
  <sheetViews>
    <sheetView tabSelected="1" topLeftCell="A21" zoomScale="175" zoomScaleNormal="175" workbookViewId="0">
      <selection activeCell="D40" sqref="D40"/>
    </sheetView>
  </sheetViews>
  <sheetFormatPr defaultRowHeight="13.8" x14ac:dyDescent="0.25"/>
  <cols>
    <col min="1" max="1" width="22.33203125" style="1" customWidth="1"/>
    <col min="2" max="2" width="12.6640625" style="3" customWidth="1"/>
    <col min="3" max="3" width="9.6640625" style="3" customWidth="1"/>
    <col min="4" max="4" width="12.44140625" style="3" customWidth="1"/>
    <col min="5" max="5" width="18.109375" style="3" customWidth="1"/>
    <col min="6" max="6" width="8.88671875" style="3"/>
    <col min="7" max="7" width="16.5546875" style="3" bestFit="1" customWidth="1"/>
    <col min="8" max="8" width="12" style="3" customWidth="1"/>
    <col min="9" max="9" width="11.88671875" style="3" customWidth="1"/>
    <col min="10" max="10" width="37.33203125" style="1" bestFit="1" customWidth="1"/>
  </cols>
  <sheetData>
    <row r="1" spans="1:10" ht="17.399999999999999" x14ac:dyDescent="0.3">
      <c r="A1" s="24" t="s">
        <v>0</v>
      </c>
      <c r="B1" s="24"/>
      <c r="C1" s="24"/>
      <c r="D1" s="24"/>
      <c r="E1" s="24"/>
      <c r="F1" s="24"/>
      <c r="G1" s="24"/>
      <c r="H1" s="24"/>
      <c r="I1" s="24"/>
    </row>
    <row r="2" spans="1:10" x14ac:dyDescent="0.25">
      <c r="A2" s="1" t="s">
        <v>1</v>
      </c>
      <c r="B2" s="2">
        <v>1000000</v>
      </c>
    </row>
    <row r="3" spans="1:10" x14ac:dyDescent="0.25">
      <c r="A3" s="1" t="s">
        <v>2</v>
      </c>
      <c r="B3" s="4">
        <v>15</v>
      </c>
    </row>
    <row r="4" spans="1:10" x14ac:dyDescent="0.25">
      <c r="A4" s="1" t="s">
        <v>3</v>
      </c>
      <c r="B4" s="2">
        <v>300000</v>
      </c>
      <c r="C4" s="5" t="s">
        <v>4</v>
      </c>
    </row>
    <row r="5" spans="1:10" x14ac:dyDescent="0.25">
      <c r="A5" s="1" t="s">
        <v>5</v>
      </c>
      <c r="B5" s="2">
        <v>200000</v>
      </c>
    </row>
    <row r="6" spans="1:10" x14ac:dyDescent="0.25">
      <c r="A6" s="1" t="s">
        <v>6</v>
      </c>
      <c r="B6" s="2">
        <f>B2-B5</f>
        <v>800000</v>
      </c>
      <c r="C6" s="5" t="s">
        <v>7</v>
      </c>
    </row>
    <row r="7" spans="1:10" x14ac:dyDescent="0.25">
      <c r="A7" s="1" t="s">
        <v>8</v>
      </c>
      <c r="B7" s="6">
        <v>0.1</v>
      </c>
    </row>
    <row r="8" spans="1:10" x14ac:dyDescent="0.25">
      <c r="A8" s="1" t="s">
        <v>9</v>
      </c>
      <c r="B8" s="7">
        <f>PMT(B7,B3,-B6)</f>
        <v>105179.02150989778</v>
      </c>
      <c r="C8" s="5" t="str">
        <f ca="1">[1]!getformula(B8)</f>
        <v>&lt;--  =PMT(B7,B3,-B6)</v>
      </c>
    </row>
    <row r="9" spans="1:10" x14ac:dyDescent="0.25">
      <c r="A9" s="1" t="s">
        <v>10</v>
      </c>
      <c r="B9" s="7">
        <v>110000</v>
      </c>
      <c r="C9" s="5"/>
    </row>
    <row r="10" spans="1:10" x14ac:dyDescent="0.25">
      <c r="A10" s="1" t="s">
        <v>11</v>
      </c>
      <c r="B10" s="6">
        <v>0.4</v>
      </c>
    </row>
    <row r="11" spans="1:10" x14ac:dyDescent="0.25">
      <c r="B11" s="8"/>
      <c r="C11" s="3" t="s">
        <v>24</v>
      </c>
      <c r="D11" s="3" t="s">
        <v>24</v>
      </c>
      <c r="G11" s="3" t="s">
        <v>25</v>
      </c>
      <c r="H11" s="3" t="s">
        <v>25</v>
      </c>
    </row>
    <row r="12" spans="1:10" ht="39.6" x14ac:dyDescent="0.25">
      <c r="A12" s="9" t="s">
        <v>12</v>
      </c>
      <c r="B12" s="9" t="s">
        <v>13</v>
      </c>
      <c r="C12" s="9" t="s">
        <v>21</v>
      </c>
      <c r="D12" s="9" t="s">
        <v>14</v>
      </c>
      <c r="E12" s="9" t="s">
        <v>15</v>
      </c>
      <c r="F12" s="9" t="s">
        <v>16</v>
      </c>
      <c r="G12" s="9" t="s">
        <v>8</v>
      </c>
      <c r="H12" s="9" t="s">
        <v>17</v>
      </c>
      <c r="I12" s="9" t="s">
        <v>18</v>
      </c>
      <c r="J12" s="10"/>
    </row>
    <row r="13" spans="1:10" x14ac:dyDescent="0.25">
      <c r="A13" s="3">
        <v>0</v>
      </c>
      <c r="B13" s="11">
        <f>-B5</f>
        <v>-200000</v>
      </c>
      <c r="C13" s="11"/>
      <c r="D13" s="11"/>
      <c r="E13" s="11"/>
      <c r="F13" s="11"/>
      <c r="G13" s="11"/>
      <c r="H13" s="11"/>
      <c r="I13" s="11">
        <f>B13</f>
        <v>-200000</v>
      </c>
    </row>
    <row r="14" spans="1:10" x14ac:dyDescent="0.25">
      <c r="A14" s="3">
        <v>1</v>
      </c>
      <c r="B14" s="11"/>
      <c r="C14" s="11">
        <f>$B$9</f>
        <v>110000</v>
      </c>
      <c r="D14" s="11">
        <f>$B$2*$G35/100</f>
        <v>142800</v>
      </c>
      <c r="E14" s="11">
        <f>B6</f>
        <v>800000</v>
      </c>
      <c r="F14" s="11">
        <f t="shared" ref="F14:F28" si="0">$B$8</f>
        <v>105179.02150989778</v>
      </c>
      <c r="G14" s="11">
        <f>$B$7*E14</f>
        <v>80000</v>
      </c>
      <c r="H14" s="11">
        <f>F14-G14</f>
        <v>25179.021509897779</v>
      </c>
      <c r="I14" s="11">
        <f>(1-tax)*C14+tax*D14-(1-tax)*G14-H14</f>
        <v>49940.978490102221</v>
      </c>
      <c r="J14" s="1" t="str">
        <f ca="1">[1]!getformula(I14)</f>
        <v>&lt;--  =(1-tax)*C14+tax*D14-(1-tax)*G14-H14</v>
      </c>
    </row>
    <row r="15" spans="1:10" x14ac:dyDescent="0.25">
      <c r="A15" s="3">
        <v>2</v>
      </c>
      <c r="B15" s="11"/>
      <c r="C15" s="11">
        <f t="shared" ref="C15:C28" si="1">C14</f>
        <v>110000</v>
      </c>
      <c r="D15" s="11">
        <f t="shared" ref="D15:D21" si="2">$B$2*$G36/100</f>
        <v>244900</v>
      </c>
      <c r="E15" s="11">
        <f>E14-H14</f>
        <v>774820.97849010222</v>
      </c>
      <c r="F15" s="11">
        <f t="shared" si="0"/>
        <v>105179.02150989778</v>
      </c>
      <c r="G15" s="11">
        <f>$B$7*E15</f>
        <v>77482.097849010228</v>
      </c>
      <c r="H15" s="11">
        <f>F15-G15</f>
        <v>27696.923660887551</v>
      </c>
      <c r="I15" s="11">
        <f t="shared" ref="I15:I29" si="3">(1-tax)*C15+tax*D15-(1-tax)*G15-H15</f>
        <v>89773.817629706318</v>
      </c>
    </row>
    <row r="16" spans="1:10" x14ac:dyDescent="0.25">
      <c r="A16" s="3">
        <v>3</v>
      </c>
      <c r="B16" s="11"/>
      <c r="C16" s="11">
        <f t="shared" si="1"/>
        <v>110000</v>
      </c>
      <c r="D16" s="11">
        <f t="shared" si="2"/>
        <v>174900</v>
      </c>
      <c r="E16" s="11">
        <f t="shared" ref="E16:E28" si="4">E15-H15</f>
        <v>747124.0548292147</v>
      </c>
      <c r="F16" s="11">
        <f t="shared" si="0"/>
        <v>105179.02150989778</v>
      </c>
      <c r="G16" s="11">
        <f t="shared" ref="G16:G28" si="5">$B$7*E16</f>
        <v>74712.405482921473</v>
      </c>
      <c r="H16" s="11">
        <f t="shared" ref="H16:H28" si="6">F16-G16</f>
        <v>30466.616026976306</v>
      </c>
      <c r="I16" s="11">
        <f t="shared" si="3"/>
        <v>60665.940683270819</v>
      </c>
    </row>
    <row r="17" spans="1:10" x14ac:dyDescent="0.25">
      <c r="A17" s="3">
        <v>4</v>
      </c>
      <c r="B17" s="11"/>
      <c r="C17" s="11">
        <f t="shared" si="1"/>
        <v>110000</v>
      </c>
      <c r="D17" s="11">
        <f t="shared" si="2"/>
        <v>125000</v>
      </c>
      <c r="E17" s="11">
        <f t="shared" si="4"/>
        <v>716657.43880223844</v>
      </c>
      <c r="F17" s="11">
        <f t="shared" si="0"/>
        <v>105179.02150989778</v>
      </c>
      <c r="G17" s="11">
        <f t="shared" si="5"/>
        <v>71665.743880223847</v>
      </c>
      <c r="H17" s="11">
        <f t="shared" si="6"/>
        <v>33513.277629673932</v>
      </c>
      <c r="I17" s="11">
        <f t="shared" si="3"/>
        <v>39487.276042191763</v>
      </c>
    </row>
    <row r="18" spans="1:10" x14ac:dyDescent="0.25">
      <c r="A18" s="3">
        <v>5</v>
      </c>
      <c r="B18" s="11"/>
      <c r="C18" s="11">
        <f t="shared" si="1"/>
        <v>110000</v>
      </c>
      <c r="D18" s="11">
        <f t="shared" si="2"/>
        <v>89200</v>
      </c>
      <c r="E18" s="11">
        <f t="shared" si="4"/>
        <v>683144.16117256449</v>
      </c>
      <c r="F18" s="11">
        <f t="shared" si="0"/>
        <v>105179.02150989778</v>
      </c>
      <c r="G18" s="11">
        <f t="shared" si="5"/>
        <v>68314.416117256449</v>
      </c>
      <c r="H18" s="11">
        <f t="shared" si="6"/>
        <v>36864.60539264133</v>
      </c>
      <c r="I18" s="11">
        <f t="shared" si="3"/>
        <v>23826.744937004805</v>
      </c>
    </row>
    <row r="19" spans="1:10" x14ac:dyDescent="0.25">
      <c r="A19" s="3">
        <v>6</v>
      </c>
      <c r="B19" s="11"/>
      <c r="C19" s="11">
        <f t="shared" si="1"/>
        <v>110000</v>
      </c>
      <c r="D19" s="11">
        <f t="shared" si="2"/>
        <v>89200</v>
      </c>
      <c r="E19" s="11">
        <f t="shared" si="4"/>
        <v>646279.55577992322</v>
      </c>
      <c r="F19" s="11">
        <f t="shared" si="0"/>
        <v>105179.02150989778</v>
      </c>
      <c r="G19" s="11">
        <f t="shared" si="5"/>
        <v>64627.955577992325</v>
      </c>
      <c r="H19" s="11">
        <f t="shared" si="6"/>
        <v>40551.065931905454</v>
      </c>
      <c r="I19" s="11">
        <f t="shared" si="3"/>
        <v>22352.160721299151</v>
      </c>
    </row>
    <row r="20" spans="1:10" x14ac:dyDescent="0.25">
      <c r="A20" s="3">
        <v>7</v>
      </c>
      <c r="B20" s="11"/>
      <c r="C20" s="11">
        <f t="shared" si="1"/>
        <v>110000</v>
      </c>
      <c r="D20" s="11">
        <f t="shared" si="2"/>
        <v>89200</v>
      </c>
      <c r="E20" s="11">
        <f t="shared" si="4"/>
        <v>605728.48984801781</v>
      </c>
      <c r="F20" s="11">
        <f t="shared" si="0"/>
        <v>105179.02150989778</v>
      </c>
      <c r="G20" s="11">
        <f t="shared" si="5"/>
        <v>60572.848984801785</v>
      </c>
      <c r="H20" s="11">
        <f t="shared" si="6"/>
        <v>44606.172525095993</v>
      </c>
      <c r="I20" s="11">
        <f t="shared" si="3"/>
        <v>20730.118084022935</v>
      </c>
    </row>
    <row r="21" spans="1:10" x14ac:dyDescent="0.25">
      <c r="A21" s="3">
        <v>8</v>
      </c>
      <c r="B21" s="11"/>
      <c r="C21" s="11">
        <f t="shared" si="1"/>
        <v>110000</v>
      </c>
      <c r="D21" s="11">
        <f t="shared" si="2"/>
        <v>44800</v>
      </c>
      <c r="E21" s="11">
        <f t="shared" si="4"/>
        <v>561122.31732292182</v>
      </c>
      <c r="F21" s="11">
        <f t="shared" si="0"/>
        <v>105179.02150989778</v>
      </c>
      <c r="G21" s="11">
        <f t="shared" si="5"/>
        <v>56112.231732292188</v>
      </c>
      <c r="H21" s="11">
        <f t="shared" si="6"/>
        <v>49066.789777605591</v>
      </c>
      <c r="I21" s="11">
        <f t="shared" si="3"/>
        <v>1185.871183019095</v>
      </c>
    </row>
    <row r="22" spans="1:10" x14ac:dyDescent="0.25">
      <c r="A22" s="3">
        <v>9</v>
      </c>
      <c r="B22" s="11"/>
      <c r="C22" s="11">
        <f t="shared" si="1"/>
        <v>110000</v>
      </c>
      <c r="D22" s="11"/>
      <c r="E22" s="11">
        <f t="shared" si="4"/>
        <v>512055.52754531626</v>
      </c>
      <c r="F22" s="11">
        <f t="shared" si="0"/>
        <v>105179.02150989778</v>
      </c>
      <c r="G22" s="11">
        <f t="shared" si="5"/>
        <v>51205.552754531629</v>
      </c>
      <c r="H22" s="11">
        <f t="shared" si="6"/>
        <v>53973.46875536615</v>
      </c>
      <c r="I22" s="11">
        <f t="shared" si="3"/>
        <v>-18696.800408085124</v>
      </c>
    </row>
    <row r="23" spans="1:10" x14ac:dyDescent="0.25">
      <c r="A23" s="3">
        <v>10</v>
      </c>
      <c r="B23" s="11"/>
      <c r="C23" s="11">
        <f t="shared" si="1"/>
        <v>110000</v>
      </c>
      <c r="D23" s="11"/>
      <c r="E23" s="11">
        <f t="shared" si="4"/>
        <v>458082.0587899501</v>
      </c>
      <c r="F23" s="11">
        <f t="shared" si="0"/>
        <v>105179.02150989778</v>
      </c>
      <c r="G23" s="11">
        <f t="shared" si="5"/>
        <v>45808.20587899501</v>
      </c>
      <c r="H23" s="11">
        <f t="shared" si="6"/>
        <v>59370.815630902769</v>
      </c>
      <c r="I23" s="11">
        <f t="shared" si="3"/>
        <v>-20855.739158299773</v>
      </c>
    </row>
    <row r="24" spans="1:10" x14ac:dyDescent="0.25">
      <c r="A24" s="3">
        <v>11</v>
      </c>
      <c r="B24" s="11"/>
      <c r="C24" s="11">
        <f t="shared" si="1"/>
        <v>110000</v>
      </c>
      <c r="D24" s="11"/>
      <c r="E24" s="11">
        <f t="shared" si="4"/>
        <v>398711.24315904733</v>
      </c>
      <c r="F24" s="11">
        <f t="shared" si="0"/>
        <v>105179.02150989778</v>
      </c>
      <c r="G24" s="11">
        <f t="shared" si="5"/>
        <v>39871.124315904737</v>
      </c>
      <c r="H24" s="11">
        <f t="shared" si="6"/>
        <v>65307.897193993042</v>
      </c>
      <c r="I24" s="11">
        <f t="shared" si="3"/>
        <v>-23230.571783535888</v>
      </c>
    </row>
    <row r="25" spans="1:10" x14ac:dyDescent="0.25">
      <c r="A25" s="3">
        <v>12</v>
      </c>
      <c r="B25" s="11"/>
      <c r="C25" s="11">
        <f t="shared" si="1"/>
        <v>110000</v>
      </c>
      <c r="D25" s="11"/>
      <c r="E25" s="11">
        <f t="shared" si="4"/>
        <v>333403.34596505429</v>
      </c>
      <c r="F25" s="11">
        <f t="shared" si="0"/>
        <v>105179.02150989778</v>
      </c>
      <c r="G25" s="11">
        <f t="shared" si="5"/>
        <v>33340.334596505432</v>
      </c>
      <c r="H25" s="11">
        <f t="shared" si="6"/>
        <v>71838.686913392346</v>
      </c>
      <c r="I25" s="11">
        <f t="shared" si="3"/>
        <v>-25842.887671295604</v>
      </c>
    </row>
    <row r="26" spans="1:10" x14ac:dyDescent="0.25">
      <c r="A26" s="3">
        <v>13</v>
      </c>
      <c r="B26" s="11"/>
      <c r="C26" s="11">
        <f t="shared" si="1"/>
        <v>110000</v>
      </c>
      <c r="D26" s="11"/>
      <c r="E26" s="11">
        <f t="shared" si="4"/>
        <v>261564.65905166196</v>
      </c>
      <c r="F26" s="11">
        <f t="shared" si="0"/>
        <v>105179.02150989778</v>
      </c>
      <c r="G26" s="11">
        <f t="shared" si="5"/>
        <v>26156.465905166198</v>
      </c>
      <c r="H26" s="11">
        <f t="shared" si="6"/>
        <v>79022.555604731577</v>
      </c>
      <c r="I26" s="11">
        <f t="shared" si="3"/>
        <v>-28716.435147831296</v>
      </c>
    </row>
    <row r="27" spans="1:10" x14ac:dyDescent="0.25">
      <c r="A27" s="3">
        <v>14</v>
      </c>
      <c r="B27" s="11"/>
      <c r="C27" s="11">
        <f t="shared" si="1"/>
        <v>110000</v>
      </c>
      <c r="D27" s="11"/>
      <c r="E27" s="11">
        <f t="shared" si="4"/>
        <v>182542.10344693038</v>
      </c>
      <c r="F27" s="11">
        <f t="shared" si="0"/>
        <v>105179.02150989778</v>
      </c>
      <c r="G27" s="11">
        <f t="shared" si="5"/>
        <v>18254.210344693038</v>
      </c>
      <c r="H27" s="11">
        <f t="shared" si="6"/>
        <v>86924.811165204737</v>
      </c>
      <c r="I27" s="11">
        <f t="shared" si="3"/>
        <v>-31877.337372020556</v>
      </c>
    </row>
    <row r="28" spans="1:10" x14ac:dyDescent="0.25">
      <c r="A28" s="3">
        <v>15</v>
      </c>
      <c r="B28" s="11"/>
      <c r="C28" s="11">
        <f t="shared" si="1"/>
        <v>110000</v>
      </c>
      <c r="D28" s="11"/>
      <c r="E28" s="11">
        <f t="shared" si="4"/>
        <v>95617.292281725648</v>
      </c>
      <c r="F28" s="11">
        <f t="shared" si="0"/>
        <v>105179.02150989778</v>
      </c>
      <c r="G28" s="11">
        <f t="shared" si="5"/>
        <v>9561.7292281725659</v>
      </c>
      <c r="H28" s="11">
        <f t="shared" si="6"/>
        <v>95617.292281725211</v>
      </c>
      <c r="I28" s="11">
        <f t="shared" si="3"/>
        <v>-35354.32981862875</v>
      </c>
    </row>
    <row r="29" spans="1:10" x14ac:dyDescent="0.25">
      <c r="A29" s="3">
        <v>16</v>
      </c>
      <c r="B29" s="11"/>
      <c r="C29" s="11">
        <f>B4</f>
        <v>300000</v>
      </c>
      <c r="D29" s="11"/>
      <c r="E29" s="11"/>
      <c r="F29" s="11"/>
      <c r="G29" s="11"/>
      <c r="H29" s="11"/>
      <c r="I29" s="11">
        <f t="shared" si="3"/>
        <v>180000</v>
      </c>
    </row>
    <row r="31" spans="1:10" x14ac:dyDescent="0.25">
      <c r="F31" s="14"/>
      <c r="G31" s="14" t="s">
        <v>19</v>
      </c>
      <c r="H31" s="14"/>
      <c r="I31" s="15">
        <f>IRR(I13:I29)</f>
        <v>0.12456684724551903</v>
      </c>
      <c r="J31" s="1" t="str">
        <f ca="1">[1]!getformula(I31)</f>
        <v>&lt;--  =IRR(I13:I29)</v>
      </c>
    </row>
    <row r="32" spans="1:10" x14ac:dyDescent="0.25">
      <c r="C32" s="11"/>
    </row>
    <row r="33" spans="1:7" x14ac:dyDescent="0.25">
      <c r="A33" s="12" t="s">
        <v>20</v>
      </c>
    </row>
    <row r="34" spans="1:7" x14ac:dyDescent="0.25">
      <c r="A34" s="8"/>
      <c r="B34" s="2">
        <f>I13+NPV(A34,I14:I29)</f>
        <v>103388.80641092022</v>
      </c>
      <c r="C34" s="22" t="str">
        <f ca="1">[1]!getformula(B34)&amp;" , table header"</f>
        <v>&lt;--  =I13+NPV(A34,I14:I29) , table header</v>
      </c>
      <c r="F34" s="3" t="s">
        <v>22</v>
      </c>
      <c r="G34" s="3" t="s">
        <v>23</v>
      </c>
    </row>
    <row r="35" spans="1:7" x14ac:dyDescent="0.25">
      <c r="A35" s="21">
        <v>0</v>
      </c>
      <c r="B35" s="2">
        <f>B34</f>
        <v>103388.80641092022</v>
      </c>
      <c r="C35" s="22" t="str">
        <f ca="1">[1]!getformula(B35)</f>
        <v>&lt;--  =B34</v>
      </c>
      <c r="D35" s="2"/>
      <c r="F35" s="3">
        <v>1</v>
      </c>
      <c r="G35" s="3">
        <v>14.28</v>
      </c>
    </row>
    <row r="36" spans="1:7" x14ac:dyDescent="0.25">
      <c r="A36" s="21">
        <v>0.01</v>
      </c>
      <c r="B36" s="2">
        <f t="dataTable" ref="B36:B51" dt2D="0" dtr="0" r1="A34"/>
        <v>88796.469160256267</v>
      </c>
      <c r="D36" s="2"/>
      <c r="F36" s="3">
        <v>2</v>
      </c>
      <c r="G36" s="3">
        <v>24.49</v>
      </c>
    </row>
    <row r="37" spans="1:7" x14ac:dyDescent="0.25">
      <c r="A37" s="21">
        <v>0.02</v>
      </c>
      <c r="B37" s="2">
        <v>76063.820921954175</v>
      </c>
      <c r="D37" s="2"/>
      <c r="F37" s="3">
        <v>3</v>
      </c>
      <c r="G37" s="3">
        <v>17.489999999999998</v>
      </c>
    </row>
    <row r="38" spans="1:7" x14ac:dyDescent="0.25">
      <c r="A38" s="21">
        <v>0.03</v>
      </c>
      <c r="B38" s="2">
        <v>64865.215657213354</v>
      </c>
      <c r="D38" s="2"/>
      <c r="F38" s="3">
        <v>4</v>
      </c>
      <c r="G38" s="3">
        <v>12.5</v>
      </c>
    </row>
    <row r="39" spans="1:7" x14ac:dyDescent="0.25">
      <c r="A39" s="21">
        <v>0.04</v>
      </c>
      <c r="B39" s="2">
        <v>54936.28770239462</v>
      </c>
      <c r="D39" s="2"/>
      <c r="F39" s="3">
        <v>5</v>
      </c>
      <c r="G39" s="3">
        <v>8.92</v>
      </c>
    </row>
    <row r="40" spans="1:7" x14ac:dyDescent="0.25">
      <c r="A40" s="21">
        <v>0.05</v>
      </c>
      <c r="B40" s="2">
        <v>46062.10930652832</v>
      </c>
      <c r="D40" s="2"/>
      <c r="F40" s="3">
        <v>6</v>
      </c>
      <c r="G40" s="3">
        <v>8.92</v>
      </c>
    </row>
    <row r="41" spans="1:7" x14ac:dyDescent="0.25">
      <c r="A41" s="21">
        <v>0.06</v>
      </c>
      <c r="B41" s="23">
        <v>38067.687377909489</v>
      </c>
      <c r="D41" s="2"/>
      <c r="F41" s="3">
        <v>7</v>
      </c>
      <c r="G41" s="3">
        <v>8.92</v>
      </c>
    </row>
    <row r="42" spans="1:7" x14ac:dyDescent="0.25">
      <c r="A42" s="21">
        <v>7.0000000000000007E-2</v>
      </c>
      <c r="B42" s="2">
        <v>30810.326460545126</v>
      </c>
      <c r="D42" s="2"/>
      <c r="F42" s="3">
        <v>8</v>
      </c>
      <c r="G42" s="3">
        <v>4.4800000000000004</v>
      </c>
    </row>
    <row r="43" spans="1:7" x14ac:dyDescent="0.25">
      <c r="A43" s="21">
        <v>0.08</v>
      </c>
      <c r="B43" s="2">
        <v>24173.483012868906</v>
      </c>
      <c r="D43" s="2"/>
    </row>
    <row r="44" spans="1:7" x14ac:dyDescent="0.25">
      <c r="A44" s="21">
        <v>0.09</v>
      </c>
      <c r="B44" s="2">
        <v>18061.813253532309</v>
      </c>
      <c r="D44" s="2"/>
    </row>
    <row r="45" spans="1:7" x14ac:dyDescent="0.25">
      <c r="A45" s="21">
        <v>0.1</v>
      </c>
      <c r="B45" s="2">
        <v>12397.177727314178</v>
      </c>
      <c r="D45" s="2"/>
    </row>
    <row r="46" spans="1:7" x14ac:dyDescent="0.25">
      <c r="A46" s="21">
        <v>0.12</v>
      </c>
      <c r="B46" s="23">
        <v>2163.7258875435218</v>
      </c>
      <c r="D46" s="2"/>
    </row>
    <row r="47" spans="1:7" x14ac:dyDescent="0.25">
      <c r="A47" s="21">
        <v>0.14000000000000001</v>
      </c>
      <c r="B47" s="2">
        <v>-6916.0497910633276</v>
      </c>
      <c r="D47" s="2"/>
    </row>
    <row r="48" spans="1:7" x14ac:dyDescent="0.25">
      <c r="A48" s="21">
        <v>0.16</v>
      </c>
      <c r="B48" s="2">
        <v>-15108.06871324245</v>
      </c>
      <c r="D48" s="2"/>
    </row>
    <row r="49" spans="1:4" x14ac:dyDescent="0.25">
      <c r="A49" s="21">
        <v>0.18</v>
      </c>
      <c r="B49" s="2">
        <v>-22596.175437609811</v>
      </c>
      <c r="D49" s="2"/>
    </row>
    <row r="50" spans="1:4" x14ac:dyDescent="0.25">
      <c r="A50" s="21">
        <v>0.2</v>
      </c>
      <c r="B50" s="2">
        <v>-29509.330321692891</v>
      </c>
      <c r="D50" s="2"/>
    </row>
    <row r="51" spans="1:4" x14ac:dyDescent="0.25">
      <c r="A51" s="21">
        <v>0.22</v>
      </c>
      <c r="B51" s="2">
        <v>-35939.622552630841</v>
      </c>
      <c r="D51" s="2"/>
    </row>
    <row r="73" spans="4:5" x14ac:dyDescent="0.25">
      <c r="E73" s="11"/>
    </row>
    <row r="74" spans="4:5" x14ac:dyDescent="0.25">
      <c r="D74" s="13"/>
      <c r="E74" s="11"/>
    </row>
    <row r="75" spans="4:5" x14ac:dyDescent="0.25">
      <c r="D75" s="8"/>
      <c r="E75" s="11"/>
    </row>
    <row r="76" spans="4:5" x14ac:dyDescent="0.25">
      <c r="D76" s="8"/>
      <c r="E76" s="11"/>
    </row>
    <row r="77" spans="4:5" x14ac:dyDescent="0.25">
      <c r="D77" s="8"/>
      <c r="E77" s="11"/>
    </row>
    <row r="78" spans="4:5" x14ac:dyDescent="0.25">
      <c r="D78" s="8"/>
      <c r="E78" s="11"/>
    </row>
    <row r="79" spans="4:5" x14ac:dyDescent="0.25">
      <c r="D79" s="8"/>
      <c r="E79" s="11"/>
    </row>
    <row r="80" spans="4:5" x14ac:dyDescent="0.25">
      <c r="D80" s="8"/>
      <c r="E80" s="11"/>
    </row>
    <row r="81" spans="4:5" x14ac:dyDescent="0.25">
      <c r="D81" s="8"/>
      <c r="E81" s="11"/>
    </row>
    <row r="82" spans="4:5" x14ac:dyDescent="0.25">
      <c r="D82" s="8"/>
      <c r="E82" s="11"/>
    </row>
    <row r="83" spans="4:5" x14ac:dyDescent="0.25">
      <c r="D83" s="8"/>
      <c r="E83" s="11"/>
    </row>
    <row r="84" spans="4:5" x14ac:dyDescent="0.25">
      <c r="D84" s="8"/>
      <c r="E84" s="11"/>
    </row>
    <row r="85" spans="4:5" x14ac:dyDescent="0.25">
      <c r="D85" s="8"/>
      <c r="E85" s="11"/>
    </row>
    <row r="86" spans="4:5" x14ac:dyDescent="0.25">
      <c r="D86" s="8"/>
      <c r="E86" s="11"/>
    </row>
    <row r="87" spans="4:5" x14ac:dyDescent="0.25">
      <c r="D87" s="8"/>
      <c r="E87" s="11"/>
    </row>
    <row r="88" spans="4:5" x14ac:dyDescent="0.25">
      <c r="D88" s="8"/>
      <c r="E88" s="11"/>
    </row>
    <row r="89" spans="4:5" x14ac:dyDescent="0.25">
      <c r="D89" s="8"/>
      <c r="E89" s="11"/>
    </row>
    <row r="90" spans="4:5" x14ac:dyDescent="0.25">
      <c r="D90" s="8"/>
      <c r="E90" s="11"/>
    </row>
    <row r="91" spans="4:5" x14ac:dyDescent="0.25">
      <c r="D91" s="8"/>
    </row>
    <row r="92" spans="4:5" x14ac:dyDescent="0.25">
      <c r="D92" s="8"/>
    </row>
    <row r="93" spans="4:5" x14ac:dyDescent="0.25">
      <c r="D93" s="8"/>
    </row>
    <row r="94" spans="4:5" x14ac:dyDescent="0.25">
      <c r="D94" s="8"/>
    </row>
    <row r="95" spans="4:5" x14ac:dyDescent="0.25">
      <c r="D95" s="8"/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8BEAB-F72D-4453-BC81-50599D899D3E}">
  <dimension ref="B15:C21"/>
  <sheetViews>
    <sheetView showGridLines="0" workbookViewId="0">
      <selection activeCell="C41" sqref="C41"/>
    </sheetView>
  </sheetViews>
  <sheetFormatPr defaultRowHeight="13.8" x14ac:dyDescent="0.25"/>
  <cols>
    <col min="2" max="2" width="16.6640625" bestFit="1" customWidth="1"/>
    <col min="3" max="3" width="88.44140625" bestFit="1" customWidth="1"/>
  </cols>
  <sheetData>
    <row r="15" spans="2:3" ht="14.4" thickBot="1" x14ac:dyDescent="0.3"/>
    <row r="16" spans="2:3" ht="30" customHeight="1" x14ac:dyDescent="0.25">
      <c r="B16" s="16" t="s">
        <v>26</v>
      </c>
      <c r="C16" s="16" t="s">
        <v>27</v>
      </c>
    </row>
    <row r="17" spans="2:3" x14ac:dyDescent="0.25">
      <c r="B17" s="17" t="s">
        <v>28</v>
      </c>
      <c r="C17" s="18" t="s">
        <v>29</v>
      </c>
    </row>
    <row r="18" spans="2:3" ht="17.399999999999999" x14ac:dyDescent="0.25">
      <c r="B18" s="17" t="s">
        <v>30</v>
      </c>
      <c r="C18" s="18" t="s">
        <v>31</v>
      </c>
    </row>
    <row r="19" spans="2:3" x14ac:dyDescent="0.25">
      <c r="B19" s="17" t="s">
        <v>32</v>
      </c>
      <c r="C19" s="18" t="s">
        <v>33</v>
      </c>
    </row>
    <row r="20" spans="2:3" x14ac:dyDescent="0.25">
      <c r="B20" s="17" t="s">
        <v>34</v>
      </c>
      <c r="C20" s="18" t="s">
        <v>35</v>
      </c>
    </row>
    <row r="21" spans="2:3" ht="18" thickBot="1" x14ac:dyDescent="0.3">
      <c r="B21" s="19" t="s">
        <v>36</v>
      </c>
      <c r="C21" s="20" t="s">
        <v>37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Sheet2</vt:lpstr>
      <vt:lpstr>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2024-10-23T06:41:33Z</dcterms:modified>
</cp:coreProperties>
</file>