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17E289F0-0462-4049-82F6-A455C6A2A3A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Sheet1!$B$22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D6" i="1"/>
  <c r="E6" i="1" s="1"/>
  <c r="B7" i="1" s="1"/>
  <c r="C6" i="1"/>
  <c r="B6" i="1"/>
  <c r="F6" i="1"/>
  <c r="D7" i="1" l="1"/>
  <c r="E7" i="1" s="1"/>
  <c r="B8" i="1" s="1"/>
  <c r="D8" i="1" l="1"/>
  <c r="E8" i="1" s="1"/>
  <c r="B9" i="1" s="1"/>
  <c r="D9" i="1" l="1"/>
  <c r="E9" i="1" s="1"/>
  <c r="B10" i="1" s="1"/>
  <c r="D10" i="1" l="1"/>
  <c r="E10" i="1" s="1"/>
  <c r="B11" i="1" s="1"/>
  <c r="D11" i="1" l="1"/>
  <c r="E11" i="1" s="1"/>
  <c r="B12" i="1" s="1"/>
  <c r="D12" i="1" l="1"/>
  <c r="E12" i="1" s="1"/>
  <c r="B13" i="1" s="1"/>
  <c r="D13" i="1" l="1"/>
  <c r="E13" i="1" s="1"/>
  <c r="B14" i="1" s="1"/>
  <c r="D14" i="1" l="1"/>
  <c r="E14" i="1" s="1"/>
  <c r="B15" i="1" s="1"/>
  <c r="D15" i="1" l="1"/>
  <c r="E15" i="1" s="1"/>
  <c r="B16" i="1" s="1"/>
  <c r="D16" i="1" l="1"/>
  <c r="E16" i="1" s="1"/>
  <c r="B17" i="1" s="1"/>
  <c r="D17" i="1" l="1"/>
  <c r="E17" i="1" s="1"/>
  <c r="B18" i="1" s="1"/>
  <c r="D18" i="1" l="1"/>
  <c r="E18" i="1" s="1"/>
  <c r="B19" i="1" s="1"/>
  <c r="D19" i="1" l="1"/>
  <c r="E19" i="1" s="1"/>
  <c r="B20" i="1" s="1"/>
  <c r="D20" i="1" l="1"/>
  <c r="E20" i="1" s="1"/>
  <c r="B21" i="1" s="1"/>
  <c r="D21" i="1" l="1"/>
  <c r="E21" i="1" s="1"/>
  <c r="B22" i="1" s="1"/>
</calcChain>
</file>

<file path=xl/sharedStrings.xml><?xml version="1.0" encoding="utf-8"?>
<sst xmlns="http://schemas.openxmlformats.org/spreadsheetml/2006/main" count="9" uniqueCount="9">
  <si>
    <t>MPM METHOD:ATTRIBUTION OF LEVERAGED LEASE CASH FLOWSTO INCOME AND REPAYMENT OF INVESTMENT</t>
  </si>
  <si>
    <t>Q</t>
  </si>
  <si>
    <t>&lt;-- Possible MPM rate</t>
  </si>
  <si>
    <t>Year</t>
  </si>
  <si>
    <t>Investment at beginning of period</t>
  </si>
  <si>
    <t>Income</t>
  </si>
  <si>
    <t>Leveraged lease cash flows</t>
    <phoneticPr fontId="1" type="noConversion"/>
  </si>
  <si>
    <t>MPM attribution of cash flows</t>
    <phoneticPr fontId="1" type="noConversion"/>
  </si>
  <si>
    <t>Repayment of investment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</si>
</sst>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_);[Red]\(&quot;$&quot;#,##0\)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/>
    <xf numFmtId="10" fontId="0" fillId="0" borderId="0" xfId="0" applyNumberFormat="1" applyAlignment="1"/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3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</xdr:row>
      <xdr:rowOff>30480</xdr:rowOff>
    </xdr:from>
    <xdr:to>
      <xdr:col>7</xdr:col>
      <xdr:colOff>285679</xdr:colOff>
      <xdr:row>2</xdr:row>
      <xdr:rowOff>53612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DE078CBD-3624-4799-91BE-3ABF090F56FD}"/>
            </a:ext>
          </a:extLst>
        </xdr:cNvPr>
        <xdr:cNvSpPr txBox="1">
          <a:spLocks noChangeArrowheads="1"/>
        </xdr:cNvSpPr>
      </xdr:nvSpPr>
      <xdr:spPr bwMode="auto">
        <a:xfrm>
          <a:off x="4330065" y="609600"/>
          <a:ext cx="1579174" cy="20029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=IF($B$2*B6&gt;0,$B$2*B6,0)</a:t>
          </a:r>
        </a:p>
      </xdr:txBody>
    </xdr:sp>
    <xdr:clientData/>
  </xdr:twoCellAnchor>
  <xdr:twoCellAnchor>
    <xdr:from>
      <xdr:col>3</xdr:col>
      <xdr:colOff>548640</xdr:colOff>
      <xdr:row>2</xdr:row>
      <xdr:rowOff>45720</xdr:rowOff>
    </xdr:from>
    <xdr:to>
      <xdr:col>5</xdr:col>
      <xdr:colOff>114300</xdr:colOff>
      <xdr:row>5</xdr:row>
      <xdr:rowOff>15240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C04267E-BBD9-4CD3-AD27-F2E1C816F700}"/>
            </a:ext>
          </a:extLst>
        </xdr:cNvPr>
        <xdr:cNvSpPr>
          <a:spLocks noChangeShapeType="1"/>
        </xdr:cNvSpPr>
      </xdr:nvSpPr>
      <xdr:spPr bwMode="auto">
        <a:xfrm flipH="1">
          <a:off x="3076575" y="800100"/>
          <a:ext cx="1314450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603646</xdr:colOff>
      <xdr:row>0</xdr:row>
      <xdr:rowOff>102394</xdr:rowOff>
    </xdr:from>
    <xdr:to>
      <xdr:col>18</xdr:col>
      <xdr:colOff>129777</xdr:colOff>
      <xdr:row>29</xdr:row>
      <xdr:rowOff>87154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E08E08AD-C71A-866D-A1DF-D464161E0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7443" y="102394"/>
          <a:ext cx="6205537" cy="53506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10</xdr:col>
      <xdr:colOff>55943</xdr:colOff>
      <xdr:row>54</xdr:row>
      <xdr:rowOff>12771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51AACA0B-738C-0C3B-2FB3-4E8134E91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711" y="4286250"/>
          <a:ext cx="5715798" cy="52966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>
        <row r="5">
          <cell r="B5">
            <v>200000</v>
          </cell>
        </row>
        <row r="14">
          <cell r="I14">
            <v>49940.978490102221</v>
          </cell>
        </row>
        <row r="15">
          <cell r="I15">
            <v>89773.817629706318</v>
          </cell>
        </row>
        <row r="16">
          <cell r="I16">
            <v>60665.940683270819</v>
          </cell>
        </row>
        <row r="17">
          <cell r="I17">
            <v>39487.276042191763</v>
          </cell>
        </row>
        <row r="18">
          <cell r="I18">
            <v>23826.744937004805</v>
          </cell>
        </row>
        <row r="19">
          <cell r="I19">
            <v>22352.160721299151</v>
          </cell>
        </row>
        <row r="20">
          <cell r="I20">
            <v>20730.118084022935</v>
          </cell>
        </row>
        <row r="21">
          <cell r="I21">
            <v>1185.871183019095</v>
          </cell>
        </row>
        <row r="22">
          <cell r="I22">
            <v>-18696.800408085124</v>
          </cell>
        </row>
        <row r="23">
          <cell r="I23">
            <v>-20855.739158299773</v>
          </cell>
        </row>
        <row r="24">
          <cell r="I24">
            <v>-23230.571783535888</v>
          </cell>
        </row>
        <row r="25">
          <cell r="I25">
            <v>-25842.887671295604</v>
          </cell>
        </row>
        <row r="26">
          <cell r="I26">
            <v>-28716.435147831296</v>
          </cell>
        </row>
        <row r="27">
          <cell r="I27">
            <v>-31877.337372020556</v>
          </cell>
        </row>
        <row r="28">
          <cell r="I28">
            <v>-35354.32981862875</v>
          </cell>
        </row>
        <row r="29">
          <cell r="I29">
            <v>180000</v>
          </cell>
        </row>
      </sheetData>
      <sheetData sheetId="1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24"/>
  <sheetViews>
    <sheetView tabSelected="1" zoomScale="190" zoomScaleNormal="190" workbookViewId="0">
      <selection activeCell="H20" sqref="H20"/>
    </sheetView>
  </sheetViews>
  <sheetFormatPr defaultRowHeight="13.8" x14ac:dyDescent="0.25"/>
  <cols>
    <col min="1" max="1" width="11.6640625" style="2" customWidth="1"/>
    <col min="2" max="2" width="14.44140625" style="2" customWidth="1"/>
    <col min="3" max="3" width="10.6640625" style="2" customWidth="1"/>
    <col min="4" max="4" width="12" style="2" customWidth="1"/>
    <col min="5" max="5" width="13.5546875" style="2" customWidth="1"/>
    <col min="6" max="6" width="10.6640625" style="2" bestFit="1" customWidth="1"/>
    <col min="7" max="8" width="8.88671875" style="2"/>
  </cols>
  <sheetData>
    <row r="1" spans="1:6" ht="15.6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6" t="s">
        <v>1</v>
      </c>
      <c r="B2" s="4">
        <v>0.10911210158266793</v>
      </c>
      <c r="C2" s="2" t="s">
        <v>2</v>
      </c>
    </row>
    <row r="3" spans="1:6" x14ac:dyDescent="0.25">
      <c r="A3" s="3"/>
      <c r="B3" s="4"/>
    </row>
    <row r="4" spans="1:6" x14ac:dyDescent="0.25">
      <c r="D4" s="5" t="s">
        <v>7</v>
      </c>
      <c r="E4" s="5"/>
    </row>
    <row r="5" spans="1:6" ht="39.6" x14ac:dyDescent="0.25">
      <c r="A5" s="6" t="s">
        <v>3</v>
      </c>
      <c r="B5" s="7" t="s">
        <v>4</v>
      </c>
      <c r="C5" s="8" t="s">
        <v>6</v>
      </c>
      <c r="D5" s="6" t="s">
        <v>5</v>
      </c>
      <c r="E5" s="8" t="s">
        <v>8</v>
      </c>
    </row>
    <row r="6" spans="1:6" x14ac:dyDescent="0.25">
      <c r="A6" s="9">
        <v>1</v>
      </c>
      <c r="B6" s="10">
        <f>'[1]Page 221'!B5</f>
        <v>200000</v>
      </c>
      <c r="C6" s="10">
        <f>'[1]Page 221'!I14</f>
        <v>49940.978490102221</v>
      </c>
      <c r="D6" s="10">
        <f>IF($B$2*B6&gt;0,$B$2*B6,0)</f>
        <v>21822.420316533586</v>
      </c>
      <c r="E6" s="10">
        <f t="shared" ref="E6:E21" si="0">C6-D6</f>
        <v>28118.558173568636</v>
      </c>
      <c r="F6" s="2" t="str">
        <f ca="1">[2]!getformula(E6)</f>
        <v>&lt;--  =C6-D6</v>
      </c>
    </row>
    <row r="7" spans="1:6" x14ac:dyDescent="0.25">
      <c r="A7" s="9">
        <v>2</v>
      </c>
      <c r="B7" s="10">
        <f t="shared" ref="B7:B22" si="1">B6-E6</f>
        <v>171881.44182643137</v>
      </c>
      <c r="C7" s="10">
        <f>'[1]Page 221'!I15</f>
        <v>89773.817629706318</v>
      </c>
      <c r="D7" s="10">
        <f t="shared" ref="D7:D21" si="2">IF($B$2*B7&gt;0,$B$2*B7,0)</f>
        <v>18754.345340741009</v>
      </c>
      <c r="E7" s="10">
        <f t="shared" si="0"/>
        <v>71019.472288965306</v>
      </c>
    </row>
    <row r="8" spans="1:6" x14ac:dyDescent="0.25">
      <c r="A8" s="9">
        <v>3</v>
      </c>
      <c r="B8" s="10">
        <f t="shared" si="1"/>
        <v>100861.96953746607</v>
      </c>
      <c r="C8" s="10">
        <f>'[1]Page 221'!I16</f>
        <v>60665.940683270819</v>
      </c>
      <c r="D8" s="10">
        <f t="shared" si="2"/>
        <v>11005.261465999956</v>
      </c>
      <c r="E8" s="10">
        <f t="shared" si="0"/>
        <v>49660.679217270867</v>
      </c>
    </row>
    <row r="9" spans="1:6" x14ac:dyDescent="0.25">
      <c r="A9" s="9">
        <v>4</v>
      </c>
      <c r="B9" s="10">
        <f t="shared" si="1"/>
        <v>51201.290320195199</v>
      </c>
      <c r="C9" s="10">
        <f>'[1]Page 221'!I17</f>
        <v>39487.276042191763</v>
      </c>
      <c r="D9" s="10">
        <f t="shared" si="2"/>
        <v>5586.680390580811</v>
      </c>
      <c r="E9" s="10">
        <f t="shared" si="0"/>
        <v>33900.595651610951</v>
      </c>
    </row>
    <row r="10" spans="1:6" x14ac:dyDescent="0.25">
      <c r="A10" s="9">
        <v>5</v>
      </c>
      <c r="B10" s="10">
        <f t="shared" si="1"/>
        <v>17300.694668584249</v>
      </c>
      <c r="C10" s="10">
        <f>'[1]Page 221'!I18</f>
        <v>23826.744937004805</v>
      </c>
      <c r="D10" s="10">
        <f t="shared" si="2"/>
        <v>1887.715154129286</v>
      </c>
      <c r="E10" s="10">
        <f t="shared" si="0"/>
        <v>21939.029782875521</v>
      </c>
    </row>
    <row r="11" spans="1:6" x14ac:dyDescent="0.25">
      <c r="A11" s="9">
        <v>6</v>
      </c>
      <c r="B11" s="10">
        <f t="shared" si="1"/>
        <v>-4638.3351142912725</v>
      </c>
      <c r="C11" s="10">
        <f>'[1]Page 221'!I19</f>
        <v>22352.160721299151</v>
      </c>
      <c r="D11" s="10">
        <f t="shared" si="2"/>
        <v>0</v>
      </c>
      <c r="E11" s="10">
        <f t="shared" si="0"/>
        <v>22352.160721299151</v>
      </c>
    </row>
    <row r="12" spans="1:6" x14ac:dyDescent="0.25">
      <c r="A12" s="9">
        <v>7</v>
      </c>
      <c r="B12" s="10">
        <f t="shared" si="1"/>
        <v>-26990.495835590424</v>
      </c>
      <c r="C12" s="10">
        <f>'[1]Page 221'!I20</f>
        <v>20730.118084022935</v>
      </c>
      <c r="D12" s="10">
        <f t="shared" si="2"/>
        <v>0</v>
      </c>
      <c r="E12" s="10">
        <f t="shared" si="0"/>
        <v>20730.118084022935</v>
      </c>
    </row>
    <row r="13" spans="1:6" x14ac:dyDescent="0.25">
      <c r="A13" s="9">
        <v>8</v>
      </c>
      <c r="B13" s="10">
        <f t="shared" si="1"/>
        <v>-47720.613919613359</v>
      </c>
      <c r="C13" s="10">
        <f>'[1]Page 221'!I21</f>
        <v>1185.871183019095</v>
      </c>
      <c r="D13" s="10">
        <f t="shared" si="2"/>
        <v>0</v>
      </c>
      <c r="E13" s="10">
        <f t="shared" si="0"/>
        <v>1185.871183019095</v>
      </c>
    </row>
    <row r="14" spans="1:6" x14ac:dyDescent="0.25">
      <c r="A14" s="9">
        <v>9</v>
      </c>
      <c r="B14" s="10">
        <f t="shared" si="1"/>
        <v>-48906.485102632454</v>
      </c>
      <c r="C14" s="10">
        <f>'[1]Page 221'!I22</f>
        <v>-18696.800408085124</v>
      </c>
      <c r="D14" s="10">
        <f t="shared" si="2"/>
        <v>0</v>
      </c>
      <c r="E14" s="10">
        <f t="shared" si="0"/>
        <v>-18696.800408085124</v>
      </c>
    </row>
    <row r="15" spans="1:6" x14ac:dyDescent="0.25">
      <c r="A15" s="9">
        <v>10</v>
      </c>
      <c r="B15" s="10">
        <f t="shared" si="1"/>
        <v>-30209.68469454733</v>
      </c>
      <c r="C15" s="10">
        <f>'[1]Page 221'!I23</f>
        <v>-20855.739158299773</v>
      </c>
      <c r="D15" s="10">
        <f t="shared" si="2"/>
        <v>0</v>
      </c>
      <c r="E15" s="10">
        <f t="shared" si="0"/>
        <v>-20855.739158299773</v>
      </c>
    </row>
    <row r="16" spans="1:6" x14ac:dyDescent="0.25">
      <c r="A16" s="9">
        <v>11</v>
      </c>
      <c r="B16" s="10">
        <f t="shared" si="1"/>
        <v>-9353.9455362475564</v>
      </c>
      <c r="C16" s="10">
        <f>'[1]Page 221'!I24</f>
        <v>-23230.571783535888</v>
      </c>
      <c r="D16" s="10">
        <f t="shared" si="2"/>
        <v>0</v>
      </c>
      <c r="E16" s="10">
        <f t="shared" si="0"/>
        <v>-23230.571783535888</v>
      </c>
    </row>
    <row r="17" spans="1:5" x14ac:dyDescent="0.25">
      <c r="A17" s="9">
        <v>12</v>
      </c>
      <c r="B17" s="10">
        <f t="shared" si="1"/>
        <v>13876.626247288332</v>
      </c>
      <c r="C17" s="10">
        <f>'[1]Page 221'!I25</f>
        <v>-25842.887671295604</v>
      </c>
      <c r="D17" s="10">
        <f t="shared" si="2"/>
        <v>1514.1078527188406</v>
      </c>
      <c r="E17" s="10">
        <f t="shared" si="0"/>
        <v>-27356.995524014445</v>
      </c>
    </row>
    <row r="18" spans="1:5" x14ac:dyDescent="0.25">
      <c r="A18" s="9">
        <v>13</v>
      </c>
      <c r="B18" s="10">
        <f t="shared" si="1"/>
        <v>41233.621771302773</v>
      </c>
      <c r="C18" s="10">
        <f>'[1]Page 221'!I26</f>
        <v>-28716.435147831296</v>
      </c>
      <c r="D18" s="10">
        <f t="shared" si="2"/>
        <v>4499.0871273316961</v>
      </c>
      <c r="E18" s="10">
        <f t="shared" si="0"/>
        <v>-33215.522275162992</v>
      </c>
    </row>
    <row r="19" spans="1:5" x14ac:dyDescent="0.25">
      <c r="A19" s="9">
        <v>14</v>
      </c>
      <c r="B19" s="10">
        <f t="shared" si="1"/>
        <v>74449.144046465764</v>
      </c>
      <c r="C19" s="10">
        <f>'[1]Page 221'!I27</f>
        <v>-31877.337372020556</v>
      </c>
      <c r="D19" s="10">
        <f t="shared" si="2"/>
        <v>8123.3025679406501</v>
      </c>
      <c r="E19" s="10">
        <f t="shared" si="0"/>
        <v>-40000.639939961206</v>
      </c>
    </row>
    <row r="20" spans="1:5" x14ac:dyDescent="0.25">
      <c r="A20" s="9">
        <v>15</v>
      </c>
      <c r="B20" s="10">
        <f t="shared" si="1"/>
        <v>114449.78398642698</v>
      </c>
      <c r="C20" s="10">
        <f>'[1]Page 221'!I28</f>
        <v>-35354.32981862875</v>
      </c>
      <c r="D20" s="10">
        <f t="shared" si="2"/>
        <v>12487.856456441421</v>
      </c>
      <c r="E20" s="10">
        <f t="shared" si="0"/>
        <v>-47842.186275070169</v>
      </c>
    </row>
    <row r="21" spans="1:5" x14ac:dyDescent="0.25">
      <c r="A21" s="9">
        <v>16</v>
      </c>
      <c r="B21" s="10">
        <f t="shared" si="1"/>
        <v>162291.97026149713</v>
      </c>
      <c r="C21" s="10">
        <f>'[1]Page 221'!I29</f>
        <v>180000</v>
      </c>
      <c r="D21" s="10">
        <f t="shared" si="2"/>
        <v>17708.017945223797</v>
      </c>
      <c r="E21" s="10">
        <f t="shared" si="0"/>
        <v>162291.98205477619</v>
      </c>
    </row>
    <row r="22" spans="1:5" x14ac:dyDescent="0.25">
      <c r="A22" s="9">
        <v>17</v>
      </c>
      <c r="B22" s="10">
        <f t="shared" si="1"/>
        <v>-1.1793279059929773E-2</v>
      </c>
    </row>
    <row r="24" spans="1:5" x14ac:dyDescent="0.25">
      <c r="C24" s="11"/>
    </row>
  </sheetData>
  <mergeCells count="2">
    <mergeCell ref="A1:F1"/>
    <mergeCell ref="D4:E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2024-10-23T07:56:20Z</dcterms:modified>
</cp:coreProperties>
</file>