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59F25C10-BB3B-46D4-A1EF-9EEA01CA7B1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7" i="1"/>
  <c r="C2" i="1"/>
  <c r="F7" i="1"/>
  <c r="B2" i="1" l="1"/>
  <c r="D7" i="1" l="1"/>
  <c r="E7" i="1" s="1"/>
  <c r="B8" i="1" s="1"/>
  <c r="D8" i="1" s="1"/>
  <c r="E8" i="1" s="1"/>
  <c r="B9" i="1" l="1"/>
  <c r="D9" i="1" l="1"/>
  <c r="E9" i="1" s="1"/>
  <c r="B10" i="1" s="1"/>
  <c r="D10" i="1" l="1"/>
  <c r="E10" i="1" s="1"/>
  <c r="B11" i="1" s="1"/>
  <c r="D11" i="1" l="1"/>
  <c r="E11" i="1" s="1"/>
  <c r="B12" i="1" s="1"/>
  <c r="D12" i="1" l="1"/>
  <c r="E12" i="1" s="1"/>
  <c r="B13" i="1" s="1"/>
  <c r="D13" i="1" l="1"/>
  <c r="E13" i="1" s="1"/>
  <c r="B14" i="1" s="1"/>
  <c r="D14" i="1" l="1"/>
  <c r="E14" i="1" s="1"/>
  <c r="B15" i="1" s="1"/>
  <c r="D15" i="1" l="1"/>
  <c r="E15" i="1" s="1"/>
  <c r="B16" i="1" s="1"/>
  <c r="D16" i="1" l="1"/>
  <c r="E16" i="1" s="1"/>
  <c r="B17" i="1" s="1"/>
  <c r="D17" i="1" l="1"/>
  <c r="E17" i="1" s="1"/>
  <c r="B18" i="1" s="1"/>
  <c r="D18" i="1" l="1"/>
  <c r="E18" i="1" s="1"/>
  <c r="B19" i="1" s="1"/>
  <c r="D19" i="1" l="1"/>
  <c r="E19" i="1" s="1"/>
  <c r="B20" i="1" s="1"/>
  <c r="D20" i="1" l="1"/>
  <c r="E20" i="1" s="1"/>
  <c r="B21" i="1" s="1"/>
  <c r="D21" i="1" l="1"/>
  <c r="E21" i="1" s="1"/>
  <c r="B22" i="1" s="1"/>
  <c r="D22" i="1" s="1"/>
  <c r="E22" i="1" s="1"/>
</calcChain>
</file>

<file path=xl/sharedStrings.xml><?xml version="1.0" encoding="utf-8"?>
<sst xmlns="http://schemas.openxmlformats.org/spreadsheetml/2006/main" count="8" uniqueCount="8">
  <si>
    <t>ATTRIBUTION OF LEVERAGED LEASE CASH FLOWS TO INCOME AND REPAYMENT OF INVESTMENT</t>
  </si>
  <si>
    <t>IRR</t>
  </si>
  <si>
    <t>Attribution of cash flow</t>
  </si>
  <si>
    <t>Year</t>
  </si>
  <si>
    <t>Investment at beginning of period</t>
  </si>
  <si>
    <t>Cash flow</t>
  </si>
  <si>
    <t>Income</t>
  </si>
  <si>
    <t>Repayment of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</si>
</sst>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0" fontId="0" fillId="0" borderId="0" xfId="0" applyNumberFormat="1" applyAlignme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Continuous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/>
    </xf>
    <xf numFmtId="3" fontId="4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right"/>
    </xf>
    <xf numFmtId="0" fontId="4" fillId="0" borderId="0" xfId="0" applyFont="1" applyAlignment="1"/>
    <xf numFmtId="0" fontId="0" fillId="0" borderId="0" xfId="0" applyAlignment="1">
      <alignment horizontal="center"/>
    </xf>
    <xf numFmtId="3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0</xdr:row>
      <xdr:rowOff>520065</xdr:rowOff>
    </xdr:from>
    <xdr:to>
      <xdr:col>4</xdr:col>
      <xdr:colOff>589901</xdr:colOff>
      <xdr:row>2</xdr:row>
      <xdr:rowOff>30208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A76E8F-3A8E-4822-BA94-3A2F32CA4F84}"/>
            </a:ext>
          </a:extLst>
        </xdr:cNvPr>
        <xdr:cNvSpPr txBox="1">
          <a:spLocks noChangeArrowheads="1"/>
        </xdr:cNvSpPr>
      </xdr:nvSpPr>
      <xdr:spPr bwMode="auto">
        <a:xfrm>
          <a:off x="3371850" y="516255"/>
          <a:ext cx="565136" cy="22642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=$B$2*B7</a:t>
          </a:r>
        </a:p>
      </xdr:txBody>
    </xdr:sp>
    <xdr:clientData/>
  </xdr:twoCellAnchor>
  <xdr:twoCellAnchor>
    <xdr:from>
      <xdr:col>3</xdr:col>
      <xdr:colOff>502920</xdr:colOff>
      <xdr:row>2</xdr:row>
      <xdr:rowOff>38100</xdr:rowOff>
    </xdr:from>
    <xdr:to>
      <xdr:col>4</xdr:col>
      <xdr:colOff>121920</xdr:colOff>
      <xdr:row>6</xdr:row>
      <xdr:rowOff>22860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21A2E80-53F7-4D8B-850C-9BE7C741C6D7}"/>
            </a:ext>
          </a:extLst>
        </xdr:cNvPr>
        <xdr:cNvSpPr>
          <a:spLocks noChangeShapeType="1"/>
        </xdr:cNvSpPr>
      </xdr:nvSpPr>
      <xdr:spPr bwMode="auto">
        <a:xfrm flipH="1">
          <a:off x="3028950" y="752475"/>
          <a:ext cx="43815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8</xdr:col>
      <xdr:colOff>200025</xdr:colOff>
      <xdr:row>2</xdr:row>
      <xdr:rowOff>133350</xdr:rowOff>
    </xdr:from>
    <xdr:to>
      <xdr:col>17</xdr:col>
      <xdr:colOff>329565</xdr:colOff>
      <xdr:row>27</xdr:row>
      <xdr:rowOff>91440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475D1A4-05F5-8E47-59AC-FE89D371C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429375" y="523875"/>
          <a:ext cx="5619750" cy="457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>
        <row r="5">
          <cell r="B5">
            <v>200000</v>
          </cell>
        </row>
        <row r="14">
          <cell r="I14">
            <v>49940.978490102221</v>
          </cell>
        </row>
        <row r="15">
          <cell r="I15">
            <v>89773.817629706318</v>
          </cell>
        </row>
        <row r="16">
          <cell r="I16">
            <v>60665.940683270819</v>
          </cell>
        </row>
        <row r="17">
          <cell r="I17">
            <v>39487.276042191763</v>
          </cell>
        </row>
        <row r="18">
          <cell r="I18">
            <v>23826.744937004805</v>
          </cell>
        </row>
        <row r="19">
          <cell r="I19">
            <v>22352.160721299151</v>
          </cell>
        </row>
        <row r="20">
          <cell r="I20">
            <v>20730.118084022935</v>
          </cell>
        </row>
        <row r="21">
          <cell r="I21">
            <v>1185.871183019095</v>
          </cell>
        </row>
        <row r="22">
          <cell r="I22">
            <v>-18696.800408085124</v>
          </cell>
        </row>
        <row r="23">
          <cell r="I23">
            <v>-20855.739158299773</v>
          </cell>
        </row>
        <row r="24">
          <cell r="I24">
            <v>-23230.571783535888</v>
          </cell>
        </row>
        <row r="25">
          <cell r="I25">
            <v>-25842.887671295604</v>
          </cell>
        </row>
        <row r="26">
          <cell r="I26">
            <v>-28716.435147831296</v>
          </cell>
        </row>
        <row r="27">
          <cell r="I27">
            <v>-31877.337372020556</v>
          </cell>
        </row>
        <row r="28">
          <cell r="I28">
            <v>-35354.32981862875</v>
          </cell>
        </row>
        <row r="29">
          <cell r="I29">
            <v>180000</v>
          </cell>
        </row>
      </sheetData>
      <sheetData sheetId="1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22"/>
  <sheetViews>
    <sheetView tabSelected="1" zoomScale="160" zoomScaleNormal="160" workbookViewId="0">
      <selection activeCell="G22" sqref="G22"/>
    </sheetView>
  </sheetViews>
  <sheetFormatPr defaultRowHeight="13.8" x14ac:dyDescent="0.25"/>
  <cols>
    <col min="1" max="1" width="11.6640625" style="2" customWidth="1"/>
    <col min="2" max="2" width="14.44140625" style="2" customWidth="1"/>
    <col min="3" max="3" width="10.6640625" style="2" customWidth="1"/>
    <col min="4" max="4" width="12" style="2" customWidth="1"/>
    <col min="5" max="5" width="13.5546875" style="2" customWidth="1"/>
    <col min="6" max="6" width="10.6640625" style="2" bestFit="1" customWidth="1"/>
    <col min="7" max="7" width="8.88671875" style="2"/>
  </cols>
  <sheetData>
    <row r="1" spans="1:7" ht="17.399999999999999" x14ac:dyDescent="0.25">
      <c r="A1" s="1" t="s">
        <v>0</v>
      </c>
      <c r="B1" s="1"/>
      <c r="C1" s="1"/>
      <c r="D1" s="1"/>
      <c r="E1" s="1"/>
      <c r="F1" s="1"/>
    </row>
    <row r="2" spans="1:7" x14ac:dyDescent="0.25">
      <c r="A2" s="2" t="s">
        <v>1</v>
      </c>
      <c r="B2" s="3">
        <f>IRR(C6:C22)</f>
        <v>0.12456684724551903</v>
      </c>
      <c r="C2" s="2" t="str">
        <f ca="1">[2]!getformula(B2)</f>
        <v>&lt;--  =IRR(C6:C22)</v>
      </c>
    </row>
    <row r="4" spans="1:7" x14ac:dyDescent="0.25">
      <c r="B4" s="4"/>
      <c r="D4" s="5" t="s">
        <v>2</v>
      </c>
      <c r="E4" s="5"/>
    </row>
    <row r="5" spans="1:7" ht="39.6" x14ac:dyDescent="0.25">
      <c r="A5" s="6" t="s">
        <v>3</v>
      </c>
      <c r="B5" s="7" t="s">
        <v>4</v>
      </c>
      <c r="C5" s="6" t="s">
        <v>5</v>
      </c>
      <c r="D5" s="6" t="s">
        <v>6</v>
      </c>
      <c r="E5" s="6" t="s">
        <v>7</v>
      </c>
      <c r="F5" s="8"/>
      <c r="G5" s="8"/>
    </row>
    <row r="6" spans="1:7" x14ac:dyDescent="0.25">
      <c r="A6" s="9">
        <v>0</v>
      </c>
      <c r="B6" s="10"/>
      <c r="C6" s="11">
        <v>-200000</v>
      </c>
      <c r="D6" s="9"/>
      <c r="E6" s="9"/>
      <c r="F6" s="12"/>
      <c r="G6" s="12"/>
    </row>
    <row r="7" spans="1:7" x14ac:dyDescent="0.25">
      <c r="A7" s="13">
        <v>1</v>
      </c>
      <c r="B7" s="14">
        <f>'[1]Page 221'!B5</f>
        <v>200000</v>
      </c>
      <c r="C7" s="14">
        <f>'[1]Page 221'!I14</f>
        <v>49940.978490102221</v>
      </c>
      <c r="D7" s="14">
        <f>$B$2*B7</f>
        <v>24913.369449103808</v>
      </c>
      <c r="E7" s="14">
        <f>C7-D7</f>
        <v>25027.609040998414</v>
      </c>
      <c r="F7" s="2" t="str">
        <f ca="1">[2]!getformula(E7)</f>
        <v>&lt;--  =C7-D7</v>
      </c>
    </row>
    <row r="8" spans="1:7" x14ac:dyDescent="0.25">
      <c r="A8" s="13">
        <v>2</v>
      </c>
      <c r="B8" s="14">
        <f t="shared" ref="B8:B22" si="0">B7-E7</f>
        <v>174972.39095900158</v>
      </c>
      <c r="C8" s="14">
        <f>'[1]Page 221'!I15</f>
        <v>89773.817629706318</v>
      </c>
      <c r="D8" s="14">
        <f t="shared" ref="D8:D22" si="1">$B$2*B8</f>
        <v>21795.759096773185</v>
      </c>
      <c r="E8" s="14">
        <f t="shared" ref="E8:E22" si="2">C8-D8</f>
        <v>67978.058532933137</v>
      </c>
    </row>
    <row r="9" spans="1:7" x14ac:dyDescent="0.25">
      <c r="A9" s="13">
        <v>3</v>
      </c>
      <c r="B9" s="14">
        <f t="shared" si="0"/>
        <v>106994.33242606845</v>
      </c>
      <c r="C9" s="14">
        <f>'[1]Page 221'!I16</f>
        <v>60665.940683270819</v>
      </c>
      <c r="D9" s="14">
        <f t="shared" si="1"/>
        <v>13327.946663454351</v>
      </c>
      <c r="E9" s="14">
        <f t="shared" si="2"/>
        <v>47337.99401981647</v>
      </c>
    </row>
    <row r="10" spans="1:7" x14ac:dyDescent="0.25">
      <c r="A10" s="13">
        <v>4</v>
      </c>
      <c r="B10" s="14">
        <f t="shared" si="0"/>
        <v>59656.338406251976</v>
      </c>
      <c r="C10" s="14">
        <f>'[1]Page 221'!I17</f>
        <v>39487.276042191763</v>
      </c>
      <c r="D10" s="14">
        <f t="shared" si="1"/>
        <v>7431.2019934785803</v>
      </c>
      <c r="E10" s="14">
        <f t="shared" si="2"/>
        <v>32056.074048713184</v>
      </c>
    </row>
    <row r="11" spans="1:7" x14ac:dyDescent="0.25">
      <c r="A11" s="13">
        <v>5</v>
      </c>
      <c r="B11" s="14">
        <f t="shared" si="0"/>
        <v>27600.264357538792</v>
      </c>
      <c r="C11" s="14">
        <f>'[1]Page 221'!I18</f>
        <v>23826.744937004805</v>
      </c>
      <c r="D11" s="14">
        <f t="shared" si="1"/>
        <v>3438.077914161478</v>
      </c>
      <c r="E11" s="14">
        <f t="shared" si="2"/>
        <v>20388.667022843329</v>
      </c>
    </row>
    <row r="12" spans="1:7" x14ac:dyDescent="0.25">
      <c r="A12" s="13">
        <v>6</v>
      </c>
      <c r="B12" s="14">
        <f t="shared" si="0"/>
        <v>7211.5973346954634</v>
      </c>
      <c r="C12" s="14">
        <f>'[1]Page 221'!I19</f>
        <v>22352.160721299151</v>
      </c>
      <c r="D12" s="14">
        <f t="shared" si="1"/>
        <v>898.325943587202</v>
      </c>
      <c r="E12" s="14">
        <f t="shared" si="2"/>
        <v>21453.834777711949</v>
      </c>
    </row>
    <row r="13" spans="1:7" x14ac:dyDescent="0.25">
      <c r="A13" s="13">
        <v>7</v>
      </c>
      <c r="B13" s="14">
        <f t="shared" si="0"/>
        <v>-14242.237443016485</v>
      </c>
      <c r="C13" s="14">
        <f>'[1]Page 221'!I20</f>
        <v>20730.118084022935</v>
      </c>
      <c r="D13" s="14">
        <f t="shared" si="1"/>
        <v>-1774.1106159986462</v>
      </c>
      <c r="E13" s="14">
        <f t="shared" si="2"/>
        <v>22504.22870002158</v>
      </c>
    </row>
    <row r="14" spans="1:7" x14ac:dyDescent="0.25">
      <c r="A14" s="13">
        <v>8</v>
      </c>
      <c r="B14" s="14">
        <f t="shared" si="0"/>
        <v>-36746.466143038066</v>
      </c>
      <c r="C14" s="14">
        <f>'[1]Page 221'!I21</f>
        <v>1185.871183019095</v>
      </c>
      <c r="D14" s="14">
        <f t="shared" si="1"/>
        <v>-4577.3914348524595</v>
      </c>
      <c r="E14" s="14">
        <f t="shared" si="2"/>
        <v>5763.2626178715545</v>
      </c>
    </row>
    <row r="15" spans="1:7" x14ac:dyDescent="0.25">
      <c r="A15" s="13">
        <v>9</v>
      </c>
      <c r="B15" s="14">
        <f t="shared" si="0"/>
        <v>-42509.728760909624</v>
      </c>
      <c r="C15" s="14">
        <f>'[1]Page 221'!I22</f>
        <v>-18696.800408085124</v>
      </c>
      <c r="D15" s="14">
        <f t="shared" si="1"/>
        <v>-5295.3028890086762</v>
      </c>
      <c r="E15" s="14">
        <f t="shared" si="2"/>
        <v>-13401.497519076449</v>
      </c>
    </row>
    <row r="16" spans="1:7" x14ac:dyDescent="0.25">
      <c r="A16" s="13">
        <v>10</v>
      </c>
      <c r="B16" s="14">
        <f t="shared" si="0"/>
        <v>-29108.231241833175</v>
      </c>
      <c r="C16" s="14">
        <f>'[1]Page 221'!I23</f>
        <v>-20855.739158299773</v>
      </c>
      <c r="D16" s="14">
        <f t="shared" si="1"/>
        <v>-3625.9205946886777</v>
      </c>
      <c r="E16" s="14">
        <f t="shared" si="2"/>
        <v>-17229.818563611094</v>
      </c>
    </row>
    <row r="17" spans="1:5" x14ac:dyDescent="0.25">
      <c r="A17" s="13">
        <v>11</v>
      </c>
      <c r="B17" s="14">
        <f t="shared" si="0"/>
        <v>-11878.412678222081</v>
      </c>
      <c r="C17" s="14">
        <f>'[1]Page 221'!I24</f>
        <v>-23230.571783535888</v>
      </c>
      <c r="D17" s="14">
        <f t="shared" si="1"/>
        <v>-1479.6564176073266</v>
      </c>
      <c r="E17" s="14">
        <f t="shared" si="2"/>
        <v>-21750.915365928562</v>
      </c>
    </row>
    <row r="18" spans="1:5" x14ac:dyDescent="0.25">
      <c r="A18" s="13">
        <v>12</v>
      </c>
      <c r="B18" s="14">
        <f t="shared" si="0"/>
        <v>9872.5026877064811</v>
      </c>
      <c r="C18" s="14">
        <f>'[1]Page 221'!I25</f>
        <v>-25842.887671295604</v>
      </c>
      <c r="D18" s="14">
        <f t="shared" si="1"/>
        <v>1229.7865342305092</v>
      </c>
      <c r="E18" s="14">
        <f t="shared" si="2"/>
        <v>-27072.674205526113</v>
      </c>
    </row>
    <row r="19" spans="1:5" x14ac:dyDescent="0.25">
      <c r="A19" s="13">
        <v>13</v>
      </c>
      <c r="B19" s="14">
        <f t="shared" si="0"/>
        <v>36945.176893232594</v>
      </c>
      <c r="C19" s="14">
        <f>'[1]Page 221'!I26</f>
        <v>-28716.435147831296</v>
      </c>
      <c r="D19" s="14">
        <f t="shared" si="1"/>
        <v>4602.1442065179835</v>
      </c>
      <c r="E19" s="14">
        <f t="shared" si="2"/>
        <v>-33318.579354349276</v>
      </c>
    </row>
    <row r="20" spans="1:5" x14ac:dyDescent="0.25">
      <c r="A20" s="13">
        <v>14</v>
      </c>
      <c r="B20" s="14">
        <f t="shared" si="0"/>
        <v>70263.75624758187</v>
      </c>
      <c r="C20" s="14">
        <f>'[1]Page 221'!I27</f>
        <v>-31877.337372020556</v>
      </c>
      <c r="D20" s="14">
        <f t="shared" si="1"/>
        <v>8752.5345913889141</v>
      </c>
      <c r="E20" s="14">
        <f t="shared" si="2"/>
        <v>-40629.871963409474</v>
      </c>
    </row>
    <row r="21" spans="1:5" x14ac:dyDescent="0.25">
      <c r="A21" s="13">
        <v>15</v>
      </c>
      <c r="B21" s="14">
        <f t="shared" si="0"/>
        <v>110893.62821099134</v>
      </c>
      <c r="C21" s="14">
        <f>'[1]Page 221'!I28</f>
        <v>-35354.32981862875</v>
      </c>
      <c r="D21" s="14">
        <f t="shared" si="1"/>
        <v>13813.669645859938</v>
      </c>
      <c r="E21" s="14">
        <f t="shared" si="2"/>
        <v>-49167.99946448869</v>
      </c>
    </row>
    <row r="22" spans="1:5" x14ac:dyDescent="0.25">
      <c r="A22" s="13">
        <v>16</v>
      </c>
      <c r="B22" s="14">
        <f t="shared" si="0"/>
        <v>160061.62767548003</v>
      </c>
      <c r="C22" s="14">
        <f>'[1]Page 221'!I29</f>
        <v>180000</v>
      </c>
      <c r="D22" s="14">
        <f t="shared" si="1"/>
        <v>19938.372324520664</v>
      </c>
      <c r="E22" s="14">
        <f t="shared" si="2"/>
        <v>160061.62767547934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2024-10-23T07:45:24Z</dcterms:modified>
</cp:coreProperties>
</file>