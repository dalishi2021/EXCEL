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7\"/>
    </mc:Choice>
  </mc:AlternateContent>
  <xr:revisionPtr revIDLastSave="0" documentId="13_ncr:1_{5DFA9E05-9984-471F-8359-EA5743F37DF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18" i="1"/>
  <c r="C17" i="1"/>
  <c r="C16" i="1"/>
  <c r="C15" i="1"/>
  <c r="B10" i="1"/>
  <c r="C29" i="1" s="1"/>
  <c r="D26" i="1"/>
  <c r="D25" i="1"/>
  <c r="F15" i="1"/>
  <c r="C10" i="1"/>
  <c r="D15" i="1" l="1"/>
  <c r="E15" i="1" s="1"/>
  <c r="B16" i="1" s="1"/>
  <c r="C25" i="1"/>
  <c r="C26" i="1"/>
  <c r="C27" i="1"/>
  <c r="C28" i="1"/>
  <c r="D16" i="1" l="1"/>
  <c r="E16" i="1" s="1"/>
  <c r="B17" i="1" s="1"/>
  <c r="D17" i="1" l="1"/>
  <c r="E17" i="1" s="1"/>
  <c r="B18" i="1" s="1"/>
  <c r="D18" i="1" l="1"/>
  <c r="E18" i="1" s="1"/>
  <c r="B19" i="1" s="1"/>
  <c r="D19" i="1" s="1"/>
  <c r="E19" i="1" s="1"/>
</calcChain>
</file>

<file path=xl/sharedStrings.xml><?xml version="1.0" encoding="utf-8"?>
<sst xmlns="http://schemas.openxmlformats.org/spreadsheetml/2006/main" count="15" uniqueCount="11">
  <si>
    <t>UNDERSTANDING THE IRR</t>
  </si>
  <si>
    <t>Year</t>
  </si>
  <si>
    <t>Cash
flow</t>
  </si>
  <si>
    <t>IRR</t>
  </si>
  <si>
    <t>CASH FLOW ATTRIBUTION TABLE</t>
  </si>
  <si>
    <t>Attribution of cash flow</t>
  </si>
  <si>
    <t>Investment at beginning of period</t>
  </si>
  <si>
    <t>Cash flow at end of year</t>
  </si>
  <si>
    <t>Income</t>
  </si>
  <si>
    <t>Repayment of investment</t>
  </si>
  <si>
    <t>THE INVESTMENT AT THE BEGINNING OF EACH PERIOD IS THE PRESENT VALUE (USING IRR AS DISCOUNT RATE) OF ALL FUTURE CASH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</si>
</sst>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00%"/>
    <numFmt numFmtId="178" formatCode="_(* #,##0_);_(* \(#,##0\);_(* &quot;-&quot;??_);_(@_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3" fontId="0" fillId="0" borderId="0" xfId="0" applyNumberFormat="1" applyAlignment="1"/>
    <xf numFmtId="176" fontId="0" fillId="0" borderId="0" xfId="0" applyNumberFormat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4" fillId="0" borderId="0" xfId="0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8" fontId="0" fillId="0" borderId="0" xfId="1" applyNumberFormat="1" applyFont="1" applyAlignment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38" fontId="0" fillId="0" borderId="0" xfId="0" applyNumberFormat="1" applyAlignment="1"/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179070</xdr:colOff>
      <xdr:row>19</xdr:row>
      <xdr:rowOff>87630</xdr:rowOff>
    </xdr:from>
    <xdr:to>
      <xdr:col>1</xdr:col>
      <xdr:colOff>205740</xdr:colOff>
      <xdr:row>20</xdr:row>
      <xdr:rowOff>117969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B4F9B247-6826-473D-8FEE-BD07727E9090}"/>
            </a:ext>
          </a:extLst>
        </xdr:cNvPr>
        <xdr:cNvSpPr txBox="1">
          <a:spLocks noChangeArrowheads="1"/>
        </xdr:cNvSpPr>
      </xdr:nvSpPr>
      <xdr:spPr bwMode="auto">
        <a:xfrm>
          <a:off x="177165" y="3949065"/>
          <a:ext cx="699135" cy="19797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B15-E15</a:t>
          </a:r>
        </a:p>
      </xdr:txBody>
    </xdr:sp>
    <xdr:clientData/>
  </xdr:twoCellAnchor>
  <xdr:twoCellAnchor>
    <xdr:from>
      <xdr:col>2</xdr:col>
      <xdr:colOff>243840</xdr:colOff>
      <xdr:row>19</xdr:row>
      <xdr:rowOff>91440</xdr:rowOff>
    </xdr:from>
    <xdr:to>
      <xdr:col>3</xdr:col>
      <xdr:colOff>29765</xdr:colOff>
      <xdr:row>20</xdr:row>
      <xdr:rowOff>125016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014E620-1A4B-4429-B870-4059D7E382D1}"/>
            </a:ext>
          </a:extLst>
        </xdr:cNvPr>
        <xdr:cNvSpPr txBox="1">
          <a:spLocks noChangeArrowheads="1"/>
        </xdr:cNvSpPr>
      </xdr:nvSpPr>
      <xdr:spPr bwMode="auto">
        <a:xfrm>
          <a:off x="1803559" y="3972878"/>
          <a:ext cx="1012269" cy="20621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$B$10*B15</a:t>
          </a:r>
        </a:p>
      </xdr:txBody>
    </xdr:sp>
    <xdr:clientData/>
  </xdr:twoCellAnchor>
  <xdr:twoCellAnchor>
    <xdr:from>
      <xdr:col>0</xdr:col>
      <xdr:colOff>480060</xdr:colOff>
      <xdr:row>15</xdr:row>
      <xdr:rowOff>83820</xdr:rowOff>
    </xdr:from>
    <xdr:to>
      <xdr:col>1</xdr:col>
      <xdr:colOff>365760</xdr:colOff>
      <xdr:row>19</xdr:row>
      <xdr:rowOff>91440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04566D21-58DD-4DDB-A74D-05B6C70F0C57}"/>
            </a:ext>
          </a:extLst>
        </xdr:cNvPr>
        <xdr:cNvSpPr>
          <a:spLocks noChangeShapeType="1"/>
        </xdr:cNvSpPr>
      </xdr:nvSpPr>
      <xdr:spPr bwMode="auto">
        <a:xfrm flipV="1">
          <a:off x="476250" y="3257550"/>
          <a:ext cx="552450" cy="695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685800</xdr:colOff>
      <xdr:row>14</xdr:row>
      <xdr:rowOff>99060</xdr:rowOff>
    </xdr:from>
    <xdr:to>
      <xdr:col>3</xdr:col>
      <xdr:colOff>175260</xdr:colOff>
      <xdr:row>19</xdr:row>
      <xdr:rowOff>76200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8FEAE395-91CD-4D22-9309-235520BE2FB9}"/>
            </a:ext>
          </a:extLst>
        </xdr:cNvPr>
        <xdr:cNvSpPr>
          <a:spLocks noChangeShapeType="1"/>
        </xdr:cNvSpPr>
      </xdr:nvSpPr>
      <xdr:spPr bwMode="auto">
        <a:xfrm flipV="1">
          <a:off x="2247900" y="3095625"/>
          <a:ext cx="714375" cy="838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314325</xdr:colOff>
      <xdr:row>0</xdr:row>
      <xdr:rowOff>133350</xdr:rowOff>
    </xdr:from>
    <xdr:to>
      <xdr:col>16</xdr:col>
      <xdr:colOff>586740</xdr:colOff>
      <xdr:row>34</xdr:row>
      <xdr:rowOff>129540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5BF8CB96-B797-0A04-FB52-AE0191059B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067425" y="133350"/>
          <a:ext cx="5753100" cy="6610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21"/>
      <sheetName val="Page 221 (中文)"/>
      <sheetName val="Page 223"/>
      <sheetName val="Page 223 (中文)"/>
      <sheetName val="Page 224 "/>
      <sheetName val="Page 224(中文)"/>
      <sheetName val="Page 225"/>
      <sheetName val="Page 225 (中文)"/>
      <sheetName val="Pages 226, 228 top"/>
      <sheetName val="Pages 226, 228 top (中文)"/>
      <sheetName val="Page 228, bottom"/>
      <sheetName val="Page 228, bottom (中文)"/>
      <sheetName val="Page 230"/>
      <sheetName val="Page 230 (中文)"/>
      <sheetName val="Page 232"/>
      <sheetName val="Page 232 (中文)"/>
      <sheetName val="Page 233"/>
      <sheetName val="Page 233 (中文)"/>
      <sheetName val="Page 234"/>
      <sheetName val="Page 234 (中文)"/>
    </sheetNames>
    <sheetDataSet>
      <sheetData sheetId="0"/>
      <sheetData sheetId="1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G29"/>
  <sheetViews>
    <sheetView tabSelected="1" zoomScale="160" zoomScaleNormal="160" workbookViewId="0">
      <selection activeCell="F21" sqref="F21"/>
    </sheetView>
  </sheetViews>
  <sheetFormatPr defaultRowHeight="13.8" x14ac:dyDescent="0.25"/>
  <cols>
    <col min="1" max="1" width="9.6640625" style="2" customWidth="1"/>
    <col min="2" max="2" width="13.109375" style="2" customWidth="1"/>
    <col min="3" max="3" width="17.88671875" style="2" customWidth="1"/>
    <col min="4" max="4" width="8.88671875" style="2"/>
    <col min="5" max="5" width="12.33203125" style="2" customWidth="1"/>
    <col min="6" max="6" width="13" style="2" customWidth="1"/>
    <col min="7" max="7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</row>
    <row r="2" spans="1:7" ht="26.4" x14ac:dyDescent="0.25">
      <c r="A2" s="3" t="s">
        <v>1</v>
      </c>
      <c r="B2" s="4" t="s">
        <v>2</v>
      </c>
    </row>
    <row r="3" spans="1:7" x14ac:dyDescent="0.25">
      <c r="A3" s="5">
        <v>0</v>
      </c>
      <c r="B3" s="6">
        <v>-100000</v>
      </c>
    </row>
    <row r="4" spans="1:7" x14ac:dyDescent="0.25">
      <c r="A4" s="5">
        <v>1</v>
      </c>
      <c r="B4" s="6">
        <v>31000</v>
      </c>
    </row>
    <row r="5" spans="1:7" x14ac:dyDescent="0.25">
      <c r="A5" s="5">
        <v>2</v>
      </c>
      <c r="B5" s="6">
        <v>22000</v>
      </c>
    </row>
    <row r="6" spans="1:7" x14ac:dyDescent="0.25">
      <c r="A6" s="5">
        <v>3</v>
      </c>
      <c r="B6" s="6">
        <v>16000</v>
      </c>
    </row>
    <row r="7" spans="1:7" x14ac:dyDescent="0.25">
      <c r="A7" s="5">
        <v>4</v>
      </c>
      <c r="B7" s="6">
        <v>22000</v>
      </c>
    </row>
    <row r="8" spans="1:7" x14ac:dyDescent="0.25">
      <c r="A8" s="5">
        <v>5</v>
      </c>
      <c r="B8" s="6">
        <v>35000</v>
      </c>
    </row>
    <row r="10" spans="1:7" x14ac:dyDescent="0.25">
      <c r="A10" s="5" t="s">
        <v>3</v>
      </c>
      <c r="B10" s="7">
        <f>IRR(B3:B8,0)</f>
        <v>8.0966766382536415E-2</v>
      </c>
      <c r="C10" s="2" t="str">
        <f ca="1">[2]!getformula(B10)</f>
        <v>&lt;--  =IRR(B3:B8,0)</v>
      </c>
      <c r="E10" s="5"/>
      <c r="F10" s="6"/>
    </row>
    <row r="12" spans="1:7" ht="15.6" x14ac:dyDescent="0.3">
      <c r="A12" s="8" t="s">
        <v>4</v>
      </c>
      <c r="B12" s="8"/>
      <c r="C12" s="8"/>
      <c r="D12" s="8"/>
      <c r="E12" s="8"/>
      <c r="F12" s="8"/>
    </row>
    <row r="13" spans="1:7" ht="15.6" x14ac:dyDescent="0.3">
      <c r="A13" s="9"/>
      <c r="B13" s="9"/>
      <c r="C13" s="9"/>
      <c r="D13" s="10" t="s">
        <v>5</v>
      </c>
      <c r="E13" s="10"/>
      <c r="F13" s="9"/>
    </row>
    <row r="14" spans="1:7" ht="39.6" x14ac:dyDescent="0.25">
      <c r="A14" s="11" t="s">
        <v>1</v>
      </c>
      <c r="B14" s="12" t="s">
        <v>6</v>
      </c>
      <c r="C14" s="11" t="s">
        <v>7</v>
      </c>
      <c r="D14" s="11" t="s">
        <v>8</v>
      </c>
      <c r="E14" s="11" t="s">
        <v>9</v>
      </c>
      <c r="F14" s="13"/>
      <c r="G14" s="13"/>
    </row>
    <row r="15" spans="1:7" x14ac:dyDescent="0.25">
      <c r="A15" s="5">
        <v>1</v>
      </c>
      <c r="B15" s="6">
        <v>100000</v>
      </c>
      <c r="C15" s="6">
        <f>B4</f>
        <v>31000</v>
      </c>
      <c r="D15" s="14">
        <f>$B$10*B15</f>
        <v>8096.6766382536416</v>
      </c>
      <c r="E15" s="14">
        <f>C15-D15</f>
        <v>22903.323361746359</v>
      </c>
      <c r="F15" s="2" t="str">
        <f ca="1">[2]!getformula(E15)</f>
        <v>&lt;--  =C15-D15</v>
      </c>
    </row>
    <row r="16" spans="1:7" x14ac:dyDescent="0.25">
      <c r="A16" s="5">
        <v>2</v>
      </c>
      <c r="B16" s="6">
        <f>B15-E15</f>
        <v>77096.676638253644</v>
      </c>
      <c r="C16" s="6">
        <f>B5</f>
        <v>22000</v>
      </c>
      <c r="D16" s="14">
        <f>$B$10*B16</f>
        <v>6242.2686062394359</v>
      </c>
      <c r="E16" s="14">
        <f>C16-D16</f>
        <v>15757.731393760565</v>
      </c>
    </row>
    <row r="17" spans="1:6" x14ac:dyDescent="0.25">
      <c r="A17" s="5">
        <v>3</v>
      </c>
      <c r="B17" s="6">
        <f>B16-E16</f>
        <v>61338.945244493079</v>
      </c>
      <c r="C17" s="6">
        <f>B6</f>
        <v>16000</v>
      </c>
      <c r="D17" s="14">
        <f>$B$10*B17</f>
        <v>4966.4160497620642</v>
      </c>
      <c r="E17" s="14">
        <f>C17-D17</f>
        <v>11033.583950237935</v>
      </c>
    </row>
    <row r="18" spans="1:6" x14ac:dyDescent="0.25">
      <c r="A18" s="5">
        <v>4</v>
      </c>
      <c r="B18" s="6">
        <f>B17-E17</f>
        <v>50305.361294255141</v>
      </c>
      <c r="C18" s="6">
        <f>B7</f>
        <v>22000</v>
      </c>
      <c r="D18" s="14">
        <f>$B$10*B18</f>
        <v>4073.0624357010456</v>
      </c>
      <c r="E18" s="14">
        <f>C18-D18</f>
        <v>17926.937564298954</v>
      </c>
    </row>
    <row r="19" spans="1:6" x14ac:dyDescent="0.25">
      <c r="A19" s="5">
        <v>5</v>
      </c>
      <c r="B19" s="6">
        <f>B18-E18</f>
        <v>32378.423729956186</v>
      </c>
      <c r="C19" s="6">
        <f>B8</f>
        <v>35000</v>
      </c>
      <c r="D19" s="14">
        <f>$B$10*B19</f>
        <v>2621.5762699781358</v>
      </c>
      <c r="E19" s="14">
        <f>C19-D19</f>
        <v>32378.423730021863</v>
      </c>
    </row>
    <row r="23" spans="1:6" ht="15.6" x14ac:dyDescent="0.25">
      <c r="A23" s="15" t="s">
        <v>10</v>
      </c>
      <c r="B23" s="15"/>
      <c r="C23" s="15"/>
      <c r="D23" s="15"/>
      <c r="E23" s="16"/>
      <c r="F23" s="16"/>
    </row>
    <row r="24" spans="1:6" ht="26.4" x14ac:dyDescent="0.25">
      <c r="A24" s="11" t="s">
        <v>1</v>
      </c>
      <c r="B24" s="11" t="s">
        <v>7</v>
      </c>
      <c r="C24" s="12" t="s">
        <v>6</v>
      </c>
    </row>
    <row r="25" spans="1:6" x14ac:dyDescent="0.25">
      <c r="A25" s="5">
        <v>1</v>
      </c>
      <c r="B25" s="6">
        <v>31000</v>
      </c>
      <c r="C25" s="17">
        <f>NPV($B$10,B25:$B$29)</f>
        <v>100000.00000004451</v>
      </c>
      <c r="D25" s="2" t="str">
        <f ca="1">[2]!getformula(C25)</f>
        <v>&lt;--  =NPV($B$10,B25:$B$29)</v>
      </c>
    </row>
    <row r="26" spans="1:6" x14ac:dyDescent="0.25">
      <c r="A26" s="5">
        <v>2</v>
      </c>
      <c r="B26" s="6">
        <v>22000</v>
      </c>
      <c r="C26" s="17">
        <f>NPV($B$10,B26:$B$29)</f>
        <v>77096.676638301738</v>
      </c>
      <c r="D26" s="2" t="str">
        <f ca="1">[2]!getformula(C26)</f>
        <v>&lt;--  =NPV($B$10,B26:$B$29)</v>
      </c>
    </row>
    <row r="27" spans="1:6" x14ac:dyDescent="0.25">
      <c r="A27" s="5">
        <v>3</v>
      </c>
      <c r="B27" s="6">
        <v>16000</v>
      </c>
      <c r="C27" s="17">
        <f>NPV($B$10,B27:$B$29)</f>
        <v>61338.945244545081</v>
      </c>
    </row>
    <row r="28" spans="1:6" x14ac:dyDescent="0.25">
      <c r="A28" s="5">
        <v>4</v>
      </c>
      <c r="B28" s="6">
        <v>22000</v>
      </c>
      <c r="C28" s="17">
        <f>NPV($B$10,B28:$B$29)</f>
        <v>50305.361294311348</v>
      </c>
    </row>
    <row r="29" spans="1:6" x14ac:dyDescent="0.25">
      <c r="A29" s="5">
        <v>5</v>
      </c>
      <c r="B29" s="6">
        <v>35000</v>
      </c>
      <c r="C29" s="17">
        <f>NPV($B$10,B29:$B$29)</f>
        <v>32378.423730016944</v>
      </c>
    </row>
  </sheetData>
  <mergeCells count="4">
    <mergeCell ref="A1:F1"/>
    <mergeCell ref="A12:F12"/>
    <mergeCell ref="D13:E13"/>
    <mergeCell ref="A23:F2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2024-10-23T07:31:32Z</dcterms:modified>
</cp:coreProperties>
</file>