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7\"/>
    </mc:Choice>
  </mc:AlternateContent>
  <xr:revisionPtr revIDLastSave="0" documentId="13_ncr:1_{72775B6C-1936-4379-9B9A-06CCB30FA8D8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  <c r="C8" i="1"/>
  <c r="D8" i="1" s="1"/>
  <c r="B9" i="1"/>
  <c r="D9" i="1" s="1"/>
  <c r="C9" i="1"/>
  <c r="B10" i="1"/>
  <c r="D10" i="1" s="1"/>
  <c r="C10" i="1"/>
  <c r="B11" i="1"/>
  <c r="C11" i="1"/>
  <c r="D11" i="1"/>
  <c r="B12" i="1"/>
  <c r="D12" i="1" s="1"/>
  <c r="C12" i="1"/>
  <c r="B13" i="1"/>
  <c r="C13" i="1"/>
  <c r="D13" i="1"/>
  <c r="B14" i="1"/>
  <c r="D14" i="1" s="1"/>
  <c r="C14" i="1"/>
  <c r="B15" i="1"/>
  <c r="D15" i="1" s="1"/>
  <c r="C15" i="1"/>
  <c r="B16" i="1"/>
  <c r="C16" i="1"/>
  <c r="D16" i="1"/>
  <c r="B17" i="1"/>
  <c r="C17" i="1"/>
  <c r="D17" i="1"/>
  <c r="B18" i="1"/>
  <c r="D18" i="1" s="1"/>
  <c r="C18" i="1"/>
  <c r="B19" i="1"/>
  <c r="C19" i="1"/>
  <c r="D19" i="1"/>
  <c r="B20" i="1"/>
  <c r="D20" i="1" s="1"/>
  <c r="C20" i="1"/>
  <c r="B21" i="1"/>
  <c r="D21" i="1" s="1"/>
  <c r="C21" i="1"/>
  <c r="D7" i="1"/>
  <c r="C7" i="1"/>
  <c r="B7" i="1"/>
  <c r="E7" i="1"/>
</calcChain>
</file>

<file path=xl/sharedStrings.xml><?xml version="1.0" encoding="utf-8"?>
<sst xmlns="http://schemas.openxmlformats.org/spreadsheetml/2006/main" count="8" uniqueCount="8">
  <si>
    <t>COMPUTING THE LOAN PAYMENTS 
USING IPMT AND PPMT</t>
  </si>
  <si>
    <t>Debt</t>
    <phoneticPr fontId="3" type="noConversion"/>
  </si>
  <si>
    <t>Debt term (years)</t>
  </si>
  <si>
    <t>Interest</t>
  </si>
  <si>
    <t>Year</t>
  </si>
  <si>
    <t>Interest payment on debt</t>
  </si>
  <si>
    <t>Debt principal repayment</t>
  </si>
  <si>
    <t>Total payment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</si>
</sst>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;;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sz val="9"/>
      <name val="宋体"/>
      <family val="3"/>
      <charset val="134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/>
    <xf numFmtId="3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9" fontId="0" fillId="0" borderId="0" xfId="0" applyNumberFormat="1" applyAlignment="1">
      <alignment horizontal="right"/>
    </xf>
    <xf numFmtId="9" fontId="0" fillId="0" borderId="0" xfId="0" applyNumberFormat="1" applyAlignment="1">
      <alignment horizontal="center"/>
    </xf>
    <xf numFmtId="0" fontId="4" fillId="0" borderId="0" xfId="0" applyFont="1" applyAlignment="1">
      <alignment horizontal="center" vertical="center" wrapText="1"/>
    </xf>
    <xf numFmtId="3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308610</xdr:colOff>
      <xdr:row>1</xdr:row>
      <xdr:rowOff>45720</xdr:rowOff>
    </xdr:from>
    <xdr:to>
      <xdr:col>4</xdr:col>
      <xdr:colOff>301007</xdr:colOff>
      <xdr:row>2</xdr:row>
      <xdr:rowOff>87630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46EBA45A-CC37-4442-BE04-99A9358F318D}"/>
            </a:ext>
          </a:extLst>
        </xdr:cNvPr>
        <xdr:cNvSpPr txBox="1">
          <a:spLocks noChangeArrowheads="1"/>
        </xdr:cNvSpPr>
      </xdr:nvSpPr>
      <xdr:spPr bwMode="auto">
        <a:xfrm>
          <a:off x="2434590" y="504825"/>
          <a:ext cx="1724042" cy="21526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=IPMT($B$4,A7,$B$3,-$B$2)</a:t>
          </a:r>
        </a:p>
      </xdr:txBody>
    </xdr:sp>
    <xdr:clientData/>
  </xdr:twoCellAnchor>
  <xdr:twoCellAnchor>
    <xdr:from>
      <xdr:col>2</xdr:col>
      <xdr:colOff>685800</xdr:colOff>
      <xdr:row>3</xdr:row>
      <xdr:rowOff>19050</xdr:rowOff>
    </xdr:from>
    <xdr:to>
      <xdr:col>4</xdr:col>
      <xdr:colOff>735330</xdr:colOff>
      <xdr:row>4</xdr:row>
      <xdr:rowOff>57150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B839A728-5011-4FF0-A1FB-67C36CDF4769}"/>
            </a:ext>
          </a:extLst>
        </xdr:cNvPr>
        <xdr:cNvSpPr txBox="1">
          <a:spLocks noChangeArrowheads="1"/>
        </xdr:cNvSpPr>
      </xdr:nvSpPr>
      <xdr:spPr bwMode="auto">
        <a:xfrm>
          <a:off x="2809875" y="815340"/>
          <a:ext cx="178689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=PPMT($B$4,A7,$B$3,-$B$2)</a:t>
          </a:r>
        </a:p>
      </xdr:txBody>
    </xdr:sp>
    <xdr:clientData/>
  </xdr:twoCellAnchor>
  <xdr:twoCellAnchor>
    <xdr:from>
      <xdr:col>1</xdr:col>
      <xdr:colOff>571500</xdr:colOff>
      <xdr:row>2</xdr:row>
      <xdr:rowOff>83820</xdr:rowOff>
    </xdr:from>
    <xdr:to>
      <xdr:col>2</xdr:col>
      <xdr:colOff>449580</xdr:colOff>
      <xdr:row>6</xdr:row>
      <xdr:rowOff>60960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4BEA13AA-4DBC-4106-ABBF-4E61866D33A7}"/>
            </a:ext>
          </a:extLst>
        </xdr:cNvPr>
        <xdr:cNvSpPr>
          <a:spLocks noChangeShapeType="1"/>
        </xdr:cNvSpPr>
      </xdr:nvSpPr>
      <xdr:spPr bwMode="auto">
        <a:xfrm flipH="1">
          <a:off x="1828800" y="714375"/>
          <a:ext cx="742950" cy="9906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632460</xdr:colOff>
      <xdr:row>4</xdr:row>
      <xdr:rowOff>38100</xdr:rowOff>
    </xdr:from>
    <xdr:to>
      <xdr:col>3</xdr:col>
      <xdr:colOff>541020</xdr:colOff>
      <xdr:row>6</xdr:row>
      <xdr:rowOff>53340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012DDA02-5007-4C98-91B7-CE2292EE736F}"/>
            </a:ext>
          </a:extLst>
        </xdr:cNvPr>
        <xdr:cNvSpPr>
          <a:spLocks noChangeShapeType="1"/>
        </xdr:cNvSpPr>
      </xdr:nvSpPr>
      <xdr:spPr bwMode="auto">
        <a:xfrm flipH="1">
          <a:off x="2752725" y="1009650"/>
          <a:ext cx="781050" cy="695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9</xdr:col>
      <xdr:colOff>251460</xdr:colOff>
      <xdr:row>6</xdr:row>
      <xdr:rowOff>7620</xdr:rowOff>
    </xdr:from>
    <xdr:to>
      <xdr:col>17</xdr:col>
      <xdr:colOff>205740</xdr:colOff>
      <xdr:row>32</xdr:row>
      <xdr:rowOff>38100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6209150-1116-21DE-6862-FC7FABE9A0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13320" y="1432560"/>
          <a:ext cx="4823460" cy="4587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7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221"/>
      <sheetName val="Page 221 (中文)"/>
      <sheetName val="Page 223"/>
      <sheetName val="Page 223 (中文)"/>
      <sheetName val="Page 224 "/>
      <sheetName val="Page 224(中文)"/>
      <sheetName val="Page 225"/>
      <sheetName val="Page 225 (中文)"/>
      <sheetName val="Pages 226, 228 top"/>
      <sheetName val="Pages 226, 228 top (中文)"/>
      <sheetName val="Page 228, bottom"/>
      <sheetName val="Page 228, bottom (中文)"/>
      <sheetName val="Page 230"/>
      <sheetName val="Page 230 (中文)"/>
      <sheetName val="Page 232"/>
      <sheetName val="Page 232 (中文)"/>
      <sheetName val="Page 233"/>
      <sheetName val="Page 233 (中文)"/>
      <sheetName val="Page 234"/>
      <sheetName val="Page 234 (中文)"/>
    </sheetNames>
    <sheetDataSet>
      <sheetData sheetId="0"/>
      <sheetData sheetId="1"/>
      <sheetData sheetId="4"/>
      <sheetData sheetId="5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E47"/>
  <sheetViews>
    <sheetView tabSelected="1" zoomScale="160" zoomScaleNormal="160" workbookViewId="0">
      <selection activeCell="E12" sqref="E12"/>
    </sheetView>
  </sheetViews>
  <sheetFormatPr defaultRowHeight="13.8" x14ac:dyDescent="0.25"/>
  <cols>
    <col min="1" max="1" width="18.33203125" style="2" customWidth="1"/>
    <col min="2" max="4" width="12.6640625" style="4" customWidth="1"/>
    <col min="5" max="5" width="14" style="4" customWidth="1"/>
  </cols>
  <sheetData>
    <row r="1" spans="1:5" ht="17.399999999999999" x14ac:dyDescent="0.25">
      <c r="A1" s="1" t="s">
        <v>0</v>
      </c>
      <c r="B1" s="1"/>
      <c r="C1" s="1"/>
      <c r="D1" s="1"/>
      <c r="E1" s="1"/>
    </row>
    <row r="2" spans="1:5" x14ac:dyDescent="0.25">
      <c r="A2" s="2" t="s">
        <v>1</v>
      </c>
      <c r="B2" s="3">
        <v>800000</v>
      </c>
    </row>
    <row r="3" spans="1:5" x14ac:dyDescent="0.25">
      <c r="A3" s="2" t="s">
        <v>2</v>
      </c>
      <c r="B3" s="5">
        <v>15</v>
      </c>
    </row>
    <row r="4" spans="1:5" x14ac:dyDescent="0.25">
      <c r="A4" s="2" t="s">
        <v>3</v>
      </c>
      <c r="B4" s="6">
        <v>0.1</v>
      </c>
    </row>
    <row r="5" spans="1:5" x14ac:dyDescent="0.25">
      <c r="B5" s="7"/>
    </row>
    <row r="6" spans="1:5" ht="39.6" x14ac:dyDescent="0.25">
      <c r="A6" s="8" t="s">
        <v>4</v>
      </c>
      <c r="B6" s="8" t="s">
        <v>5</v>
      </c>
      <c r="C6" s="8" t="s">
        <v>6</v>
      </c>
      <c r="D6" s="8" t="s">
        <v>7</v>
      </c>
      <c r="E6" s="8"/>
    </row>
    <row r="7" spans="1:5" x14ac:dyDescent="0.25">
      <c r="A7" s="4">
        <v>1</v>
      </c>
      <c r="B7" s="9">
        <f>IPMT($B$4,$A7,$B$3,-$B$2,,0)</f>
        <v>80000</v>
      </c>
      <c r="C7" s="9">
        <f>PPMT($B$4,$A7,$B$3,-$B$2,,0)</f>
        <v>25179.021509897779</v>
      </c>
      <c r="D7" s="9">
        <f>SUM(B7:C7)</f>
        <v>105179.02150989778</v>
      </c>
      <c r="E7" s="9" t="str">
        <f ca="1">[2]!getformula(D7)</f>
        <v>&lt;--  =SUM(B7:C7)</v>
      </c>
    </row>
    <row r="8" spans="1:5" x14ac:dyDescent="0.25">
      <c r="A8" s="4">
        <v>2</v>
      </c>
      <c r="B8" s="9">
        <f t="shared" ref="B8:B21" si="0">IPMT($B$4,$A8,$B$3,-$B$2,,0)</f>
        <v>77482.097849010228</v>
      </c>
      <c r="C8" s="9">
        <f t="shared" ref="C8:C21" si="1">PPMT($B$4,$A8,$B$3,-$B$2,,0)</f>
        <v>27696.923660887558</v>
      </c>
      <c r="D8" s="9">
        <f t="shared" ref="D8:D21" si="2">SUM(B8:C8)</f>
        <v>105179.02150989778</v>
      </c>
      <c r="E8" s="9"/>
    </row>
    <row r="9" spans="1:5" x14ac:dyDescent="0.25">
      <c r="A9" s="4">
        <v>3</v>
      </c>
      <c r="B9" s="9">
        <f t="shared" si="0"/>
        <v>74712.405482921473</v>
      </c>
      <c r="C9" s="9">
        <f t="shared" si="1"/>
        <v>30466.61602697631</v>
      </c>
      <c r="D9" s="9">
        <f t="shared" si="2"/>
        <v>105179.02150989778</v>
      </c>
      <c r="E9" s="9"/>
    </row>
    <row r="10" spans="1:5" x14ac:dyDescent="0.25">
      <c r="A10" s="4">
        <v>4</v>
      </c>
      <c r="B10" s="9">
        <f t="shared" si="0"/>
        <v>71665.743880223832</v>
      </c>
      <c r="C10" s="9">
        <f t="shared" si="1"/>
        <v>33513.277629673947</v>
      </c>
      <c r="D10" s="9">
        <f t="shared" si="2"/>
        <v>105179.02150989778</v>
      </c>
      <c r="E10" s="9"/>
    </row>
    <row r="11" spans="1:5" x14ac:dyDescent="0.25">
      <c r="A11" s="4">
        <v>5</v>
      </c>
      <c r="B11" s="9">
        <f t="shared" si="0"/>
        <v>68314.416117256449</v>
      </c>
      <c r="C11" s="9">
        <f t="shared" si="1"/>
        <v>36864.605392641337</v>
      </c>
      <c r="D11" s="9">
        <f t="shared" si="2"/>
        <v>105179.02150989778</v>
      </c>
      <c r="E11" s="9"/>
    </row>
    <row r="12" spans="1:5" x14ac:dyDescent="0.25">
      <c r="A12" s="4">
        <v>6</v>
      </c>
      <c r="B12" s="9">
        <f t="shared" si="0"/>
        <v>64627.95557799231</v>
      </c>
      <c r="C12" s="9">
        <f t="shared" si="1"/>
        <v>40551.065931905468</v>
      </c>
      <c r="D12" s="9">
        <f t="shared" si="2"/>
        <v>105179.02150989778</v>
      </c>
      <c r="E12" s="9"/>
    </row>
    <row r="13" spans="1:5" x14ac:dyDescent="0.25">
      <c r="A13" s="4">
        <v>7</v>
      </c>
      <c r="B13" s="9">
        <f t="shared" si="0"/>
        <v>60572.848984801771</v>
      </c>
      <c r="C13" s="9">
        <f t="shared" si="1"/>
        <v>44606.172525096015</v>
      </c>
      <c r="D13" s="9">
        <f t="shared" si="2"/>
        <v>105179.02150989778</v>
      </c>
      <c r="E13" s="9"/>
    </row>
    <row r="14" spans="1:5" x14ac:dyDescent="0.25">
      <c r="A14" s="4">
        <v>8</v>
      </c>
      <c r="B14" s="9">
        <f t="shared" si="0"/>
        <v>56112.231732292159</v>
      </c>
      <c r="C14" s="9">
        <f t="shared" si="1"/>
        <v>49066.78977760562</v>
      </c>
      <c r="D14" s="9">
        <f t="shared" si="2"/>
        <v>105179.02150989778</v>
      </c>
      <c r="E14" s="9"/>
    </row>
    <row r="15" spans="1:5" x14ac:dyDescent="0.25">
      <c r="A15" s="4">
        <v>9</v>
      </c>
      <c r="B15" s="9">
        <f t="shared" si="0"/>
        <v>51205.552754531607</v>
      </c>
      <c r="C15" s="9">
        <f t="shared" si="1"/>
        <v>53973.468755366179</v>
      </c>
      <c r="D15" s="9">
        <f t="shared" si="2"/>
        <v>105179.02150989778</v>
      </c>
      <c r="E15" s="9"/>
    </row>
    <row r="16" spans="1:5" x14ac:dyDescent="0.25">
      <c r="A16" s="4">
        <v>10</v>
      </c>
      <c r="B16" s="9">
        <f t="shared" si="0"/>
        <v>45808.205878994981</v>
      </c>
      <c r="C16" s="9">
        <f t="shared" si="1"/>
        <v>59370.815630902798</v>
      </c>
      <c r="D16" s="9">
        <f t="shared" si="2"/>
        <v>105179.02150989778</v>
      </c>
      <c r="E16" s="9"/>
    </row>
    <row r="17" spans="1:5" x14ac:dyDescent="0.25">
      <c r="A17" s="4">
        <v>11</v>
      </c>
      <c r="B17" s="9">
        <f t="shared" si="0"/>
        <v>39871.124315904708</v>
      </c>
      <c r="C17" s="9">
        <f t="shared" si="1"/>
        <v>65307.897193993071</v>
      </c>
      <c r="D17" s="9">
        <f t="shared" si="2"/>
        <v>105179.02150989778</v>
      </c>
      <c r="E17" s="9"/>
    </row>
    <row r="18" spans="1:5" x14ac:dyDescent="0.25">
      <c r="A18" s="4">
        <v>12</v>
      </c>
      <c r="B18" s="9">
        <f t="shared" si="0"/>
        <v>33340.334596505403</v>
      </c>
      <c r="C18" s="9">
        <f t="shared" si="1"/>
        <v>71838.686913392376</v>
      </c>
      <c r="D18" s="9">
        <f t="shared" si="2"/>
        <v>105179.02150989778</v>
      </c>
      <c r="E18" s="9"/>
    </row>
    <row r="19" spans="1:5" x14ac:dyDescent="0.25">
      <c r="A19" s="4">
        <v>13</v>
      </c>
      <c r="B19" s="9">
        <f t="shared" si="0"/>
        <v>26156.465905166158</v>
      </c>
      <c r="C19" s="9">
        <f t="shared" si="1"/>
        <v>79022.55560473162</v>
      </c>
      <c r="D19" s="9">
        <f t="shared" si="2"/>
        <v>105179.02150989778</v>
      </c>
      <c r="E19" s="9"/>
    </row>
    <row r="20" spans="1:5" x14ac:dyDescent="0.25">
      <c r="A20" s="4">
        <v>14</v>
      </c>
      <c r="B20" s="9">
        <f t="shared" si="0"/>
        <v>18254.210344693001</v>
      </c>
      <c r="C20" s="9">
        <f t="shared" si="1"/>
        <v>86924.811165204796</v>
      </c>
      <c r="D20" s="9">
        <f t="shared" si="2"/>
        <v>105179.02150989779</v>
      </c>
      <c r="E20" s="9"/>
    </row>
    <row r="21" spans="1:5" x14ac:dyDescent="0.25">
      <c r="A21" s="4">
        <v>15</v>
      </c>
      <c r="B21" s="9">
        <f t="shared" si="0"/>
        <v>9561.729228172524</v>
      </c>
      <c r="C21" s="9">
        <f t="shared" si="1"/>
        <v>95617.292281725255</v>
      </c>
      <c r="D21" s="9">
        <f t="shared" si="2"/>
        <v>105179.02150989778</v>
      </c>
      <c r="E21" s="9"/>
    </row>
    <row r="22" spans="1:5" x14ac:dyDescent="0.25">
      <c r="A22" s="4"/>
      <c r="B22" s="9"/>
      <c r="C22" s="9"/>
      <c r="D22" s="9"/>
      <c r="E22" s="9"/>
    </row>
    <row r="23" spans="1:5" x14ac:dyDescent="0.25">
      <c r="A23" s="4"/>
      <c r="B23" s="9"/>
      <c r="C23" s="9"/>
      <c r="D23" s="9"/>
      <c r="E23" s="9"/>
    </row>
    <row r="25" spans="1:5" x14ac:dyDescent="0.25">
      <c r="E25" s="9"/>
    </row>
    <row r="26" spans="1:5" x14ac:dyDescent="0.25">
      <c r="D26" s="10"/>
      <c r="E26" s="9"/>
    </row>
    <row r="27" spans="1:5" x14ac:dyDescent="0.25">
      <c r="D27" s="7"/>
      <c r="E27" s="9"/>
    </row>
    <row r="28" spans="1:5" x14ac:dyDescent="0.25">
      <c r="D28" s="7"/>
      <c r="E28" s="9"/>
    </row>
    <row r="29" spans="1:5" x14ac:dyDescent="0.25">
      <c r="D29" s="7"/>
      <c r="E29" s="9"/>
    </row>
    <row r="30" spans="1:5" x14ac:dyDescent="0.25">
      <c r="D30" s="7"/>
      <c r="E30" s="9"/>
    </row>
    <row r="31" spans="1:5" x14ac:dyDescent="0.25">
      <c r="D31" s="7"/>
      <c r="E31" s="9"/>
    </row>
    <row r="32" spans="1:5" x14ac:dyDescent="0.25">
      <c r="D32" s="7"/>
      <c r="E32" s="9"/>
    </row>
    <row r="33" spans="4:5" x14ac:dyDescent="0.25">
      <c r="D33" s="7"/>
      <c r="E33" s="9"/>
    </row>
    <row r="34" spans="4:5" x14ac:dyDescent="0.25">
      <c r="D34" s="7"/>
      <c r="E34" s="9"/>
    </row>
    <row r="35" spans="4:5" x14ac:dyDescent="0.25">
      <c r="D35" s="7"/>
      <c r="E35" s="9"/>
    </row>
    <row r="36" spans="4:5" x14ac:dyDescent="0.25">
      <c r="D36" s="7"/>
      <c r="E36" s="9"/>
    </row>
    <row r="37" spans="4:5" x14ac:dyDescent="0.25">
      <c r="D37" s="7"/>
      <c r="E37" s="9"/>
    </row>
    <row r="38" spans="4:5" x14ac:dyDescent="0.25">
      <c r="D38" s="7"/>
      <c r="E38" s="9"/>
    </row>
    <row r="39" spans="4:5" x14ac:dyDescent="0.25">
      <c r="D39" s="7"/>
      <c r="E39" s="9"/>
    </row>
    <row r="40" spans="4:5" x14ac:dyDescent="0.25">
      <c r="D40" s="7"/>
      <c r="E40" s="9"/>
    </row>
    <row r="41" spans="4:5" x14ac:dyDescent="0.25">
      <c r="D41" s="7"/>
      <c r="E41" s="9"/>
    </row>
    <row r="42" spans="4:5" x14ac:dyDescent="0.25">
      <c r="D42" s="7"/>
      <c r="E42" s="9"/>
    </row>
    <row r="43" spans="4:5" x14ac:dyDescent="0.25">
      <c r="D43" s="7"/>
    </row>
    <row r="44" spans="4:5" x14ac:dyDescent="0.25">
      <c r="D44" s="7"/>
    </row>
    <row r="45" spans="4:5" x14ac:dyDescent="0.25">
      <c r="D45" s="7"/>
    </row>
    <row r="46" spans="4:5" x14ac:dyDescent="0.25">
      <c r="D46" s="7"/>
    </row>
    <row r="47" spans="4:5" x14ac:dyDescent="0.25">
      <c r="D47" s="7"/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2024-10-23T06:03:05Z</dcterms:modified>
</cp:coreProperties>
</file>