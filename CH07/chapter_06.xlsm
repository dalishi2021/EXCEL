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7\"/>
    </mc:Choice>
  </mc:AlternateContent>
  <xr:revisionPtr revIDLastSave="0" documentId="13_ncr:1_{86F9D28F-448D-4C4F-B424-B530590EDF04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D8" i="1"/>
  <c r="D7" i="1"/>
  <c r="D6" i="1"/>
  <c r="C2" i="1"/>
  <c r="C21" i="1" l="1"/>
  <c r="C13" i="1"/>
  <c r="C7" i="1"/>
  <c r="C6" i="1"/>
  <c r="C9" i="1"/>
  <c r="C16" i="1"/>
  <c r="C14" i="1"/>
  <c r="C20" i="1"/>
  <c r="C12" i="1"/>
  <c r="C8" i="1"/>
  <c r="C19" i="1"/>
  <c r="C11" i="1"/>
  <c r="C18" i="1"/>
  <c r="C10" i="1"/>
  <c r="C17" i="1"/>
  <c r="C15" i="1"/>
</calcChain>
</file>

<file path=xl/sharedStrings.xml><?xml version="1.0" encoding="utf-8"?>
<sst xmlns="http://schemas.openxmlformats.org/spreadsheetml/2006/main" count="5" uniqueCount="5">
  <si>
    <t>ECONOMIC VALUE OF THE LEASE CASH FLOWS: DISCOUNTING THE CASH FLOWS AT THE IRR</t>
  </si>
  <si>
    <t>IRR</t>
  </si>
  <si>
    <t>Year</t>
  </si>
  <si>
    <t>Leveraged lease cash flows</t>
  </si>
  <si>
    <t>Value of lease cash flows at beginning of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</si>
</sst>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0" fillId="0" borderId="0" xfId="0" applyAlignment="1"/>
    <xf numFmtId="10" fontId="0" fillId="0" borderId="0" xfId="0" applyNumberFormat="1" applyAlignment="1"/>
    <xf numFmtId="0" fontId="3" fillId="0" borderId="0" xfId="0" applyFont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/>
    </xf>
    <xf numFmtId="3" fontId="4" fillId="0" borderId="0" xfId="0" applyNumberFormat="1" applyFont="1" applyAlignment="1"/>
    <xf numFmtId="0" fontId="4" fillId="0" borderId="0" xfId="0" applyFont="1" applyAlignment="1"/>
    <xf numFmtId="0" fontId="0" fillId="0" borderId="0" xfId="0" applyAlignment="1">
      <alignment horizontal="center"/>
    </xf>
    <xf numFmtId="3" fontId="0" fillId="0" borderId="0" xfId="0" applyNumberFormat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Economic Value of Lease Cash Flows at Beginning of Period</a:t>
            </a:r>
          </a:p>
        </c:rich>
      </c:tx>
      <c:layout>
        <c:manualLayout>
          <c:xMode val="edge"/>
          <c:yMode val="edge"/>
          <c:x val="0.13344905543652796"/>
          <c:y val="3.23383084577114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59870689864546"/>
          <c:y val="9.1334920724314553E-2"/>
          <c:w val="0.80795898941767996"/>
          <c:h val="0.8384077338283234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Sheet1!$A$6:$A$21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xVal>
          <c:yVal>
            <c:numRef>
              <c:f>Sheet1!$C$6:$C$21</c:f>
              <c:numCache>
                <c:formatCode>#,##0</c:formatCode>
                <c:ptCount val="16"/>
                <c:pt idx="0">
                  <c:v>199999.99999999985</c:v>
                </c:pt>
                <c:pt idx="1">
                  <c:v>174972.39095900147</c:v>
                </c:pt>
                <c:pt idx="2">
                  <c:v>106994.33242606827</c:v>
                </c:pt>
                <c:pt idx="3">
                  <c:v>59656.338406251816</c:v>
                </c:pt>
                <c:pt idx="4">
                  <c:v>27600.264357538621</c:v>
                </c:pt>
                <c:pt idx="5">
                  <c:v>7211.5973346952696</c:v>
                </c:pt>
                <c:pt idx="6">
                  <c:v>-14242.237443016686</c:v>
                </c:pt>
                <c:pt idx="7">
                  <c:v>-36746.466143038306</c:v>
                </c:pt>
                <c:pt idx="8">
                  <c:v>-42509.728760909908</c:v>
                </c:pt>
                <c:pt idx="9">
                  <c:v>-29108.23124183347</c:v>
                </c:pt>
                <c:pt idx="10">
                  <c:v>-11878.412678222423</c:v>
                </c:pt>
                <c:pt idx="11">
                  <c:v>9872.5026877060864</c:v>
                </c:pt>
                <c:pt idx="12">
                  <c:v>36945.176893232172</c:v>
                </c:pt>
                <c:pt idx="13">
                  <c:v>70263.75624758139</c:v>
                </c:pt>
                <c:pt idx="14">
                  <c:v>110893.62821099079</c:v>
                </c:pt>
                <c:pt idx="15">
                  <c:v>160061.62767547942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14-48DE-B7BC-DBC2D03BB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3616112"/>
        <c:axId val="1"/>
      </c:scatterChart>
      <c:valAx>
        <c:axId val="913616112"/>
        <c:scaling>
          <c:orientation val="minMax"/>
          <c:max val="16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15000"/>
          <c:min val="-4500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13616112"/>
        <c:crosses val="autoZero"/>
        <c:crossBetween val="midCat"/>
        <c:majorUnit val="20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165496</xdr:colOff>
      <xdr:row>4</xdr:row>
      <xdr:rowOff>117395</xdr:rowOff>
    </xdr:from>
    <xdr:to>
      <xdr:col>12</xdr:col>
      <xdr:colOff>342424</xdr:colOff>
      <xdr:row>28</xdr:row>
      <xdr:rowOff>67865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C585389B-DF88-4E47-9909-9B332AFC41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447675</xdr:colOff>
      <xdr:row>1</xdr:row>
      <xdr:rowOff>152400</xdr:rowOff>
    </xdr:from>
    <xdr:to>
      <xdr:col>36</xdr:col>
      <xdr:colOff>342900</xdr:colOff>
      <xdr:row>43</xdr:row>
      <xdr:rowOff>129540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60DAD50A-15CB-3153-4ED6-464CFB13F6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534900" y="371475"/>
          <a:ext cx="12087225" cy="76771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21"/>
      <sheetName val="Page 221 (中文)"/>
      <sheetName val="Page 223"/>
      <sheetName val="Page 223 (中文)"/>
      <sheetName val="Page 224 "/>
      <sheetName val="Page 224(中文)"/>
      <sheetName val="Page 225"/>
      <sheetName val="Page 225 (中文)"/>
      <sheetName val="Pages 226, 228 top"/>
      <sheetName val="Pages 226, 228 top (中文)"/>
      <sheetName val="Page 228, bottom"/>
      <sheetName val="Page 228, bottom (中文)"/>
      <sheetName val="Page 230"/>
      <sheetName val="Page 230 (中文)"/>
      <sheetName val="Page 232"/>
      <sheetName val="Page 232 (中文)"/>
      <sheetName val="Page 233"/>
      <sheetName val="Page 233 (中文)"/>
      <sheetName val="Page 234"/>
      <sheetName val="Page 234 (中文)"/>
    </sheetNames>
    <sheetDataSet>
      <sheetData sheetId="0">
        <row r="14">
          <cell r="I14">
            <v>49940.978490102221</v>
          </cell>
        </row>
        <row r="15">
          <cell r="I15">
            <v>89773.817629706318</v>
          </cell>
        </row>
        <row r="16">
          <cell r="I16">
            <v>60665.940683270819</v>
          </cell>
        </row>
        <row r="17">
          <cell r="I17">
            <v>39487.276042191763</v>
          </cell>
        </row>
        <row r="18">
          <cell r="I18">
            <v>23826.744937004805</v>
          </cell>
        </row>
        <row r="19">
          <cell r="I19">
            <v>22352.160721299151</v>
          </cell>
        </row>
        <row r="20">
          <cell r="I20">
            <v>20730.118084022935</v>
          </cell>
        </row>
        <row r="21">
          <cell r="I21">
            <v>1185.871183019095</v>
          </cell>
        </row>
        <row r="22">
          <cell r="I22">
            <v>-18696.800408085124</v>
          </cell>
        </row>
        <row r="23">
          <cell r="I23">
            <v>-20855.739158299773</v>
          </cell>
        </row>
        <row r="24">
          <cell r="I24">
            <v>-23230.571783535888</v>
          </cell>
        </row>
        <row r="25">
          <cell r="I25">
            <v>-25842.887671295604</v>
          </cell>
        </row>
        <row r="26">
          <cell r="I26">
            <v>-28716.435147831296</v>
          </cell>
        </row>
        <row r="27">
          <cell r="I27">
            <v>-31877.337372020556</v>
          </cell>
        </row>
        <row r="28">
          <cell r="I28">
            <v>-35354.32981862875</v>
          </cell>
        </row>
        <row r="29">
          <cell r="I29">
            <v>180000</v>
          </cell>
        </row>
      </sheetData>
      <sheetData sheetId="1"/>
      <sheetData sheetId="4"/>
      <sheetData sheetId="5"/>
      <sheetData sheetId="8"/>
      <sheetData sheetId="9"/>
      <sheetData sheetId="10"/>
      <sheetData sheetId="11"/>
      <sheetData sheetId="12">
        <row r="6">
          <cell r="A6">
            <v>1</v>
          </cell>
          <cell r="C6">
            <v>199999.99999999985</v>
          </cell>
        </row>
        <row r="7">
          <cell r="A7">
            <v>2</v>
          </cell>
          <cell r="C7">
            <v>174972.39095900147</v>
          </cell>
        </row>
        <row r="8">
          <cell r="A8">
            <v>3</v>
          </cell>
          <cell r="C8">
            <v>106994.33242606827</v>
          </cell>
        </row>
        <row r="9">
          <cell r="A9">
            <v>4</v>
          </cell>
          <cell r="C9">
            <v>59656.338406251816</v>
          </cell>
        </row>
        <row r="10">
          <cell r="A10">
            <v>5</v>
          </cell>
          <cell r="C10">
            <v>27600.264357538621</v>
          </cell>
        </row>
        <row r="11">
          <cell r="A11">
            <v>6</v>
          </cell>
          <cell r="C11">
            <v>7211.5973346952696</v>
          </cell>
        </row>
        <row r="12">
          <cell r="A12">
            <v>7</v>
          </cell>
          <cell r="C12">
            <v>-14242.237443016686</v>
          </cell>
        </row>
        <row r="13">
          <cell r="A13">
            <v>8</v>
          </cell>
          <cell r="C13">
            <v>-36746.466143038306</v>
          </cell>
        </row>
        <row r="14">
          <cell r="A14">
            <v>9</v>
          </cell>
          <cell r="C14">
            <v>-42509.728760909908</v>
          </cell>
        </row>
        <row r="15">
          <cell r="A15">
            <v>10</v>
          </cell>
          <cell r="C15">
            <v>-29108.23124183347</v>
          </cell>
        </row>
        <row r="16">
          <cell r="A16">
            <v>11</v>
          </cell>
          <cell r="C16">
            <v>-11878.412678222423</v>
          </cell>
        </row>
        <row r="17">
          <cell r="A17">
            <v>12</v>
          </cell>
          <cell r="C17">
            <v>9872.5026877060864</v>
          </cell>
        </row>
        <row r="18">
          <cell r="A18">
            <v>13</v>
          </cell>
          <cell r="C18">
            <v>36945.176893232172</v>
          </cell>
        </row>
        <row r="19">
          <cell r="A19">
            <v>14</v>
          </cell>
          <cell r="C19">
            <v>70263.75624758139</v>
          </cell>
        </row>
        <row r="20">
          <cell r="A20">
            <v>15</v>
          </cell>
          <cell r="C20">
            <v>110893.62821099079</v>
          </cell>
        </row>
        <row r="21">
          <cell r="A21">
            <v>16</v>
          </cell>
          <cell r="C21">
            <v>160061.62767547942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P22"/>
  <sheetViews>
    <sheetView tabSelected="1" zoomScale="160" zoomScaleNormal="160" workbookViewId="0">
      <selection activeCell="N13" sqref="N13"/>
    </sheetView>
  </sheetViews>
  <sheetFormatPr defaultRowHeight="13.8" x14ac:dyDescent="0.25"/>
  <cols>
    <col min="1" max="1" width="11.6640625" style="3" customWidth="1"/>
    <col min="2" max="2" width="14.44140625" style="3" customWidth="1"/>
    <col min="3" max="3" width="12.88671875" style="3" customWidth="1"/>
    <col min="4" max="4" width="24" style="3" bestFit="1" customWidth="1"/>
    <col min="5" max="5" width="13.5546875" style="3" customWidth="1"/>
    <col min="6" max="6" width="10.6640625" style="3" bestFit="1" customWidth="1"/>
    <col min="7" max="16" width="8.88671875" style="3"/>
  </cols>
  <sheetData>
    <row r="1" spans="1:16" ht="17.399999999999999" x14ac:dyDescent="0.25">
      <c r="A1" s="1" t="s">
        <v>0</v>
      </c>
      <c r="B1" s="1"/>
      <c r="C1" s="1"/>
      <c r="D1" s="1"/>
      <c r="E1" s="2"/>
      <c r="F1" s="2"/>
    </row>
    <row r="2" spans="1:16" x14ac:dyDescent="0.25">
      <c r="A2" s="3" t="s">
        <v>1</v>
      </c>
      <c r="B2" s="4">
        <f>IRR(B5:B21)</f>
        <v>0.12456684724551903</v>
      </c>
      <c r="C2" s="3" t="str">
        <f ca="1">[2]!getformula(B2)</f>
        <v>&lt;--  =IRR(B5:B21)</v>
      </c>
    </row>
    <row r="4" spans="1:16" ht="52.8" x14ac:dyDescent="0.25">
      <c r="A4" s="5" t="s">
        <v>2</v>
      </c>
      <c r="B4" s="5" t="s">
        <v>3</v>
      </c>
      <c r="C4" s="6" t="s">
        <v>4</v>
      </c>
      <c r="D4" s="7"/>
      <c r="E4" s="5"/>
      <c r="F4" s="7"/>
      <c r="G4" s="7"/>
      <c r="H4" s="7"/>
      <c r="I4" s="7"/>
      <c r="J4" s="7"/>
      <c r="K4" s="7"/>
      <c r="L4" s="7"/>
      <c r="M4" s="7"/>
      <c r="N4" s="7"/>
      <c r="O4" s="7"/>
      <c r="P4" s="7"/>
    </row>
    <row r="5" spans="1:16" x14ac:dyDescent="0.25">
      <c r="A5" s="8">
        <v>0</v>
      </c>
      <c r="B5" s="9">
        <v>-200000</v>
      </c>
      <c r="C5" s="10"/>
      <c r="D5" s="10"/>
      <c r="E5" s="8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</row>
    <row r="6" spans="1:16" x14ac:dyDescent="0.25">
      <c r="A6" s="11">
        <v>1</v>
      </c>
      <c r="B6" s="12">
        <f>'[1]Page 221'!I14</f>
        <v>49940.978490102221</v>
      </c>
      <c r="C6" s="9">
        <f>NPV($B$2,B6:$B$21)</f>
        <v>199999.99999999985</v>
      </c>
      <c r="D6" s="10" t="str">
        <f ca="1">[2]!getformula(C6)</f>
        <v>&lt;--  =NPV($B$2,B6:$B$21)</v>
      </c>
      <c r="E6" s="12"/>
    </row>
    <row r="7" spans="1:16" x14ac:dyDescent="0.25">
      <c r="A7" s="11">
        <v>2</v>
      </c>
      <c r="B7" s="12">
        <f>'[1]Page 221'!I15</f>
        <v>89773.817629706318</v>
      </c>
      <c r="C7" s="9">
        <f>NPV($B$2,B7:$B$21)</f>
        <v>174972.39095900147</v>
      </c>
      <c r="D7" s="10" t="str">
        <f ca="1">[2]!getformula(C7)</f>
        <v>&lt;--  =NPV($B$2,B7:$B$21)</v>
      </c>
      <c r="E7" s="12"/>
    </row>
    <row r="8" spans="1:16" x14ac:dyDescent="0.25">
      <c r="A8" s="11">
        <v>3</v>
      </c>
      <c r="B8" s="12">
        <f>'[1]Page 221'!I16</f>
        <v>60665.940683270819</v>
      </c>
      <c r="C8" s="9">
        <f>NPV($B$2,B8:$B$21)</f>
        <v>106994.33242606827</v>
      </c>
      <c r="D8" s="10" t="str">
        <f ca="1">[2]!getformula(C8)</f>
        <v>&lt;--  =NPV($B$2,B8:$B$21)</v>
      </c>
      <c r="E8" s="12"/>
    </row>
    <row r="9" spans="1:16" x14ac:dyDescent="0.25">
      <c r="A9" s="11">
        <v>4</v>
      </c>
      <c r="B9" s="12">
        <f>'[1]Page 221'!I17</f>
        <v>39487.276042191763</v>
      </c>
      <c r="C9" s="9">
        <f>NPV($B$2,B9:$B$21)</f>
        <v>59656.338406251816</v>
      </c>
      <c r="E9" s="12"/>
    </row>
    <row r="10" spans="1:16" x14ac:dyDescent="0.25">
      <c r="A10" s="11">
        <v>5</v>
      </c>
      <c r="B10" s="12">
        <f>'[1]Page 221'!I18</f>
        <v>23826.744937004805</v>
      </c>
      <c r="C10" s="9">
        <f>NPV($B$2,B10:$B$21)</f>
        <v>27600.264357538621</v>
      </c>
      <c r="E10" s="12"/>
    </row>
    <row r="11" spans="1:16" x14ac:dyDescent="0.25">
      <c r="A11" s="11">
        <v>6</v>
      </c>
      <c r="B11" s="12">
        <f>'[1]Page 221'!I19</f>
        <v>22352.160721299151</v>
      </c>
      <c r="C11" s="9">
        <f>NPV($B$2,B11:$B$21)</f>
        <v>7211.5973346952696</v>
      </c>
      <c r="E11" s="12"/>
    </row>
    <row r="12" spans="1:16" x14ac:dyDescent="0.25">
      <c r="A12" s="11">
        <v>7</v>
      </c>
      <c r="B12" s="12">
        <f>'[1]Page 221'!I20</f>
        <v>20730.118084022935</v>
      </c>
      <c r="C12" s="9">
        <f>NPV($B$2,B12:$B$21)</f>
        <v>-14242.237443016686</v>
      </c>
      <c r="E12" s="12"/>
    </row>
    <row r="13" spans="1:16" x14ac:dyDescent="0.25">
      <c r="A13" s="11">
        <v>8</v>
      </c>
      <c r="B13" s="12">
        <f>'[1]Page 221'!I21</f>
        <v>1185.871183019095</v>
      </c>
      <c r="C13" s="9">
        <f>NPV($B$2,B13:$B$21)</f>
        <v>-36746.466143038306</v>
      </c>
      <c r="E13" s="12"/>
    </row>
    <row r="14" spans="1:16" x14ac:dyDescent="0.25">
      <c r="A14" s="11">
        <v>9</v>
      </c>
      <c r="B14" s="12">
        <f>'[1]Page 221'!I22</f>
        <v>-18696.800408085124</v>
      </c>
      <c r="C14" s="9">
        <f>NPV($B$2,B14:$B$21)</f>
        <v>-42509.728760909908</v>
      </c>
      <c r="E14" s="12"/>
    </row>
    <row r="15" spans="1:16" x14ac:dyDescent="0.25">
      <c r="A15" s="11">
        <v>10</v>
      </c>
      <c r="B15" s="12">
        <f>'[1]Page 221'!I23</f>
        <v>-20855.739158299773</v>
      </c>
      <c r="C15" s="9">
        <f>NPV($B$2,B15:$B$21)</f>
        <v>-29108.23124183347</v>
      </c>
      <c r="E15" s="12"/>
    </row>
    <row r="16" spans="1:16" x14ac:dyDescent="0.25">
      <c r="A16" s="11">
        <v>11</v>
      </c>
      <c r="B16" s="12">
        <f>'[1]Page 221'!I24</f>
        <v>-23230.571783535888</v>
      </c>
      <c r="C16" s="9">
        <f>NPV($B$2,B16:$B$21)</f>
        <v>-11878.412678222423</v>
      </c>
      <c r="E16" s="12"/>
    </row>
    <row r="17" spans="1:5" x14ac:dyDescent="0.25">
      <c r="A17" s="11">
        <v>12</v>
      </c>
      <c r="B17" s="12">
        <f>'[1]Page 221'!I25</f>
        <v>-25842.887671295604</v>
      </c>
      <c r="C17" s="9">
        <f>NPV($B$2,B17:$B$21)</f>
        <v>9872.5026877060864</v>
      </c>
      <c r="E17" s="12"/>
    </row>
    <row r="18" spans="1:5" x14ac:dyDescent="0.25">
      <c r="A18" s="11">
        <v>13</v>
      </c>
      <c r="B18" s="12">
        <f>'[1]Page 221'!I26</f>
        <v>-28716.435147831296</v>
      </c>
      <c r="C18" s="9">
        <f>NPV($B$2,B18:$B$21)</f>
        <v>36945.176893232172</v>
      </c>
      <c r="E18" s="12"/>
    </row>
    <row r="19" spans="1:5" x14ac:dyDescent="0.25">
      <c r="A19" s="11">
        <v>14</v>
      </c>
      <c r="B19" s="12">
        <f>'[1]Page 221'!I27</f>
        <v>-31877.337372020556</v>
      </c>
      <c r="C19" s="9">
        <f>NPV($B$2,B19:$B$21)</f>
        <v>70263.75624758139</v>
      </c>
      <c r="E19" s="12"/>
    </row>
    <row r="20" spans="1:5" x14ac:dyDescent="0.25">
      <c r="A20" s="11">
        <v>15</v>
      </c>
      <c r="B20" s="12">
        <f>'[1]Page 221'!I28</f>
        <v>-35354.32981862875</v>
      </c>
      <c r="C20" s="9">
        <f>NPV($B$2,B20:$B$21)</f>
        <v>110893.62821099079</v>
      </c>
      <c r="E20" s="12"/>
    </row>
    <row r="21" spans="1:5" x14ac:dyDescent="0.25">
      <c r="A21" s="11">
        <v>16</v>
      </c>
      <c r="B21" s="12">
        <f>'[1]Page 221'!I29</f>
        <v>180000</v>
      </c>
      <c r="C21" s="9">
        <f>NPV($B$2,B21:$B$21)</f>
        <v>160061.62767547942</v>
      </c>
      <c r="E21" s="12"/>
    </row>
    <row r="22" spans="1:5" x14ac:dyDescent="0.25">
      <c r="C22" s="9"/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2024-10-23T07:45:30Z</dcterms:modified>
</cp:coreProperties>
</file>