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practice\"/>
    </mc:Choice>
  </mc:AlternateContent>
  <xr:revisionPtr revIDLastSave="0" documentId="13_ncr:1_{94619723-A462-494B-A086-911E03362FA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5" r:id="rId1"/>
    <sheet name="Sheet2" sheetId="2" r:id="rId2"/>
  </sheets>
  <externalReferences>
    <externalReference r:id="rId3"/>
  </externalReferences>
  <definedNames>
    <definedName name="increase">Sheet1!$B$41</definedName>
    <definedName name="IRR">Sheet1!$B$43</definedName>
    <definedName name="MPM">Sheet1!$B$42</definedName>
    <definedName name="rent">Sheet1!$B$13</definedName>
    <definedName name="Results">Sheet1!$A$67:$C$86</definedName>
    <definedName name="solver_adj" localSheetId="0" hidden="1">Sheet1!$B$42</definedName>
    <definedName name="solver_eng" localSheetId="0" hidden="1">1</definedName>
    <definedName name="solver_opt" localSheetId="0" hidden="1">Sheet1!$B$62</definedName>
    <definedName name="solver_typ" localSheetId="0" hidden="1">3</definedName>
    <definedName name="solver_val" localSheetId="0" hidden="1">0</definedName>
    <definedName name="start">Sheet1!$B$40</definedName>
    <definedName name="tax">Sheet1!$B$14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6" i="5" l="1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C61" i="5"/>
  <c r="B46" i="5"/>
  <c r="C35" i="5"/>
  <c r="I35" i="5" s="1"/>
  <c r="F34" i="5"/>
  <c r="F33" i="5"/>
  <c r="F32" i="5"/>
  <c r="F31" i="5"/>
  <c r="F30" i="5"/>
  <c r="F29" i="5"/>
  <c r="F28" i="5"/>
  <c r="F27" i="5"/>
  <c r="D27" i="5"/>
  <c r="F26" i="5"/>
  <c r="F25" i="5"/>
  <c r="D25" i="5"/>
  <c r="D26" i="5" s="1"/>
  <c r="F24" i="5"/>
  <c r="D24" i="5"/>
  <c r="F23" i="5"/>
  <c r="D23" i="5"/>
  <c r="F22" i="5"/>
  <c r="D22" i="5"/>
  <c r="F21" i="5"/>
  <c r="D21" i="5"/>
  <c r="H20" i="5"/>
  <c r="G20" i="5"/>
  <c r="F20" i="5"/>
  <c r="E20" i="5"/>
  <c r="D20" i="5"/>
  <c r="C20" i="5"/>
  <c r="C21" i="5" s="1"/>
  <c r="B19" i="5"/>
  <c r="I19" i="5" s="1"/>
  <c r="B10" i="5"/>
  <c r="C43" i="5"/>
  <c r="I20" i="5" l="1"/>
  <c r="C46" i="5" s="1"/>
  <c r="C22" i="5"/>
  <c r="E21" i="5"/>
  <c r="B12" i="5"/>
  <c r="G21" i="5" l="1"/>
  <c r="C23" i="5"/>
  <c r="C24" i="5" l="1"/>
  <c r="H21" i="5"/>
  <c r="E22" i="5" s="1"/>
  <c r="G22" i="5" l="1"/>
  <c r="I21" i="5"/>
  <c r="C47" i="5" s="1"/>
  <c r="C25" i="5"/>
  <c r="C26" i="5" l="1"/>
  <c r="H22" i="5"/>
  <c r="E23" i="5" s="1"/>
  <c r="I22" i="5"/>
  <c r="C48" i="5" s="1"/>
  <c r="G23" i="5" l="1"/>
  <c r="C27" i="5"/>
  <c r="C28" i="5" l="1"/>
  <c r="H23" i="5"/>
  <c r="E24" i="5" s="1"/>
  <c r="I23" i="5"/>
  <c r="C49" i="5" s="1"/>
  <c r="G24" i="5" l="1"/>
  <c r="C29" i="5"/>
  <c r="C30" i="5" l="1"/>
  <c r="H24" i="5"/>
  <c r="E25" i="5" s="1"/>
  <c r="I24" i="5"/>
  <c r="C50" i="5" s="1"/>
  <c r="G25" i="5" l="1"/>
  <c r="C31" i="5"/>
  <c r="C32" i="5" l="1"/>
  <c r="H25" i="5"/>
  <c r="E26" i="5" s="1"/>
  <c r="I25" i="5"/>
  <c r="C51" i="5" s="1"/>
  <c r="G26" i="5" l="1"/>
  <c r="C33" i="5"/>
  <c r="C34" i="5" l="1"/>
  <c r="H26" i="5"/>
  <c r="E27" i="5" s="1"/>
  <c r="I26" i="5"/>
  <c r="C52" i="5" s="1"/>
  <c r="G27" i="5" l="1"/>
  <c r="H27" i="5" l="1"/>
  <c r="E28" i="5" s="1"/>
  <c r="I27" i="5"/>
  <c r="C53" i="5" s="1"/>
  <c r="G28" i="5" l="1"/>
  <c r="H28" i="5" l="1"/>
  <c r="E29" i="5" s="1"/>
  <c r="I28" i="5"/>
  <c r="C54" i="5" s="1"/>
  <c r="G29" i="5" l="1"/>
  <c r="H29" i="5" l="1"/>
  <c r="E30" i="5" s="1"/>
  <c r="I29" i="5"/>
  <c r="C55" i="5" s="1"/>
  <c r="G30" i="5" l="1"/>
  <c r="H30" i="5" l="1"/>
  <c r="E31" i="5" s="1"/>
  <c r="I30" i="5"/>
  <c r="C56" i="5" s="1"/>
  <c r="G31" i="5" l="1"/>
  <c r="H31" i="5" l="1"/>
  <c r="E32" i="5" s="1"/>
  <c r="I31" i="5"/>
  <c r="C57" i="5" s="1"/>
  <c r="G32" i="5" l="1"/>
  <c r="H32" i="5" l="1"/>
  <c r="E33" i="5" s="1"/>
  <c r="I32" i="5"/>
  <c r="C58" i="5" s="1"/>
  <c r="G33" i="5" l="1"/>
  <c r="H33" i="5" l="1"/>
  <c r="E34" i="5" s="1"/>
  <c r="G34" i="5" s="1"/>
  <c r="I33" i="5"/>
  <c r="C59" i="5" s="1"/>
  <c r="H34" i="5" l="1"/>
  <c r="I34" i="5"/>
  <c r="C60" i="5" s="1"/>
  <c r="B43" i="5" l="1"/>
  <c r="D46" i="5" l="1"/>
  <c r="E46" i="5" s="1"/>
  <c r="B47" i="5" s="1"/>
  <c r="D47" i="5" s="1"/>
  <c r="E47" i="5" s="1"/>
  <c r="B48" i="5" s="1"/>
  <c r="D48" i="5" s="1"/>
  <c r="E48" i="5" s="1"/>
  <c r="B49" i="5" s="1"/>
  <c r="D49" i="5" s="1"/>
  <c r="E49" i="5" s="1"/>
  <c r="B50" i="5" s="1"/>
  <c r="D50" i="5" s="1"/>
  <c r="E50" i="5" s="1"/>
  <c r="B51" i="5" s="1"/>
  <c r="D51" i="5" s="1"/>
  <c r="E51" i="5" s="1"/>
  <c r="B52" i="5" s="1"/>
  <c r="D52" i="5" s="1"/>
  <c r="E52" i="5" s="1"/>
  <c r="B53" i="5" s="1"/>
  <c r="D53" i="5" s="1"/>
  <c r="E53" i="5" s="1"/>
  <c r="B54" i="5" s="1"/>
  <c r="D54" i="5" s="1"/>
  <c r="E54" i="5" s="1"/>
  <c r="B55" i="5" s="1"/>
  <c r="D55" i="5" s="1"/>
  <c r="E55" i="5" s="1"/>
  <c r="B56" i="5" s="1"/>
  <c r="D56" i="5" s="1"/>
  <c r="E56" i="5" s="1"/>
  <c r="B57" i="5" s="1"/>
  <c r="D57" i="5" s="1"/>
  <c r="E57" i="5" s="1"/>
  <c r="B58" i="5" s="1"/>
  <c r="D58" i="5" s="1"/>
  <c r="E58" i="5" s="1"/>
  <c r="B59" i="5" s="1"/>
  <c r="D59" i="5" s="1"/>
  <c r="E59" i="5" s="1"/>
  <c r="B60" i="5" s="1"/>
  <c r="D60" i="5" s="1"/>
  <c r="E60" i="5" s="1"/>
  <c r="B61" i="5" s="1"/>
  <c r="D61" i="5" s="1"/>
  <c r="E61" i="5" s="1"/>
  <c r="B62" i="5" s="1"/>
</calcChain>
</file>

<file path=xl/sharedStrings.xml><?xml version="1.0" encoding="utf-8"?>
<sst xmlns="http://schemas.openxmlformats.org/spreadsheetml/2006/main" count="58" uniqueCount="54">
  <si>
    <t>BASIC LEVERAGED LEASE EXAMPLE</t>
  </si>
  <si>
    <t>Year</t>
  </si>
  <si>
    <r>
      <rPr>
        <b/>
        <sz val="16"/>
        <color theme="1"/>
        <rFont val="等线"/>
        <family val="3"/>
        <charset val="134"/>
      </rPr>
      <t>项目</t>
    </r>
    <phoneticPr fontId="1" type="noConversion"/>
  </si>
  <si>
    <r>
      <rPr>
        <b/>
        <sz val="16"/>
        <color theme="1"/>
        <rFont val="等线"/>
        <family val="3"/>
        <charset val="134"/>
      </rPr>
      <t>解释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</si>
  <si>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</si>
  <si>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资产所有者得到的税后租金</t>
    </r>
    <phoneticPr fontId="1" type="noConversion"/>
  </si>
  <si>
    <r>
      <t>+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×</t>
    </r>
    <r>
      <rPr>
        <sz val="11"/>
        <color theme="1"/>
        <rFont val="Malgun Gothic Semilight"/>
        <family val="2"/>
        <charset val="134"/>
      </rPr>
      <t>折旧</t>
    </r>
    <phoneticPr fontId="1" type="noConversion"/>
  </si>
  <si>
    <r>
      <rPr>
        <sz val="11"/>
        <color theme="1"/>
        <rFont val="等线"/>
        <family val="2"/>
        <charset val="134"/>
      </rPr>
      <t>资产所有者得到的资产折旧的避税</t>
    </r>
    <phoneticPr fontId="1" type="noConversion"/>
  </si>
  <si>
    <r>
      <t>-(1-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等线"/>
        <family val="2"/>
        <charset val="134"/>
      </rPr>
      <t>利息</t>
    </r>
    <phoneticPr fontId="1" type="noConversion"/>
  </si>
  <si>
    <r>
      <rPr>
        <sz val="11"/>
        <color theme="1"/>
        <rFont val="等线"/>
        <family val="2"/>
        <charset val="134"/>
      </rPr>
      <t>负债利息是可以抵税的</t>
    </r>
    <phoneticPr fontId="1" type="noConversion"/>
  </si>
  <si>
    <r>
      <t>-</t>
    </r>
    <r>
      <rPr>
        <sz val="11"/>
        <color theme="1"/>
        <rFont val="等线"/>
        <family val="2"/>
        <charset val="134"/>
      </rPr>
      <t>负债本金偿还</t>
    </r>
    <phoneticPr fontId="1" type="noConversion"/>
  </si>
  <si>
    <r>
      <rPr>
        <sz val="11"/>
        <color theme="1"/>
        <rFont val="等线"/>
        <family val="2"/>
        <charset val="134"/>
      </rPr>
      <t>负债本金偿还是不可以抵税的</t>
    </r>
    <phoneticPr fontId="1" type="noConversion"/>
  </si>
  <si>
    <r>
      <t>+(1-</t>
    </r>
    <r>
      <rPr>
        <sz val="11"/>
        <color theme="1"/>
        <rFont val="等线"/>
        <family val="2"/>
        <charset val="134"/>
      </rPr>
      <t>税率</t>
    </r>
    <r>
      <rPr>
        <sz val="11"/>
        <color theme="1"/>
        <rFont val="Arial"/>
        <family val="2"/>
      </rPr>
      <t>)×</t>
    </r>
    <r>
      <rPr>
        <sz val="11"/>
        <color theme="1"/>
        <rFont val="Malgun Gothic Semilight"/>
        <family val="2"/>
        <charset val="134"/>
      </rPr>
      <t>残值</t>
    </r>
    <phoneticPr fontId="1" type="noConversion"/>
  </si>
  <si>
    <r>
      <rPr>
        <sz val="11"/>
        <color theme="1"/>
        <rFont val="等线"/>
        <family val="2"/>
        <charset val="134"/>
      </rPr>
      <t>该项目仅在最后一年发生，残值通常要全额课税，因为这里是按资产全部价值折旧的。</t>
    </r>
    <phoneticPr fontId="1" type="noConversion"/>
  </si>
  <si>
    <t>Income</t>
  </si>
  <si>
    <t>Results</t>
  </si>
  <si>
    <t>rent</t>
  </si>
  <si>
    <t>MPM</t>
  </si>
  <si>
    <t>IRR</t>
  </si>
  <si>
    <t>IRR - MPM</t>
  </si>
  <si>
    <t>Start</t>
  </si>
  <si>
    <t>Increase</t>
  </si>
  <si>
    <t>CASH</t>
  </si>
  <si>
    <t>FLOW</t>
  </si>
  <si>
    <t xml:space="preserve">To answer this question, you have to run the Solver macro found on the </t>
  </si>
  <si>
    <t>This program can also be run by [ctr]+a.</t>
  </si>
  <si>
    <t>If the macro does not work, read "Adding Solver Reference to VBA" on the disk with the book.</t>
  </si>
  <si>
    <t>cost of asset</t>
  </si>
  <si>
    <t>lease term</t>
  </si>
  <si>
    <t>residual value</t>
  </si>
  <si>
    <t>equity</t>
  </si>
  <si>
    <t>debt</t>
  </si>
  <si>
    <t>15-year term loan, equal payments of interest &amp; principal</t>
  </si>
  <si>
    <t>interest</t>
  </si>
  <si>
    <t>annual debt payment</t>
  </si>
  <si>
    <t>annual rent received</t>
  </si>
  <si>
    <t>tax rate</t>
  </si>
  <si>
    <t>principal</t>
  </si>
  <si>
    <t>repayment</t>
  </si>
  <si>
    <t>rental or</t>
  </si>
  <si>
    <t>at start</t>
  </si>
  <si>
    <t>loan</t>
  </si>
  <si>
    <t xml:space="preserve">of </t>
  </si>
  <si>
    <t>year</t>
  </si>
  <si>
    <t>equity invested</t>
  </si>
  <si>
    <t>salvage</t>
  </si>
  <si>
    <t>depreciation</t>
  </si>
  <si>
    <t>of year</t>
  </si>
  <si>
    <t>payment</t>
  </si>
  <si>
    <t>Investment at beginning of year</t>
  </si>
  <si>
    <t>Cash flow</t>
  </si>
  <si>
    <t>Investment</t>
  </si>
  <si>
    <t>Plug</t>
    <phoneticPr fontId="1" type="noConversion"/>
  </si>
  <si>
    <t>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</si>
</sst>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_);_(* \(#,##0\);_(* &quot;-&quot;??_);_(@_)"/>
    <numFmt numFmtId="177" formatCode="&quot;$&quot;#,##0.00_);[Red]\(&quot;$&quot;#,##0.00\)"/>
    <numFmt numFmtId="192" formatCode="0.00000000000000%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</font>
    <font>
      <b/>
      <sz val="14"/>
      <name val="Arial"/>
      <family val="2"/>
    </font>
    <font>
      <b/>
      <sz val="10"/>
      <name val="Arial"/>
      <family val="2"/>
    </font>
    <font>
      <sz val="11"/>
      <color theme="1"/>
      <name val="Malgun Gothic Semilight"/>
      <family val="2"/>
      <charset val="134"/>
    </font>
    <font>
      <b/>
      <sz val="16"/>
      <color theme="1"/>
      <name val="Arial Black"/>
      <family val="2"/>
    </font>
    <font>
      <b/>
      <sz val="16"/>
      <color theme="1"/>
      <name val="等线"/>
      <family val="3"/>
      <charset val="134"/>
    </font>
    <font>
      <sz val="11"/>
      <color theme="1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quotePrefix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3" fontId="4" fillId="0" borderId="0" xfId="0" applyNumberFormat="1" applyFont="1" applyAlignment="1">
      <alignment horizontal="center" vertical="center" wrapText="1"/>
    </xf>
    <xf numFmtId="3" fontId="0" fillId="0" borderId="0" xfId="0" applyNumberFormat="1" applyAlignment="1"/>
    <xf numFmtId="0" fontId="4" fillId="3" borderId="0" xfId="0" applyFont="1" applyFill="1" applyAlignment="1">
      <alignment horizontal="center"/>
    </xf>
    <xf numFmtId="10" fontId="0" fillId="0" borderId="0" xfId="2" applyNumberFormat="1" applyFont="1" applyAlignment="1">
      <alignment horizontal="right"/>
    </xf>
    <xf numFmtId="10" fontId="0" fillId="0" borderId="0" xfId="2" applyNumberFormat="1" applyFont="1" applyAlignment="1"/>
    <xf numFmtId="9" fontId="0" fillId="0" borderId="0" xfId="0" applyNumberFormat="1" applyAlignment="1"/>
    <xf numFmtId="176" fontId="0" fillId="0" borderId="0" xfId="1" applyNumberFormat="1" applyFont="1" applyAlignment="1"/>
    <xf numFmtId="0" fontId="0" fillId="4" borderId="0" xfId="0" applyFill="1" applyAlignment="1"/>
    <xf numFmtId="0" fontId="3" fillId="0" borderId="0" xfId="0" applyFont="1" applyAlignment="1">
      <alignment horizontal="centerContinuous"/>
    </xf>
    <xf numFmtId="38" fontId="0" fillId="0" borderId="0" xfId="0" applyNumberFormat="1" applyAlignment="1"/>
    <xf numFmtId="17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3" fontId="0" fillId="0" borderId="0" xfId="1" applyNumberFormat="1" applyFont="1" applyAlignment="1"/>
    <xf numFmtId="3" fontId="0" fillId="2" borderId="0" xfId="0" applyNumberFormat="1" applyFill="1" applyAlignment="1">
      <alignment horizontal="center"/>
    </xf>
    <xf numFmtId="10" fontId="0" fillId="2" borderId="0" xfId="2" applyNumberFormat="1" applyFont="1" applyFill="1" applyAlignment="1"/>
    <xf numFmtId="10" fontId="0" fillId="2" borderId="0" xfId="0" applyNumberFormat="1" applyFill="1" applyAlignment="1"/>
    <xf numFmtId="0" fontId="4" fillId="2" borderId="0" xfId="0" applyFont="1" applyFill="1" applyAlignment="1">
      <alignment horizontal="center"/>
    </xf>
    <xf numFmtId="0" fontId="0" fillId="0" borderId="0" xfId="0" applyFill="1" applyAlignment="1"/>
    <xf numFmtId="0" fontId="0" fillId="5" borderId="0" xfId="0" applyFill="1" applyAlignment="1"/>
    <xf numFmtId="10" fontId="0" fillId="5" borderId="0" xfId="0" applyNumberFormat="1" applyFill="1" applyAlignment="1"/>
    <xf numFmtId="0" fontId="0" fillId="5" borderId="0" xfId="0" applyFill="1" applyAlignment="1">
      <alignment horizontal="center"/>
    </xf>
    <xf numFmtId="3" fontId="0" fillId="5" borderId="0" xfId="0" applyNumberFormat="1" applyFill="1" applyAlignment="1"/>
    <xf numFmtId="10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3" fontId="0" fillId="0" borderId="0" xfId="0" applyNumberFormat="1" applyFill="1" applyAlignment="1">
      <alignment horizontal="center"/>
    </xf>
    <xf numFmtId="10" fontId="0" fillId="0" borderId="0" xfId="2" applyNumberFormat="1" applyFont="1" applyFill="1" applyAlignment="1"/>
    <xf numFmtId="10" fontId="0" fillId="0" borderId="0" xfId="0" applyNumberFormat="1" applyFill="1" applyAlignment="1"/>
    <xf numFmtId="192" fontId="0" fillId="0" borderId="0" xfId="2" applyNumberFormat="1" applyFont="1" applyAlignment="1"/>
    <xf numFmtId="3" fontId="0" fillId="2" borderId="0" xfId="0" applyNumberFormat="1" applyFill="1" applyAlignment="1">
      <alignment horizontal="right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608136</xdr:colOff>
      <xdr:row>63</xdr:row>
      <xdr:rowOff>139212</xdr:rowOff>
    </xdr:from>
    <xdr:to>
      <xdr:col>15</xdr:col>
      <xdr:colOff>570800</xdr:colOff>
      <xdr:row>81</xdr:row>
      <xdr:rowOff>133335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9A9C666-425F-02D5-19F7-B4C407F0B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1" y="10975731"/>
          <a:ext cx="7575337" cy="3040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525780</xdr:colOff>
          <xdr:row>48</xdr:row>
          <xdr:rowOff>45720</xdr:rowOff>
        </xdr:from>
        <xdr:to>
          <xdr:col>11</xdr:col>
          <xdr:colOff>213360</xdr:colOff>
          <xdr:row>53</xdr:row>
          <xdr:rowOff>106680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Results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2884170</xdr:colOff>
      <xdr:row>28</xdr:row>
      <xdr:rowOff>76200</xdr:rowOff>
    </xdr:from>
    <xdr:to>
      <xdr:col>11</xdr:col>
      <xdr:colOff>478328</xdr:colOff>
      <xdr:row>37</xdr:row>
      <xdr:rowOff>140970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81507B-919C-A707-A15F-5383FCA45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636770" y="5200650"/>
          <a:ext cx="8538383" cy="16078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6B87F-9521-48B2-853D-8A4EA6C27869}">
  <sheetPr codeName="Sheet5"/>
  <dimension ref="A1:J131"/>
  <sheetViews>
    <sheetView tabSelected="1" topLeftCell="A73" zoomScale="130" zoomScaleNormal="130" workbookViewId="0">
      <selection activeCell="B45" sqref="B45"/>
    </sheetView>
  </sheetViews>
  <sheetFormatPr defaultRowHeight="13.8" x14ac:dyDescent="0.25"/>
  <cols>
    <col min="1" max="1" width="19.109375" style="1" customWidth="1"/>
    <col min="2" max="2" width="16.88671875" style="1" customWidth="1"/>
    <col min="3" max="3" width="14.5546875" style="1" customWidth="1"/>
    <col min="4" max="4" width="21" style="1" bestFit="1" customWidth="1"/>
    <col min="5" max="5" width="21.109375" style="1" customWidth="1"/>
    <col min="6" max="6" width="8.88671875" style="1"/>
    <col min="7" max="7" width="7.6640625" style="1" customWidth="1"/>
    <col min="8" max="8" width="10.6640625" style="1" customWidth="1"/>
    <col min="9" max="9" width="9.44140625" style="1" bestFit="1" customWidth="1"/>
    <col min="10" max="10" width="8.88671875" style="1"/>
  </cols>
  <sheetData>
    <row r="1" spans="1:9" x14ac:dyDescent="0.25">
      <c r="A1" s="20" t="s">
        <v>24</v>
      </c>
      <c r="B1" s="20"/>
      <c r="C1" s="20"/>
      <c r="D1" s="20"/>
      <c r="E1" s="20"/>
      <c r="F1" s="20"/>
    </row>
    <row r="2" spans="1:9" x14ac:dyDescent="0.25">
      <c r="A2" s="20" t="s">
        <v>25</v>
      </c>
      <c r="B2" s="20"/>
      <c r="C2" s="20"/>
      <c r="D2" s="20"/>
      <c r="E2" s="20"/>
      <c r="F2" s="20"/>
    </row>
    <row r="3" spans="1:9" x14ac:dyDescent="0.25">
      <c r="A3" s="20" t="s">
        <v>26</v>
      </c>
      <c r="B3" s="20"/>
      <c r="C3" s="20"/>
      <c r="D3" s="20"/>
      <c r="E3" s="20"/>
      <c r="F3" s="20"/>
    </row>
    <row r="5" spans="1:9" ht="17.399999999999999" x14ac:dyDescent="0.3">
      <c r="A5" s="21" t="s">
        <v>0</v>
      </c>
      <c r="B5" s="21"/>
      <c r="C5" s="21"/>
      <c r="D5" s="21"/>
      <c r="E5" s="21"/>
      <c r="F5" s="21"/>
      <c r="G5" s="21"/>
      <c r="H5" s="21"/>
      <c r="I5" s="21"/>
    </row>
    <row r="6" spans="1:9" x14ac:dyDescent="0.25">
      <c r="A6" s="1" t="s">
        <v>27</v>
      </c>
      <c r="B6" s="14">
        <v>1000000</v>
      </c>
    </row>
    <row r="7" spans="1:9" x14ac:dyDescent="0.25">
      <c r="A7" s="1" t="s">
        <v>28</v>
      </c>
      <c r="B7" s="1">
        <v>15</v>
      </c>
    </row>
    <row r="8" spans="1:9" x14ac:dyDescent="0.25">
      <c r="A8" s="1" t="s">
        <v>29</v>
      </c>
      <c r="B8" s="14">
        <v>300000</v>
      </c>
    </row>
    <row r="9" spans="1:9" x14ac:dyDescent="0.25">
      <c r="A9" s="1" t="s">
        <v>30</v>
      </c>
      <c r="B9" s="14">
        <v>200000</v>
      </c>
    </row>
    <row r="10" spans="1:9" x14ac:dyDescent="0.25">
      <c r="A10" s="1" t="s">
        <v>31</v>
      </c>
      <c r="B10" s="14">
        <f>B6-B9</f>
        <v>800000</v>
      </c>
      <c r="C10" s="1" t="s">
        <v>32</v>
      </c>
    </row>
    <row r="11" spans="1:9" x14ac:dyDescent="0.25">
      <c r="A11" s="1" t="s">
        <v>33</v>
      </c>
      <c r="B11" s="18">
        <v>0.1</v>
      </c>
    </row>
    <row r="12" spans="1:9" x14ac:dyDescent="0.25">
      <c r="A12" s="1" t="s">
        <v>34</v>
      </c>
      <c r="B12" s="22">
        <f>PMT(B11,B7,-B10)</f>
        <v>105179.02150989778</v>
      </c>
    </row>
    <row r="13" spans="1:9" x14ac:dyDescent="0.25">
      <c r="A13" s="1" t="s">
        <v>35</v>
      </c>
      <c r="B13" s="41">
        <v>150000</v>
      </c>
    </row>
    <row r="14" spans="1:9" x14ac:dyDescent="0.25">
      <c r="A14" s="1" t="s">
        <v>36</v>
      </c>
      <c r="B14" s="18">
        <v>0.4</v>
      </c>
    </row>
    <row r="15" spans="1:9" x14ac:dyDescent="0.25">
      <c r="B15" s="18"/>
    </row>
    <row r="16" spans="1:9" x14ac:dyDescent="0.25">
      <c r="B16" s="23"/>
      <c r="C16" s="11"/>
      <c r="D16" s="11"/>
      <c r="E16" s="11" t="s">
        <v>37</v>
      </c>
      <c r="F16" s="11"/>
      <c r="G16" s="11"/>
      <c r="H16" s="11" t="s">
        <v>38</v>
      </c>
      <c r="I16" s="11"/>
    </row>
    <row r="17" spans="1:9" x14ac:dyDescent="0.25">
      <c r="B17" s="11"/>
      <c r="C17" s="11" t="s">
        <v>39</v>
      </c>
      <c r="D17" s="11"/>
      <c r="E17" s="11" t="s">
        <v>40</v>
      </c>
      <c r="F17" s="11" t="s">
        <v>41</v>
      </c>
      <c r="G17" s="11"/>
      <c r="H17" s="11" t="s">
        <v>42</v>
      </c>
      <c r="I17" s="11" t="s">
        <v>22</v>
      </c>
    </row>
    <row r="18" spans="1:9" x14ac:dyDescent="0.25">
      <c r="A18" s="24" t="s">
        <v>43</v>
      </c>
      <c r="B18" s="11" t="s">
        <v>44</v>
      </c>
      <c r="C18" s="11" t="s">
        <v>45</v>
      </c>
      <c r="D18" s="11" t="s">
        <v>46</v>
      </c>
      <c r="E18" s="11" t="s">
        <v>47</v>
      </c>
      <c r="F18" s="11" t="s">
        <v>48</v>
      </c>
      <c r="G18" s="11" t="s">
        <v>33</v>
      </c>
      <c r="H18" s="11" t="s">
        <v>37</v>
      </c>
      <c r="I18" s="11" t="s">
        <v>23</v>
      </c>
    </row>
    <row r="19" spans="1:9" x14ac:dyDescent="0.25">
      <c r="A19" s="1">
        <v>0</v>
      </c>
      <c r="B19" s="14">
        <f>-B9</f>
        <v>-200000</v>
      </c>
      <c r="C19" s="14"/>
      <c r="D19" s="14"/>
      <c r="E19" s="14"/>
      <c r="F19" s="14"/>
      <c r="G19" s="14"/>
      <c r="H19" s="14"/>
      <c r="I19" s="14">
        <f>B19</f>
        <v>-200000</v>
      </c>
    </row>
    <row r="20" spans="1:9" x14ac:dyDescent="0.25">
      <c r="A20" s="1">
        <v>1</v>
      </c>
      <c r="B20" s="14"/>
      <c r="C20" s="14">
        <f>$B$13</f>
        <v>150000</v>
      </c>
      <c r="D20" s="14">
        <f>0.1428*B6</f>
        <v>142800</v>
      </c>
      <c r="E20" s="14">
        <f>B10</f>
        <v>800000</v>
      </c>
      <c r="F20" s="14">
        <f t="shared" ref="F20:F34" si="0">$B$12</f>
        <v>105179.02150989778</v>
      </c>
      <c r="G20" s="14">
        <f t="shared" ref="G20:G34" si="1">$B$11*E20</f>
        <v>80000</v>
      </c>
      <c r="H20" s="14">
        <f t="shared" ref="H20:H34" si="2">F20-G20</f>
        <v>25179.021509897779</v>
      </c>
      <c r="I20" s="14">
        <f>(1-tax)*C20+tax*D20-(1-tax)*G20-H20</f>
        <v>73940.978490102221</v>
      </c>
    </row>
    <row r="21" spans="1:9" x14ac:dyDescent="0.25">
      <c r="A21" s="1">
        <v>2</v>
      </c>
      <c r="B21" s="14"/>
      <c r="C21" s="14">
        <f t="shared" ref="C21:C34" si="3">C20</f>
        <v>150000</v>
      </c>
      <c r="D21" s="14">
        <f>0.2449*B6</f>
        <v>244900</v>
      </c>
      <c r="E21" s="14">
        <f>E20-H20</f>
        <v>774820.97849010222</v>
      </c>
      <c r="F21" s="14">
        <f t="shared" si="0"/>
        <v>105179.02150989778</v>
      </c>
      <c r="G21" s="14">
        <f t="shared" si="1"/>
        <v>77482.097849010228</v>
      </c>
      <c r="H21" s="14">
        <f t="shared" si="2"/>
        <v>27696.923660887551</v>
      </c>
      <c r="I21" s="14">
        <f t="shared" ref="I21:I35" si="4">(1-tax)*C21+tax*D21-(1-tax)*G21-H21</f>
        <v>113773.81762970632</v>
      </c>
    </row>
    <row r="22" spans="1:9" x14ac:dyDescent="0.25">
      <c r="A22" s="1">
        <v>3</v>
      </c>
      <c r="B22" s="14"/>
      <c r="C22" s="14">
        <f t="shared" si="3"/>
        <v>150000</v>
      </c>
      <c r="D22" s="14">
        <f>0.1749*B6</f>
        <v>174900</v>
      </c>
      <c r="E22" s="14">
        <f t="shared" ref="E22:E34" si="5">E21-H21</f>
        <v>747124.0548292147</v>
      </c>
      <c r="F22" s="14">
        <f t="shared" si="0"/>
        <v>105179.02150989778</v>
      </c>
      <c r="G22" s="14">
        <f t="shared" si="1"/>
        <v>74712.405482921473</v>
      </c>
      <c r="H22" s="14">
        <f t="shared" si="2"/>
        <v>30466.616026976306</v>
      </c>
      <c r="I22" s="14">
        <f t="shared" si="4"/>
        <v>84665.940683270819</v>
      </c>
    </row>
    <row r="23" spans="1:9" x14ac:dyDescent="0.25">
      <c r="A23" s="1">
        <v>4</v>
      </c>
      <c r="B23" s="14"/>
      <c r="C23" s="14">
        <f t="shared" si="3"/>
        <v>150000</v>
      </c>
      <c r="D23" s="14">
        <f>0.125*B6</f>
        <v>125000</v>
      </c>
      <c r="E23" s="14">
        <f t="shared" si="5"/>
        <v>716657.43880223844</v>
      </c>
      <c r="F23" s="14">
        <f t="shared" si="0"/>
        <v>105179.02150989778</v>
      </c>
      <c r="G23" s="14">
        <f t="shared" si="1"/>
        <v>71665.743880223847</v>
      </c>
      <c r="H23" s="14">
        <f t="shared" si="2"/>
        <v>33513.277629673932</v>
      </c>
      <c r="I23" s="14">
        <f t="shared" si="4"/>
        <v>63487.276042191763</v>
      </c>
    </row>
    <row r="24" spans="1:9" x14ac:dyDescent="0.25">
      <c r="A24" s="1">
        <v>5</v>
      </c>
      <c r="B24" s="14"/>
      <c r="C24" s="14">
        <f t="shared" si="3"/>
        <v>150000</v>
      </c>
      <c r="D24" s="14">
        <f>0.0892*B6</f>
        <v>89200</v>
      </c>
      <c r="E24" s="14">
        <f t="shared" si="5"/>
        <v>683144.16117256449</v>
      </c>
      <c r="F24" s="14">
        <f t="shared" si="0"/>
        <v>105179.02150989778</v>
      </c>
      <c r="G24" s="14">
        <f t="shared" si="1"/>
        <v>68314.416117256449</v>
      </c>
      <c r="H24" s="14">
        <f t="shared" si="2"/>
        <v>36864.60539264133</v>
      </c>
      <c r="I24" s="14">
        <f t="shared" si="4"/>
        <v>47826.744937004813</v>
      </c>
    </row>
    <row r="25" spans="1:9" x14ac:dyDescent="0.25">
      <c r="A25" s="1">
        <v>6</v>
      </c>
      <c r="B25" s="14"/>
      <c r="C25" s="14">
        <f t="shared" si="3"/>
        <v>150000</v>
      </c>
      <c r="D25" s="14">
        <f>D24</f>
        <v>89200</v>
      </c>
      <c r="E25" s="14">
        <f t="shared" si="5"/>
        <v>646279.55577992322</v>
      </c>
      <c r="F25" s="14">
        <f t="shared" si="0"/>
        <v>105179.02150989778</v>
      </c>
      <c r="G25" s="14">
        <f t="shared" si="1"/>
        <v>64627.955577992325</v>
      </c>
      <c r="H25" s="14">
        <f t="shared" si="2"/>
        <v>40551.065931905454</v>
      </c>
      <c r="I25" s="14">
        <f t="shared" si="4"/>
        <v>46352.160721299151</v>
      </c>
    </row>
    <row r="26" spans="1:9" x14ac:dyDescent="0.25">
      <c r="A26" s="1">
        <v>7</v>
      </c>
      <c r="B26" s="14"/>
      <c r="C26" s="14">
        <f t="shared" si="3"/>
        <v>150000</v>
      </c>
      <c r="D26" s="14">
        <f>D25</f>
        <v>89200</v>
      </c>
      <c r="E26" s="14">
        <f t="shared" si="5"/>
        <v>605728.48984801781</v>
      </c>
      <c r="F26" s="14">
        <f t="shared" si="0"/>
        <v>105179.02150989778</v>
      </c>
      <c r="G26" s="14">
        <f t="shared" si="1"/>
        <v>60572.848984801785</v>
      </c>
      <c r="H26" s="14">
        <f t="shared" si="2"/>
        <v>44606.172525095993</v>
      </c>
      <c r="I26" s="14">
        <f t="shared" si="4"/>
        <v>44730.118084022943</v>
      </c>
    </row>
    <row r="27" spans="1:9" x14ac:dyDescent="0.25">
      <c r="A27" s="1">
        <v>8</v>
      </c>
      <c r="B27" s="14"/>
      <c r="C27" s="14">
        <f t="shared" si="3"/>
        <v>150000</v>
      </c>
      <c r="D27" s="14">
        <f>0.0448*B6</f>
        <v>44800</v>
      </c>
      <c r="E27" s="14">
        <f t="shared" si="5"/>
        <v>561122.31732292182</v>
      </c>
      <c r="F27" s="14">
        <f t="shared" si="0"/>
        <v>105179.02150989778</v>
      </c>
      <c r="G27" s="14">
        <f t="shared" si="1"/>
        <v>56112.231732292188</v>
      </c>
      <c r="H27" s="14">
        <f t="shared" si="2"/>
        <v>49066.789777605591</v>
      </c>
      <c r="I27" s="14">
        <f t="shared" si="4"/>
        <v>25185.871183019102</v>
      </c>
    </row>
    <row r="28" spans="1:9" x14ac:dyDescent="0.25">
      <c r="A28" s="1">
        <v>9</v>
      </c>
      <c r="B28" s="14"/>
      <c r="C28" s="14">
        <f t="shared" si="3"/>
        <v>150000</v>
      </c>
      <c r="D28" s="14"/>
      <c r="E28" s="14">
        <f t="shared" si="5"/>
        <v>512055.52754531626</v>
      </c>
      <c r="F28" s="14">
        <f t="shared" si="0"/>
        <v>105179.02150989778</v>
      </c>
      <c r="G28" s="14">
        <f t="shared" si="1"/>
        <v>51205.552754531629</v>
      </c>
      <c r="H28" s="14">
        <f t="shared" si="2"/>
        <v>53973.46875536615</v>
      </c>
      <c r="I28" s="14">
        <f t="shared" si="4"/>
        <v>5303.1995919148758</v>
      </c>
    </row>
    <row r="29" spans="1:9" x14ac:dyDescent="0.25">
      <c r="A29" s="1">
        <v>10</v>
      </c>
      <c r="B29" s="14"/>
      <c r="C29" s="14">
        <f t="shared" si="3"/>
        <v>150000</v>
      </c>
      <c r="E29" s="14">
        <f t="shared" si="5"/>
        <v>458082.0587899501</v>
      </c>
      <c r="F29" s="14">
        <f t="shared" si="0"/>
        <v>105179.02150989778</v>
      </c>
      <c r="G29" s="14">
        <f t="shared" si="1"/>
        <v>45808.20587899501</v>
      </c>
      <c r="H29" s="14">
        <f t="shared" si="2"/>
        <v>59370.815630902769</v>
      </c>
      <c r="I29" s="14">
        <f t="shared" si="4"/>
        <v>3144.2608417002266</v>
      </c>
    </row>
    <row r="30" spans="1:9" x14ac:dyDescent="0.25">
      <c r="A30" s="1">
        <v>11</v>
      </c>
      <c r="B30" s="14"/>
      <c r="C30" s="14">
        <f t="shared" si="3"/>
        <v>150000</v>
      </c>
      <c r="E30" s="14">
        <f t="shared" si="5"/>
        <v>398711.24315904733</v>
      </c>
      <c r="F30" s="14">
        <f t="shared" si="0"/>
        <v>105179.02150989778</v>
      </c>
      <c r="G30" s="14">
        <f t="shared" si="1"/>
        <v>39871.124315904737</v>
      </c>
      <c r="H30" s="14">
        <f t="shared" si="2"/>
        <v>65307.897193993042</v>
      </c>
      <c r="I30" s="14">
        <f t="shared" si="4"/>
        <v>769.42821646411176</v>
      </c>
    </row>
    <row r="31" spans="1:9" x14ac:dyDescent="0.25">
      <c r="A31" s="1">
        <v>12</v>
      </c>
      <c r="B31" s="14"/>
      <c r="C31" s="14">
        <f t="shared" si="3"/>
        <v>150000</v>
      </c>
      <c r="E31" s="14">
        <f t="shared" si="5"/>
        <v>333403.34596505429</v>
      </c>
      <c r="F31" s="14">
        <f t="shared" si="0"/>
        <v>105179.02150989778</v>
      </c>
      <c r="G31" s="14">
        <f t="shared" si="1"/>
        <v>33340.334596505432</v>
      </c>
      <c r="H31" s="14">
        <f t="shared" si="2"/>
        <v>71838.686913392346</v>
      </c>
      <c r="I31" s="14">
        <f t="shared" si="4"/>
        <v>-1842.8876712955971</v>
      </c>
    </row>
    <row r="32" spans="1:9" x14ac:dyDescent="0.25">
      <c r="A32" s="1">
        <v>13</v>
      </c>
      <c r="B32" s="14"/>
      <c r="C32" s="14">
        <f t="shared" si="3"/>
        <v>150000</v>
      </c>
      <c r="E32" s="14">
        <f t="shared" si="5"/>
        <v>261564.65905166196</v>
      </c>
      <c r="F32" s="14">
        <f t="shared" si="0"/>
        <v>105179.02150989778</v>
      </c>
      <c r="G32" s="14">
        <f t="shared" si="1"/>
        <v>26156.465905166198</v>
      </c>
      <c r="H32" s="14">
        <f t="shared" si="2"/>
        <v>79022.555604731577</v>
      </c>
      <c r="I32" s="14">
        <f t="shared" si="4"/>
        <v>-4716.4351478312892</v>
      </c>
    </row>
    <row r="33" spans="1:10" x14ac:dyDescent="0.25">
      <c r="A33" s="1">
        <v>14</v>
      </c>
      <c r="B33" s="14"/>
      <c r="C33" s="14">
        <f t="shared" si="3"/>
        <v>150000</v>
      </c>
      <c r="E33" s="14">
        <f t="shared" si="5"/>
        <v>182542.10344693038</v>
      </c>
      <c r="F33" s="14">
        <f t="shared" si="0"/>
        <v>105179.02150989778</v>
      </c>
      <c r="G33" s="14">
        <f t="shared" si="1"/>
        <v>18254.210344693038</v>
      </c>
      <c r="H33" s="14">
        <f t="shared" si="2"/>
        <v>86924.811165204737</v>
      </c>
      <c r="I33" s="14">
        <f t="shared" si="4"/>
        <v>-7877.3373720205564</v>
      </c>
    </row>
    <row r="34" spans="1:10" x14ac:dyDescent="0.25">
      <c r="A34" s="1">
        <v>15</v>
      </c>
      <c r="B34" s="14"/>
      <c r="C34" s="14">
        <f t="shared" si="3"/>
        <v>150000</v>
      </c>
      <c r="E34" s="14">
        <f t="shared" si="5"/>
        <v>95617.292281725648</v>
      </c>
      <c r="F34" s="14">
        <f t="shared" si="0"/>
        <v>105179.02150989778</v>
      </c>
      <c r="G34" s="14">
        <f t="shared" si="1"/>
        <v>9561.7292281725659</v>
      </c>
      <c r="H34" s="14">
        <f t="shared" si="2"/>
        <v>95617.292281725211</v>
      </c>
      <c r="I34" s="14">
        <f t="shared" si="4"/>
        <v>-11354.329818628757</v>
      </c>
    </row>
    <row r="35" spans="1:10" x14ac:dyDescent="0.25">
      <c r="A35" s="1">
        <v>16</v>
      </c>
      <c r="B35" s="14"/>
      <c r="C35" s="14">
        <f>B8</f>
        <v>300000</v>
      </c>
      <c r="E35" s="14"/>
      <c r="F35" s="14"/>
      <c r="G35" s="14"/>
      <c r="H35" s="14"/>
      <c r="I35" s="14">
        <f t="shared" si="4"/>
        <v>180000</v>
      </c>
    </row>
    <row r="37" spans="1:10" x14ac:dyDescent="0.25">
      <c r="D37" s="18"/>
      <c r="E37" s="14"/>
    </row>
    <row r="38" spans="1:10" x14ac:dyDescent="0.25">
      <c r="D38" s="18"/>
      <c r="E38" s="14"/>
    </row>
    <row r="39" spans="1:10" x14ac:dyDescent="0.25">
      <c r="D39" s="18"/>
      <c r="E39" s="14"/>
    </row>
    <row r="40" spans="1:10" x14ac:dyDescent="0.25">
      <c r="A40" s="1" t="s">
        <v>20</v>
      </c>
      <c r="B40" s="14">
        <v>120000</v>
      </c>
      <c r="D40" s="18"/>
      <c r="E40" s="14"/>
    </row>
    <row r="41" spans="1:10" x14ac:dyDescent="0.25">
      <c r="A41" s="1" t="s">
        <v>21</v>
      </c>
      <c r="B41" s="19">
        <v>2000</v>
      </c>
      <c r="D41" s="18"/>
      <c r="E41" s="14"/>
    </row>
    <row r="42" spans="1:10" x14ac:dyDescent="0.25">
      <c r="A42" s="31" t="s">
        <v>17</v>
      </c>
      <c r="B42" s="32">
        <v>0.34610323500148216</v>
      </c>
      <c r="C42" s="35" t="s">
        <v>52</v>
      </c>
      <c r="D42" s="18"/>
      <c r="E42" s="14"/>
    </row>
    <row r="43" spans="1:10" x14ac:dyDescent="0.25">
      <c r="A43" s="1" t="s">
        <v>18</v>
      </c>
      <c r="B43" s="12">
        <f>IRR(I19:I35,0)</f>
        <v>0.34610323500130913</v>
      </c>
      <c r="C43" s="1" t="str">
        <f ca="1">[1]!getformula(IRR)</f>
        <v>&lt;--  =IRR(I19:I35,0)</v>
      </c>
      <c r="D43" s="18"/>
      <c r="E43" s="14"/>
    </row>
    <row r="44" spans="1:10" x14ac:dyDescent="0.25">
      <c r="A44" s="30"/>
      <c r="B44" s="30"/>
      <c r="D44" s="18"/>
      <c r="E44" s="14"/>
    </row>
    <row r="45" spans="1:10" ht="26.4" x14ac:dyDescent="0.25">
      <c r="A45" s="3" t="s">
        <v>1</v>
      </c>
      <c r="B45" s="3" t="s">
        <v>49</v>
      </c>
      <c r="C45" s="3" t="s">
        <v>50</v>
      </c>
      <c r="D45" s="3" t="s">
        <v>14</v>
      </c>
      <c r="E45" s="13" t="s">
        <v>51</v>
      </c>
      <c r="F45" s="4"/>
      <c r="G45" s="4"/>
      <c r="H45" s="4"/>
      <c r="I45" s="4"/>
      <c r="J45" s="4"/>
    </row>
    <row r="46" spans="1:10" x14ac:dyDescent="0.25">
      <c r="A46" s="2">
        <v>1</v>
      </c>
      <c r="B46" s="14">
        <f>B9</f>
        <v>200000</v>
      </c>
      <c r="C46" s="14">
        <f t="shared" ref="C46:C61" si="6">I20</f>
        <v>73940.978490102221</v>
      </c>
      <c r="D46" s="25">
        <f t="shared" ref="D46:D61" si="7">IF($B$42*B46&gt;0,$B$42*B46,0)</f>
        <v>69220.647000296434</v>
      </c>
      <c r="E46" s="14">
        <f t="shared" ref="E46:E61" si="8">C46-D46</f>
        <v>4720.331489805787</v>
      </c>
    </row>
    <row r="47" spans="1:10" x14ac:dyDescent="0.25">
      <c r="A47" s="2">
        <v>2</v>
      </c>
      <c r="B47" s="14">
        <f>B46-E46</f>
        <v>195279.66851019423</v>
      </c>
      <c r="C47" s="14">
        <f t="shared" si="6"/>
        <v>113773.81762970632</v>
      </c>
      <c r="D47" s="25">
        <f t="shared" si="7"/>
        <v>67586.925001395284</v>
      </c>
      <c r="E47" s="14">
        <f t="shared" si="8"/>
        <v>46186.892628311034</v>
      </c>
    </row>
    <row r="48" spans="1:10" x14ac:dyDescent="0.25">
      <c r="A48" s="2">
        <v>3</v>
      </c>
      <c r="B48" s="14">
        <f t="shared" ref="B48:B62" si="9">B47-E47</f>
        <v>149092.77588188319</v>
      </c>
      <c r="C48" s="14">
        <f t="shared" si="6"/>
        <v>84665.940683270819</v>
      </c>
      <c r="D48" s="25">
        <f t="shared" si="7"/>
        <v>51601.49204807073</v>
      </c>
      <c r="E48" s="14">
        <f t="shared" si="8"/>
        <v>33064.448635200089</v>
      </c>
    </row>
    <row r="49" spans="1:5" x14ac:dyDescent="0.25">
      <c r="A49" s="2">
        <v>4</v>
      </c>
      <c r="B49" s="14">
        <f t="shared" si="9"/>
        <v>116028.3272466831</v>
      </c>
      <c r="C49" s="14">
        <f t="shared" si="6"/>
        <v>63487.276042191763</v>
      </c>
      <c r="D49" s="25">
        <f t="shared" si="7"/>
        <v>40157.779411887634</v>
      </c>
      <c r="E49" s="14">
        <f t="shared" si="8"/>
        <v>23329.496630304129</v>
      </c>
    </row>
    <row r="50" spans="1:5" x14ac:dyDescent="0.25">
      <c r="A50" s="2">
        <v>5</v>
      </c>
      <c r="B50" s="14">
        <f t="shared" si="9"/>
        <v>92698.830616378968</v>
      </c>
      <c r="C50" s="14">
        <f t="shared" si="6"/>
        <v>47826.744937004813</v>
      </c>
      <c r="D50" s="25">
        <f t="shared" si="7"/>
        <v>32083.365157183198</v>
      </c>
      <c r="E50" s="14">
        <f t="shared" si="8"/>
        <v>15743.379779821615</v>
      </c>
    </row>
    <row r="51" spans="1:5" x14ac:dyDescent="0.25">
      <c r="A51" s="2">
        <v>6</v>
      </c>
      <c r="B51" s="14">
        <f t="shared" si="9"/>
        <v>76955.450836557357</v>
      </c>
      <c r="C51" s="14">
        <f t="shared" si="6"/>
        <v>46352.160721299151</v>
      </c>
      <c r="D51" s="25">
        <f t="shared" si="7"/>
        <v>26634.530485530016</v>
      </c>
      <c r="E51" s="14">
        <f t="shared" si="8"/>
        <v>19717.630235769135</v>
      </c>
    </row>
    <row r="52" spans="1:5" x14ac:dyDescent="0.25">
      <c r="A52" s="2">
        <v>7</v>
      </c>
      <c r="B52" s="14">
        <f t="shared" si="9"/>
        <v>57237.820600788225</v>
      </c>
      <c r="C52" s="14">
        <f t="shared" si="6"/>
        <v>44730.118084022943</v>
      </c>
      <c r="D52" s="25">
        <f t="shared" si="7"/>
        <v>19810.194874367284</v>
      </c>
      <c r="E52" s="14">
        <f t="shared" si="8"/>
        <v>24919.923209655659</v>
      </c>
    </row>
    <row r="53" spans="1:5" x14ac:dyDescent="0.25">
      <c r="A53" s="2">
        <v>8</v>
      </c>
      <c r="B53" s="14">
        <f t="shared" si="9"/>
        <v>32317.897391132567</v>
      </c>
      <c r="C53" s="14">
        <f t="shared" si="6"/>
        <v>25185.871183019102</v>
      </c>
      <c r="D53" s="25">
        <f t="shared" si="7"/>
        <v>11185.328835516942</v>
      </c>
      <c r="E53" s="14">
        <f t="shared" si="8"/>
        <v>14000.54234750216</v>
      </c>
    </row>
    <row r="54" spans="1:5" x14ac:dyDescent="0.25">
      <c r="A54" s="2">
        <v>9</v>
      </c>
      <c r="B54" s="14">
        <f t="shared" si="9"/>
        <v>18317.355043630407</v>
      </c>
      <c r="C54" s="14">
        <f t="shared" si="6"/>
        <v>5303.1995919148758</v>
      </c>
      <c r="D54" s="25">
        <f t="shared" si="7"/>
        <v>6339.6958372711988</v>
      </c>
      <c r="E54" s="14">
        <f t="shared" si="8"/>
        <v>-1036.496245356323</v>
      </c>
    </row>
    <row r="55" spans="1:5" x14ac:dyDescent="0.25">
      <c r="A55" s="2">
        <v>10</v>
      </c>
      <c r="B55" s="14">
        <f t="shared" si="9"/>
        <v>19353.851288986731</v>
      </c>
      <c r="C55" s="14">
        <f t="shared" si="6"/>
        <v>3144.2608417002266</v>
      </c>
      <c r="D55" s="25">
        <f t="shared" si="7"/>
        <v>6698.430540855913</v>
      </c>
      <c r="E55" s="14">
        <f t="shared" si="8"/>
        <v>-3554.1696991556864</v>
      </c>
    </row>
    <row r="56" spans="1:5" x14ac:dyDescent="0.25">
      <c r="A56" s="2">
        <v>11</v>
      </c>
      <c r="B56" s="14">
        <f t="shared" si="9"/>
        <v>22908.020988142416</v>
      </c>
      <c r="C56" s="14">
        <f t="shared" si="6"/>
        <v>769.42821646411176</v>
      </c>
      <c r="D56" s="25">
        <f t="shared" si="7"/>
        <v>7928.54017147794</v>
      </c>
      <c r="E56" s="14">
        <f t="shared" si="8"/>
        <v>-7159.1119550138283</v>
      </c>
    </row>
    <row r="57" spans="1:5" x14ac:dyDescent="0.25">
      <c r="A57" s="2">
        <v>12</v>
      </c>
      <c r="B57" s="14">
        <f t="shared" si="9"/>
        <v>30067.132943156244</v>
      </c>
      <c r="C57" s="14">
        <f t="shared" si="6"/>
        <v>-1842.8876712955971</v>
      </c>
      <c r="D57" s="25">
        <f t="shared" si="7"/>
        <v>10406.331978846012</v>
      </c>
      <c r="E57" s="14">
        <f t="shared" si="8"/>
        <v>-12249.219650141609</v>
      </c>
    </row>
    <row r="58" spans="1:5" x14ac:dyDescent="0.25">
      <c r="A58" s="2">
        <v>13</v>
      </c>
      <c r="B58" s="14">
        <f t="shared" si="9"/>
        <v>42316.352593297852</v>
      </c>
      <c r="C58" s="14">
        <f t="shared" si="6"/>
        <v>-4716.4351478312892</v>
      </c>
      <c r="D58" s="25">
        <f t="shared" si="7"/>
        <v>14645.826526003746</v>
      </c>
      <c r="E58" s="14">
        <f t="shared" si="8"/>
        <v>-19362.261673835033</v>
      </c>
    </row>
    <row r="59" spans="1:5" x14ac:dyDescent="0.25">
      <c r="A59" s="2">
        <v>14</v>
      </c>
      <c r="B59" s="14">
        <f t="shared" si="9"/>
        <v>61678.614267132885</v>
      </c>
      <c r="C59" s="14">
        <f t="shared" si="6"/>
        <v>-7877.3373720205564</v>
      </c>
      <c r="D59" s="25">
        <f t="shared" si="7"/>
        <v>21347.167928263265</v>
      </c>
      <c r="E59" s="14">
        <f t="shared" si="8"/>
        <v>-29224.505300283821</v>
      </c>
    </row>
    <row r="60" spans="1:5" x14ac:dyDescent="0.25">
      <c r="A60" s="2">
        <v>15</v>
      </c>
      <c r="B60" s="14">
        <f t="shared" si="9"/>
        <v>90903.11956741671</v>
      </c>
      <c r="C60" s="14">
        <f t="shared" si="6"/>
        <v>-11354.329818628757</v>
      </c>
      <c r="D60" s="25">
        <f t="shared" si="7"/>
        <v>31461.863754009457</v>
      </c>
      <c r="E60" s="14">
        <f t="shared" si="8"/>
        <v>-42816.193572638214</v>
      </c>
    </row>
    <row r="61" spans="1:5" x14ac:dyDescent="0.25">
      <c r="A61" s="2">
        <v>16</v>
      </c>
      <c r="B61" s="14">
        <f t="shared" si="9"/>
        <v>133719.31314005493</v>
      </c>
      <c r="C61" s="14">
        <f t="shared" si="6"/>
        <v>180000</v>
      </c>
      <c r="D61" s="25">
        <f t="shared" si="7"/>
        <v>46280.686859949215</v>
      </c>
      <c r="E61" s="14">
        <f t="shared" si="8"/>
        <v>133719.3131400508</v>
      </c>
    </row>
    <row r="62" spans="1:5" x14ac:dyDescent="0.25">
      <c r="A62" s="33">
        <v>17</v>
      </c>
      <c r="B62" s="34">
        <f t="shared" si="9"/>
        <v>4.1327439248561859E-9</v>
      </c>
      <c r="C62" s="36" t="s">
        <v>53</v>
      </c>
      <c r="E62" s="14"/>
    </row>
    <row r="63" spans="1:5" x14ac:dyDescent="0.25">
      <c r="A63" s="2"/>
    </row>
    <row r="64" spans="1:5" x14ac:dyDescent="0.25">
      <c r="A64" s="15" t="s">
        <v>15</v>
      </c>
    </row>
    <row r="65" spans="1:5" x14ac:dyDescent="0.25">
      <c r="A65" s="29" t="s">
        <v>16</v>
      </c>
      <c r="B65" s="29" t="s">
        <v>17</v>
      </c>
      <c r="C65" s="29" t="s">
        <v>18</v>
      </c>
      <c r="D65" s="29" t="s">
        <v>19</v>
      </c>
    </row>
    <row r="66" spans="1:5" x14ac:dyDescent="0.25">
      <c r="A66" s="5">
        <v>120000</v>
      </c>
      <c r="B66" s="16">
        <v>0.18982849297494306</v>
      </c>
      <c r="C66" s="16">
        <v>0.19677890907540019</v>
      </c>
      <c r="D66" s="12">
        <f t="shared" ref="D66:D81" si="10">C66-B66</f>
        <v>6.9504161004571297E-3</v>
      </c>
      <c r="E66" s="40"/>
    </row>
    <row r="67" spans="1:5" x14ac:dyDescent="0.25">
      <c r="A67" s="5">
        <v>122000</v>
      </c>
      <c r="B67" s="17">
        <v>0.2034109856409291</v>
      </c>
      <c r="C67" s="17">
        <v>0.20898373323554154</v>
      </c>
      <c r="D67" s="12">
        <f t="shared" si="10"/>
        <v>5.5727475946124316E-3</v>
      </c>
      <c r="E67" s="40"/>
    </row>
    <row r="68" spans="1:5" x14ac:dyDescent="0.25">
      <c r="A68" s="5">
        <v>124000</v>
      </c>
      <c r="B68" s="17">
        <v>0.21647611616482934</v>
      </c>
      <c r="C68" s="17">
        <v>0.22068341917066259</v>
      </c>
      <c r="D68" s="12">
        <f t="shared" si="10"/>
        <v>4.2073030058332461E-3</v>
      </c>
      <c r="E68" s="40"/>
    </row>
    <row r="69" spans="1:5" x14ac:dyDescent="0.25">
      <c r="A69" s="5">
        <v>126000</v>
      </c>
      <c r="B69" s="17">
        <v>0.22894053074179482</v>
      </c>
      <c r="C69" s="17">
        <v>0.23194364531922562</v>
      </c>
      <c r="D69" s="12">
        <f t="shared" si="10"/>
        <v>3.0031145774307988E-3</v>
      </c>
      <c r="E69" s="40"/>
    </row>
    <row r="70" spans="1:5" x14ac:dyDescent="0.25">
      <c r="A70" s="5">
        <v>128000</v>
      </c>
      <c r="B70" s="17">
        <v>0.24091264656326047</v>
      </c>
      <c r="C70" s="17">
        <v>0.24281850285548345</v>
      </c>
      <c r="D70" s="12">
        <f t="shared" si="10"/>
        <v>1.9058562922229794E-3</v>
      </c>
      <c r="E70" s="40"/>
    </row>
    <row r="71" spans="1:5" x14ac:dyDescent="0.25">
      <c r="A71" s="5">
        <v>130000</v>
      </c>
      <c r="B71" s="17">
        <v>0.25228487271877204</v>
      </c>
      <c r="C71" s="17">
        <v>0.25335297173216698</v>
      </c>
      <c r="D71" s="12">
        <f t="shared" si="10"/>
        <v>1.0680990133949408E-3</v>
      </c>
      <c r="E71" s="40"/>
    </row>
    <row r="72" spans="1:5" x14ac:dyDescent="0.25">
      <c r="A72" s="5">
        <v>132000</v>
      </c>
      <c r="B72" s="17">
        <v>0.2630344721001287</v>
      </c>
      <c r="C72" s="17">
        <v>0.26358480082540825</v>
      </c>
      <c r="D72" s="12">
        <f t="shared" si="10"/>
        <v>5.5032872527954746E-4</v>
      </c>
      <c r="E72" s="40"/>
    </row>
    <row r="73" spans="1:5" x14ac:dyDescent="0.25">
      <c r="A73" s="5">
        <v>134000</v>
      </c>
      <c r="B73" s="17">
        <v>0.27334749170299216</v>
      </c>
      <c r="C73" s="17">
        <v>0.27354594468783433</v>
      </c>
      <c r="D73" s="12">
        <f t="shared" si="10"/>
        <v>1.9845298484216789E-4</v>
      </c>
      <c r="E73" s="40"/>
    </row>
    <row r="74" spans="1:5" x14ac:dyDescent="0.25">
      <c r="A74" s="26">
        <v>136000</v>
      </c>
      <c r="B74" s="27">
        <v>0.28326367057674956</v>
      </c>
      <c r="C74" s="27">
        <v>0.28326367057674906</v>
      </c>
      <c r="D74" s="28">
        <f t="shared" si="10"/>
        <v>-4.9960036108132044E-16</v>
      </c>
      <c r="E74" s="40"/>
    </row>
    <row r="75" spans="1:5" x14ac:dyDescent="0.25">
      <c r="A75" s="5">
        <v>138000</v>
      </c>
      <c r="B75" s="17">
        <v>0.29276141919275539</v>
      </c>
      <c r="C75" s="17">
        <v>0.29276141919275389</v>
      </c>
      <c r="D75" s="12">
        <f t="shared" si="10"/>
        <v>-1.4988010832439613E-15</v>
      </c>
      <c r="E75" s="40"/>
    </row>
    <row r="76" spans="1:5" x14ac:dyDescent="0.25">
      <c r="A76" s="5">
        <v>140000</v>
      </c>
      <c r="B76" s="17">
        <v>0.30205948015740963</v>
      </c>
      <c r="C76" s="17">
        <v>0.30205948015740569</v>
      </c>
      <c r="D76" s="12">
        <f t="shared" si="10"/>
        <v>-3.9412917374193057E-15</v>
      </c>
      <c r="E76" s="40"/>
    </row>
    <row r="77" spans="1:5" x14ac:dyDescent="0.25">
      <c r="A77" s="37">
        <v>142000</v>
      </c>
      <c r="B77" s="38">
        <v>0.31117552697977524</v>
      </c>
      <c r="C77" s="38">
        <v>0.31117552697976603</v>
      </c>
      <c r="D77" s="39">
        <f t="shared" si="10"/>
        <v>-9.2148511043887993E-15</v>
      </c>
      <c r="E77" s="40"/>
    </row>
    <row r="78" spans="1:5" x14ac:dyDescent="0.25">
      <c r="A78" s="5">
        <v>144000</v>
      </c>
      <c r="B78" s="17">
        <v>0.32012504451133278</v>
      </c>
      <c r="C78" s="17">
        <v>0.32012504451131218</v>
      </c>
      <c r="D78" s="12">
        <f t="shared" si="10"/>
        <v>-2.0594637106796654E-14</v>
      </c>
      <c r="E78" s="40"/>
    </row>
    <row r="79" spans="1:5" x14ac:dyDescent="0.25">
      <c r="A79" s="5">
        <v>146000</v>
      </c>
      <c r="B79" s="17">
        <v>0.32892167340285555</v>
      </c>
      <c r="C79" s="17">
        <v>0.3289216734028122</v>
      </c>
      <c r="D79" s="12">
        <f t="shared" si="10"/>
        <v>-4.3354209111612363E-14</v>
      </c>
      <c r="E79" s="40"/>
    </row>
    <row r="80" spans="1:5" x14ac:dyDescent="0.25">
      <c r="A80" s="5">
        <v>148000</v>
      </c>
      <c r="B80" s="17">
        <v>0.33757748992238878</v>
      </c>
      <c r="C80" s="17">
        <v>0.33757748992230052</v>
      </c>
      <c r="D80" s="12">
        <f t="shared" si="10"/>
        <v>-8.8262730457699945E-14</v>
      </c>
      <c r="E80" s="40"/>
    </row>
    <row r="81" spans="1:5" x14ac:dyDescent="0.25">
      <c r="A81" s="5">
        <v>150000</v>
      </c>
      <c r="B81" s="17">
        <v>0.34610323500148216</v>
      </c>
      <c r="C81" s="17">
        <v>0.34610323500130913</v>
      </c>
      <c r="D81" s="12">
        <f t="shared" si="10"/>
        <v>-1.7302825838783065E-13</v>
      </c>
      <c r="E81" s="40"/>
    </row>
    <row r="82" spans="1:5" x14ac:dyDescent="0.25">
      <c r="A82" s="5"/>
      <c r="B82" s="17"/>
      <c r="C82" s="17"/>
      <c r="D82" s="18"/>
      <c r="E82" s="14"/>
    </row>
    <row r="83" spans="1:5" x14ac:dyDescent="0.25">
      <c r="A83" s="14"/>
      <c r="B83" s="17"/>
      <c r="C83" s="17"/>
      <c r="D83" s="18"/>
      <c r="E83" s="14"/>
    </row>
    <row r="84" spans="1:5" x14ac:dyDescent="0.25">
      <c r="A84" s="14"/>
      <c r="B84" s="17"/>
      <c r="C84" s="17"/>
      <c r="D84" s="18"/>
      <c r="E84" s="14"/>
    </row>
    <row r="85" spans="1:5" x14ac:dyDescent="0.25">
      <c r="A85" s="14"/>
      <c r="B85" s="17"/>
      <c r="C85" s="17"/>
      <c r="D85" s="18"/>
      <c r="E85" s="14"/>
    </row>
    <row r="86" spans="1:5" x14ac:dyDescent="0.25">
      <c r="A86" s="14"/>
      <c r="B86" s="17"/>
      <c r="C86" s="17"/>
      <c r="D86" s="18"/>
      <c r="E86" s="14"/>
    </row>
    <row r="87" spans="1:5" x14ac:dyDescent="0.25">
      <c r="A87" s="14"/>
      <c r="B87" s="17"/>
      <c r="C87" s="17"/>
      <c r="D87" s="18"/>
    </row>
    <row r="88" spans="1:5" x14ac:dyDescent="0.25">
      <c r="A88" s="14"/>
      <c r="B88" s="17"/>
      <c r="C88" s="17"/>
      <c r="D88" s="18"/>
    </row>
    <row r="89" spans="1:5" x14ac:dyDescent="0.25">
      <c r="A89" s="14"/>
      <c r="B89" s="17"/>
      <c r="C89" s="17"/>
      <c r="D89" s="18"/>
    </row>
    <row r="90" spans="1:5" x14ac:dyDescent="0.25">
      <c r="A90" s="14"/>
      <c r="B90" s="17"/>
      <c r="C90" s="17"/>
      <c r="D90" s="18"/>
    </row>
    <row r="91" spans="1:5" x14ac:dyDescent="0.25">
      <c r="A91" s="14"/>
      <c r="B91" s="17"/>
      <c r="C91" s="17"/>
      <c r="D91" s="18"/>
    </row>
    <row r="92" spans="1:5" x14ac:dyDescent="0.25">
      <c r="A92" s="14"/>
      <c r="B92" s="17"/>
      <c r="C92" s="17"/>
    </row>
    <row r="93" spans="1:5" x14ac:dyDescent="0.25">
      <c r="A93" s="14"/>
      <c r="B93" s="17"/>
      <c r="C93" s="17"/>
    </row>
    <row r="94" spans="1:5" x14ac:dyDescent="0.25">
      <c r="A94" s="14"/>
      <c r="B94" s="17"/>
      <c r="C94" s="17"/>
    </row>
    <row r="95" spans="1:5" x14ac:dyDescent="0.25">
      <c r="A95" s="14"/>
      <c r="B95" s="17"/>
      <c r="C95" s="17"/>
    </row>
    <row r="96" spans="1:5" x14ac:dyDescent="0.25">
      <c r="A96" s="14"/>
      <c r="B96" s="17"/>
      <c r="C96" s="17"/>
    </row>
    <row r="97" spans="1:3" x14ac:dyDescent="0.25">
      <c r="A97" s="14"/>
      <c r="B97" s="17"/>
      <c r="C97" s="17"/>
    </row>
    <row r="98" spans="1:3" x14ac:dyDescent="0.25">
      <c r="A98" s="14"/>
      <c r="B98" s="17"/>
      <c r="C98" s="17"/>
    </row>
    <row r="99" spans="1:3" x14ac:dyDescent="0.25">
      <c r="A99" s="14"/>
      <c r="B99" s="17"/>
      <c r="C99" s="17"/>
    </row>
    <row r="100" spans="1:3" x14ac:dyDescent="0.25">
      <c r="A100" s="14"/>
      <c r="B100" s="17"/>
      <c r="C100" s="17"/>
    </row>
    <row r="101" spans="1:3" x14ac:dyDescent="0.25">
      <c r="A101" s="14"/>
      <c r="B101" s="17"/>
      <c r="C101" s="17"/>
    </row>
    <row r="102" spans="1:3" x14ac:dyDescent="0.25">
      <c r="A102" s="14"/>
      <c r="B102" s="17"/>
      <c r="C102" s="17"/>
    </row>
    <row r="103" spans="1:3" x14ac:dyDescent="0.25">
      <c r="A103" s="14"/>
      <c r="B103" s="17"/>
      <c r="C103" s="17"/>
    </row>
    <row r="104" spans="1:3" x14ac:dyDescent="0.25">
      <c r="A104" s="14"/>
      <c r="B104" s="17"/>
      <c r="C104" s="17"/>
    </row>
    <row r="105" spans="1:3" x14ac:dyDescent="0.25">
      <c r="A105" s="14"/>
      <c r="B105" s="17"/>
      <c r="C105" s="17"/>
    </row>
    <row r="106" spans="1:3" x14ac:dyDescent="0.25">
      <c r="A106" s="14"/>
      <c r="B106" s="17"/>
      <c r="C106" s="17"/>
    </row>
    <row r="107" spans="1:3" x14ac:dyDescent="0.25">
      <c r="B107" s="17"/>
      <c r="C107" s="17"/>
    </row>
    <row r="108" spans="1:3" x14ac:dyDescent="0.25">
      <c r="B108" s="17"/>
      <c r="C108" s="17"/>
    </row>
    <row r="109" spans="1:3" x14ac:dyDescent="0.25">
      <c r="B109" s="17"/>
      <c r="C109" s="17"/>
    </row>
    <row r="110" spans="1:3" x14ac:dyDescent="0.25">
      <c r="B110" s="17"/>
      <c r="C110" s="17"/>
    </row>
    <row r="111" spans="1:3" x14ac:dyDescent="0.25">
      <c r="B111" s="17"/>
      <c r="C111" s="17"/>
    </row>
    <row r="112" spans="1:3" x14ac:dyDescent="0.25">
      <c r="B112" s="17"/>
      <c r="C112" s="17"/>
    </row>
    <row r="113" spans="2:3" x14ac:dyDescent="0.25">
      <c r="B113" s="17"/>
      <c r="C113" s="17"/>
    </row>
    <row r="114" spans="2:3" x14ac:dyDescent="0.25">
      <c r="B114" s="17"/>
      <c r="C114" s="17"/>
    </row>
    <row r="115" spans="2:3" x14ac:dyDescent="0.25">
      <c r="B115" s="17"/>
      <c r="C115" s="17"/>
    </row>
    <row r="116" spans="2:3" x14ac:dyDescent="0.25">
      <c r="B116" s="17"/>
      <c r="C116" s="17"/>
    </row>
    <row r="117" spans="2:3" x14ac:dyDescent="0.25">
      <c r="B117" s="17"/>
      <c r="C117" s="17"/>
    </row>
    <row r="118" spans="2:3" x14ac:dyDescent="0.25">
      <c r="B118" s="17"/>
      <c r="C118" s="17"/>
    </row>
    <row r="119" spans="2:3" x14ac:dyDescent="0.25">
      <c r="B119" s="17"/>
      <c r="C119" s="17"/>
    </row>
    <row r="120" spans="2:3" x14ac:dyDescent="0.25">
      <c r="B120" s="17"/>
      <c r="C120" s="17"/>
    </row>
    <row r="121" spans="2:3" x14ac:dyDescent="0.25">
      <c r="B121" s="17"/>
      <c r="C121" s="17"/>
    </row>
    <row r="122" spans="2:3" x14ac:dyDescent="0.25">
      <c r="B122" s="17"/>
      <c r="C122" s="17"/>
    </row>
    <row r="123" spans="2:3" x14ac:dyDescent="0.25">
      <c r="B123" s="17"/>
      <c r="C123" s="17"/>
    </row>
    <row r="124" spans="2:3" x14ac:dyDescent="0.25">
      <c r="B124" s="17"/>
      <c r="C124" s="17"/>
    </row>
    <row r="125" spans="2:3" x14ac:dyDescent="0.25">
      <c r="B125" s="17"/>
      <c r="C125" s="17"/>
    </row>
    <row r="126" spans="2:3" x14ac:dyDescent="0.25">
      <c r="B126" s="17"/>
      <c r="C126" s="17"/>
    </row>
    <row r="127" spans="2:3" x14ac:dyDescent="0.25">
      <c r="B127" s="17"/>
      <c r="C127" s="17"/>
    </row>
    <row r="128" spans="2:3" x14ac:dyDescent="0.25">
      <c r="B128" s="17"/>
      <c r="C128" s="17"/>
    </row>
    <row r="129" spans="2:3" x14ac:dyDescent="0.25">
      <c r="B129" s="17"/>
      <c r="C129" s="17"/>
    </row>
    <row r="130" spans="2:3" x14ac:dyDescent="0.25">
      <c r="B130" s="17"/>
      <c r="C130" s="17"/>
    </row>
    <row r="131" spans="2:3" x14ac:dyDescent="0.25">
      <c r="B131" s="17"/>
      <c r="C13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cord">
                <anchor moveWithCells="1" sizeWithCells="1">
                  <from>
                    <xdr:col>5</xdr:col>
                    <xdr:colOff>525780</xdr:colOff>
                    <xdr:row>48</xdr:row>
                    <xdr:rowOff>45720</xdr:rowOff>
                  </from>
                  <to>
                    <xdr:col>11</xdr:col>
                    <xdr:colOff>213360</xdr:colOff>
                    <xdr:row>53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8BEAB-F72D-4453-BC81-50599D899D3E}">
  <sheetPr codeName="Sheet2"/>
  <dimension ref="B15:C21"/>
  <sheetViews>
    <sheetView showGridLines="0" workbookViewId="0">
      <selection activeCell="C41" sqref="C41"/>
    </sheetView>
  </sheetViews>
  <sheetFormatPr defaultRowHeight="13.8" x14ac:dyDescent="0.25"/>
  <cols>
    <col min="2" max="2" width="16.6640625" bestFit="1" customWidth="1"/>
    <col min="3" max="3" width="88.44140625" bestFit="1" customWidth="1"/>
  </cols>
  <sheetData>
    <row r="15" spans="2:3" ht="14.4" thickBot="1" x14ac:dyDescent="0.3"/>
    <row r="16" spans="2:3" ht="30" customHeight="1" x14ac:dyDescent="0.25">
      <c r="B16" s="6" t="s">
        <v>2</v>
      </c>
      <c r="C16" s="6" t="s">
        <v>3</v>
      </c>
    </row>
    <row r="17" spans="2:3" x14ac:dyDescent="0.25">
      <c r="B17" s="7" t="s">
        <v>4</v>
      </c>
      <c r="C17" s="8" t="s">
        <v>5</v>
      </c>
    </row>
    <row r="18" spans="2:3" ht="17.399999999999999" x14ac:dyDescent="0.25">
      <c r="B18" s="7" t="s">
        <v>6</v>
      </c>
      <c r="C18" s="8" t="s">
        <v>7</v>
      </c>
    </row>
    <row r="19" spans="2:3" x14ac:dyDescent="0.25">
      <c r="B19" s="7" t="s">
        <v>8</v>
      </c>
      <c r="C19" s="8" t="s">
        <v>9</v>
      </c>
    </row>
    <row r="20" spans="2:3" x14ac:dyDescent="0.25">
      <c r="B20" s="7" t="s">
        <v>10</v>
      </c>
      <c r="C20" s="8" t="s">
        <v>11</v>
      </c>
    </row>
    <row r="21" spans="2:3" ht="18" thickBot="1" x14ac:dyDescent="0.3">
      <c r="B21" s="9" t="s">
        <v>12</v>
      </c>
      <c r="C21" s="10" t="s">
        <v>13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Sheet1</vt:lpstr>
      <vt:lpstr>Sheet2</vt:lpstr>
      <vt:lpstr>increase</vt:lpstr>
      <vt:lpstr>IRR</vt:lpstr>
      <vt:lpstr>MPM</vt:lpstr>
      <vt:lpstr>rent</vt:lpstr>
      <vt:lpstr>Results</vt:lpstr>
      <vt:lpstr>start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2024-10-24T04:46:10Z</dcterms:modified>
</cp:coreProperties>
</file>