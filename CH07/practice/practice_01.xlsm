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practice\"/>
    </mc:Choice>
  </mc:AlternateContent>
  <xr:revisionPtr revIDLastSave="0" documentId="13_ncr:1_{4245E675-5C69-4A48-A94E-A96C53D9A23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IRR" sheetId="1" r:id="rId1"/>
    <sheet name="MPM" sheetId="4" r:id="rId2"/>
    <sheet name="Sheet2" sheetId="2" r:id="rId3"/>
    <sheet name="Exercise 1" sheetId="5" r:id="rId4"/>
  </sheets>
  <externalReferences>
    <externalReference r:id="rId5"/>
    <externalReference r:id="rId6"/>
    <externalReference r:id="rId7"/>
  </externalReferences>
  <definedNames>
    <definedName name="IRR">'[3]Exercise 2'!$B$43</definedName>
    <definedName name="solver_adj" localSheetId="3" hidden="1">'Exercise 1'!$B$33</definedName>
    <definedName name="solver_adj" localSheetId="1" hidden="1">MPM!$B$2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in" localSheetId="3" hidden="1">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1" hidden="1">1</definedName>
    <definedName name="solver_opt" localSheetId="3" hidden="1">'Exercise 1'!$B$55</definedName>
    <definedName name="solver_opt" localSheetId="1" hidden="1">MPM!$B$22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mp" localSheetId="3" hidden="1">'Exercise 1'!$B$33,'Exercise 1'!$B$2:$B$5,'Exercise 1'!$B$7,'Exercise 1'!$B$9:$B$10</definedName>
    <definedName name="solver_tol" localSheetId="1" hidden="1">0.01</definedName>
    <definedName name="solver_typ" localSheetId="3" hidden="1">3</definedName>
    <definedName name="solver_typ" localSheetId="1" hidden="1">3</definedName>
    <definedName name="solver_val" localSheetId="3" hidden="1">0</definedName>
    <definedName name="solver_val" localSheetId="1" hidden="1">0</definedName>
    <definedName name="solver_ver" localSheetId="1" hidden="1">3</definedName>
    <definedName name="tax" localSheetId="3">'Exercise 1'!$B$10</definedName>
    <definedName name="tax">IRR!$B$10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5" l="1"/>
  <c r="B39" i="5"/>
  <c r="C31" i="5"/>
  <c r="I31" i="5" s="1"/>
  <c r="C54" i="5" s="1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E16" i="5"/>
  <c r="G16" i="5" s="1"/>
  <c r="D16" i="5"/>
  <c r="C16" i="5"/>
  <c r="C17" i="5" s="1"/>
  <c r="B15" i="5"/>
  <c r="I15" i="5" s="1"/>
  <c r="B6" i="5"/>
  <c r="B8" i="5" s="1"/>
  <c r="B6" i="4"/>
  <c r="D6" i="4" s="1"/>
  <c r="J16" i="5"/>
  <c r="F6" i="4"/>
  <c r="C18" i="5" l="1"/>
  <c r="F24" i="5"/>
  <c r="F26" i="5"/>
  <c r="F17" i="5"/>
  <c r="F19" i="5"/>
  <c r="F21" i="5"/>
  <c r="F28" i="5"/>
  <c r="F30" i="5"/>
  <c r="F20" i="5"/>
  <c r="F23" i="5"/>
  <c r="F25" i="5"/>
  <c r="F16" i="5"/>
  <c r="H16" i="5" s="1"/>
  <c r="E17" i="5" s="1"/>
  <c r="F18" i="5"/>
  <c r="F29" i="5"/>
  <c r="F27" i="5"/>
  <c r="F22" i="5"/>
  <c r="I16" i="5"/>
  <c r="C39" i="5" s="1"/>
  <c r="E39" i="5" s="1"/>
  <c r="B40" i="5" s="1"/>
  <c r="D24" i="1"/>
  <c r="D25" i="1"/>
  <c r="D26" i="1"/>
  <c r="G35" i="1"/>
  <c r="G36" i="1"/>
  <c r="G37" i="1"/>
  <c r="D16" i="1" s="1"/>
  <c r="G38" i="1"/>
  <c r="D17" i="1" s="1"/>
  <c r="G39" i="1"/>
  <c r="D18" i="1" s="1"/>
  <c r="G40" i="1"/>
  <c r="D19" i="1" s="1"/>
  <c r="G41" i="1"/>
  <c r="D20" i="1" s="1"/>
  <c r="G42" i="1"/>
  <c r="D21" i="1" s="1"/>
  <c r="G43" i="1"/>
  <c r="D22" i="1" s="1"/>
  <c r="G44" i="1"/>
  <c r="D23" i="1" s="1"/>
  <c r="G45" i="1"/>
  <c r="G46" i="1"/>
  <c r="G47" i="1"/>
  <c r="G48" i="1"/>
  <c r="D27" i="1" s="1"/>
  <c r="G49" i="1"/>
  <c r="D28" i="1" s="1"/>
  <c r="D14" i="1"/>
  <c r="D15" i="1"/>
  <c r="C29" i="1"/>
  <c r="I29" i="1" s="1"/>
  <c r="C21" i="4" s="1"/>
  <c r="C14" i="1"/>
  <c r="C15" i="1" s="1"/>
  <c r="B13" i="1"/>
  <c r="I13" i="1" s="1"/>
  <c r="B6" i="1"/>
  <c r="B8" i="1" s="1"/>
  <c r="J14" i="1"/>
  <c r="C8" i="1"/>
  <c r="J31" i="1"/>
  <c r="C35" i="1"/>
  <c r="C34" i="1"/>
  <c r="G17" i="5" l="1"/>
  <c r="H17" i="5" s="1"/>
  <c r="E18" i="5" s="1"/>
  <c r="D40" i="5"/>
  <c r="C19" i="5"/>
  <c r="F24" i="1"/>
  <c r="F19" i="1"/>
  <c r="F21" i="1"/>
  <c r="F26" i="1"/>
  <c r="F14" i="1"/>
  <c r="F16" i="1"/>
  <c r="F23" i="1"/>
  <c r="F25" i="1"/>
  <c r="F18" i="1"/>
  <c r="F28" i="1"/>
  <c r="F15" i="1"/>
  <c r="F20" i="1"/>
  <c r="F22" i="1"/>
  <c r="F17" i="1"/>
  <c r="F27" i="1"/>
  <c r="C16" i="1"/>
  <c r="E14" i="1"/>
  <c r="G18" i="5" l="1"/>
  <c r="I17" i="5"/>
  <c r="C20" i="5"/>
  <c r="C17" i="1"/>
  <c r="G14" i="1"/>
  <c r="C21" i="5" l="1"/>
  <c r="C40" i="5"/>
  <c r="E40" i="5" s="1"/>
  <c r="B41" i="5" s="1"/>
  <c r="H18" i="5"/>
  <c r="E19" i="5" s="1"/>
  <c r="C18" i="1"/>
  <c r="H14" i="1"/>
  <c r="E15" i="1" s="1"/>
  <c r="G19" i="5" l="1"/>
  <c r="I18" i="5"/>
  <c r="D41" i="5"/>
  <c r="C22" i="5"/>
  <c r="G15" i="1"/>
  <c r="C19" i="1"/>
  <c r="I14" i="1"/>
  <c r="C6" i="4" l="1"/>
  <c r="E6" i="4" s="1"/>
  <c r="B7" i="4" s="1"/>
  <c r="D7" i="4" s="1"/>
  <c r="C23" i="5"/>
  <c r="C41" i="5"/>
  <c r="E41" i="5" s="1"/>
  <c r="B42" i="5" s="1"/>
  <c r="H19" i="5"/>
  <c r="E20" i="5" s="1"/>
  <c r="I19" i="5"/>
  <c r="C42" i="5" s="1"/>
  <c r="H15" i="1"/>
  <c r="E16" i="1" s="1"/>
  <c r="C20" i="1"/>
  <c r="D42" i="5" l="1"/>
  <c r="E42" i="5"/>
  <c r="B43" i="5" s="1"/>
  <c r="G20" i="5"/>
  <c r="C24" i="5"/>
  <c r="C21" i="1"/>
  <c r="G16" i="1"/>
  <c r="I15" i="1"/>
  <c r="D43" i="5" l="1"/>
  <c r="C7" i="4"/>
  <c r="E7" i="4" s="1"/>
  <c r="B8" i="4" s="1"/>
  <c r="D8" i="4" s="1"/>
  <c r="C25" i="5"/>
  <c r="H20" i="5"/>
  <c r="E21" i="5" s="1"/>
  <c r="I20" i="5"/>
  <c r="C43" i="5" s="1"/>
  <c r="E43" i="5" s="1"/>
  <c r="B44" i="5" s="1"/>
  <c r="H16" i="1"/>
  <c r="E17" i="1" s="1"/>
  <c r="C22" i="1"/>
  <c r="D44" i="5" l="1"/>
  <c r="C26" i="5"/>
  <c r="G21" i="5"/>
  <c r="G17" i="1"/>
  <c r="I16" i="1"/>
  <c r="C23" i="1"/>
  <c r="C8" i="4" l="1"/>
  <c r="E8" i="4" s="1"/>
  <c r="B9" i="4" s="1"/>
  <c r="D9" i="4" s="1"/>
  <c r="H21" i="5"/>
  <c r="E22" i="5" s="1"/>
  <c r="I21" i="5"/>
  <c r="C44" i="5" s="1"/>
  <c r="E44" i="5" s="1"/>
  <c r="B45" i="5" s="1"/>
  <c r="C27" i="5"/>
  <c r="C24" i="1"/>
  <c r="H17" i="1"/>
  <c r="E18" i="1" s="1"/>
  <c r="I17" i="1"/>
  <c r="C9" i="4" s="1"/>
  <c r="E9" i="4" s="1"/>
  <c r="B10" i="4" s="1"/>
  <c r="D10" i="4" s="1"/>
  <c r="C28" i="5" l="1"/>
  <c r="D45" i="5"/>
  <c r="G22" i="5"/>
  <c r="G18" i="1"/>
  <c r="C25" i="1"/>
  <c r="H22" i="5" l="1"/>
  <c r="E23" i="5" s="1"/>
  <c r="I22" i="5"/>
  <c r="C45" i="5" s="1"/>
  <c r="E45" i="5" s="1"/>
  <c r="B46" i="5" s="1"/>
  <c r="C29" i="5"/>
  <c r="C26" i="1"/>
  <c r="H18" i="1"/>
  <c r="E19" i="1" s="1"/>
  <c r="C30" i="5" l="1"/>
  <c r="D46" i="5"/>
  <c r="G23" i="5"/>
  <c r="G19" i="1"/>
  <c r="I18" i="1"/>
  <c r="C27" i="1"/>
  <c r="H23" i="5" l="1"/>
  <c r="E24" i="5" s="1"/>
  <c r="I23" i="5"/>
  <c r="C46" i="5" s="1"/>
  <c r="E46" i="5" s="1"/>
  <c r="B47" i="5" s="1"/>
  <c r="C10" i="4"/>
  <c r="E10" i="4" s="1"/>
  <c r="B11" i="4" s="1"/>
  <c r="D11" i="4" s="1"/>
  <c r="C28" i="1"/>
  <c r="H19" i="1"/>
  <c r="E20" i="1" s="1"/>
  <c r="I19" i="1"/>
  <c r="C11" i="4" s="1"/>
  <c r="E11" i="4" s="1"/>
  <c r="B12" i="4" s="1"/>
  <c r="D12" i="4" s="1"/>
  <c r="D47" i="5" l="1"/>
  <c r="G24" i="5"/>
  <c r="G20" i="1"/>
  <c r="H24" i="5" l="1"/>
  <c r="E25" i="5" s="1"/>
  <c r="I24" i="5"/>
  <c r="C47" i="5" s="1"/>
  <c r="E47" i="5" s="1"/>
  <c r="B48" i="5" s="1"/>
  <c r="H20" i="1"/>
  <c r="E21" i="1" s="1"/>
  <c r="I20" i="1"/>
  <c r="C12" i="4" s="1"/>
  <c r="E12" i="4" s="1"/>
  <c r="B13" i="4" s="1"/>
  <c r="D13" i="4" s="1"/>
  <c r="D48" i="5" l="1"/>
  <c r="G25" i="5"/>
  <c r="G21" i="1"/>
  <c r="H25" i="5" l="1"/>
  <c r="E26" i="5" s="1"/>
  <c r="I25" i="5"/>
  <c r="C48" i="5" s="1"/>
  <c r="E48" i="5" s="1"/>
  <c r="B49" i="5" s="1"/>
  <c r="H21" i="1"/>
  <c r="E22" i="1" s="1"/>
  <c r="I21" i="1"/>
  <c r="C13" i="4" s="1"/>
  <c r="E13" i="4" s="1"/>
  <c r="B14" i="4" s="1"/>
  <c r="D14" i="4" s="1"/>
  <c r="D49" i="5" l="1"/>
  <c r="G26" i="5"/>
  <c r="G22" i="1"/>
  <c r="H26" i="5" l="1"/>
  <c r="E27" i="5" s="1"/>
  <c r="I26" i="5"/>
  <c r="C49" i="5" s="1"/>
  <c r="E49" i="5" s="1"/>
  <c r="B50" i="5" s="1"/>
  <c r="H22" i="1"/>
  <c r="E23" i="1" s="1"/>
  <c r="I22" i="1"/>
  <c r="C14" i="4" s="1"/>
  <c r="E14" i="4" s="1"/>
  <c r="B15" i="4" s="1"/>
  <c r="D15" i="4" s="1"/>
  <c r="D50" i="5" l="1"/>
  <c r="G27" i="5"/>
  <c r="G23" i="1"/>
  <c r="H27" i="5" l="1"/>
  <c r="E28" i="5" s="1"/>
  <c r="I27" i="5"/>
  <c r="C50" i="5" s="1"/>
  <c r="E50" i="5" s="1"/>
  <c r="B51" i="5" s="1"/>
  <c r="H23" i="1"/>
  <c r="E24" i="1" s="1"/>
  <c r="I23" i="1"/>
  <c r="C15" i="4" s="1"/>
  <c r="E15" i="4" s="1"/>
  <c r="B16" i="4" s="1"/>
  <c r="D16" i="4" s="1"/>
  <c r="D51" i="5" l="1"/>
  <c r="G28" i="5"/>
  <c r="G24" i="1"/>
  <c r="H28" i="5" l="1"/>
  <c r="E29" i="5" s="1"/>
  <c r="I28" i="5"/>
  <c r="C51" i="5" s="1"/>
  <c r="E51" i="5" s="1"/>
  <c r="B52" i="5" s="1"/>
  <c r="H24" i="1"/>
  <c r="E25" i="1" s="1"/>
  <c r="I24" i="1"/>
  <c r="C16" i="4" s="1"/>
  <c r="E16" i="4" s="1"/>
  <c r="B17" i="4" s="1"/>
  <c r="D17" i="4" s="1"/>
  <c r="D52" i="5" l="1"/>
  <c r="G29" i="5"/>
  <c r="G25" i="1"/>
  <c r="H29" i="5" l="1"/>
  <c r="E30" i="5" s="1"/>
  <c r="G30" i="5" s="1"/>
  <c r="I29" i="5"/>
  <c r="C52" i="5" s="1"/>
  <c r="E52" i="5" s="1"/>
  <c r="B53" i="5" s="1"/>
  <c r="H25" i="1"/>
  <c r="E26" i="1" s="1"/>
  <c r="I25" i="1"/>
  <c r="C17" i="4" s="1"/>
  <c r="E17" i="4" s="1"/>
  <c r="B18" i="4" s="1"/>
  <c r="D18" i="4" s="1"/>
  <c r="D53" i="5" l="1"/>
  <c r="H30" i="5"/>
  <c r="I30" i="5"/>
  <c r="G26" i="1"/>
  <c r="C53" i="5" l="1"/>
  <c r="E53" i="5" s="1"/>
  <c r="B54" i="5" s="1"/>
  <c r="B34" i="5"/>
  <c r="H26" i="1"/>
  <c r="E27" i="1" s="1"/>
  <c r="I26" i="1"/>
  <c r="C18" i="4" s="1"/>
  <c r="E18" i="4" s="1"/>
  <c r="B19" i="4" s="1"/>
  <c r="D19" i="4" s="1"/>
  <c r="D54" i="5" l="1"/>
  <c r="E54" i="5" s="1"/>
  <c r="B55" i="5" s="1"/>
  <c r="G27" i="1"/>
  <c r="H27" i="1" l="1"/>
  <c r="E28" i="1" s="1"/>
  <c r="G28" i="1" s="1"/>
  <c r="I27" i="1"/>
  <c r="C19" i="4" s="1"/>
  <c r="E19" i="4" s="1"/>
  <c r="B20" i="4" s="1"/>
  <c r="D20" i="4" s="1"/>
  <c r="H28" i="1" l="1"/>
  <c r="I28" i="1"/>
  <c r="B34" i="1" s="1"/>
  <c r="B35" i="1" l="1"/>
  <c r="C20" i="4"/>
  <c r="E20" i="4" s="1"/>
  <c r="B21" i="4" s="1"/>
  <c r="I31" i="1"/>
  <c r="D21" i="4" l="1"/>
  <c r="E21" i="4" s="1"/>
  <c r="B22" i="4" s="1"/>
</calcChain>
</file>

<file path=xl/sharedStrings.xml><?xml version="1.0" encoding="utf-8"?>
<sst xmlns="http://schemas.openxmlformats.org/spreadsheetml/2006/main" count="93" uniqueCount="85">
  <si>
    <t>BASIC LEVERAGED LEASE EXAMPLE</t>
  </si>
  <si>
    <t>Cost of asset</t>
  </si>
  <si>
    <t>Lease term</t>
  </si>
  <si>
    <t>Residual value</t>
  </si>
  <si>
    <t>&lt;-- Realized year 16</t>
  </si>
  <si>
    <t>Equity</t>
  </si>
  <si>
    <t>Debt</t>
  </si>
  <si>
    <t>&lt;-- 15-year term loan, equal payments of interest and principal</t>
  </si>
  <si>
    <t>Interest</t>
  </si>
  <si>
    <t>Annual debt payment</t>
  </si>
  <si>
    <t>Annual rent received</t>
  </si>
  <si>
    <t>Tax rate</t>
  </si>
  <si>
    <t>Year</t>
  </si>
  <si>
    <t>Equity Invested</t>
  </si>
  <si>
    <t>Depreciation</t>
  </si>
  <si>
    <t>Principal at start of year</t>
  </si>
  <si>
    <t>Loan payment</t>
  </si>
  <si>
    <t>Repayment of principal</t>
  </si>
  <si>
    <t>Cash flow to equity</t>
  </si>
  <si>
    <t>IRR of cash flows</t>
  </si>
  <si>
    <t>Data table:  NPV of leveraged lease cash flows</t>
  </si>
  <si>
    <t>Rental or salvage</t>
    <phoneticPr fontId="1" type="noConversion"/>
  </si>
  <si>
    <t>Year</t>
    <phoneticPr fontId="1" type="noConversion"/>
  </si>
  <si>
    <t>Depreciation%</t>
    <phoneticPr fontId="1" type="noConversion"/>
  </si>
  <si>
    <t>+</t>
    <phoneticPr fontId="1" type="noConversion"/>
  </si>
  <si>
    <t>-</t>
    <phoneticPr fontId="1" type="noConversion"/>
  </si>
  <si>
    <r>
      <rPr>
        <b/>
        <sz val="16"/>
        <color theme="1"/>
        <rFont val="等线"/>
        <family val="3"/>
        <charset val="134"/>
      </rPr>
      <t>项目</t>
    </r>
    <phoneticPr fontId="1" type="noConversion"/>
  </si>
  <si>
    <r>
      <rPr>
        <b/>
        <sz val="16"/>
        <color theme="1"/>
        <rFont val="等线"/>
        <family val="3"/>
        <charset val="134"/>
      </rPr>
      <t>解释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</si>
  <si>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</si>
  <si>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资产所有者得到的税后租金</t>
    </r>
    <phoneticPr fontId="1" type="noConversion"/>
  </si>
  <si>
    <r>
      <t>+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×</t>
    </r>
    <r>
      <rPr>
        <sz val="11"/>
        <color theme="1"/>
        <rFont val="Malgun Gothic Semilight"/>
        <family val="2"/>
        <charset val="134"/>
      </rPr>
      <t>折旧</t>
    </r>
    <phoneticPr fontId="1" type="noConversion"/>
  </si>
  <si>
    <r>
      <rPr>
        <sz val="11"/>
        <color theme="1"/>
        <rFont val="等线"/>
        <family val="2"/>
        <charset val="134"/>
      </rPr>
      <t>资产所有者得到的资产折旧的避税</t>
    </r>
    <phoneticPr fontId="1" type="noConversion"/>
  </si>
  <si>
    <r>
      <t>-(1-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</si>
  <si>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负债利息是可以抵税的</t>
    </r>
    <phoneticPr fontId="1" type="noConversion"/>
  </si>
  <si>
    <r>
      <t>-</t>
    </r>
    <r>
      <rPr>
        <sz val="11"/>
        <color theme="1"/>
        <rFont val="等线"/>
        <family val="2"/>
        <charset val="134"/>
      </rPr>
      <t>负债本金偿还</t>
    </r>
    <phoneticPr fontId="1" type="noConversion"/>
  </si>
  <si>
    <r>
      <rPr>
        <sz val="11"/>
        <color theme="1"/>
        <rFont val="等线"/>
        <family val="2"/>
        <charset val="134"/>
      </rPr>
      <t>负债本金偿还是不可以抵税的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</si>
  <si>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Malgun Gothic Semilight"/>
        <family val="2"/>
        <charset val="134"/>
      </rPr>
      <t>残值</t>
    </r>
    <phoneticPr fontId="1" type="noConversion"/>
  </si>
  <si>
    <r>
      <rPr>
        <sz val="11"/>
        <color theme="1"/>
        <rFont val="等线"/>
        <family val="2"/>
        <charset val="134"/>
      </rPr>
      <t>该项目仅在最后一年发生，残值通常要全额课税，因为这里是按资产全部价值折旧的。</t>
    </r>
    <phoneticPr fontId="1" type="noConversion"/>
  </si>
  <si>
    <t>MPM METHOD:ATTRIBUTION OF LEVERAGED LEASE CASH FLOWSTO INCOME AND REPAYMENT OF INVESTMENT</t>
  </si>
  <si>
    <t>Q</t>
  </si>
  <si>
    <t>&lt;-- Possible MPM rate</t>
  </si>
  <si>
    <t>MPM attribution of cash flows</t>
    <phoneticPr fontId="1" type="noConversion"/>
  </si>
  <si>
    <t>Investment at beginning of period</t>
  </si>
  <si>
    <t>Leveraged lease cash flows</t>
    <phoneticPr fontId="1" type="noConversion"/>
  </si>
  <si>
    <t>Income</t>
  </si>
  <si>
    <t>Repayment of investment</t>
    <phoneticPr fontId="1" type="noConversion"/>
  </si>
  <si>
    <t>cost of asset</t>
  </si>
  <si>
    <t>lease term</t>
  </si>
  <si>
    <t>residual value</t>
  </si>
  <si>
    <t>equity</t>
  </si>
  <si>
    <t>debt</t>
  </si>
  <si>
    <t>15-year term loan, equal payments of interest &amp; principal</t>
  </si>
  <si>
    <t>interest</t>
  </si>
  <si>
    <t>annual debt payment</t>
  </si>
  <si>
    <t>annual rent received</t>
  </si>
  <si>
    <t>tax rate</t>
  </si>
  <si>
    <t>principal</t>
  </si>
  <si>
    <t>repayment</t>
  </si>
  <si>
    <t>rental or</t>
  </si>
  <si>
    <t>at start</t>
  </si>
  <si>
    <t>loan</t>
  </si>
  <si>
    <t xml:space="preserve">of </t>
  </si>
  <si>
    <t>CASH</t>
  </si>
  <si>
    <t>year</t>
  </si>
  <si>
    <t>equity invested</t>
  </si>
  <si>
    <t>salvage</t>
  </si>
  <si>
    <t>depreciation</t>
  </si>
  <si>
    <t>of year</t>
  </si>
  <si>
    <t>payment</t>
  </si>
  <si>
    <t>FLOW</t>
  </si>
  <si>
    <t>MPM</t>
  </si>
  <si>
    <t>&lt;-- Solved by Solver</t>
  </si>
  <si>
    <t>IRR</t>
  </si>
  <si>
    <t>CALCULATING THE MULTIPLE-PHASES METHOD (MPM) RETURN--REQUIRES SOLVER</t>
  </si>
  <si>
    <t>investment at</t>
  </si>
  <si>
    <t>attribution of cash flow</t>
  </si>
  <si>
    <t>beginning of year</t>
  </si>
  <si>
    <t>cash flow</t>
  </si>
  <si>
    <t>income</t>
  </si>
  <si>
    <t>investment</t>
  </si>
  <si>
    <t>Explanation:  When all of the cash flows</t>
  </si>
  <si>
    <t>from the lease are positive, the MPM return</t>
  </si>
  <si>
    <t>will be the same as the IRR.  When the depreciation</t>
  </si>
  <si>
    <t>is straight-line over the life of the asset, this</t>
  </si>
  <si>
    <t>will be the case.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</si>
</sst>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;;"/>
    <numFmt numFmtId="177" formatCode="0.00_ "/>
    <numFmt numFmtId="178" formatCode="&quot;$&quot;#,##0_);[Red]\(&quot;$&quot;#,##0\)"/>
    <numFmt numFmtId="179" formatCode="&quot;$&quot;#,##0.00_);[Red]\(&quot;$&quot;#,##0.00\)"/>
    <numFmt numFmtId="180" formatCode="_(* #,##0.00_);_(* \(#,##0.00\);_(* &quot;-&quot;??_);_(@_)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</font>
    <font>
      <b/>
      <sz val="14"/>
      <name val="Arial"/>
      <family val="2"/>
    </font>
    <font>
      <b/>
      <sz val="10"/>
      <name val="Arial"/>
      <family val="2"/>
    </font>
    <font>
      <sz val="11"/>
      <color theme="1"/>
      <name val="Malgun Gothic Semilight"/>
      <family val="2"/>
      <charset val="134"/>
    </font>
    <font>
      <b/>
      <sz val="16"/>
      <color theme="1"/>
      <name val="Arial Black"/>
      <family val="2"/>
    </font>
    <font>
      <b/>
      <sz val="16"/>
      <color theme="1"/>
      <name val="等线"/>
      <family val="3"/>
      <charset val="134"/>
    </font>
    <font>
      <sz val="11"/>
      <color theme="1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2"/>
      <name val="Arial"/>
      <family val="2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2" fillId="0" borderId="0"/>
    <xf numFmtId="180" fontId="12" fillId="0" borderId="0" applyFont="0" applyFill="0" applyBorder="0" applyAlignment="0" applyProtection="0"/>
  </cellStyleXfs>
  <cellXfs count="57">
    <xf numFmtId="0" fontId="0" fillId="0" borderId="0" xfId="0">
      <alignment vertical="center"/>
    </xf>
    <xf numFmtId="0" fontId="0" fillId="0" borderId="0" xfId="0" applyAlignment="1"/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right"/>
    </xf>
    <xf numFmtId="38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176" fontId="0" fillId="0" borderId="0" xfId="0" applyNumberForma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quotePrefix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9" fontId="0" fillId="2" borderId="0" xfId="0" applyNumberFormat="1" applyFill="1" applyAlignment="1">
      <alignment horizontal="center"/>
    </xf>
    <xf numFmtId="0" fontId="9" fillId="0" borderId="0" xfId="0" applyFont="1" applyAlignment="1">
      <alignment horizontal="left"/>
    </xf>
    <xf numFmtId="3" fontId="0" fillId="2" borderId="0" xfId="0" applyNumberFormat="1" applyFill="1" applyAlignment="1">
      <alignment horizontal="right"/>
    </xf>
    <xf numFmtId="177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4" fillId="0" borderId="0" xfId="0" applyFont="1" applyAlignment="1"/>
    <xf numFmtId="3" fontId="4" fillId="0" borderId="0" xfId="0" applyNumberFormat="1" applyFont="1" applyAlignment="1">
      <alignment horizontal="center" vertical="center" wrapText="1"/>
    </xf>
    <xf numFmtId="3" fontId="0" fillId="0" borderId="0" xfId="0" applyNumberFormat="1" applyAlignment="1"/>
    <xf numFmtId="178" fontId="0" fillId="0" borderId="0" xfId="0" applyNumberFormat="1" applyAlignment="1"/>
    <xf numFmtId="3" fontId="0" fillId="4" borderId="0" xfId="0" applyNumberFormat="1" applyFill="1" applyAlignment="1">
      <alignment horizontal="center"/>
    </xf>
    <xf numFmtId="3" fontId="0" fillId="4" borderId="0" xfId="0" applyNumberFormat="1" applyFill="1" applyAlignment="1"/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10" fontId="0" fillId="4" borderId="0" xfId="0" applyNumberFormat="1" applyFill="1" applyAlignment="1"/>
    <xf numFmtId="0" fontId="0" fillId="4" borderId="0" xfId="0" applyFill="1" applyAlignment="1">
      <alignment horizontal="center"/>
    </xf>
    <xf numFmtId="10" fontId="0" fillId="4" borderId="0" xfId="0" applyNumberFormat="1" applyFill="1" applyAlignment="1">
      <alignment horizontal="center"/>
    </xf>
    <xf numFmtId="0" fontId="11" fillId="0" borderId="3" xfId="0" applyFont="1" applyBorder="1" applyAlignment="1">
      <alignment horizontal="center"/>
    </xf>
    <xf numFmtId="0" fontId="3" fillId="0" borderId="0" xfId="1" applyFont="1" applyAlignment="1">
      <alignment horizontal="center"/>
    </xf>
    <xf numFmtId="0" fontId="12" fillId="0" borderId="0" xfId="1"/>
    <xf numFmtId="3" fontId="12" fillId="0" borderId="0" xfId="1" applyNumberFormat="1"/>
    <xf numFmtId="9" fontId="12" fillId="0" borderId="0" xfId="1" applyNumberFormat="1"/>
    <xf numFmtId="38" fontId="12" fillId="0" borderId="0" xfId="1" applyNumberFormat="1"/>
    <xf numFmtId="179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right"/>
    </xf>
    <xf numFmtId="10" fontId="12" fillId="0" borderId="0" xfId="1" applyNumberFormat="1"/>
    <xf numFmtId="0" fontId="10" fillId="0" borderId="0" xfId="1" applyFont="1"/>
    <xf numFmtId="0" fontId="12" fillId="0" borderId="0" xfId="1" applyAlignment="1">
      <alignment horizontal="center"/>
    </xf>
    <xf numFmtId="9" fontId="13" fillId="0" borderId="0" xfId="1" applyNumberFormat="1" applyFont="1" applyAlignment="1">
      <alignment horizontal="centerContinuous"/>
    </xf>
    <xf numFmtId="3" fontId="12" fillId="0" borderId="0" xfId="1" applyNumberFormat="1" applyAlignment="1">
      <alignment horizontal="centerContinuous"/>
    </xf>
    <xf numFmtId="3" fontId="4" fillId="0" borderId="0" xfId="1" applyNumberFormat="1" applyFont="1" applyAlignment="1">
      <alignment horizontal="center"/>
    </xf>
    <xf numFmtId="3" fontId="0" fillId="0" borderId="0" xfId="2" applyNumberFormat="1" applyFont="1"/>
    <xf numFmtId="0" fontId="12" fillId="4" borderId="0" xfId="1" applyFill="1"/>
    <xf numFmtId="10" fontId="12" fillId="4" borderId="0" xfId="1" applyNumberFormat="1" applyFill="1"/>
    <xf numFmtId="3" fontId="12" fillId="4" borderId="0" xfId="1" applyNumberFormat="1" applyFill="1"/>
    <xf numFmtId="0" fontId="14" fillId="0" borderId="0" xfId="1" applyFont="1"/>
  </cellXfs>
  <cellStyles count="3">
    <cellStyle name="常规" xfId="0" builtinId="0"/>
    <cellStyle name="常规 2" xfId="1" xr:uid="{1E2A78DE-2AD8-461B-9876-0FCD58BAF363}"/>
    <cellStyle name="千位分隔 2" xfId="2" xr:uid="{78706988-0B9E-4A36-B797-3A6137974B0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>
                <a:solidFill>
                  <a:sysClr val="windowText" lastClr="000000"/>
                </a:solidFill>
              </a:rPr>
              <a:t>LEVERAGED LEASE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IRR!$I$12</c:f>
              <c:strCache>
                <c:ptCount val="1"/>
                <c:pt idx="0">
                  <c:v>Cash flow to equity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3175">
                <a:solidFill>
                  <a:schemeClr val="tx1"/>
                </a:solidFill>
              </a:ln>
              <a:effectLst/>
            </c:spPr>
          </c:marker>
          <c:xVal>
            <c:numRef>
              <c:f>IRR!$A$13:$A$29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IRR!$I$13:$I$29</c:f>
              <c:numCache>
                <c:formatCode>#,##0</c:formatCode>
                <c:ptCount val="17"/>
                <c:pt idx="0">
                  <c:v>-200000</c:v>
                </c:pt>
                <c:pt idx="1">
                  <c:v>19487.645156768893</c:v>
                </c:pt>
                <c:pt idx="2">
                  <c:v>18480.484296372982</c:v>
                </c:pt>
                <c:pt idx="3">
                  <c:v>17372.607349937483</c:v>
                </c:pt>
                <c:pt idx="4">
                  <c:v>16153.942708858434</c:v>
                </c:pt>
                <c:pt idx="5">
                  <c:v>14813.411603671477</c:v>
                </c:pt>
                <c:pt idx="6">
                  <c:v>13338.827387965823</c:v>
                </c:pt>
                <c:pt idx="7">
                  <c:v>11716.784750689607</c:v>
                </c:pt>
                <c:pt idx="8">
                  <c:v>9932.5378496857666</c:v>
                </c:pt>
                <c:pt idx="9">
                  <c:v>7969.8662585815473</c:v>
                </c:pt>
                <c:pt idx="10">
                  <c:v>5810.9275083668981</c:v>
                </c:pt>
                <c:pt idx="11">
                  <c:v>3436.0948831307833</c:v>
                </c:pt>
                <c:pt idx="12">
                  <c:v>823.77899537105986</c:v>
                </c:pt>
                <c:pt idx="13">
                  <c:v>-2049.7684811646177</c:v>
                </c:pt>
                <c:pt idx="14">
                  <c:v>-5210.6707053538848</c:v>
                </c:pt>
                <c:pt idx="15">
                  <c:v>-8687.6631519620714</c:v>
                </c:pt>
                <c:pt idx="16">
                  <c:v>180000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C-4237-9A00-48D26FAE5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231616"/>
        <c:axId val="578233776"/>
      </c:scatterChart>
      <c:valAx>
        <c:axId val="578231616"/>
        <c:scaling>
          <c:orientation val="minMax"/>
          <c:max val="1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year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1556083626270357"/>
              <c:y val="0.43226462545840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8233776"/>
        <c:crosses val="autoZero"/>
        <c:crossBetween val="midCat"/>
        <c:majorUnit val="1"/>
      </c:valAx>
      <c:valAx>
        <c:axId val="578233776"/>
        <c:scaling>
          <c:orientation val="minMax"/>
          <c:max val="180000"/>
          <c:min val="-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Cash</a:t>
                </a:r>
                <a:r>
                  <a:rPr lang="en-US" altLang="zh-CN" baseline="0"/>
                  <a:t> flow($)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8231616"/>
        <c:crosses val="autoZero"/>
        <c:crossBetween val="midCat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533338</xdr:colOff>
      <xdr:row>0</xdr:row>
      <xdr:rowOff>51561</xdr:rowOff>
    </xdr:from>
    <xdr:to>
      <xdr:col>26</xdr:col>
      <xdr:colOff>365301</xdr:colOff>
      <xdr:row>53</xdr:row>
      <xdr:rowOff>19385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81876B2-455A-2694-9809-5E529EEE3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23009" y="51561"/>
          <a:ext cx="9595088" cy="95630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6</xdr:col>
      <xdr:colOff>1116330</xdr:colOff>
      <xdr:row>34</xdr:row>
      <xdr:rowOff>86268</xdr:rowOff>
    </xdr:from>
    <xdr:to>
      <xdr:col>10</xdr:col>
      <xdr:colOff>346982</xdr:colOff>
      <xdr:row>50</xdr:row>
      <xdr:rowOff>38915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BC79F38-A6D8-E64B-7705-4F1CB57C0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</xdr:row>
      <xdr:rowOff>30480</xdr:rowOff>
    </xdr:from>
    <xdr:to>
      <xdr:col>7</xdr:col>
      <xdr:colOff>285679</xdr:colOff>
      <xdr:row>2</xdr:row>
      <xdr:rowOff>53612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D50F343C-C5C5-4C22-9350-A37512616A7F}"/>
            </a:ext>
          </a:extLst>
        </xdr:cNvPr>
        <xdr:cNvSpPr txBox="1">
          <a:spLocks noChangeArrowheads="1"/>
        </xdr:cNvSpPr>
      </xdr:nvSpPr>
      <xdr:spPr bwMode="auto">
        <a:xfrm>
          <a:off x="4330065" y="228600"/>
          <a:ext cx="1579174" cy="20029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=IF($B$2*B6&gt;0,$B$2*B6,0)</a:t>
          </a:r>
        </a:p>
      </xdr:txBody>
    </xdr:sp>
    <xdr:clientData/>
  </xdr:twoCellAnchor>
  <xdr:twoCellAnchor>
    <xdr:from>
      <xdr:col>3</xdr:col>
      <xdr:colOff>548640</xdr:colOff>
      <xdr:row>2</xdr:row>
      <xdr:rowOff>45720</xdr:rowOff>
    </xdr:from>
    <xdr:to>
      <xdr:col>5</xdr:col>
      <xdr:colOff>114300</xdr:colOff>
      <xdr:row>5</xdr:row>
      <xdr:rowOff>15240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377FF77-5F0A-44AB-8E44-00E37DEA27CB}"/>
            </a:ext>
          </a:extLst>
        </xdr:cNvPr>
        <xdr:cNvSpPr>
          <a:spLocks noChangeShapeType="1"/>
        </xdr:cNvSpPr>
      </xdr:nvSpPr>
      <xdr:spPr bwMode="auto">
        <a:xfrm flipH="1">
          <a:off x="3076575" y="419100"/>
          <a:ext cx="131445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603646</xdr:colOff>
      <xdr:row>0</xdr:row>
      <xdr:rowOff>102394</xdr:rowOff>
    </xdr:from>
    <xdr:to>
      <xdr:col>18</xdr:col>
      <xdr:colOff>129777</xdr:colOff>
      <xdr:row>29</xdr:row>
      <xdr:rowOff>92869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4712C1BC-91CE-4364-AB8F-2CF185E67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21491" y="98584"/>
          <a:ext cx="6237446" cy="5324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10</xdr:col>
      <xdr:colOff>55943</xdr:colOff>
      <xdr:row>54</xdr:row>
      <xdr:rowOff>20391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A5C3327-A6BD-4B73-A69D-9BDB174E8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0700" y="4305300"/>
          <a:ext cx="5717603" cy="53315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2884170</xdr:colOff>
      <xdr:row>28</xdr:row>
      <xdr:rowOff>76200</xdr:rowOff>
    </xdr:from>
    <xdr:to>
      <xdr:col>11</xdr:col>
      <xdr:colOff>478328</xdr:colOff>
      <xdr:row>37</xdr:row>
      <xdr:rowOff>140970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81507B-919C-A707-A15F-5383FCA45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636770" y="5200650"/>
          <a:ext cx="8538383" cy="1607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>
        <row r="5">
          <cell r="B5">
            <v>200000</v>
          </cell>
        </row>
      </sheetData>
      <sheetData sheetId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VBA program"/>
      <sheetName val="Exercise 2 (中文)"/>
      <sheetName val="Explanation of Exercise 2"/>
      <sheetName val="Explanation of Exercise 2 (中文)"/>
    </sheetNames>
    <sheetDataSet>
      <sheetData sheetId="0"/>
      <sheetData sheetId="1"/>
      <sheetData sheetId="2">
        <row r="43">
          <cell r="B43">
            <v>0.34610323500130913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95"/>
  <sheetViews>
    <sheetView tabSelected="1" zoomScale="175" zoomScaleNormal="175" workbookViewId="0">
      <selection activeCell="D25" sqref="D25"/>
    </sheetView>
  </sheetViews>
  <sheetFormatPr defaultRowHeight="13.8" x14ac:dyDescent="0.25"/>
  <cols>
    <col min="1" max="1" width="22.33203125" style="1" customWidth="1"/>
    <col min="2" max="2" width="12.6640625" style="3" customWidth="1"/>
    <col min="3" max="3" width="9.6640625" style="3" customWidth="1"/>
    <col min="4" max="4" width="12.44140625" style="3" customWidth="1"/>
    <col min="5" max="5" width="18.109375" style="3" customWidth="1"/>
    <col min="6" max="6" width="8.88671875" style="3"/>
    <col min="7" max="7" width="16.5546875" style="3" bestFit="1" customWidth="1"/>
    <col min="8" max="8" width="12" style="3" customWidth="1"/>
    <col min="9" max="9" width="11.88671875" style="3" customWidth="1"/>
    <col min="10" max="10" width="37.33203125" style="1" bestFit="1" customWidth="1"/>
  </cols>
  <sheetData>
    <row r="1" spans="1:10" ht="17.399999999999999" x14ac:dyDescent="0.3">
      <c r="A1" s="31" t="s">
        <v>0</v>
      </c>
      <c r="B1" s="31"/>
      <c r="C1" s="31"/>
      <c r="D1" s="31"/>
      <c r="E1" s="31"/>
      <c r="F1" s="31"/>
      <c r="G1" s="31"/>
      <c r="H1" s="31"/>
      <c r="I1" s="31"/>
    </row>
    <row r="2" spans="1:10" x14ac:dyDescent="0.25">
      <c r="A2" s="1" t="s">
        <v>1</v>
      </c>
      <c r="B2" s="2">
        <v>1000000</v>
      </c>
    </row>
    <row r="3" spans="1:10" x14ac:dyDescent="0.25">
      <c r="A3" s="1" t="s">
        <v>2</v>
      </c>
      <c r="B3" s="4">
        <v>15</v>
      </c>
    </row>
    <row r="4" spans="1:10" x14ac:dyDescent="0.25">
      <c r="A4" s="1" t="s">
        <v>3</v>
      </c>
      <c r="B4" s="2">
        <v>300000</v>
      </c>
      <c r="C4" s="5" t="s">
        <v>4</v>
      </c>
    </row>
    <row r="5" spans="1:10" x14ac:dyDescent="0.25">
      <c r="A5" s="1" t="s">
        <v>5</v>
      </c>
      <c r="B5" s="2">
        <v>200000</v>
      </c>
    </row>
    <row r="6" spans="1:10" x14ac:dyDescent="0.25">
      <c r="A6" s="1" t="s">
        <v>6</v>
      </c>
      <c r="B6" s="2">
        <f>B2-B5</f>
        <v>800000</v>
      </c>
      <c r="C6" s="5" t="s">
        <v>7</v>
      </c>
    </row>
    <row r="7" spans="1:10" x14ac:dyDescent="0.25">
      <c r="A7" s="1" t="s">
        <v>8</v>
      </c>
      <c r="B7" s="6">
        <v>0.1</v>
      </c>
    </row>
    <row r="8" spans="1:10" x14ac:dyDescent="0.25">
      <c r="A8" s="1" t="s">
        <v>9</v>
      </c>
      <c r="B8" s="7">
        <f>PMT(B7,B3,-B6)</f>
        <v>105179.02150989778</v>
      </c>
      <c r="C8" s="5" t="str">
        <f ca="1">[1]!getformula(B8)</f>
        <v>&lt;--  =PMT(B7,B3,-B6)</v>
      </c>
    </row>
    <row r="9" spans="1:10" x14ac:dyDescent="0.25">
      <c r="A9" s="1" t="s">
        <v>10</v>
      </c>
      <c r="B9" s="7">
        <v>110000</v>
      </c>
      <c r="C9" s="5"/>
    </row>
    <row r="10" spans="1:10" x14ac:dyDescent="0.25">
      <c r="A10" s="1" t="s">
        <v>11</v>
      </c>
      <c r="B10" s="6">
        <v>0.4</v>
      </c>
    </row>
    <row r="11" spans="1:10" x14ac:dyDescent="0.25">
      <c r="B11" s="8"/>
      <c r="C11" s="3" t="s">
        <v>24</v>
      </c>
      <c r="D11" s="3" t="s">
        <v>24</v>
      </c>
      <c r="G11" s="3" t="s">
        <v>25</v>
      </c>
      <c r="H11" s="3" t="s">
        <v>25</v>
      </c>
    </row>
    <row r="12" spans="1:10" ht="39.6" x14ac:dyDescent="0.25">
      <c r="A12" s="9" t="s">
        <v>12</v>
      </c>
      <c r="B12" s="9" t="s">
        <v>13</v>
      </c>
      <c r="C12" s="9" t="s">
        <v>21</v>
      </c>
      <c r="D12" s="9" t="s">
        <v>14</v>
      </c>
      <c r="E12" s="9" t="s">
        <v>15</v>
      </c>
      <c r="F12" s="9" t="s">
        <v>16</v>
      </c>
      <c r="G12" s="9" t="s">
        <v>8</v>
      </c>
      <c r="H12" s="9" t="s">
        <v>17</v>
      </c>
      <c r="I12" s="9" t="s">
        <v>18</v>
      </c>
      <c r="J12" s="10"/>
    </row>
    <row r="13" spans="1:10" x14ac:dyDescent="0.25">
      <c r="A13" s="3">
        <v>0</v>
      </c>
      <c r="B13" s="11">
        <f>-B5</f>
        <v>-200000</v>
      </c>
      <c r="C13" s="11"/>
      <c r="D13" s="11"/>
      <c r="E13" s="11"/>
      <c r="F13" s="11"/>
      <c r="G13" s="11"/>
      <c r="H13" s="11"/>
      <c r="I13" s="11">
        <f>B13</f>
        <v>-200000</v>
      </c>
    </row>
    <row r="14" spans="1:10" x14ac:dyDescent="0.25">
      <c r="A14" s="3">
        <v>1</v>
      </c>
      <c r="B14" s="11"/>
      <c r="C14" s="11">
        <f>$B$9</f>
        <v>110000</v>
      </c>
      <c r="D14" s="11">
        <f>$B$2*$G35/100</f>
        <v>66666.666666666672</v>
      </c>
      <c r="E14" s="11">
        <f>B6</f>
        <v>800000</v>
      </c>
      <c r="F14" s="11">
        <f t="shared" ref="F14:F28" si="0">$B$8</f>
        <v>105179.02150989778</v>
      </c>
      <c r="G14" s="11">
        <f>$B$7*E14</f>
        <v>80000</v>
      </c>
      <c r="H14" s="11">
        <f>F14-G14</f>
        <v>25179.021509897779</v>
      </c>
      <c r="I14" s="29">
        <f>(1-tax)*C14+tax*D14-(1-tax)*G14-H14</f>
        <v>19487.645156768893</v>
      </c>
      <c r="J14" s="1" t="str">
        <f ca="1">[1]!getformula(I14)</f>
        <v>&lt;--  =(1-tax)*C14+tax*D14-(1-tax)*G14-H14</v>
      </c>
    </row>
    <row r="15" spans="1:10" x14ac:dyDescent="0.25">
      <c r="A15" s="3">
        <v>2</v>
      </c>
      <c r="B15" s="11"/>
      <c r="C15" s="11">
        <f t="shared" ref="C15:C28" si="1">C14</f>
        <v>110000</v>
      </c>
      <c r="D15" s="11">
        <f t="shared" ref="D15:D28" si="2">$B$2*$G36/100</f>
        <v>66666.666666666672</v>
      </c>
      <c r="E15" s="11">
        <f>E14-H14</f>
        <v>774820.97849010222</v>
      </c>
      <c r="F15" s="11">
        <f t="shared" si="0"/>
        <v>105179.02150989778</v>
      </c>
      <c r="G15" s="11">
        <f>$B$7*E15</f>
        <v>77482.097849010228</v>
      </c>
      <c r="H15" s="11">
        <f>F15-G15</f>
        <v>27696.923660887551</v>
      </c>
      <c r="I15" s="29">
        <f t="shared" ref="I15:I29" si="3">(1-tax)*C15+tax*D15-(1-tax)*G15-H15</f>
        <v>18480.484296372982</v>
      </c>
    </row>
    <row r="16" spans="1:10" x14ac:dyDescent="0.25">
      <c r="A16" s="3">
        <v>3</v>
      </c>
      <c r="B16" s="11"/>
      <c r="C16" s="11">
        <f t="shared" si="1"/>
        <v>110000</v>
      </c>
      <c r="D16" s="11">
        <f t="shared" si="2"/>
        <v>66666.666666666672</v>
      </c>
      <c r="E16" s="11">
        <f t="shared" ref="E16:E28" si="4">E15-H15</f>
        <v>747124.0548292147</v>
      </c>
      <c r="F16" s="11">
        <f t="shared" si="0"/>
        <v>105179.02150989778</v>
      </c>
      <c r="G16" s="11">
        <f t="shared" ref="G16:G28" si="5">$B$7*E16</f>
        <v>74712.405482921473</v>
      </c>
      <c r="H16" s="11">
        <f t="shared" ref="H16:H28" si="6">F16-G16</f>
        <v>30466.616026976306</v>
      </c>
      <c r="I16" s="29">
        <f t="shared" si="3"/>
        <v>17372.607349937483</v>
      </c>
    </row>
    <row r="17" spans="1:10" x14ac:dyDescent="0.25">
      <c r="A17" s="3">
        <v>4</v>
      </c>
      <c r="B17" s="11"/>
      <c r="C17" s="11">
        <f t="shared" si="1"/>
        <v>110000</v>
      </c>
      <c r="D17" s="11">
        <f t="shared" si="2"/>
        <v>66666.666666666672</v>
      </c>
      <c r="E17" s="11">
        <f t="shared" si="4"/>
        <v>716657.43880223844</v>
      </c>
      <c r="F17" s="11">
        <f t="shared" si="0"/>
        <v>105179.02150989778</v>
      </c>
      <c r="G17" s="11">
        <f t="shared" si="5"/>
        <v>71665.743880223847</v>
      </c>
      <c r="H17" s="11">
        <f t="shared" si="6"/>
        <v>33513.277629673932</v>
      </c>
      <c r="I17" s="29">
        <f t="shared" si="3"/>
        <v>16153.942708858434</v>
      </c>
    </row>
    <row r="18" spans="1:10" x14ac:dyDescent="0.25">
      <c r="A18" s="3">
        <v>5</v>
      </c>
      <c r="B18" s="11"/>
      <c r="C18" s="11">
        <f t="shared" si="1"/>
        <v>110000</v>
      </c>
      <c r="D18" s="11">
        <f t="shared" si="2"/>
        <v>66666.666666666672</v>
      </c>
      <c r="E18" s="11">
        <f t="shared" si="4"/>
        <v>683144.16117256449</v>
      </c>
      <c r="F18" s="11">
        <f t="shared" si="0"/>
        <v>105179.02150989778</v>
      </c>
      <c r="G18" s="11">
        <f t="shared" si="5"/>
        <v>68314.416117256449</v>
      </c>
      <c r="H18" s="11">
        <f t="shared" si="6"/>
        <v>36864.60539264133</v>
      </c>
      <c r="I18" s="29">
        <f t="shared" si="3"/>
        <v>14813.411603671477</v>
      </c>
    </row>
    <row r="19" spans="1:10" x14ac:dyDescent="0.25">
      <c r="A19" s="3">
        <v>6</v>
      </c>
      <c r="B19" s="11"/>
      <c r="C19" s="11">
        <f t="shared" si="1"/>
        <v>110000</v>
      </c>
      <c r="D19" s="11">
        <f t="shared" si="2"/>
        <v>66666.666666666672</v>
      </c>
      <c r="E19" s="11">
        <f t="shared" si="4"/>
        <v>646279.55577992322</v>
      </c>
      <c r="F19" s="11">
        <f t="shared" si="0"/>
        <v>105179.02150989778</v>
      </c>
      <c r="G19" s="11">
        <f t="shared" si="5"/>
        <v>64627.955577992325</v>
      </c>
      <c r="H19" s="11">
        <f t="shared" si="6"/>
        <v>40551.065931905454</v>
      </c>
      <c r="I19" s="29">
        <f t="shared" si="3"/>
        <v>13338.827387965823</v>
      </c>
    </row>
    <row r="20" spans="1:10" x14ac:dyDescent="0.25">
      <c r="A20" s="3">
        <v>7</v>
      </c>
      <c r="B20" s="11"/>
      <c r="C20" s="11">
        <f t="shared" si="1"/>
        <v>110000</v>
      </c>
      <c r="D20" s="11">
        <f t="shared" si="2"/>
        <v>66666.666666666672</v>
      </c>
      <c r="E20" s="11">
        <f t="shared" si="4"/>
        <v>605728.48984801781</v>
      </c>
      <c r="F20" s="11">
        <f t="shared" si="0"/>
        <v>105179.02150989778</v>
      </c>
      <c r="G20" s="11">
        <f t="shared" si="5"/>
        <v>60572.848984801785</v>
      </c>
      <c r="H20" s="11">
        <f t="shared" si="6"/>
        <v>44606.172525095993</v>
      </c>
      <c r="I20" s="29">
        <f t="shared" si="3"/>
        <v>11716.784750689607</v>
      </c>
    </row>
    <row r="21" spans="1:10" x14ac:dyDescent="0.25">
      <c r="A21" s="3">
        <v>8</v>
      </c>
      <c r="B21" s="11"/>
      <c r="C21" s="11">
        <f t="shared" si="1"/>
        <v>110000</v>
      </c>
      <c r="D21" s="11">
        <f t="shared" si="2"/>
        <v>66666.666666666672</v>
      </c>
      <c r="E21" s="11">
        <f t="shared" si="4"/>
        <v>561122.31732292182</v>
      </c>
      <c r="F21" s="11">
        <f t="shared" si="0"/>
        <v>105179.02150989778</v>
      </c>
      <c r="G21" s="11">
        <f t="shared" si="5"/>
        <v>56112.231732292188</v>
      </c>
      <c r="H21" s="11">
        <f t="shared" si="6"/>
        <v>49066.789777605591</v>
      </c>
      <c r="I21" s="29">
        <f t="shared" si="3"/>
        <v>9932.5378496857666</v>
      </c>
    </row>
    <row r="22" spans="1:10" x14ac:dyDescent="0.25">
      <c r="A22" s="3">
        <v>9</v>
      </c>
      <c r="B22" s="11"/>
      <c r="C22" s="11">
        <f t="shared" si="1"/>
        <v>110000</v>
      </c>
      <c r="D22" s="11">
        <f t="shared" si="2"/>
        <v>66666.666666666672</v>
      </c>
      <c r="E22" s="11">
        <f t="shared" si="4"/>
        <v>512055.52754531626</v>
      </c>
      <c r="F22" s="11">
        <f t="shared" si="0"/>
        <v>105179.02150989778</v>
      </c>
      <c r="G22" s="11">
        <f t="shared" si="5"/>
        <v>51205.552754531629</v>
      </c>
      <c r="H22" s="11">
        <f t="shared" si="6"/>
        <v>53973.46875536615</v>
      </c>
      <c r="I22" s="29">
        <f t="shared" si="3"/>
        <v>7969.8662585815473</v>
      </c>
    </row>
    <row r="23" spans="1:10" x14ac:dyDescent="0.25">
      <c r="A23" s="3">
        <v>10</v>
      </c>
      <c r="B23" s="11"/>
      <c r="C23" s="11">
        <f t="shared" si="1"/>
        <v>110000</v>
      </c>
      <c r="D23" s="11">
        <f t="shared" si="2"/>
        <v>66666.666666666672</v>
      </c>
      <c r="E23" s="11">
        <f t="shared" si="4"/>
        <v>458082.0587899501</v>
      </c>
      <c r="F23" s="11">
        <f t="shared" si="0"/>
        <v>105179.02150989778</v>
      </c>
      <c r="G23" s="11">
        <f t="shared" si="5"/>
        <v>45808.20587899501</v>
      </c>
      <c r="H23" s="11">
        <f t="shared" si="6"/>
        <v>59370.815630902769</v>
      </c>
      <c r="I23" s="29">
        <f t="shared" si="3"/>
        <v>5810.9275083668981</v>
      </c>
    </row>
    <row r="24" spans="1:10" x14ac:dyDescent="0.25">
      <c r="A24" s="3">
        <v>11</v>
      </c>
      <c r="B24" s="11"/>
      <c r="C24" s="11">
        <f t="shared" si="1"/>
        <v>110000</v>
      </c>
      <c r="D24" s="11">
        <f t="shared" si="2"/>
        <v>66666.666666666672</v>
      </c>
      <c r="E24" s="11">
        <f t="shared" si="4"/>
        <v>398711.24315904733</v>
      </c>
      <c r="F24" s="11">
        <f t="shared" si="0"/>
        <v>105179.02150989778</v>
      </c>
      <c r="G24" s="11">
        <f t="shared" si="5"/>
        <v>39871.124315904737</v>
      </c>
      <c r="H24" s="11">
        <f t="shared" si="6"/>
        <v>65307.897193993042</v>
      </c>
      <c r="I24" s="29">
        <f t="shared" si="3"/>
        <v>3436.0948831307833</v>
      </c>
    </row>
    <row r="25" spans="1:10" x14ac:dyDescent="0.25">
      <c r="A25" s="3">
        <v>12</v>
      </c>
      <c r="B25" s="11"/>
      <c r="C25" s="11">
        <f t="shared" si="1"/>
        <v>110000</v>
      </c>
      <c r="D25" s="11">
        <f t="shared" si="2"/>
        <v>66666.666666666672</v>
      </c>
      <c r="E25" s="11">
        <f t="shared" si="4"/>
        <v>333403.34596505429</v>
      </c>
      <c r="F25" s="11">
        <f t="shared" si="0"/>
        <v>105179.02150989778</v>
      </c>
      <c r="G25" s="11">
        <f t="shared" si="5"/>
        <v>33340.334596505432</v>
      </c>
      <c r="H25" s="11">
        <f t="shared" si="6"/>
        <v>71838.686913392346</v>
      </c>
      <c r="I25" s="29">
        <f t="shared" si="3"/>
        <v>823.77899537105986</v>
      </c>
    </row>
    <row r="26" spans="1:10" x14ac:dyDescent="0.25">
      <c r="A26" s="3">
        <v>13</v>
      </c>
      <c r="B26" s="11"/>
      <c r="C26" s="11">
        <f t="shared" si="1"/>
        <v>110000</v>
      </c>
      <c r="D26" s="11">
        <f t="shared" si="2"/>
        <v>66666.666666666672</v>
      </c>
      <c r="E26" s="11">
        <f t="shared" si="4"/>
        <v>261564.65905166196</v>
      </c>
      <c r="F26" s="11">
        <f t="shared" si="0"/>
        <v>105179.02150989778</v>
      </c>
      <c r="G26" s="11">
        <f t="shared" si="5"/>
        <v>26156.465905166198</v>
      </c>
      <c r="H26" s="11">
        <f t="shared" si="6"/>
        <v>79022.555604731577</v>
      </c>
      <c r="I26" s="29">
        <f t="shared" si="3"/>
        <v>-2049.7684811646177</v>
      </c>
    </row>
    <row r="27" spans="1:10" x14ac:dyDescent="0.25">
      <c r="A27" s="3">
        <v>14</v>
      </c>
      <c r="B27" s="11"/>
      <c r="C27" s="11">
        <f t="shared" si="1"/>
        <v>110000</v>
      </c>
      <c r="D27" s="11">
        <f t="shared" si="2"/>
        <v>66666.666666666672</v>
      </c>
      <c r="E27" s="11">
        <f t="shared" si="4"/>
        <v>182542.10344693038</v>
      </c>
      <c r="F27" s="11">
        <f t="shared" si="0"/>
        <v>105179.02150989778</v>
      </c>
      <c r="G27" s="11">
        <f t="shared" si="5"/>
        <v>18254.210344693038</v>
      </c>
      <c r="H27" s="11">
        <f t="shared" si="6"/>
        <v>86924.811165204737</v>
      </c>
      <c r="I27" s="29">
        <f t="shared" si="3"/>
        <v>-5210.6707053538848</v>
      </c>
    </row>
    <row r="28" spans="1:10" x14ac:dyDescent="0.25">
      <c r="A28" s="3">
        <v>15</v>
      </c>
      <c r="B28" s="11"/>
      <c r="C28" s="11">
        <f t="shared" si="1"/>
        <v>110000</v>
      </c>
      <c r="D28" s="11">
        <f t="shared" si="2"/>
        <v>66666.666666666672</v>
      </c>
      <c r="E28" s="11">
        <f t="shared" si="4"/>
        <v>95617.292281725648</v>
      </c>
      <c r="F28" s="11">
        <f t="shared" si="0"/>
        <v>105179.02150989778</v>
      </c>
      <c r="G28" s="11">
        <f t="shared" si="5"/>
        <v>9561.7292281725659</v>
      </c>
      <c r="H28" s="11">
        <f t="shared" si="6"/>
        <v>95617.292281725211</v>
      </c>
      <c r="I28" s="29">
        <f t="shared" si="3"/>
        <v>-8687.6631519620714</v>
      </c>
    </row>
    <row r="29" spans="1:10" x14ac:dyDescent="0.25">
      <c r="A29" s="3">
        <v>16</v>
      </c>
      <c r="B29" s="11"/>
      <c r="C29" s="11">
        <f>B4</f>
        <v>300000</v>
      </c>
      <c r="D29" s="11"/>
      <c r="E29" s="11"/>
      <c r="F29" s="11"/>
      <c r="G29" s="11"/>
      <c r="H29" s="11"/>
      <c r="I29" s="29">
        <f t="shared" si="3"/>
        <v>180000</v>
      </c>
    </row>
    <row r="31" spans="1:10" x14ac:dyDescent="0.25">
      <c r="F31" s="35"/>
      <c r="G31" s="35" t="s">
        <v>19</v>
      </c>
      <c r="H31" s="35"/>
      <c r="I31" s="36">
        <f>IRR(I13:I29)</f>
        <v>4.178558042846614E-2</v>
      </c>
      <c r="J31" s="1" t="str">
        <f ca="1">[1]!getformula(I31)</f>
        <v>&lt;--  =IRR(I13:I29)</v>
      </c>
    </row>
    <row r="32" spans="1:10" x14ac:dyDescent="0.25">
      <c r="C32" s="11"/>
    </row>
    <row r="33" spans="1:7" x14ac:dyDescent="0.25">
      <c r="A33" s="12" t="s">
        <v>20</v>
      </c>
    </row>
    <row r="34" spans="1:7" x14ac:dyDescent="0.25">
      <c r="A34" s="8"/>
      <c r="B34" s="2">
        <f>I13+NPV(A34,I14:I29)</f>
        <v>103388.80641092022</v>
      </c>
      <c r="C34" s="20" t="str">
        <f ca="1">[1]!getformula(B34)&amp;" , table header"</f>
        <v>&lt;--  =I13+NPV(A34,I14:I29) , table header</v>
      </c>
      <c r="F34" s="37" t="s">
        <v>22</v>
      </c>
      <c r="G34" s="37" t="s">
        <v>23</v>
      </c>
    </row>
    <row r="35" spans="1:7" x14ac:dyDescent="0.25">
      <c r="A35" s="19">
        <v>0</v>
      </c>
      <c r="B35" s="2">
        <f>B34</f>
        <v>103388.80641092022</v>
      </c>
      <c r="C35" s="20" t="str">
        <f ca="1">[1]!getformula(B35)</f>
        <v>&lt;--  =B34</v>
      </c>
      <c r="D35" s="2"/>
      <c r="F35" s="3">
        <v>1</v>
      </c>
      <c r="G35" s="22">
        <f t="shared" ref="G35:G49" si="7">100/15</f>
        <v>6.666666666666667</v>
      </c>
    </row>
    <row r="36" spans="1:7" x14ac:dyDescent="0.25">
      <c r="A36" s="19">
        <v>0.01</v>
      </c>
      <c r="B36" s="2">
        <f t="dataTable" ref="B36:B51" dt2D="0" dtr="0" r1="A34"/>
        <v>72606.773266127799</v>
      </c>
      <c r="D36" s="2"/>
      <c r="F36" s="3">
        <v>2</v>
      </c>
      <c r="G36" s="22">
        <f t="shared" si="7"/>
        <v>6.666666666666667</v>
      </c>
    </row>
    <row r="37" spans="1:7" x14ac:dyDescent="0.25">
      <c r="A37" s="19">
        <v>0.02</v>
      </c>
      <c r="B37" s="2">
        <v>46082.183131812868</v>
      </c>
      <c r="D37" s="2"/>
      <c r="F37" s="3">
        <v>3</v>
      </c>
      <c r="G37" s="22">
        <f t="shared" si="7"/>
        <v>6.666666666666667</v>
      </c>
    </row>
    <row r="38" spans="1:7" x14ac:dyDescent="0.25">
      <c r="A38" s="19">
        <v>0.03</v>
      </c>
      <c r="B38" s="2">
        <v>23152.844173153426</v>
      </c>
      <c r="D38" s="2"/>
      <c r="F38" s="3">
        <v>4</v>
      </c>
      <c r="G38" s="22">
        <f t="shared" si="7"/>
        <v>6.666666666666667</v>
      </c>
    </row>
    <row r="39" spans="1:7" x14ac:dyDescent="0.25">
      <c r="A39" s="19">
        <v>0.04</v>
      </c>
      <c r="B39" s="2">
        <v>3267.0033765681437</v>
      </c>
      <c r="D39" s="2"/>
      <c r="F39" s="3">
        <v>5</v>
      </c>
      <c r="G39" s="22">
        <f t="shared" si="7"/>
        <v>6.666666666666667</v>
      </c>
    </row>
    <row r="40" spans="1:7" x14ac:dyDescent="0.25">
      <c r="A40" s="19">
        <v>0.05</v>
      </c>
      <c r="B40" s="2">
        <v>-14036.069716115628</v>
      </c>
      <c r="D40" s="2"/>
      <c r="F40" s="3">
        <v>6</v>
      </c>
      <c r="G40" s="22">
        <f t="shared" si="7"/>
        <v>6.666666666666667</v>
      </c>
    </row>
    <row r="41" spans="1:7" x14ac:dyDescent="0.25">
      <c r="A41" s="19">
        <v>0.06</v>
      </c>
      <c r="B41" s="21">
        <v>-29141.929401035857</v>
      </c>
      <c r="D41" s="2"/>
      <c r="F41" s="3">
        <v>7</v>
      </c>
      <c r="G41" s="22">
        <f t="shared" si="7"/>
        <v>6.666666666666667</v>
      </c>
    </row>
    <row r="42" spans="1:7" x14ac:dyDescent="0.25">
      <c r="A42" s="19">
        <v>7.0000000000000007E-2</v>
      </c>
      <c r="B42" s="2">
        <v>-42373.913571940124</v>
      </c>
      <c r="D42" s="2"/>
      <c r="F42" s="3">
        <v>8</v>
      </c>
      <c r="G42" s="22">
        <f t="shared" si="7"/>
        <v>6.666666666666667</v>
      </c>
    </row>
    <row r="43" spans="1:7" x14ac:dyDescent="0.25">
      <c r="A43" s="19">
        <v>0.08</v>
      </c>
      <c r="B43" s="2">
        <v>-54003.764393588324</v>
      </c>
      <c r="D43" s="2"/>
      <c r="F43" s="3">
        <v>9</v>
      </c>
      <c r="G43" s="22">
        <f t="shared" si="7"/>
        <v>6.666666666666667</v>
      </c>
    </row>
    <row r="44" spans="1:7" x14ac:dyDescent="0.25">
      <c r="A44" s="19">
        <v>0.09</v>
      </c>
      <c r="B44" s="2">
        <v>-64260.349641103559</v>
      </c>
      <c r="D44" s="2"/>
      <c r="F44" s="3">
        <v>10</v>
      </c>
      <c r="G44" s="22">
        <f t="shared" si="7"/>
        <v>6.666666666666667</v>
      </c>
    </row>
    <row r="45" spans="1:7" x14ac:dyDescent="0.25">
      <c r="A45" s="19">
        <v>0.1</v>
      </c>
      <c r="B45" s="2">
        <v>-73336.838633246705</v>
      </c>
      <c r="D45" s="2"/>
      <c r="F45" s="3">
        <v>11</v>
      </c>
      <c r="G45" s="22">
        <f t="shared" si="7"/>
        <v>6.666666666666667</v>
      </c>
    </row>
    <row r="46" spans="1:7" x14ac:dyDescent="0.25">
      <c r="A46" s="19">
        <v>0.12</v>
      </c>
      <c r="B46" s="21">
        <v>-88578.179426479139</v>
      </c>
      <c r="D46" s="2"/>
      <c r="F46" s="3">
        <v>12</v>
      </c>
      <c r="G46" s="22">
        <f t="shared" si="7"/>
        <v>6.666666666666667</v>
      </c>
    </row>
    <row r="47" spans="1:7" x14ac:dyDescent="0.25">
      <c r="A47" s="19">
        <v>0.14000000000000001</v>
      </c>
      <c r="B47" s="2">
        <v>-100759.70680388632</v>
      </c>
      <c r="D47" s="2"/>
      <c r="F47" s="3">
        <v>13</v>
      </c>
      <c r="G47" s="22">
        <f t="shared" si="7"/>
        <v>6.666666666666667</v>
      </c>
    </row>
    <row r="48" spans="1:7" x14ac:dyDescent="0.25">
      <c r="A48" s="19">
        <v>0.16</v>
      </c>
      <c r="B48" s="2">
        <v>-110628.80641634941</v>
      </c>
      <c r="D48" s="2"/>
      <c r="F48" s="3">
        <v>14</v>
      </c>
      <c r="G48" s="22">
        <f t="shared" si="7"/>
        <v>6.666666666666667</v>
      </c>
    </row>
    <row r="49" spans="1:7" x14ac:dyDescent="0.25">
      <c r="A49" s="19">
        <v>0.18</v>
      </c>
      <c r="B49" s="2">
        <v>-118731.46310697123</v>
      </c>
      <c r="D49" s="2"/>
      <c r="F49" s="3">
        <v>15</v>
      </c>
      <c r="G49" s="22">
        <f t="shared" si="7"/>
        <v>6.666666666666667</v>
      </c>
    </row>
    <row r="50" spans="1:7" x14ac:dyDescent="0.25">
      <c r="A50" s="19">
        <v>0.2</v>
      </c>
      <c r="B50" s="2">
        <v>-125470.00708357542</v>
      </c>
      <c r="D50" s="2"/>
    </row>
    <row r="51" spans="1:7" x14ac:dyDescent="0.25">
      <c r="A51" s="19">
        <v>0.22</v>
      </c>
      <c r="B51" s="2">
        <v>-131143.51844442482</v>
      </c>
      <c r="D51" s="2"/>
    </row>
    <row r="73" spans="4:5" x14ac:dyDescent="0.25">
      <c r="E73" s="11"/>
    </row>
    <row r="74" spans="4:5" x14ac:dyDescent="0.25">
      <c r="D74" s="13"/>
      <c r="E74" s="11"/>
    </row>
    <row r="75" spans="4:5" x14ac:dyDescent="0.25">
      <c r="D75" s="8"/>
      <c r="E75" s="11"/>
    </row>
    <row r="76" spans="4:5" x14ac:dyDescent="0.25">
      <c r="D76" s="8"/>
      <c r="E76" s="11"/>
    </row>
    <row r="77" spans="4:5" x14ac:dyDescent="0.25">
      <c r="D77" s="8"/>
      <c r="E77" s="11"/>
    </row>
    <row r="78" spans="4:5" x14ac:dyDescent="0.25">
      <c r="D78" s="8"/>
      <c r="E78" s="11"/>
    </row>
    <row r="79" spans="4:5" x14ac:dyDescent="0.25">
      <c r="D79" s="8"/>
      <c r="E79" s="11"/>
    </row>
    <row r="80" spans="4:5" x14ac:dyDescent="0.25">
      <c r="D80" s="8"/>
      <c r="E80" s="11"/>
    </row>
    <row r="81" spans="4:5" x14ac:dyDescent="0.25">
      <c r="D81" s="8"/>
      <c r="E81" s="11"/>
    </row>
    <row r="82" spans="4:5" x14ac:dyDescent="0.25">
      <c r="D82" s="8"/>
      <c r="E82" s="11"/>
    </row>
    <row r="83" spans="4:5" x14ac:dyDescent="0.25">
      <c r="D83" s="8"/>
      <c r="E83" s="11"/>
    </row>
    <row r="84" spans="4:5" x14ac:dyDescent="0.25">
      <c r="D84" s="8"/>
      <c r="E84" s="11"/>
    </row>
    <row r="85" spans="4:5" x14ac:dyDescent="0.25">
      <c r="D85" s="8"/>
      <c r="E85" s="11"/>
    </row>
    <row r="86" spans="4:5" x14ac:dyDescent="0.25">
      <c r="D86" s="8"/>
      <c r="E86" s="11"/>
    </row>
    <row r="87" spans="4:5" x14ac:dyDescent="0.25">
      <c r="D87" s="8"/>
      <c r="E87" s="11"/>
    </row>
    <row r="88" spans="4:5" x14ac:dyDescent="0.25">
      <c r="D88" s="8"/>
      <c r="E88" s="11"/>
    </row>
    <row r="89" spans="4:5" x14ac:dyDescent="0.25">
      <c r="D89" s="8"/>
      <c r="E89" s="11"/>
    </row>
    <row r="90" spans="4:5" x14ac:dyDescent="0.25">
      <c r="D90" s="8"/>
      <c r="E90" s="11"/>
    </row>
    <row r="91" spans="4:5" x14ac:dyDescent="0.25">
      <c r="D91" s="8"/>
    </row>
    <row r="92" spans="4:5" x14ac:dyDescent="0.25">
      <c r="D92" s="8"/>
    </row>
    <row r="93" spans="4:5" x14ac:dyDescent="0.25">
      <c r="D93" s="8"/>
    </row>
    <row r="94" spans="4:5" x14ac:dyDescent="0.25">
      <c r="D94" s="8"/>
    </row>
    <row r="95" spans="4:5" x14ac:dyDescent="0.25">
      <c r="D95" s="8"/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76B6-7799-411F-89C7-C968E1D2CD2D}">
  <dimension ref="A1:H24"/>
  <sheetViews>
    <sheetView zoomScale="190" zoomScaleNormal="190" workbookViewId="0">
      <selection activeCell="D21" sqref="D21"/>
    </sheetView>
  </sheetViews>
  <sheetFormatPr defaultRowHeight="13.8" x14ac:dyDescent="0.25"/>
  <cols>
    <col min="1" max="1" width="11.6640625" style="1" customWidth="1"/>
    <col min="2" max="2" width="14.44140625" style="1" customWidth="1"/>
    <col min="3" max="3" width="10.6640625" style="1" customWidth="1"/>
    <col min="4" max="4" width="12" style="1" customWidth="1"/>
    <col min="5" max="5" width="13.5546875" style="1" customWidth="1"/>
    <col min="6" max="6" width="10.6640625" style="1" bestFit="1" customWidth="1"/>
    <col min="7" max="8" width="8.88671875" style="1"/>
  </cols>
  <sheetData>
    <row r="1" spans="1:6" ht="15.6" x14ac:dyDescent="0.25">
      <c r="A1" s="32" t="s">
        <v>38</v>
      </c>
      <c r="B1" s="32"/>
      <c r="C1" s="32"/>
      <c r="D1" s="32"/>
      <c r="E1" s="32"/>
      <c r="F1" s="32"/>
    </row>
    <row r="2" spans="1:6" x14ac:dyDescent="0.25">
      <c r="A2" s="23" t="s">
        <v>39</v>
      </c>
      <c r="B2" s="34">
        <v>4.1785540441796838E-2</v>
      </c>
      <c r="C2" s="1" t="s">
        <v>40</v>
      </c>
    </row>
    <row r="3" spans="1:6" x14ac:dyDescent="0.25">
      <c r="A3" s="25"/>
      <c r="B3" s="24"/>
    </row>
    <row r="4" spans="1:6" x14ac:dyDescent="0.25">
      <c r="D4" s="33" t="s">
        <v>41</v>
      </c>
      <c r="E4" s="33"/>
    </row>
    <row r="5" spans="1:6" ht="39.6" x14ac:dyDescent="0.25">
      <c r="A5" s="23" t="s">
        <v>12</v>
      </c>
      <c r="B5" s="26" t="s">
        <v>42</v>
      </c>
      <c r="C5" s="9" t="s">
        <v>43</v>
      </c>
      <c r="D5" s="23" t="s">
        <v>44</v>
      </c>
      <c r="E5" s="9" t="s">
        <v>45</v>
      </c>
    </row>
    <row r="6" spans="1:6" x14ac:dyDescent="0.25">
      <c r="A6" s="3">
        <v>1</v>
      </c>
      <c r="B6" s="27">
        <f>'[2]Page 221'!B5</f>
        <v>200000</v>
      </c>
      <c r="C6" s="30">
        <f>IRR!I14</f>
        <v>19487.645156768893</v>
      </c>
      <c r="D6" s="27">
        <f>IF($B$2*B6&gt;0,$B$2*B6,0)</f>
        <v>8357.1080883593677</v>
      </c>
      <c r="E6" s="27">
        <f t="shared" ref="E6:E21" si="0">C6-D6</f>
        <v>11130.537068409525</v>
      </c>
      <c r="F6" s="1" t="str">
        <f ca="1">[1]!getformula(E6)</f>
        <v>&lt;--  =C6-D6</v>
      </c>
    </row>
    <row r="7" spans="1:6" x14ac:dyDescent="0.25">
      <c r="A7" s="3">
        <v>2</v>
      </c>
      <c r="B7" s="27">
        <f t="shared" ref="B7:B22" si="1">B6-E6</f>
        <v>188869.46293159047</v>
      </c>
      <c r="C7" s="30">
        <f>IRR!I15</f>
        <v>18480.484296372982</v>
      </c>
      <c r="D7" s="27">
        <f t="shared" ref="D7:D21" si="2">IF($B$2*B7&gt;0,$B$2*B7,0)</f>
        <v>7892.0125815484225</v>
      </c>
      <c r="E7" s="27">
        <f t="shared" si="0"/>
        <v>10588.47171482456</v>
      </c>
    </row>
    <row r="8" spans="1:6" x14ac:dyDescent="0.25">
      <c r="A8" s="3">
        <v>3</v>
      </c>
      <c r="B8" s="27">
        <f t="shared" si="1"/>
        <v>178280.99121676592</v>
      </c>
      <c r="C8" s="30">
        <f>IRR!I16</f>
        <v>17372.607349937483</v>
      </c>
      <c r="D8" s="27">
        <f t="shared" si="2"/>
        <v>7449.5675684917996</v>
      </c>
      <c r="E8" s="27">
        <f t="shared" si="0"/>
        <v>9923.0397814456846</v>
      </c>
    </row>
    <row r="9" spans="1:6" x14ac:dyDescent="0.25">
      <c r="A9" s="3">
        <v>4</v>
      </c>
      <c r="B9" s="27">
        <f t="shared" si="1"/>
        <v>168357.95143532022</v>
      </c>
      <c r="C9" s="30">
        <f>IRR!I17</f>
        <v>16153.942708858434</v>
      </c>
      <c r="D9" s="27">
        <f t="shared" si="2"/>
        <v>7034.927988398641</v>
      </c>
      <c r="E9" s="27">
        <f t="shared" si="0"/>
        <v>9119.0147204597924</v>
      </c>
    </row>
    <row r="10" spans="1:6" x14ac:dyDescent="0.25">
      <c r="A10" s="3">
        <v>5</v>
      </c>
      <c r="B10" s="27">
        <f t="shared" si="1"/>
        <v>159238.93671486044</v>
      </c>
      <c r="C10" s="30">
        <f>IRR!I18</f>
        <v>14813.411603671477</v>
      </c>
      <c r="D10" s="27">
        <f t="shared" si="2"/>
        <v>6653.8850300075283</v>
      </c>
      <c r="E10" s="27">
        <f t="shared" si="0"/>
        <v>8159.5265736639485</v>
      </c>
    </row>
    <row r="11" spans="1:6" x14ac:dyDescent="0.25">
      <c r="A11" s="3">
        <v>6</v>
      </c>
      <c r="B11" s="27">
        <f t="shared" si="1"/>
        <v>151079.41014119648</v>
      </c>
      <c r="C11" s="30">
        <f>IRR!I19</f>
        <v>13338.827387965823</v>
      </c>
      <c r="D11" s="27">
        <f t="shared" si="2"/>
        <v>6312.9348023777766</v>
      </c>
      <c r="E11" s="27">
        <f t="shared" si="0"/>
        <v>7025.8925855880461</v>
      </c>
    </row>
    <row r="12" spans="1:6" x14ac:dyDescent="0.25">
      <c r="A12" s="3">
        <v>7</v>
      </c>
      <c r="B12" s="27">
        <f t="shared" si="1"/>
        <v>144053.51755560844</v>
      </c>
      <c r="C12" s="30">
        <f>IRR!I20</f>
        <v>11716.784750689607</v>
      </c>
      <c r="D12" s="27">
        <f t="shared" si="2"/>
        <v>6019.354083602967</v>
      </c>
      <c r="E12" s="27">
        <f t="shared" si="0"/>
        <v>5697.4306670866399</v>
      </c>
    </row>
    <row r="13" spans="1:6" x14ac:dyDescent="0.25">
      <c r="A13" s="3">
        <v>8</v>
      </c>
      <c r="B13" s="27">
        <f t="shared" si="1"/>
        <v>138356.08688852179</v>
      </c>
      <c r="C13" s="30">
        <f>IRR!I21</f>
        <v>9932.5378496857666</v>
      </c>
      <c r="D13" s="27">
        <f t="shared" si="2"/>
        <v>5781.2838640490845</v>
      </c>
      <c r="E13" s="27">
        <f t="shared" si="0"/>
        <v>4151.253985636682</v>
      </c>
    </row>
    <row r="14" spans="1:6" x14ac:dyDescent="0.25">
      <c r="A14" s="3">
        <v>9</v>
      </c>
      <c r="B14" s="27">
        <f t="shared" si="1"/>
        <v>134204.8329028851</v>
      </c>
      <c r="C14" s="30">
        <f>IRR!I22</f>
        <v>7969.8662585815473</v>
      </c>
      <c r="D14" s="27">
        <f t="shared" si="2"/>
        <v>5607.8214727480927</v>
      </c>
      <c r="E14" s="27">
        <f t="shared" si="0"/>
        <v>2362.0447858334546</v>
      </c>
    </row>
    <row r="15" spans="1:6" x14ac:dyDescent="0.25">
      <c r="A15" s="3">
        <v>10</v>
      </c>
      <c r="B15" s="27">
        <f t="shared" si="1"/>
        <v>131842.78811705165</v>
      </c>
      <c r="C15" s="30">
        <f>IRR!I23</f>
        <v>5810.9275083668981</v>
      </c>
      <c r="D15" s="27">
        <f t="shared" si="2"/>
        <v>5509.1221548243129</v>
      </c>
      <c r="E15" s="27">
        <f t="shared" si="0"/>
        <v>301.80535354258518</v>
      </c>
    </row>
    <row r="16" spans="1:6" x14ac:dyDescent="0.25">
      <c r="A16" s="3">
        <v>11</v>
      </c>
      <c r="B16" s="27">
        <f t="shared" si="1"/>
        <v>131540.98276350906</v>
      </c>
      <c r="C16" s="30">
        <f>IRR!I24</f>
        <v>3436.0948831307833</v>
      </c>
      <c r="D16" s="27">
        <f t="shared" si="2"/>
        <v>5496.511055018309</v>
      </c>
      <c r="E16" s="27">
        <f t="shared" si="0"/>
        <v>-2060.4161718875257</v>
      </c>
    </row>
    <row r="17" spans="1:5" x14ac:dyDescent="0.25">
      <c r="A17" s="3">
        <v>12</v>
      </c>
      <c r="B17" s="27">
        <f t="shared" si="1"/>
        <v>133601.39893539657</v>
      </c>
      <c r="C17" s="30">
        <f>IRR!I25</f>
        <v>823.77899537105986</v>
      </c>
      <c r="D17" s="27">
        <f t="shared" si="2"/>
        <v>5582.6066582956464</v>
      </c>
      <c r="E17" s="27">
        <f t="shared" si="0"/>
        <v>-4758.8276629245865</v>
      </c>
    </row>
    <row r="18" spans="1:5" x14ac:dyDescent="0.25">
      <c r="A18" s="3">
        <v>13</v>
      </c>
      <c r="B18" s="27">
        <f t="shared" si="1"/>
        <v>138360.22659832117</v>
      </c>
      <c r="C18" s="30">
        <f>IRR!I26</f>
        <v>-2049.7684811646177</v>
      </c>
      <c r="D18" s="27">
        <f t="shared" si="2"/>
        <v>5781.4568440603234</v>
      </c>
      <c r="E18" s="27">
        <f t="shared" si="0"/>
        <v>-7831.2253252249411</v>
      </c>
    </row>
    <row r="19" spans="1:5" x14ac:dyDescent="0.25">
      <c r="A19" s="3">
        <v>14</v>
      </c>
      <c r="B19" s="27">
        <f t="shared" si="1"/>
        <v>146191.45192354612</v>
      </c>
      <c r="C19" s="30">
        <f>IRR!I27</f>
        <v>-5210.6707053538848</v>
      </c>
      <c r="D19" s="27">
        <f t="shared" si="2"/>
        <v>6108.6888265963344</v>
      </c>
      <c r="E19" s="27">
        <f t="shared" si="0"/>
        <v>-11319.35953195022</v>
      </c>
    </row>
    <row r="20" spans="1:5" x14ac:dyDescent="0.25">
      <c r="A20" s="3">
        <v>15</v>
      </c>
      <c r="B20" s="27">
        <f t="shared" si="1"/>
        <v>157510.81145549635</v>
      </c>
      <c r="C20" s="30">
        <f>IRR!I28</f>
        <v>-8687.6631519620714</v>
      </c>
      <c r="D20" s="27">
        <f t="shared" si="2"/>
        <v>6581.67438209388</v>
      </c>
      <c r="E20" s="27">
        <f t="shared" si="0"/>
        <v>-15269.337534055951</v>
      </c>
    </row>
    <row r="21" spans="1:5" x14ac:dyDescent="0.25">
      <c r="A21" s="3">
        <v>16</v>
      </c>
      <c r="B21" s="27">
        <f t="shared" si="1"/>
        <v>172780.14898955231</v>
      </c>
      <c r="C21" s="30">
        <f>IRR!I29</f>
        <v>180000</v>
      </c>
      <c r="D21" s="27">
        <f t="shared" si="2"/>
        <v>7219.7119031426209</v>
      </c>
      <c r="E21" s="27">
        <f t="shared" si="0"/>
        <v>172780.28809685737</v>
      </c>
    </row>
    <row r="22" spans="1:5" x14ac:dyDescent="0.25">
      <c r="A22" s="3">
        <v>17</v>
      </c>
      <c r="B22" s="27">
        <f t="shared" si="1"/>
        <v>-0.1391073050617706</v>
      </c>
    </row>
    <row r="24" spans="1:5" x14ac:dyDescent="0.25">
      <c r="C24" s="28"/>
    </row>
  </sheetData>
  <mergeCells count="2">
    <mergeCell ref="A1:F1"/>
    <mergeCell ref="D4:E4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8BEAB-F72D-4453-BC81-50599D899D3E}">
  <dimension ref="B15:C21"/>
  <sheetViews>
    <sheetView showGridLines="0" workbookViewId="0">
      <selection activeCell="C41" sqref="C41"/>
    </sheetView>
  </sheetViews>
  <sheetFormatPr defaultRowHeight="13.8" x14ac:dyDescent="0.25"/>
  <cols>
    <col min="2" max="2" width="16.6640625" bestFit="1" customWidth="1"/>
    <col min="3" max="3" width="88.44140625" bestFit="1" customWidth="1"/>
  </cols>
  <sheetData>
    <row r="15" spans="2:3" ht="14.4" thickBot="1" x14ac:dyDescent="0.3"/>
    <row r="16" spans="2:3" ht="30" customHeight="1" x14ac:dyDescent="0.25">
      <c r="B16" s="14" t="s">
        <v>26</v>
      </c>
      <c r="C16" s="14" t="s">
        <v>27</v>
      </c>
    </row>
    <row r="17" spans="2:3" x14ac:dyDescent="0.25">
      <c r="B17" s="15" t="s">
        <v>28</v>
      </c>
      <c r="C17" s="16" t="s">
        <v>29</v>
      </c>
    </row>
    <row r="18" spans="2:3" ht="17.399999999999999" x14ac:dyDescent="0.25">
      <c r="B18" s="15" t="s">
        <v>30</v>
      </c>
      <c r="C18" s="16" t="s">
        <v>31</v>
      </c>
    </row>
    <row r="19" spans="2:3" x14ac:dyDescent="0.25">
      <c r="B19" s="15" t="s">
        <v>32</v>
      </c>
      <c r="C19" s="16" t="s">
        <v>33</v>
      </c>
    </row>
    <row r="20" spans="2:3" x14ac:dyDescent="0.25">
      <c r="B20" s="15" t="s">
        <v>34</v>
      </c>
      <c r="C20" s="16" t="s">
        <v>35</v>
      </c>
    </row>
    <row r="21" spans="2:3" ht="18" thickBot="1" x14ac:dyDescent="0.3">
      <c r="B21" s="17" t="s">
        <v>36</v>
      </c>
      <c r="C21" s="18" t="s">
        <v>37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AC6EE-007C-4784-BF50-F8A29EDED28A}">
  <sheetPr codeName="Sheet1"/>
  <dimension ref="A1:J84"/>
  <sheetViews>
    <sheetView topLeftCell="A7" zoomScale="130" zoomScaleNormal="130" workbookViewId="0">
      <selection activeCell="J44" sqref="J44"/>
    </sheetView>
  </sheetViews>
  <sheetFormatPr defaultRowHeight="13.2" x14ac:dyDescent="0.25"/>
  <cols>
    <col min="1" max="1" width="18.33203125" style="39" customWidth="1"/>
    <col min="2" max="2" width="16.88671875" style="39" customWidth="1"/>
    <col min="3" max="3" width="14.5546875" style="39" customWidth="1"/>
    <col min="4" max="4" width="14.6640625" style="39" customWidth="1"/>
    <col min="5" max="5" width="12.109375" style="39" customWidth="1"/>
    <col min="6" max="6" width="8.88671875" style="39" customWidth="1"/>
    <col min="7" max="7" width="7.6640625" style="39" customWidth="1"/>
    <col min="8" max="8" width="10.6640625" style="39" customWidth="1"/>
    <col min="9" max="9" width="8.109375" style="39" customWidth="1"/>
    <col min="10" max="10" width="37.33203125" style="39" bestFit="1" customWidth="1"/>
    <col min="11" max="256" width="8.88671875" style="39"/>
    <col min="257" max="257" width="18.33203125" style="39" customWidth="1"/>
    <col min="258" max="258" width="16.88671875" style="39" customWidth="1"/>
    <col min="259" max="259" width="14.5546875" style="39" customWidth="1"/>
    <col min="260" max="260" width="14.6640625" style="39" customWidth="1"/>
    <col min="261" max="261" width="12.109375" style="39" customWidth="1"/>
    <col min="262" max="262" width="8.88671875" style="39"/>
    <col min="263" max="263" width="7.6640625" style="39" customWidth="1"/>
    <col min="264" max="264" width="10.6640625" style="39" customWidth="1"/>
    <col min="265" max="265" width="8.109375" style="39" customWidth="1"/>
    <col min="266" max="266" width="37.33203125" style="39" bestFit="1" customWidth="1"/>
    <col min="267" max="512" width="8.88671875" style="39"/>
    <col min="513" max="513" width="18.33203125" style="39" customWidth="1"/>
    <col min="514" max="514" width="16.88671875" style="39" customWidth="1"/>
    <col min="515" max="515" width="14.5546875" style="39" customWidth="1"/>
    <col min="516" max="516" width="14.6640625" style="39" customWidth="1"/>
    <col min="517" max="517" width="12.109375" style="39" customWidth="1"/>
    <col min="518" max="518" width="8.88671875" style="39"/>
    <col min="519" max="519" width="7.6640625" style="39" customWidth="1"/>
    <col min="520" max="520" width="10.6640625" style="39" customWidth="1"/>
    <col min="521" max="521" width="8.109375" style="39" customWidth="1"/>
    <col min="522" max="522" width="37.33203125" style="39" bestFit="1" customWidth="1"/>
    <col min="523" max="768" width="8.88671875" style="39"/>
    <col min="769" max="769" width="18.33203125" style="39" customWidth="1"/>
    <col min="770" max="770" width="16.88671875" style="39" customWidth="1"/>
    <col min="771" max="771" width="14.5546875" style="39" customWidth="1"/>
    <col min="772" max="772" width="14.6640625" style="39" customWidth="1"/>
    <col min="773" max="773" width="12.109375" style="39" customWidth="1"/>
    <col min="774" max="774" width="8.88671875" style="39"/>
    <col min="775" max="775" width="7.6640625" style="39" customWidth="1"/>
    <col min="776" max="776" width="10.6640625" style="39" customWidth="1"/>
    <col min="777" max="777" width="8.109375" style="39" customWidth="1"/>
    <col min="778" max="778" width="37.33203125" style="39" bestFit="1" customWidth="1"/>
    <col min="779" max="1024" width="8.88671875" style="39"/>
    <col min="1025" max="1025" width="18.33203125" style="39" customWidth="1"/>
    <col min="1026" max="1026" width="16.88671875" style="39" customWidth="1"/>
    <col min="1027" max="1027" width="14.5546875" style="39" customWidth="1"/>
    <col min="1028" max="1028" width="14.6640625" style="39" customWidth="1"/>
    <col min="1029" max="1029" width="12.109375" style="39" customWidth="1"/>
    <col min="1030" max="1030" width="8.88671875" style="39"/>
    <col min="1031" max="1031" width="7.6640625" style="39" customWidth="1"/>
    <col min="1032" max="1032" width="10.6640625" style="39" customWidth="1"/>
    <col min="1033" max="1033" width="8.109375" style="39" customWidth="1"/>
    <col min="1034" max="1034" width="37.33203125" style="39" bestFit="1" customWidth="1"/>
    <col min="1035" max="1280" width="8.88671875" style="39"/>
    <col min="1281" max="1281" width="18.33203125" style="39" customWidth="1"/>
    <col min="1282" max="1282" width="16.88671875" style="39" customWidth="1"/>
    <col min="1283" max="1283" width="14.5546875" style="39" customWidth="1"/>
    <col min="1284" max="1284" width="14.6640625" style="39" customWidth="1"/>
    <col min="1285" max="1285" width="12.109375" style="39" customWidth="1"/>
    <col min="1286" max="1286" width="8.88671875" style="39"/>
    <col min="1287" max="1287" width="7.6640625" style="39" customWidth="1"/>
    <col min="1288" max="1288" width="10.6640625" style="39" customWidth="1"/>
    <col min="1289" max="1289" width="8.109375" style="39" customWidth="1"/>
    <col min="1290" max="1290" width="37.33203125" style="39" bestFit="1" customWidth="1"/>
    <col min="1291" max="1536" width="8.88671875" style="39"/>
    <col min="1537" max="1537" width="18.33203125" style="39" customWidth="1"/>
    <col min="1538" max="1538" width="16.88671875" style="39" customWidth="1"/>
    <col min="1539" max="1539" width="14.5546875" style="39" customWidth="1"/>
    <col min="1540" max="1540" width="14.6640625" style="39" customWidth="1"/>
    <col min="1541" max="1541" width="12.109375" style="39" customWidth="1"/>
    <col min="1542" max="1542" width="8.88671875" style="39"/>
    <col min="1543" max="1543" width="7.6640625" style="39" customWidth="1"/>
    <col min="1544" max="1544" width="10.6640625" style="39" customWidth="1"/>
    <col min="1545" max="1545" width="8.109375" style="39" customWidth="1"/>
    <col min="1546" max="1546" width="37.33203125" style="39" bestFit="1" customWidth="1"/>
    <col min="1547" max="1792" width="8.88671875" style="39"/>
    <col min="1793" max="1793" width="18.33203125" style="39" customWidth="1"/>
    <col min="1794" max="1794" width="16.88671875" style="39" customWidth="1"/>
    <col min="1795" max="1795" width="14.5546875" style="39" customWidth="1"/>
    <col min="1796" max="1796" width="14.6640625" style="39" customWidth="1"/>
    <col min="1797" max="1797" width="12.109375" style="39" customWidth="1"/>
    <col min="1798" max="1798" width="8.88671875" style="39"/>
    <col min="1799" max="1799" width="7.6640625" style="39" customWidth="1"/>
    <col min="1800" max="1800" width="10.6640625" style="39" customWidth="1"/>
    <col min="1801" max="1801" width="8.109375" style="39" customWidth="1"/>
    <col min="1802" max="1802" width="37.33203125" style="39" bestFit="1" customWidth="1"/>
    <col min="1803" max="2048" width="8.88671875" style="39"/>
    <col min="2049" max="2049" width="18.33203125" style="39" customWidth="1"/>
    <col min="2050" max="2050" width="16.88671875" style="39" customWidth="1"/>
    <col min="2051" max="2051" width="14.5546875" style="39" customWidth="1"/>
    <col min="2052" max="2052" width="14.6640625" style="39" customWidth="1"/>
    <col min="2053" max="2053" width="12.109375" style="39" customWidth="1"/>
    <col min="2054" max="2054" width="8.88671875" style="39"/>
    <col min="2055" max="2055" width="7.6640625" style="39" customWidth="1"/>
    <col min="2056" max="2056" width="10.6640625" style="39" customWidth="1"/>
    <col min="2057" max="2057" width="8.109375" style="39" customWidth="1"/>
    <col min="2058" max="2058" width="37.33203125" style="39" bestFit="1" customWidth="1"/>
    <col min="2059" max="2304" width="8.88671875" style="39"/>
    <col min="2305" max="2305" width="18.33203125" style="39" customWidth="1"/>
    <col min="2306" max="2306" width="16.88671875" style="39" customWidth="1"/>
    <col min="2307" max="2307" width="14.5546875" style="39" customWidth="1"/>
    <col min="2308" max="2308" width="14.6640625" style="39" customWidth="1"/>
    <col min="2309" max="2309" width="12.109375" style="39" customWidth="1"/>
    <col min="2310" max="2310" width="8.88671875" style="39"/>
    <col min="2311" max="2311" width="7.6640625" style="39" customWidth="1"/>
    <col min="2312" max="2312" width="10.6640625" style="39" customWidth="1"/>
    <col min="2313" max="2313" width="8.109375" style="39" customWidth="1"/>
    <col min="2314" max="2314" width="37.33203125" style="39" bestFit="1" customWidth="1"/>
    <col min="2315" max="2560" width="8.88671875" style="39"/>
    <col min="2561" max="2561" width="18.33203125" style="39" customWidth="1"/>
    <col min="2562" max="2562" width="16.88671875" style="39" customWidth="1"/>
    <col min="2563" max="2563" width="14.5546875" style="39" customWidth="1"/>
    <col min="2564" max="2564" width="14.6640625" style="39" customWidth="1"/>
    <col min="2565" max="2565" width="12.109375" style="39" customWidth="1"/>
    <col min="2566" max="2566" width="8.88671875" style="39"/>
    <col min="2567" max="2567" width="7.6640625" style="39" customWidth="1"/>
    <col min="2568" max="2568" width="10.6640625" style="39" customWidth="1"/>
    <col min="2569" max="2569" width="8.109375" style="39" customWidth="1"/>
    <col min="2570" max="2570" width="37.33203125" style="39" bestFit="1" customWidth="1"/>
    <col min="2571" max="2816" width="8.88671875" style="39"/>
    <col min="2817" max="2817" width="18.33203125" style="39" customWidth="1"/>
    <col min="2818" max="2818" width="16.88671875" style="39" customWidth="1"/>
    <col min="2819" max="2819" width="14.5546875" style="39" customWidth="1"/>
    <col min="2820" max="2820" width="14.6640625" style="39" customWidth="1"/>
    <col min="2821" max="2821" width="12.109375" style="39" customWidth="1"/>
    <col min="2822" max="2822" width="8.88671875" style="39"/>
    <col min="2823" max="2823" width="7.6640625" style="39" customWidth="1"/>
    <col min="2824" max="2824" width="10.6640625" style="39" customWidth="1"/>
    <col min="2825" max="2825" width="8.109375" style="39" customWidth="1"/>
    <col min="2826" max="2826" width="37.33203125" style="39" bestFit="1" customWidth="1"/>
    <col min="2827" max="3072" width="8.88671875" style="39"/>
    <col min="3073" max="3073" width="18.33203125" style="39" customWidth="1"/>
    <col min="3074" max="3074" width="16.88671875" style="39" customWidth="1"/>
    <col min="3075" max="3075" width="14.5546875" style="39" customWidth="1"/>
    <col min="3076" max="3076" width="14.6640625" style="39" customWidth="1"/>
    <col min="3077" max="3077" width="12.109375" style="39" customWidth="1"/>
    <col min="3078" max="3078" width="8.88671875" style="39"/>
    <col min="3079" max="3079" width="7.6640625" style="39" customWidth="1"/>
    <col min="3080" max="3080" width="10.6640625" style="39" customWidth="1"/>
    <col min="3081" max="3081" width="8.109375" style="39" customWidth="1"/>
    <col min="3082" max="3082" width="37.33203125" style="39" bestFit="1" customWidth="1"/>
    <col min="3083" max="3328" width="8.88671875" style="39"/>
    <col min="3329" max="3329" width="18.33203125" style="39" customWidth="1"/>
    <col min="3330" max="3330" width="16.88671875" style="39" customWidth="1"/>
    <col min="3331" max="3331" width="14.5546875" style="39" customWidth="1"/>
    <col min="3332" max="3332" width="14.6640625" style="39" customWidth="1"/>
    <col min="3333" max="3333" width="12.109375" style="39" customWidth="1"/>
    <col min="3334" max="3334" width="8.88671875" style="39"/>
    <col min="3335" max="3335" width="7.6640625" style="39" customWidth="1"/>
    <col min="3336" max="3336" width="10.6640625" style="39" customWidth="1"/>
    <col min="3337" max="3337" width="8.109375" style="39" customWidth="1"/>
    <col min="3338" max="3338" width="37.33203125" style="39" bestFit="1" customWidth="1"/>
    <col min="3339" max="3584" width="8.88671875" style="39"/>
    <col min="3585" max="3585" width="18.33203125" style="39" customWidth="1"/>
    <col min="3586" max="3586" width="16.88671875" style="39" customWidth="1"/>
    <col min="3587" max="3587" width="14.5546875" style="39" customWidth="1"/>
    <col min="3588" max="3588" width="14.6640625" style="39" customWidth="1"/>
    <col min="3589" max="3589" width="12.109375" style="39" customWidth="1"/>
    <col min="3590" max="3590" width="8.88671875" style="39"/>
    <col min="3591" max="3591" width="7.6640625" style="39" customWidth="1"/>
    <col min="3592" max="3592" width="10.6640625" style="39" customWidth="1"/>
    <col min="3593" max="3593" width="8.109375" style="39" customWidth="1"/>
    <col min="3594" max="3594" width="37.33203125" style="39" bestFit="1" customWidth="1"/>
    <col min="3595" max="3840" width="8.88671875" style="39"/>
    <col min="3841" max="3841" width="18.33203125" style="39" customWidth="1"/>
    <col min="3842" max="3842" width="16.88671875" style="39" customWidth="1"/>
    <col min="3843" max="3843" width="14.5546875" style="39" customWidth="1"/>
    <col min="3844" max="3844" width="14.6640625" style="39" customWidth="1"/>
    <col min="3845" max="3845" width="12.109375" style="39" customWidth="1"/>
    <col min="3846" max="3846" width="8.88671875" style="39"/>
    <col min="3847" max="3847" width="7.6640625" style="39" customWidth="1"/>
    <col min="3848" max="3848" width="10.6640625" style="39" customWidth="1"/>
    <col min="3849" max="3849" width="8.109375" style="39" customWidth="1"/>
    <col min="3850" max="3850" width="37.33203125" style="39" bestFit="1" customWidth="1"/>
    <col min="3851" max="4096" width="8.88671875" style="39"/>
    <col min="4097" max="4097" width="18.33203125" style="39" customWidth="1"/>
    <col min="4098" max="4098" width="16.88671875" style="39" customWidth="1"/>
    <col min="4099" max="4099" width="14.5546875" style="39" customWidth="1"/>
    <col min="4100" max="4100" width="14.6640625" style="39" customWidth="1"/>
    <col min="4101" max="4101" width="12.109375" style="39" customWidth="1"/>
    <col min="4102" max="4102" width="8.88671875" style="39"/>
    <col min="4103" max="4103" width="7.6640625" style="39" customWidth="1"/>
    <col min="4104" max="4104" width="10.6640625" style="39" customWidth="1"/>
    <col min="4105" max="4105" width="8.109375" style="39" customWidth="1"/>
    <col min="4106" max="4106" width="37.33203125" style="39" bestFit="1" customWidth="1"/>
    <col min="4107" max="4352" width="8.88671875" style="39"/>
    <col min="4353" max="4353" width="18.33203125" style="39" customWidth="1"/>
    <col min="4354" max="4354" width="16.88671875" style="39" customWidth="1"/>
    <col min="4355" max="4355" width="14.5546875" style="39" customWidth="1"/>
    <col min="4356" max="4356" width="14.6640625" style="39" customWidth="1"/>
    <col min="4357" max="4357" width="12.109375" style="39" customWidth="1"/>
    <col min="4358" max="4358" width="8.88671875" style="39"/>
    <col min="4359" max="4359" width="7.6640625" style="39" customWidth="1"/>
    <col min="4360" max="4360" width="10.6640625" style="39" customWidth="1"/>
    <col min="4361" max="4361" width="8.109375" style="39" customWidth="1"/>
    <col min="4362" max="4362" width="37.33203125" style="39" bestFit="1" customWidth="1"/>
    <col min="4363" max="4608" width="8.88671875" style="39"/>
    <col min="4609" max="4609" width="18.33203125" style="39" customWidth="1"/>
    <col min="4610" max="4610" width="16.88671875" style="39" customWidth="1"/>
    <col min="4611" max="4611" width="14.5546875" style="39" customWidth="1"/>
    <col min="4612" max="4612" width="14.6640625" style="39" customWidth="1"/>
    <col min="4613" max="4613" width="12.109375" style="39" customWidth="1"/>
    <col min="4614" max="4614" width="8.88671875" style="39"/>
    <col min="4615" max="4615" width="7.6640625" style="39" customWidth="1"/>
    <col min="4616" max="4616" width="10.6640625" style="39" customWidth="1"/>
    <col min="4617" max="4617" width="8.109375" style="39" customWidth="1"/>
    <col min="4618" max="4618" width="37.33203125" style="39" bestFit="1" customWidth="1"/>
    <col min="4619" max="4864" width="8.88671875" style="39"/>
    <col min="4865" max="4865" width="18.33203125" style="39" customWidth="1"/>
    <col min="4866" max="4866" width="16.88671875" style="39" customWidth="1"/>
    <col min="4867" max="4867" width="14.5546875" style="39" customWidth="1"/>
    <col min="4868" max="4868" width="14.6640625" style="39" customWidth="1"/>
    <col min="4869" max="4869" width="12.109375" style="39" customWidth="1"/>
    <col min="4870" max="4870" width="8.88671875" style="39"/>
    <col min="4871" max="4871" width="7.6640625" style="39" customWidth="1"/>
    <col min="4872" max="4872" width="10.6640625" style="39" customWidth="1"/>
    <col min="4873" max="4873" width="8.109375" style="39" customWidth="1"/>
    <col min="4874" max="4874" width="37.33203125" style="39" bestFit="1" customWidth="1"/>
    <col min="4875" max="5120" width="8.88671875" style="39"/>
    <col min="5121" max="5121" width="18.33203125" style="39" customWidth="1"/>
    <col min="5122" max="5122" width="16.88671875" style="39" customWidth="1"/>
    <col min="5123" max="5123" width="14.5546875" style="39" customWidth="1"/>
    <col min="5124" max="5124" width="14.6640625" style="39" customWidth="1"/>
    <col min="5125" max="5125" width="12.109375" style="39" customWidth="1"/>
    <col min="5126" max="5126" width="8.88671875" style="39"/>
    <col min="5127" max="5127" width="7.6640625" style="39" customWidth="1"/>
    <col min="5128" max="5128" width="10.6640625" style="39" customWidth="1"/>
    <col min="5129" max="5129" width="8.109375" style="39" customWidth="1"/>
    <col min="5130" max="5130" width="37.33203125" style="39" bestFit="1" customWidth="1"/>
    <col min="5131" max="5376" width="8.88671875" style="39"/>
    <col min="5377" max="5377" width="18.33203125" style="39" customWidth="1"/>
    <col min="5378" max="5378" width="16.88671875" style="39" customWidth="1"/>
    <col min="5379" max="5379" width="14.5546875" style="39" customWidth="1"/>
    <col min="5380" max="5380" width="14.6640625" style="39" customWidth="1"/>
    <col min="5381" max="5381" width="12.109375" style="39" customWidth="1"/>
    <col min="5382" max="5382" width="8.88671875" style="39"/>
    <col min="5383" max="5383" width="7.6640625" style="39" customWidth="1"/>
    <col min="5384" max="5384" width="10.6640625" style="39" customWidth="1"/>
    <col min="5385" max="5385" width="8.109375" style="39" customWidth="1"/>
    <col min="5386" max="5386" width="37.33203125" style="39" bestFit="1" customWidth="1"/>
    <col min="5387" max="5632" width="8.88671875" style="39"/>
    <col min="5633" max="5633" width="18.33203125" style="39" customWidth="1"/>
    <col min="5634" max="5634" width="16.88671875" style="39" customWidth="1"/>
    <col min="5635" max="5635" width="14.5546875" style="39" customWidth="1"/>
    <col min="5636" max="5636" width="14.6640625" style="39" customWidth="1"/>
    <col min="5637" max="5637" width="12.109375" style="39" customWidth="1"/>
    <col min="5638" max="5638" width="8.88671875" style="39"/>
    <col min="5639" max="5639" width="7.6640625" style="39" customWidth="1"/>
    <col min="5640" max="5640" width="10.6640625" style="39" customWidth="1"/>
    <col min="5641" max="5641" width="8.109375" style="39" customWidth="1"/>
    <col min="5642" max="5642" width="37.33203125" style="39" bestFit="1" customWidth="1"/>
    <col min="5643" max="5888" width="8.88671875" style="39"/>
    <col min="5889" max="5889" width="18.33203125" style="39" customWidth="1"/>
    <col min="5890" max="5890" width="16.88671875" style="39" customWidth="1"/>
    <col min="5891" max="5891" width="14.5546875" style="39" customWidth="1"/>
    <col min="5892" max="5892" width="14.6640625" style="39" customWidth="1"/>
    <col min="5893" max="5893" width="12.109375" style="39" customWidth="1"/>
    <col min="5894" max="5894" width="8.88671875" style="39"/>
    <col min="5895" max="5895" width="7.6640625" style="39" customWidth="1"/>
    <col min="5896" max="5896" width="10.6640625" style="39" customWidth="1"/>
    <col min="5897" max="5897" width="8.109375" style="39" customWidth="1"/>
    <col min="5898" max="5898" width="37.33203125" style="39" bestFit="1" customWidth="1"/>
    <col min="5899" max="6144" width="8.88671875" style="39"/>
    <col min="6145" max="6145" width="18.33203125" style="39" customWidth="1"/>
    <col min="6146" max="6146" width="16.88671875" style="39" customWidth="1"/>
    <col min="6147" max="6147" width="14.5546875" style="39" customWidth="1"/>
    <col min="6148" max="6148" width="14.6640625" style="39" customWidth="1"/>
    <col min="6149" max="6149" width="12.109375" style="39" customWidth="1"/>
    <col min="6150" max="6150" width="8.88671875" style="39"/>
    <col min="6151" max="6151" width="7.6640625" style="39" customWidth="1"/>
    <col min="6152" max="6152" width="10.6640625" style="39" customWidth="1"/>
    <col min="6153" max="6153" width="8.109375" style="39" customWidth="1"/>
    <col min="6154" max="6154" width="37.33203125" style="39" bestFit="1" customWidth="1"/>
    <col min="6155" max="6400" width="8.88671875" style="39"/>
    <col min="6401" max="6401" width="18.33203125" style="39" customWidth="1"/>
    <col min="6402" max="6402" width="16.88671875" style="39" customWidth="1"/>
    <col min="6403" max="6403" width="14.5546875" style="39" customWidth="1"/>
    <col min="6404" max="6404" width="14.6640625" style="39" customWidth="1"/>
    <col min="6405" max="6405" width="12.109375" style="39" customWidth="1"/>
    <col min="6406" max="6406" width="8.88671875" style="39"/>
    <col min="6407" max="6407" width="7.6640625" style="39" customWidth="1"/>
    <col min="6408" max="6408" width="10.6640625" style="39" customWidth="1"/>
    <col min="6409" max="6409" width="8.109375" style="39" customWidth="1"/>
    <col min="6410" max="6410" width="37.33203125" style="39" bestFit="1" customWidth="1"/>
    <col min="6411" max="6656" width="8.88671875" style="39"/>
    <col min="6657" max="6657" width="18.33203125" style="39" customWidth="1"/>
    <col min="6658" max="6658" width="16.88671875" style="39" customWidth="1"/>
    <col min="6659" max="6659" width="14.5546875" style="39" customWidth="1"/>
    <col min="6660" max="6660" width="14.6640625" style="39" customWidth="1"/>
    <col min="6661" max="6661" width="12.109375" style="39" customWidth="1"/>
    <col min="6662" max="6662" width="8.88671875" style="39"/>
    <col min="6663" max="6663" width="7.6640625" style="39" customWidth="1"/>
    <col min="6664" max="6664" width="10.6640625" style="39" customWidth="1"/>
    <col min="6665" max="6665" width="8.109375" style="39" customWidth="1"/>
    <col min="6666" max="6666" width="37.33203125" style="39" bestFit="1" customWidth="1"/>
    <col min="6667" max="6912" width="8.88671875" style="39"/>
    <col min="6913" max="6913" width="18.33203125" style="39" customWidth="1"/>
    <col min="6914" max="6914" width="16.88671875" style="39" customWidth="1"/>
    <col min="6915" max="6915" width="14.5546875" style="39" customWidth="1"/>
    <col min="6916" max="6916" width="14.6640625" style="39" customWidth="1"/>
    <col min="6917" max="6917" width="12.109375" style="39" customWidth="1"/>
    <col min="6918" max="6918" width="8.88671875" style="39"/>
    <col min="6919" max="6919" width="7.6640625" style="39" customWidth="1"/>
    <col min="6920" max="6920" width="10.6640625" style="39" customWidth="1"/>
    <col min="6921" max="6921" width="8.109375" style="39" customWidth="1"/>
    <col min="6922" max="6922" width="37.33203125" style="39" bestFit="1" customWidth="1"/>
    <col min="6923" max="7168" width="8.88671875" style="39"/>
    <col min="7169" max="7169" width="18.33203125" style="39" customWidth="1"/>
    <col min="7170" max="7170" width="16.88671875" style="39" customWidth="1"/>
    <col min="7171" max="7171" width="14.5546875" style="39" customWidth="1"/>
    <col min="7172" max="7172" width="14.6640625" style="39" customWidth="1"/>
    <col min="7173" max="7173" width="12.109375" style="39" customWidth="1"/>
    <col min="7174" max="7174" width="8.88671875" style="39"/>
    <col min="7175" max="7175" width="7.6640625" style="39" customWidth="1"/>
    <col min="7176" max="7176" width="10.6640625" style="39" customWidth="1"/>
    <col min="7177" max="7177" width="8.109375" style="39" customWidth="1"/>
    <col min="7178" max="7178" width="37.33203125" style="39" bestFit="1" customWidth="1"/>
    <col min="7179" max="7424" width="8.88671875" style="39"/>
    <col min="7425" max="7425" width="18.33203125" style="39" customWidth="1"/>
    <col min="7426" max="7426" width="16.88671875" style="39" customWidth="1"/>
    <col min="7427" max="7427" width="14.5546875" style="39" customWidth="1"/>
    <col min="7428" max="7428" width="14.6640625" style="39" customWidth="1"/>
    <col min="7429" max="7429" width="12.109375" style="39" customWidth="1"/>
    <col min="7430" max="7430" width="8.88671875" style="39"/>
    <col min="7431" max="7431" width="7.6640625" style="39" customWidth="1"/>
    <col min="7432" max="7432" width="10.6640625" style="39" customWidth="1"/>
    <col min="7433" max="7433" width="8.109375" style="39" customWidth="1"/>
    <col min="7434" max="7434" width="37.33203125" style="39" bestFit="1" customWidth="1"/>
    <col min="7435" max="7680" width="8.88671875" style="39"/>
    <col min="7681" max="7681" width="18.33203125" style="39" customWidth="1"/>
    <col min="7682" max="7682" width="16.88671875" style="39" customWidth="1"/>
    <col min="7683" max="7683" width="14.5546875" style="39" customWidth="1"/>
    <col min="7684" max="7684" width="14.6640625" style="39" customWidth="1"/>
    <col min="7685" max="7685" width="12.109375" style="39" customWidth="1"/>
    <col min="7686" max="7686" width="8.88671875" style="39"/>
    <col min="7687" max="7687" width="7.6640625" style="39" customWidth="1"/>
    <col min="7688" max="7688" width="10.6640625" style="39" customWidth="1"/>
    <col min="7689" max="7689" width="8.109375" style="39" customWidth="1"/>
    <col min="7690" max="7690" width="37.33203125" style="39" bestFit="1" customWidth="1"/>
    <col min="7691" max="7936" width="8.88671875" style="39"/>
    <col min="7937" max="7937" width="18.33203125" style="39" customWidth="1"/>
    <col min="7938" max="7938" width="16.88671875" style="39" customWidth="1"/>
    <col min="7939" max="7939" width="14.5546875" style="39" customWidth="1"/>
    <col min="7940" max="7940" width="14.6640625" style="39" customWidth="1"/>
    <col min="7941" max="7941" width="12.109375" style="39" customWidth="1"/>
    <col min="7942" max="7942" width="8.88671875" style="39"/>
    <col min="7943" max="7943" width="7.6640625" style="39" customWidth="1"/>
    <col min="7944" max="7944" width="10.6640625" style="39" customWidth="1"/>
    <col min="7945" max="7945" width="8.109375" style="39" customWidth="1"/>
    <col min="7946" max="7946" width="37.33203125" style="39" bestFit="1" customWidth="1"/>
    <col min="7947" max="8192" width="8.88671875" style="39"/>
    <col min="8193" max="8193" width="18.33203125" style="39" customWidth="1"/>
    <col min="8194" max="8194" width="16.88671875" style="39" customWidth="1"/>
    <col min="8195" max="8195" width="14.5546875" style="39" customWidth="1"/>
    <col min="8196" max="8196" width="14.6640625" style="39" customWidth="1"/>
    <col min="8197" max="8197" width="12.109375" style="39" customWidth="1"/>
    <col min="8198" max="8198" width="8.88671875" style="39"/>
    <col min="8199" max="8199" width="7.6640625" style="39" customWidth="1"/>
    <col min="8200" max="8200" width="10.6640625" style="39" customWidth="1"/>
    <col min="8201" max="8201" width="8.109375" style="39" customWidth="1"/>
    <col min="8202" max="8202" width="37.33203125" style="39" bestFit="1" customWidth="1"/>
    <col min="8203" max="8448" width="8.88671875" style="39"/>
    <col min="8449" max="8449" width="18.33203125" style="39" customWidth="1"/>
    <col min="8450" max="8450" width="16.88671875" style="39" customWidth="1"/>
    <col min="8451" max="8451" width="14.5546875" style="39" customWidth="1"/>
    <col min="8452" max="8452" width="14.6640625" style="39" customWidth="1"/>
    <col min="8453" max="8453" width="12.109375" style="39" customWidth="1"/>
    <col min="8454" max="8454" width="8.88671875" style="39"/>
    <col min="8455" max="8455" width="7.6640625" style="39" customWidth="1"/>
    <col min="8456" max="8456" width="10.6640625" style="39" customWidth="1"/>
    <col min="8457" max="8457" width="8.109375" style="39" customWidth="1"/>
    <col min="8458" max="8458" width="37.33203125" style="39" bestFit="1" customWidth="1"/>
    <col min="8459" max="8704" width="8.88671875" style="39"/>
    <col min="8705" max="8705" width="18.33203125" style="39" customWidth="1"/>
    <col min="8706" max="8706" width="16.88671875" style="39" customWidth="1"/>
    <col min="8707" max="8707" width="14.5546875" style="39" customWidth="1"/>
    <col min="8708" max="8708" width="14.6640625" style="39" customWidth="1"/>
    <col min="8709" max="8709" width="12.109375" style="39" customWidth="1"/>
    <col min="8710" max="8710" width="8.88671875" style="39"/>
    <col min="8711" max="8711" width="7.6640625" style="39" customWidth="1"/>
    <col min="8712" max="8712" width="10.6640625" style="39" customWidth="1"/>
    <col min="8713" max="8713" width="8.109375" style="39" customWidth="1"/>
    <col min="8714" max="8714" width="37.33203125" style="39" bestFit="1" customWidth="1"/>
    <col min="8715" max="8960" width="8.88671875" style="39"/>
    <col min="8961" max="8961" width="18.33203125" style="39" customWidth="1"/>
    <col min="8962" max="8962" width="16.88671875" style="39" customWidth="1"/>
    <col min="8963" max="8963" width="14.5546875" style="39" customWidth="1"/>
    <col min="8964" max="8964" width="14.6640625" style="39" customWidth="1"/>
    <col min="8965" max="8965" width="12.109375" style="39" customWidth="1"/>
    <col min="8966" max="8966" width="8.88671875" style="39"/>
    <col min="8967" max="8967" width="7.6640625" style="39" customWidth="1"/>
    <col min="8968" max="8968" width="10.6640625" style="39" customWidth="1"/>
    <col min="8969" max="8969" width="8.109375" style="39" customWidth="1"/>
    <col min="8970" max="8970" width="37.33203125" style="39" bestFit="1" customWidth="1"/>
    <col min="8971" max="9216" width="8.88671875" style="39"/>
    <col min="9217" max="9217" width="18.33203125" style="39" customWidth="1"/>
    <col min="9218" max="9218" width="16.88671875" style="39" customWidth="1"/>
    <col min="9219" max="9219" width="14.5546875" style="39" customWidth="1"/>
    <col min="9220" max="9220" width="14.6640625" style="39" customWidth="1"/>
    <col min="9221" max="9221" width="12.109375" style="39" customWidth="1"/>
    <col min="9222" max="9222" width="8.88671875" style="39"/>
    <col min="9223" max="9223" width="7.6640625" style="39" customWidth="1"/>
    <col min="9224" max="9224" width="10.6640625" style="39" customWidth="1"/>
    <col min="9225" max="9225" width="8.109375" style="39" customWidth="1"/>
    <col min="9226" max="9226" width="37.33203125" style="39" bestFit="1" customWidth="1"/>
    <col min="9227" max="9472" width="8.88671875" style="39"/>
    <col min="9473" max="9473" width="18.33203125" style="39" customWidth="1"/>
    <col min="9474" max="9474" width="16.88671875" style="39" customWidth="1"/>
    <col min="9475" max="9475" width="14.5546875" style="39" customWidth="1"/>
    <col min="9476" max="9476" width="14.6640625" style="39" customWidth="1"/>
    <col min="9477" max="9477" width="12.109375" style="39" customWidth="1"/>
    <col min="9478" max="9478" width="8.88671875" style="39"/>
    <col min="9479" max="9479" width="7.6640625" style="39" customWidth="1"/>
    <col min="9480" max="9480" width="10.6640625" style="39" customWidth="1"/>
    <col min="9481" max="9481" width="8.109375" style="39" customWidth="1"/>
    <col min="9482" max="9482" width="37.33203125" style="39" bestFit="1" customWidth="1"/>
    <col min="9483" max="9728" width="8.88671875" style="39"/>
    <col min="9729" max="9729" width="18.33203125" style="39" customWidth="1"/>
    <col min="9730" max="9730" width="16.88671875" style="39" customWidth="1"/>
    <col min="9731" max="9731" width="14.5546875" style="39" customWidth="1"/>
    <col min="9732" max="9732" width="14.6640625" style="39" customWidth="1"/>
    <col min="9733" max="9733" width="12.109375" style="39" customWidth="1"/>
    <col min="9734" max="9734" width="8.88671875" style="39"/>
    <col min="9735" max="9735" width="7.6640625" style="39" customWidth="1"/>
    <col min="9736" max="9736" width="10.6640625" style="39" customWidth="1"/>
    <col min="9737" max="9737" width="8.109375" style="39" customWidth="1"/>
    <col min="9738" max="9738" width="37.33203125" style="39" bestFit="1" customWidth="1"/>
    <col min="9739" max="9984" width="8.88671875" style="39"/>
    <col min="9985" max="9985" width="18.33203125" style="39" customWidth="1"/>
    <col min="9986" max="9986" width="16.88671875" style="39" customWidth="1"/>
    <col min="9987" max="9987" width="14.5546875" style="39" customWidth="1"/>
    <col min="9988" max="9988" width="14.6640625" style="39" customWidth="1"/>
    <col min="9989" max="9989" width="12.109375" style="39" customWidth="1"/>
    <col min="9990" max="9990" width="8.88671875" style="39"/>
    <col min="9991" max="9991" width="7.6640625" style="39" customWidth="1"/>
    <col min="9992" max="9992" width="10.6640625" style="39" customWidth="1"/>
    <col min="9993" max="9993" width="8.109375" style="39" customWidth="1"/>
    <col min="9994" max="9994" width="37.33203125" style="39" bestFit="1" customWidth="1"/>
    <col min="9995" max="10240" width="8.88671875" style="39"/>
    <col min="10241" max="10241" width="18.33203125" style="39" customWidth="1"/>
    <col min="10242" max="10242" width="16.88671875" style="39" customWidth="1"/>
    <col min="10243" max="10243" width="14.5546875" style="39" customWidth="1"/>
    <col min="10244" max="10244" width="14.6640625" style="39" customWidth="1"/>
    <col min="10245" max="10245" width="12.109375" style="39" customWidth="1"/>
    <col min="10246" max="10246" width="8.88671875" style="39"/>
    <col min="10247" max="10247" width="7.6640625" style="39" customWidth="1"/>
    <col min="10248" max="10248" width="10.6640625" style="39" customWidth="1"/>
    <col min="10249" max="10249" width="8.109375" style="39" customWidth="1"/>
    <col min="10250" max="10250" width="37.33203125" style="39" bestFit="1" customWidth="1"/>
    <col min="10251" max="10496" width="8.88671875" style="39"/>
    <col min="10497" max="10497" width="18.33203125" style="39" customWidth="1"/>
    <col min="10498" max="10498" width="16.88671875" style="39" customWidth="1"/>
    <col min="10499" max="10499" width="14.5546875" style="39" customWidth="1"/>
    <col min="10500" max="10500" width="14.6640625" style="39" customWidth="1"/>
    <col min="10501" max="10501" width="12.109375" style="39" customWidth="1"/>
    <col min="10502" max="10502" width="8.88671875" style="39"/>
    <col min="10503" max="10503" width="7.6640625" style="39" customWidth="1"/>
    <col min="10504" max="10504" width="10.6640625" style="39" customWidth="1"/>
    <col min="10505" max="10505" width="8.109375" style="39" customWidth="1"/>
    <col min="10506" max="10506" width="37.33203125" style="39" bestFit="1" customWidth="1"/>
    <col min="10507" max="10752" width="8.88671875" style="39"/>
    <col min="10753" max="10753" width="18.33203125" style="39" customWidth="1"/>
    <col min="10754" max="10754" width="16.88671875" style="39" customWidth="1"/>
    <col min="10755" max="10755" width="14.5546875" style="39" customWidth="1"/>
    <col min="10756" max="10756" width="14.6640625" style="39" customWidth="1"/>
    <col min="10757" max="10757" width="12.109375" style="39" customWidth="1"/>
    <col min="10758" max="10758" width="8.88671875" style="39"/>
    <col min="10759" max="10759" width="7.6640625" style="39" customWidth="1"/>
    <col min="10760" max="10760" width="10.6640625" style="39" customWidth="1"/>
    <col min="10761" max="10761" width="8.109375" style="39" customWidth="1"/>
    <col min="10762" max="10762" width="37.33203125" style="39" bestFit="1" customWidth="1"/>
    <col min="10763" max="11008" width="8.88671875" style="39"/>
    <col min="11009" max="11009" width="18.33203125" style="39" customWidth="1"/>
    <col min="11010" max="11010" width="16.88671875" style="39" customWidth="1"/>
    <col min="11011" max="11011" width="14.5546875" style="39" customWidth="1"/>
    <col min="11012" max="11012" width="14.6640625" style="39" customWidth="1"/>
    <col min="11013" max="11013" width="12.109375" style="39" customWidth="1"/>
    <col min="11014" max="11014" width="8.88671875" style="39"/>
    <col min="11015" max="11015" width="7.6640625" style="39" customWidth="1"/>
    <col min="11016" max="11016" width="10.6640625" style="39" customWidth="1"/>
    <col min="11017" max="11017" width="8.109375" style="39" customWidth="1"/>
    <col min="11018" max="11018" width="37.33203125" style="39" bestFit="1" customWidth="1"/>
    <col min="11019" max="11264" width="8.88671875" style="39"/>
    <col min="11265" max="11265" width="18.33203125" style="39" customWidth="1"/>
    <col min="11266" max="11266" width="16.88671875" style="39" customWidth="1"/>
    <col min="11267" max="11267" width="14.5546875" style="39" customWidth="1"/>
    <col min="11268" max="11268" width="14.6640625" style="39" customWidth="1"/>
    <col min="11269" max="11269" width="12.109375" style="39" customWidth="1"/>
    <col min="11270" max="11270" width="8.88671875" style="39"/>
    <col min="11271" max="11271" width="7.6640625" style="39" customWidth="1"/>
    <col min="11272" max="11272" width="10.6640625" style="39" customWidth="1"/>
    <col min="11273" max="11273" width="8.109375" style="39" customWidth="1"/>
    <col min="11274" max="11274" width="37.33203125" style="39" bestFit="1" customWidth="1"/>
    <col min="11275" max="11520" width="8.88671875" style="39"/>
    <col min="11521" max="11521" width="18.33203125" style="39" customWidth="1"/>
    <col min="11522" max="11522" width="16.88671875" style="39" customWidth="1"/>
    <col min="11523" max="11523" width="14.5546875" style="39" customWidth="1"/>
    <col min="11524" max="11524" width="14.6640625" style="39" customWidth="1"/>
    <col min="11525" max="11525" width="12.109375" style="39" customWidth="1"/>
    <col min="11526" max="11526" width="8.88671875" style="39"/>
    <col min="11527" max="11527" width="7.6640625" style="39" customWidth="1"/>
    <col min="11528" max="11528" width="10.6640625" style="39" customWidth="1"/>
    <col min="11529" max="11529" width="8.109375" style="39" customWidth="1"/>
    <col min="11530" max="11530" width="37.33203125" style="39" bestFit="1" customWidth="1"/>
    <col min="11531" max="11776" width="8.88671875" style="39"/>
    <col min="11777" max="11777" width="18.33203125" style="39" customWidth="1"/>
    <col min="11778" max="11778" width="16.88671875" style="39" customWidth="1"/>
    <col min="11779" max="11779" width="14.5546875" style="39" customWidth="1"/>
    <col min="11780" max="11780" width="14.6640625" style="39" customWidth="1"/>
    <col min="11781" max="11781" width="12.109375" style="39" customWidth="1"/>
    <col min="11782" max="11782" width="8.88671875" style="39"/>
    <col min="11783" max="11783" width="7.6640625" style="39" customWidth="1"/>
    <col min="11784" max="11784" width="10.6640625" style="39" customWidth="1"/>
    <col min="11785" max="11785" width="8.109375" style="39" customWidth="1"/>
    <col min="11786" max="11786" width="37.33203125" style="39" bestFit="1" customWidth="1"/>
    <col min="11787" max="12032" width="8.88671875" style="39"/>
    <col min="12033" max="12033" width="18.33203125" style="39" customWidth="1"/>
    <col min="12034" max="12034" width="16.88671875" style="39" customWidth="1"/>
    <col min="12035" max="12035" width="14.5546875" style="39" customWidth="1"/>
    <col min="12036" max="12036" width="14.6640625" style="39" customWidth="1"/>
    <col min="12037" max="12037" width="12.109375" style="39" customWidth="1"/>
    <col min="12038" max="12038" width="8.88671875" style="39"/>
    <col min="12039" max="12039" width="7.6640625" style="39" customWidth="1"/>
    <col min="12040" max="12040" width="10.6640625" style="39" customWidth="1"/>
    <col min="12041" max="12041" width="8.109375" style="39" customWidth="1"/>
    <col min="12042" max="12042" width="37.33203125" style="39" bestFit="1" customWidth="1"/>
    <col min="12043" max="12288" width="8.88671875" style="39"/>
    <col min="12289" max="12289" width="18.33203125" style="39" customWidth="1"/>
    <col min="12290" max="12290" width="16.88671875" style="39" customWidth="1"/>
    <col min="12291" max="12291" width="14.5546875" style="39" customWidth="1"/>
    <col min="12292" max="12292" width="14.6640625" style="39" customWidth="1"/>
    <col min="12293" max="12293" width="12.109375" style="39" customWidth="1"/>
    <col min="12294" max="12294" width="8.88671875" style="39"/>
    <col min="12295" max="12295" width="7.6640625" style="39" customWidth="1"/>
    <col min="12296" max="12296" width="10.6640625" style="39" customWidth="1"/>
    <col min="12297" max="12297" width="8.109375" style="39" customWidth="1"/>
    <col min="12298" max="12298" width="37.33203125" style="39" bestFit="1" customWidth="1"/>
    <col min="12299" max="12544" width="8.88671875" style="39"/>
    <col min="12545" max="12545" width="18.33203125" style="39" customWidth="1"/>
    <col min="12546" max="12546" width="16.88671875" style="39" customWidth="1"/>
    <col min="12547" max="12547" width="14.5546875" style="39" customWidth="1"/>
    <col min="12548" max="12548" width="14.6640625" style="39" customWidth="1"/>
    <col min="12549" max="12549" width="12.109375" style="39" customWidth="1"/>
    <col min="12550" max="12550" width="8.88671875" style="39"/>
    <col min="12551" max="12551" width="7.6640625" style="39" customWidth="1"/>
    <col min="12552" max="12552" width="10.6640625" style="39" customWidth="1"/>
    <col min="12553" max="12553" width="8.109375" style="39" customWidth="1"/>
    <col min="12554" max="12554" width="37.33203125" style="39" bestFit="1" customWidth="1"/>
    <col min="12555" max="12800" width="8.88671875" style="39"/>
    <col min="12801" max="12801" width="18.33203125" style="39" customWidth="1"/>
    <col min="12802" max="12802" width="16.88671875" style="39" customWidth="1"/>
    <col min="12803" max="12803" width="14.5546875" style="39" customWidth="1"/>
    <col min="12804" max="12804" width="14.6640625" style="39" customWidth="1"/>
    <col min="12805" max="12805" width="12.109375" style="39" customWidth="1"/>
    <col min="12806" max="12806" width="8.88671875" style="39"/>
    <col min="12807" max="12807" width="7.6640625" style="39" customWidth="1"/>
    <col min="12808" max="12808" width="10.6640625" style="39" customWidth="1"/>
    <col min="12809" max="12809" width="8.109375" style="39" customWidth="1"/>
    <col min="12810" max="12810" width="37.33203125" style="39" bestFit="1" customWidth="1"/>
    <col min="12811" max="13056" width="8.88671875" style="39"/>
    <col min="13057" max="13057" width="18.33203125" style="39" customWidth="1"/>
    <col min="13058" max="13058" width="16.88671875" style="39" customWidth="1"/>
    <col min="13059" max="13059" width="14.5546875" style="39" customWidth="1"/>
    <col min="13060" max="13060" width="14.6640625" style="39" customWidth="1"/>
    <col min="13061" max="13061" width="12.109375" style="39" customWidth="1"/>
    <col min="13062" max="13062" width="8.88671875" style="39"/>
    <col min="13063" max="13063" width="7.6640625" style="39" customWidth="1"/>
    <col min="13064" max="13064" width="10.6640625" style="39" customWidth="1"/>
    <col min="13065" max="13065" width="8.109375" style="39" customWidth="1"/>
    <col min="13066" max="13066" width="37.33203125" style="39" bestFit="1" customWidth="1"/>
    <col min="13067" max="13312" width="8.88671875" style="39"/>
    <col min="13313" max="13313" width="18.33203125" style="39" customWidth="1"/>
    <col min="13314" max="13314" width="16.88671875" style="39" customWidth="1"/>
    <col min="13315" max="13315" width="14.5546875" style="39" customWidth="1"/>
    <col min="13316" max="13316" width="14.6640625" style="39" customWidth="1"/>
    <col min="13317" max="13317" width="12.109375" style="39" customWidth="1"/>
    <col min="13318" max="13318" width="8.88671875" style="39"/>
    <col min="13319" max="13319" width="7.6640625" style="39" customWidth="1"/>
    <col min="13320" max="13320" width="10.6640625" style="39" customWidth="1"/>
    <col min="13321" max="13321" width="8.109375" style="39" customWidth="1"/>
    <col min="13322" max="13322" width="37.33203125" style="39" bestFit="1" customWidth="1"/>
    <col min="13323" max="13568" width="8.88671875" style="39"/>
    <col min="13569" max="13569" width="18.33203125" style="39" customWidth="1"/>
    <col min="13570" max="13570" width="16.88671875" style="39" customWidth="1"/>
    <col min="13571" max="13571" width="14.5546875" style="39" customWidth="1"/>
    <col min="13572" max="13572" width="14.6640625" style="39" customWidth="1"/>
    <col min="13573" max="13573" width="12.109375" style="39" customWidth="1"/>
    <col min="13574" max="13574" width="8.88671875" style="39"/>
    <col min="13575" max="13575" width="7.6640625" style="39" customWidth="1"/>
    <col min="13576" max="13576" width="10.6640625" style="39" customWidth="1"/>
    <col min="13577" max="13577" width="8.109375" style="39" customWidth="1"/>
    <col min="13578" max="13578" width="37.33203125" style="39" bestFit="1" customWidth="1"/>
    <col min="13579" max="13824" width="8.88671875" style="39"/>
    <col min="13825" max="13825" width="18.33203125" style="39" customWidth="1"/>
    <col min="13826" max="13826" width="16.88671875" style="39" customWidth="1"/>
    <col min="13827" max="13827" width="14.5546875" style="39" customWidth="1"/>
    <col min="13828" max="13828" width="14.6640625" style="39" customWidth="1"/>
    <col min="13829" max="13829" width="12.109375" style="39" customWidth="1"/>
    <col min="13830" max="13830" width="8.88671875" style="39"/>
    <col min="13831" max="13831" width="7.6640625" style="39" customWidth="1"/>
    <col min="13832" max="13832" width="10.6640625" style="39" customWidth="1"/>
    <col min="13833" max="13833" width="8.109375" style="39" customWidth="1"/>
    <col min="13834" max="13834" width="37.33203125" style="39" bestFit="1" customWidth="1"/>
    <col min="13835" max="14080" width="8.88671875" style="39"/>
    <col min="14081" max="14081" width="18.33203125" style="39" customWidth="1"/>
    <col min="14082" max="14082" width="16.88671875" style="39" customWidth="1"/>
    <col min="14083" max="14083" width="14.5546875" style="39" customWidth="1"/>
    <col min="14084" max="14084" width="14.6640625" style="39" customWidth="1"/>
    <col min="14085" max="14085" width="12.109375" style="39" customWidth="1"/>
    <col min="14086" max="14086" width="8.88671875" style="39"/>
    <col min="14087" max="14087" width="7.6640625" style="39" customWidth="1"/>
    <col min="14088" max="14088" width="10.6640625" style="39" customWidth="1"/>
    <col min="14089" max="14089" width="8.109375" style="39" customWidth="1"/>
    <col min="14090" max="14090" width="37.33203125" style="39" bestFit="1" customWidth="1"/>
    <col min="14091" max="14336" width="8.88671875" style="39"/>
    <col min="14337" max="14337" width="18.33203125" style="39" customWidth="1"/>
    <col min="14338" max="14338" width="16.88671875" style="39" customWidth="1"/>
    <col min="14339" max="14339" width="14.5546875" style="39" customWidth="1"/>
    <col min="14340" max="14340" width="14.6640625" style="39" customWidth="1"/>
    <col min="14341" max="14341" width="12.109375" style="39" customWidth="1"/>
    <col min="14342" max="14342" width="8.88671875" style="39"/>
    <col min="14343" max="14343" width="7.6640625" style="39" customWidth="1"/>
    <col min="14344" max="14344" width="10.6640625" style="39" customWidth="1"/>
    <col min="14345" max="14345" width="8.109375" style="39" customWidth="1"/>
    <col min="14346" max="14346" width="37.33203125" style="39" bestFit="1" customWidth="1"/>
    <col min="14347" max="14592" width="8.88671875" style="39"/>
    <col min="14593" max="14593" width="18.33203125" style="39" customWidth="1"/>
    <col min="14594" max="14594" width="16.88671875" style="39" customWidth="1"/>
    <col min="14595" max="14595" width="14.5546875" style="39" customWidth="1"/>
    <col min="14596" max="14596" width="14.6640625" style="39" customWidth="1"/>
    <col min="14597" max="14597" width="12.109375" style="39" customWidth="1"/>
    <col min="14598" max="14598" width="8.88671875" style="39"/>
    <col min="14599" max="14599" width="7.6640625" style="39" customWidth="1"/>
    <col min="14600" max="14600" width="10.6640625" style="39" customWidth="1"/>
    <col min="14601" max="14601" width="8.109375" style="39" customWidth="1"/>
    <col min="14602" max="14602" width="37.33203125" style="39" bestFit="1" customWidth="1"/>
    <col min="14603" max="14848" width="8.88671875" style="39"/>
    <col min="14849" max="14849" width="18.33203125" style="39" customWidth="1"/>
    <col min="14850" max="14850" width="16.88671875" style="39" customWidth="1"/>
    <col min="14851" max="14851" width="14.5546875" style="39" customWidth="1"/>
    <col min="14852" max="14852" width="14.6640625" style="39" customWidth="1"/>
    <col min="14853" max="14853" width="12.109375" style="39" customWidth="1"/>
    <col min="14854" max="14854" width="8.88671875" style="39"/>
    <col min="14855" max="14855" width="7.6640625" style="39" customWidth="1"/>
    <col min="14856" max="14856" width="10.6640625" style="39" customWidth="1"/>
    <col min="14857" max="14857" width="8.109375" style="39" customWidth="1"/>
    <col min="14858" max="14858" width="37.33203125" style="39" bestFit="1" customWidth="1"/>
    <col min="14859" max="15104" width="8.88671875" style="39"/>
    <col min="15105" max="15105" width="18.33203125" style="39" customWidth="1"/>
    <col min="15106" max="15106" width="16.88671875" style="39" customWidth="1"/>
    <col min="15107" max="15107" width="14.5546875" style="39" customWidth="1"/>
    <col min="15108" max="15108" width="14.6640625" style="39" customWidth="1"/>
    <col min="15109" max="15109" width="12.109375" style="39" customWidth="1"/>
    <col min="15110" max="15110" width="8.88671875" style="39"/>
    <col min="15111" max="15111" width="7.6640625" style="39" customWidth="1"/>
    <col min="15112" max="15112" width="10.6640625" style="39" customWidth="1"/>
    <col min="15113" max="15113" width="8.109375" style="39" customWidth="1"/>
    <col min="15114" max="15114" width="37.33203125" style="39" bestFit="1" customWidth="1"/>
    <col min="15115" max="15360" width="8.88671875" style="39"/>
    <col min="15361" max="15361" width="18.33203125" style="39" customWidth="1"/>
    <col min="15362" max="15362" width="16.88671875" style="39" customWidth="1"/>
    <col min="15363" max="15363" width="14.5546875" style="39" customWidth="1"/>
    <col min="15364" max="15364" width="14.6640625" style="39" customWidth="1"/>
    <col min="15365" max="15365" width="12.109375" style="39" customWidth="1"/>
    <col min="15366" max="15366" width="8.88671875" style="39"/>
    <col min="15367" max="15367" width="7.6640625" style="39" customWidth="1"/>
    <col min="15368" max="15368" width="10.6640625" style="39" customWidth="1"/>
    <col min="15369" max="15369" width="8.109375" style="39" customWidth="1"/>
    <col min="15370" max="15370" width="37.33203125" style="39" bestFit="1" customWidth="1"/>
    <col min="15371" max="15616" width="8.88671875" style="39"/>
    <col min="15617" max="15617" width="18.33203125" style="39" customWidth="1"/>
    <col min="15618" max="15618" width="16.88671875" style="39" customWidth="1"/>
    <col min="15619" max="15619" width="14.5546875" style="39" customWidth="1"/>
    <col min="15620" max="15620" width="14.6640625" style="39" customWidth="1"/>
    <col min="15621" max="15621" width="12.109375" style="39" customWidth="1"/>
    <col min="15622" max="15622" width="8.88671875" style="39"/>
    <col min="15623" max="15623" width="7.6640625" style="39" customWidth="1"/>
    <col min="15624" max="15624" width="10.6640625" style="39" customWidth="1"/>
    <col min="15625" max="15625" width="8.109375" style="39" customWidth="1"/>
    <col min="15626" max="15626" width="37.33203125" style="39" bestFit="1" customWidth="1"/>
    <col min="15627" max="15872" width="8.88671875" style="39"/>
    <col min="15873" max="15873" width="18.33203125" style="39" customWidth="1"/>
    <col min="15874" max="15874" width="16.88671875" style="39" customWidth="1"/>
    <col min="15875" max="15875" width="14.5546875" style="39" customWidth="1"/>
    <col min="15876" max="15876" width="14.6640625" style="39" customWidth="1"/>
    <col min="15877" max="15877" width="12.109375" style="39" customWidth="1"/>
    <col min="15878" max="15878" width="8.88671875" style="39"/>
    <col min="15879" max="15879" width="7.6640625" style="39" customWidth="1"/>
    <col min="15880" max="15880" width="10.6640625" style="39" customWidth="1"/>
    <col min="15881" max="15881" width="8.109375" style="39" customWidth="1"/>
    <col min="15882" max="15882" width="37.33203125" style="39" bestFit="1" customWidth="1"/>
    <col min="15883" max="16128" width="8.88671875" style="39"/>
    <col min="16129" max="16129" width="18.33203125" style="39" customWidth="1"/>
    <col min="16130" max="16130" width="16.88671875" style="39" customWidth="1"/>
    <col min="16131" max="16131" width="14.5546875" style="39" customWidth="1"/>
    <col min="16132" max="16132" width="14.6640625" style="39" customWidth="1"/>
    <col min="16133" max="16133" width="12.109375" style="39" customWidth="1"/>
    <col min="16134" max="16134" width="8.88671875" style="39"/>
    <col min="16135" max="16135" width="7.6640625" style="39" customWidth="1"/>
    <col min="16136" max="16136" width="10.6640625" style="39" customWidth="1"/>
    <col min="16137" max="16137" width="8.109375" style="39" customWidth="1"/>
    <col min="16138" max="16138" width="37.33203125" style="39" bestFit="1" customWidth="1"/>
    <col min="16139" max="16384" width="8.88671875" style="39"/>
  </cols>
  <sheetData>
    <row r="1" spans="1:10" ht="17.399999999999999" x14ac:dyDescent="0.3">
      <c r="A1" s="38" t="s">
        <v>0</v>
      </c>
      <c r="B1" s="38"/>
      <c r="C1" s="38"/>
      <c r="D1" s="38"/>
      <c r="E1" s="38"/>
      <c r="F1" s="38"/>
      <c r="G1" s="38"/>
      <c r="H1" s="38"/>
      <c r="I1" s="38"/>
    </row>
    <row r="2" spans="1:10" x14ac:dyDescent="0.25">
      <c r="A2" s="39" t="s">
        <v>46</v>
      </c>
      <c r="B2" s="40">
        <v>1000000</v>
      </c>
    </row>
    <row r="3" spans="1:10" x14ac:dyDescent="0.25">
      <c r="A3" s="39" t="s">
        <v>47</v>
      </c>
      <c r="B3" s="39">
        <v>15</v>
      </c>
    </row>
    <row r="4" spans="1:10" x14ac:dyDescent="0.25">
      <c r="A4" s="39" t="s">
        <v>48</v>
      </c>
      <c r="B4" s="40">
        <v>300000</v>
      </c>
    </row>
    <row r="5" spans="1:10" x14ac:dyDescent="0.25">
      <c r="A5" s="39" t="s">
        <v>49</v>
      </c>
      <c r="B5" s="40">
        <v>200000</v>
      </c>
    </row>
    <row r="6" spans="1:10" x14ac:dyDescent="0.25">
      <c r="A6" s="39" t="s">
        <v>50</v>
      </c>
      <c r="B6" s="40">
        <f>B2-B5</f>
        <v>800000</v>
      </c>
      <c r="C6" s="39" t="s">
        <v>51</v>
      </c>
    </row>
    <row r="7" spans="1:10" x14ac:dyDescent="0.25">
      <c r="A7" s="39" t="s">
        <v>52</v>
      </c>
      <c r="B7" s="41">
        <v>0.1</v>
      </c>
    </row>
    <row r="8" spans="1:10" x14ac:dyDescent="0.25">
      <c r="A8" s="39" t="s">
        <v>53</v>
      </c>
      <c r="B8" s="42">
        <f>PMT(B7,B3,-B6)</f>
        <v>105179.02150989778</v>
      </c>
    </row>
    <row r="9" spans="1:10" x14ac:dyDescent="0.25">
      <c r="A9" s="39" t="s">
        <v>54</v>
      </c>
      <c r="B9" s="42">
        <v>110000</v>
      </c>
    </row>
    <row r="10" spans="1:10" x14ac:dyDescent="0.25">
      <c r="A10" s="39" t="s">
        <v>55</v>
      </c>
      <c r="B10" s="41">
        <v>0.4</v>
      </c>
    </row>
    <row r="11" spans="1:10" x14ac:dyDescent="0.25">
      <c r="B11" s="41"/>
    </row>
    <row r="12" spans="1:10" x14ac:dyDescent="0.25">
      <c r="B12" s="43"/>
      <c r="C12" s="44"/>
      <c r="D12" s="44"/>
      <c r="E12" s="44" t="s">
        <v>56</v>
      </c>
      <c r="F12" s="44"/>
      <c r="G12" s="44"/>
      <c r="H12" s="44" t="s">
        <v>57</v>
      </c>
      <c r="I12" s="44"/>
    </row>
    <row r="13" spans="1:10" x14ac:dyDescent="0.25">
      <c r="B13" s="44"/>
      <c r="C13" s="44" t="s">
        <v>58</v>
      </c>
      <c r="D13" s="44"/>
      <c r="E13" s="44" t="s">
        <v>59</v>
      </c>
      <c r="F13" s="44" t="s">
        <v>60</v>
      </c>
      <c r="G13" s="44"/>
      <c r="H13" s="44" t="s">
        <v>61</v>
      </c>
      <c r="I13" s="44" t="s">
        <v>62</v>
      </c>
    </row>
    <row r="14" spans="1:10" x14ac:dyDescent="0.25">
      <c r="A14" s="45" t="s">
        <v>63</v>
      </c>
      <c r="B14" s="44" t="s">
        <v>64</v>
      </c>
      <c r="C14" s="44" t="s">
        <v>65</v>
      </c>
      <c r="D14" s="44" t="s">
        <v>66</v>
      </c>
      <c r="E14" s="44" t="s">
        <v>67</v>
      </c>
      <c r="F14" s="44" t="s">
        <v>68</v>
      </c>
      <c r="G14" s="44" t="s">
        <v>52</v>
      </c>
      <c r="H14" s="44" t="s">
        <v>56</v>
      </c>
      <c r="I14" s="44" t="s">
        <v>69</v>
      </c>
    </row>
    <row r="15" spans="1:10" x14ac:dyDescent="0.25">
      <c r="A15" s="39">
        <v>0</v>
      </c>
      <c r="B15" s="40">
        <f>-B5</f>
        <v>-200000</v>
      </c>
      <c r="C15" s="40"/>
      <c r="D15" s="40"/>
      <c r="E15" s="40"/>
      <c r="F15" s="40"/>
      <c r="G15" s="40"/>
      <c r="H15" s="40"/>
      <c r="I15" s="40">
        <f>B15</f>
        <v>-200000</v>
      </c>
    </row>
    <row r="16" spans="1:10" x14ac:dyDescent="0.25">
      <c r="A16" s="39">
        <v>1</v>
      </c>
      <c r="B16" s="40"/>
      <c r="C16" s="40">
        <f>$B$9</f>
        <v>110000</v>
      </c>
      <c r="D16" s="55">
        <f>$B$2/15</f>
        <v>66666.666666666672</v>
      </c>
      <c r="E16" s="40">
        <f>B6</f>
        <v>800000</v>
      </c>
      <c r="F16" s="40">
        <f t="shared" ref="F16:F30" si="0">$B$8</f>
        <v>105179.02150989778</v>
      </c>
      <c r="G16" s="40">
        <f>$B$7*E16</f>
        <v>80000</v>
      </c>
      <c r="H16" s="40">
        <f>F16-G16</f>
        <v>25179.021509897779</v>
      </c>
      <c r="I16" s="40">
        <f>(1-tax)*C16+tax*D16-(1-tax)*G16-H16</f>
        <v>19487.645156768893</v>
      </c>
      <c r="J16" s="39" t="str">
        <f ca="1">[1]!getformula(I16)</f>
        <v>&lt;--  =(1-tax)*C16+tax*D16-(1-tax)*G16-H16</v>
      </c>
    </row>
    <row r="17" spans="1:9" x14ac:dyDescent="0.25">
      <c r="A17" s="39">
        <v>2</v>
      </c>
      <c r="B17" s="40"/>
      <c r="C17" s="40">
        <f t="shared" ref="C17:C30" si="1">C16</f>
        <v>110000</v>
      </c>
      <c r="D17" s="55">
        <f t="shared" ref="D17:D30" si="2">$B$2/15</f>
        <v>66666.666666666672</v>
      </c>
      <c r="E17" s="40">
        <f>E16-H16</f>
        <v>774820.97849010222</v>
      </c>
      <c r="F17" s="40">
        <f t="shared" si="0"/>
        <v>105179.02150989778</v>
      </c>
      <c r="G17" s="40">
        <f>$B$7*E17</f>
        <v>77482.097849010228</v>
      </c>
      <c r="H17" s="40">
        <f>F17-G17</f>
        <v>27696.923660887551</v>
      </c>
      <c r="I17" s="40">
        <f t="shared" ref="I17:I31" si="3">(1-tax)*C17+tax*D17-(1-tax)*G17-H17</f>
        <v>18480.484296372982</v>
      </c>
    </row>
    <row r="18" spans="1:9" x14ac:dyDescent="0.25">
      <c r="A18" s="39">
        <v>3</v>
      </c>
      <c r="B18" s="40"/>
      <c r="C18" s="40">
        <f t="shared" si="1"/>
        <v>110000</v>
      </c>
      <c r="D18" s="55">
        <f t="shared" si="2"/>
        <v>66666.666666666672</v>
      </c>
      <c r="E18" s="40">
        <f t="shared" ref="E18:E30" si="4">E17-H17</f>
        <v>747124.0548292147</v>
      </c>
      <c r="F18" s="40">
        <f t="shared" si="0"/>
        <v>105179.02150989778</v>
      </c>
      <c r="G18" s="40">
        <f t="shared" ref="G18:G30" si="5">$B$7*E18</f>
        <v>74712.405482921473</v>
      </c>
      <c r="H18" s="40">
        <f t="shared" ref="H18:H30" si="6">F18-G18</f>
        <v>30466.616026976306</v>
      </c>
      <c r="I18" s="40">
        <f t="shared" si="3"/>
        <v>17372.607349937483</v>
      </c>
    </row>
    <row r="19" spans="1:9" x14ac:dyDescent="0.25">
      <c r="A19" s="39">
        <v>4</v>
      </c>
      <c r="B19" s="40"/>
      <c r="C19" s="40">
        <f t="shared" si="1"/>
        <v>110000</v>
      </c>
      <c r="D19" s="55">
        <f t="shared" si="2"/>
        <v>66666.666666666672</v>
      </c>
      <c r="E19" s="40">
        <f t="shared" si="4"/>
        <v>716657.43880223844</v>
      </c>
      <c r="F19" s="40">
        <f t="shared" si="0"/>
        <v>105179.02150989778</v>
      </c>
      <c r="G19" s="40">
        <f t="shared" si="5"/>
        <v>71665.743880223847</v>
      </c>
      <c r="H19" s="40">
        <f t="shared" si="6"/>
        <v>33513.277629673932</v>
      </c>
      <c r="I19" s="40">
        <f t="shared" si="3"/>
        <v>16153.942708858434</v>
      </c>
    </row>
    <row r="20" spans="1:9" x14ac:dyDescent="0.25">
      <c r="A20" s="39">
        <v>5</v>
      </c>
      <c r="B20" s="40"/>
      <c r="C20" s="40">
        <f t="shared" si="1"/>
        <v>110000</v>
      </c>
      <c r="D20" s="55">
        <f t="shared" si="2"/>
        <v>66666.666666666672</v>
      </c>
      <c r="E20" s="40">
        <f t="shared" si="4"/>
        <v>683144.16117256449</v>
      </c>
      <c r="F20" s="40">
        <f t="shared" si="0"/>
        <v>105179.02150989778</v>
      </c>
      <c r="G20" s="40">
        <f t="shared" si="5"/>
        <v>68314.416117256449</v>
      </c>
      <c r="H20" s="40">
        <f t="shared" si="6"/>
        <v>36864.60539264133</v>
      </c>
      <c r="I20" s="40">
        <f t="shared" si="3"/>
        <v>14813.411603671477</v>
      </c>
    </row>
    <row r="21" spans="1:9" x14ac:dyDescent="0.25">
      <c r="A21" s="39">
        <v>6</v>
      </c>
      <c r="B21" s="40"/>
      <c r="C21" s="40">
        <f t="shared" si="1"/>
        <v>110000</v>
      </c>
      <c r="D21" s="55">
        <f t="shared" si="2"/>
        <v>66666.666666666672</v>
      </c>
      <c r="E21" s="40">
        <f t="shared" si="4"/>
        <v>646279.55577992322</v>
      </c>
      <c r="F21" s="40">
        <f t="shared" si="0"/>
        <v>105179.02150989778</v>
      </c>
      <c r="G21" s="40">
        <f t="shared" si="5"/>
        <v>64627.955577992325</v>
      </c>
      <c r="H21" s="40">
        <f t="shared" si="6"/>
        <v>40551.065931905454</v>
      </c>
      <c r="I21" s="40">
        <f t="shared" si="3"/>
        <v>13338.827387965823</v>
      </c>
    </row>
    <row r="22" spans="1:9" x14ac:dyDescent="0.25">
      <c r="A22" s="39">
        <v>7</v>
      </c>
      <c r="B22" s="40"/>
      <c r="C22" s="40">
        <f t="shared" si="1"/>
        <v>110000</v>
      </c>
      <c r="D22" s="55">
        <f t="shared" si="2"/>
        <v>66666.666666666672</v>
      </c>
      <c r="E22" s="40">
        <f t="shared" si="4"/>
        <v>605728.48984801781</v>
      </c>
      <c r="F22" s="40">
        <f t="shared" si="0"/>
        <v>105179.02150989778</v>
      </c>
      <c r="G22" s="40">
        <f t="shared" si="5"/>
        <v>60572.848984801785</v>
      </c>
      <c r="H22" s="40">
        <f t="shared" si="6"/>
        <v>44606.172525095993</v>
      </c>
      <c r="I22" s="40">
        <f t="shared" si="3"/>
        <v>11716.784750689607</v>
      </c>
    </row>
    <row r="23" spans="1:9" x14ac:dyDescent="0.25">
      <c r="A23" s="39">
        <v>8</v>
      </c>
      <c r="B23" s="40"/>
      <c r="C23" s="40">
        <f t="shared" si="1"/>
        <v>110000</v>
      </c>
      <c r="D23" s="55">
        <f t="shared" si="2"/>
        <v>66666.666666666672</v>
      </c>
      <c r="E23" s="40">
        <f t="shared" si="4"/>
        <v>561122.31732292182</v>
      </c>
      <c r="F23" s="40">
        <f t="shared" si="0"/>
        <v>105179.02150989778</v>
      </c>
      <c r="G23" s="40">
        <f t="shared" si="5"/>
        <v>56112.231732292188</v>
      </c>
      <c r="H23" s="40">
        <f t="shared" si="6"/>
        <v>49066.789777605591</v>
      </c>
      <c r="I23" s="40">
        <f t="shared" si="3"/>
        <v>9932.5378496857666</v>
      </c>
    </row>
    <row r="24" spans="1:9" x14ac:dyDescent="0.25">
      <c r="A24" s="39">
        <v>9</v>
      </c>
      <c r="B24" s="40"/>
      <c r="C24" s="40">
        <f t="shared" si="1"/>
        <v>110000</v>
      </c>
      <c r="D24" s="55">
        <f t="shared" si="2"/>
        <v>66666.666666666672</v>
      </c>
      <c r="E24" s="40">
        <f t="shared" si="4"/>
        <v>512055.52754531626</v>
      </c>
      <c r="F24" s="40">
        <f t="shared" si="0"/>
        <v>105179.02150989778</v>
      </c>
      <c r="G24" s="40">
        <f t="shared" si="5"/>
        <v>51205.552754531629</v>
      </c>
      <c r="H24" s="40">
        <f t="shared" si="6"/>
        <v>53973.46875536615</v>
      </c>
      <c r="I24" s="40">
        <f t="shared" si="3"/>
        <v>7969.8662585815473</v>
      </c>
    </row>
    <row r="25" spans="1:9" x14ac:dyDescent="0.25">
      <c r="A25" s="39">
        <v>10</v>
      </c>
      <c r="B25" s="40"/>
      <c r="C25" s="40">
        <f t="shared" si="1"/>
        <v>110000</v>
      </c>
      <c r="D25" s="55">
        <f t="shared" si="2"/>
        <v>66666.666666666672</v>
      </c>
      <c r="E25" s="40">
        <f t="shared" si="4"/>
        <v>458082.0587899501</v>
      </c>
      <c r="F25" s="40">
        <f t="shared" si="0"/>
        <v>105179.02150989778</v>
      </c>
      <c r="G25" s="40">
        <f t="shared" si="5"/>
        <v>45808.20587899501</v>
      </c>
      <c r="H25" s="40">
        <f t="shared" si="6"/>
        <v>59370.815630902769</v>
      </c>
      <c r="I25" s="40">
        <f t="shared" si="3"/>
        <v>5810.9275083668981</v>
      </c>
    </row>
    <row r="26" spans="1:9" x14ac:dyDescent="0.25">
      <c r="A26" s="39">
        <v>11</v>
      </c>
      <c r="B26" s="40"/>
      <c r="C26" s="40">
        <f t="shared" si="1"/>
        <v>110000</v>
      </c>
      <c r="D26" s="55">
        <f t="shared" si="2"/>
        <v>66666.666666666672</v>
      </c>
      <c r="E26" s="40">
        <f t="shared" si="4"/>
        <v>398711.24315904733</v>
      </c>
      <c r="F26" s="40">
        <f t="shared" si="0"/>
        <v>105179.02150989778</v>
      </c>
      <c r="G26" s="40">
        <f t="shared" si="5"/>
        <v>39871.124315904737</v>
      </c>
      <c r="H26" s="40">
        <f t="shared" si="6"/>
        <v>65307.897193993042</v>
      </c>
      <c r="I26" s="40">
        <f t="shared" si="3"/>
        <v>3436.0948831307833</v>
      </c>
    </row>
    <row r="27" spans="1:9" x14ac:dyDescent="0.25">
      <c r="A27" s="39">
        <v>12</v>
      </c>
      <c r="B27" s="40"/>
      <c r="C27" s="40">
        <f t="shared" si="1"/>
        <v>110000</v>
      </c>
      <c r="D27" s="55">
        <f t="shared" si="2"/>
        <v>66666.666666666672</v>
      </c>
      <c r="E27" s="40">
        <f t="shared" si="4"/>
        <v>333403.34596505429</v>
      </c>
      <c r="F27" s="40">
        <f t="shared" si="0"/>
        <v>105179.02150989778</v>
      </c>
      <c r="G27" s="40">
        <f t="shared" si="5"/>
        <v>33340.334596505432</v>
      </c>
      <c r="H27" s="40">
        <f t="shared" si="6"/>
        <v>71838.686913392346</v>
      </c>
      <c r="I27" s="40">
        <f t="shared" si="3"/>
        <v>823.77899537105986</v>
      </c>
    </row>
    <row r="28" spans="1:9" x14ac:dyDescent="0.25">
      <c r="A28" s="39">
        <v>13</v>
      </c>
      <c r="B28" s="40"/>
      <c r="C28" s="40">
        <f t="shared" si="1"/>
        <v>110000</v>
      </c>
      <c r="D28" s="55">
        <f t="shared" si="2"/>
        <v>66666.666666666672</v>
      </c>
      <c r="E28" s="40">
        <f t="shared" si="4"/>
        <v>261564.65905166196</v>
      </c>
      <c r="F28" s="40">
        <f t="shared" si="0"/>
        <v>105179.02150989778</v>
      </c>
      <c r="G28" s="40">
        <f t="shared" si="5"/>
        <v>26156.465905166198</v>
      </c>
      <c r="H28" s="40">
        <f t="shared" si="6"/>
        <v>79022.555604731577</v>
      </c>
      <c r="I28" s="40">
        <f t="shared" si="3"/>
        <v>-2049.7684811646177</v>
      </c>
    </row>
    <row r="29" spans="1:9" x14ac:dyDescent="0.25">
      <c r="A29" s="39">
        <v>14</v>
      </c>
      <c r="B29" s="40"/>
      <c r="C29" s="40">
        <f t="shared" si="1"/>
        <v>110000</v>
      </c>
      <c r="D29" s="55">
        <f t="shared" si="2"/>
        <v>66666.666666666672</v>
      </c>
      <c r="E29" s="40">
        <f t="shared" si="4"/>
        <v>182542.10344693038</v>
      </c>
      <c r="F29" s="40">
        <f t="shared" si="0"/>
        <v>105179.02150989778</v>
      </c>
      <c r="G29" s="40">
        <f t="shared" si="5"/>
        <v>18254.210344693038</v>
      </c>
      <c r="H29" s="40">
        <f t="shared" si="6"/>
        <v>86924.811165204737</v>
      </c>
      <c r="I29" s="40">
        <f t="shared" si="3"/>
        <v>-5210.6707053538848</v>
      </c>
    </row>
    <row r="30" spans="1:9" x14ac:dyDescent="0.25">
      <c r="A30" s="39">
        <v>15</v>
      </c>
      <c r="B30" s="40"/>
      <c r="C30" s="40">
        <f t="shared" si="1"/>
        <v>110000</v>
      </c>
      <c r="D30" s="55">
        <f t="shared" si="2"/>
        <v>66666.666666666672</v>
      </c>
      <c r="E30" s="40">
        <f t="shared" si="4"/>
        <v>95617.292281725648</v>
      </c>
      <c r="F30" s="40">
        <f t="shared" si="0"/>
        <v>105179.02150989778</v>
      </c>
      <c r="G30" s="40">
        <f t="shared" si="5"/>
        <v>9561.7292281725659</v>
      </c>
      <c r="H30" s="40">
        <f t="shared" si="6"/>
        <v>95617.292281725211</v>
      </c>
      <c r="I30" s="40">
        <f t="shared" si="3"/>
        <v>-8687.6631519620714</v>
      </c>
    </row>
    <row r="31" spans="1:9" x14ac:dyDescent="0.25">
      <c r="A31" s="39">
        <v>16</v>
      </c>
      <c r="B31" s="40"/>
      <c r="C31" s="40">
        <f>B4</f>
        <v>300000</v>
      </c>
      <c r="D31" s="40"/>
      <c r="E31" s="40"/>
      <c r="F31" s="40"/>
      <c r="G31" s="40"/>
      <c r="H31" s="40"/>
      <c r="I31" s="40">
        <f t="shared" si="3"/>
        <v>180000</v>
      </c>
    </row>
    <row r="33" spans="1:8" x14ac:dyDescent="0.25">
      <c r="A33" s="53" t="s">
        <v>70</v>
      </c>
      <c r="B33" s="54">
        <v>4.1785526066541658E-2</v>
      </c>
      <c r="C33" s="39" t="s">
        <v>71</v>
      </c>
      <c r="D33" s="41"/>
      <c r="E33" s="40"/>
    </row>
    <row r="34" spans="1:8" x14ac:dyDescent="0.25">
      <c r="A34" s="53" t="s">
        <v>72</v>
      </c>
      <c r="B34" s="54">
        <f>IRR(I15:I31,0)</f>
        <v>4.1785580428447489E-2</v>
      </c>
      <c r="D34" s="41"/>
      <c r="E34" s="40"/>
    </row>
    <row r="35" spans="1:8" x14ac:dyDescent="0.25">
      <c r="B35" s="46"/>
      <c r="D35" s="41"/>
      <c r="E35" s="40"/>
    </row>
    <row r="36" spans="1:8" ht="15.6" x14ac:dyDescent="0.3">
      <c r="A36" s="47" t="s">
        <v>73</v>
      </c>
      <c r="D36" s="41"/>
      <c r="E36" s="40"/>
    </row>
    <row r="37" spans="1:8" x14ac:dyDescent="0.25">
      <c r="A37" s="48"/>
      <c r="B37" s="44" t="s">
        <v>74</v>
      </c>
      <c r="C37" s="48"/>
      <c r="D37" s="49" t="s">
        <v>75</v>
      </c>
      <c r="E37" s="50"/>
    </row>
    <row r="38" spans="1:8" ht="15" x14ac:dyDescent="0.25">
      <c r="A38" s="44" t="s">
        <v>63</v>
      </c>
      <c r="B38" s="44" t="s">
        <v>76</v>
      </c>
      <c r="C38" s="44" t="s">
        <v>77</v>
      </c>
      <c r="D38" s="44" t="s">
        <v>78</v>
      </c>
      <c r="E38" s="51" t="s">
        <v>79</v>
      </c>
      <c r="H38" s="56" t="s">
        <v>80</v>
      </c>
    </row>
    <row r="39" spans="1:8" ht="15" x14ac:dyDescent="0.25">
      <c r="A39" s="48">
        <v>1</v>
      </c>
      <c r="B39" s="40">
        <f>B5</f>
        <v>200000</v>
      </c>
      <c r="C39" s="40">
        <f t="shared" ref="C39:C54" si="7">I16</f>
        <v>19487.645156768893</v>
      </c>
      <c r="D39" s="52">
        <f>IF($B$33*B39&gt;0,$B$33*B39,0)</f>
        <v>8357.1052133083322</v>
      </c>
      <c r="E39" s="40">
        <f>C39-D39</f>
        <v>11130.539943460561</v>
      </c>
      <c r="H39" s="56" t="s">
        <v>81</v>
      </c>
    </row>
    <row r="40" spans="1:8" ht="15" x14ac:dyDescent="0.25">
      <c r="A40" s="48">
        <v>2</v>
      </c>
      <c r="B40" s="40">
        <f>B39-E39</f>
        <v>188869.46005653945</v>
      </c>
      <c r="C40" s="40">
        <f t="shared" si="7"/>
        <v>18480.484296372982</v>
      </c>
      <c r="D40" s="52">
        <f>IF($B$33*B40&gt;0,$B$33*B40,0)</f>
        <v>7892.0097463661778</v>
      </c>
      <c r="E40" s="40">
        <f>C40-D40</f>
        <v>10588.474550006806</v>
      </c>
      <c r="H40" s="56" t="s">
        <v>82</v>
      </c>
    </row>
    <row r="41" spans="1:8" ht="15" x14ac:dyDescent="0.25">
      <c r="A41" s="48">
        <v>3</v>
      </c>
      <c r="B41" s="40">
        <f t="shared" ref="B41:B55" si="8">B40-E40</f>
        <v>178280.98550653266</v>
      </c>
      <c r="C41" s="40">
        <f t="shared" si="7"/>
        <v>17372.607349937483</v>
      </c>
      <c r="D41" s="52">
        <f t="shared" ref="D41:D54" si="9">IF($B$33*B41&gt;0,$B$33*B41,0)</f>
        <v>7449.5647670519556</v>
      </c>
      <c r="E41" s="40">
        <f t="shared" ref="E41:E54" si="10">C41-D41</f>
        <v>9923.0425828855277</v>
      </c>
      <c r="H41" s="56" t="s">
        <v>83</v>
      </c>
    </row>
    <row r="42" spans="1:8" ht="15" x14ac:dyDescent="0.25">
      <c r="A42" s="48">
        <v>4</v>
      </c>
      <c r="B42" s="40">
        <f t="shared" si="8"/>
        <v>168357.94292364712</v>
      </c>
      <c r="C42" s="40">
        <f t="shared" si="7"/>
        <v>16153.942708858434</v>
      </c>
      <c r="D42" s="52">
        <f t="shared" si="9"/>
        <v>7034.9252125453895</v>
      </c>
      <c r="E42" s="40">
        <f t="shared" si="10"/>
        <v>9119.0174963130448</v>
      </c>
      <c r="H42" s="56" t="s">
        <v>84</v>
      </c>
    </row>
    <row r="43" spans="1:8" ht="13.8" x14ac:dyDescent="0.25">
      <c r="A43" s="48">
        <v>5</v>
      </c>
      <c r="B43" s="40">
        <f t="shared" si="8"/>
        <v>159238.92542733406</v>
      </c>
      <c r="C43" s="40">
        <f t="shared" si="7"/>
        <v>14813.411603671477</v>
      </c>
      <c r="D43" s="52">
        <f t="shared" si="9"/>
        <v>6653.8822692519507</v>
      </c>
      <c r="E43" s="40">
        <f t="shared" si="10"/>
        <v>8159.5293344195261</v>
      </c>
    </row>
    <row r="44" spans="1:8" ht="13.8" x14ac:dyDescent="0.25">
      <c r="A44" s="48">
        <v>6</v>
      </c>
      <c r="B44" s="40">
        <f t="shared" si="8"/>
        <v>151079.39609291454</v>
      </c>
      <c r="C44" s="40">
        <f t="shared" si="7"/>
        <v>13338.827387965823</v>
      </c>
      <c r="D44" s="52">
        <f t="shared" si="9"/>
        <v>6312.932043557852</v>
      </c>
      <c r="E44" s="40">
        <f t="shared" si="10"/>
        <v>7025.8953444079707</v>
      </c>
    </row>
    <row r="45" spans="1:8" ht="13.8" x14ac:dyDescent="0.25">
      <c r="A45" s="48">
        <v>7</v>
      </c>
      <c r="B45" s="40">
        <f t="shared" si="8"/>
        <v>144053.50074850657</v>
      </c>
      <c r="C45" s="40">
        <f t="shared" si="7"/>
        <v>11716.784750689607</v>
      </c>
      <c r="D45" s="52">
        <f t="shared" si="9"/>
        <v>6019.3513105032998</v>
      </c>
      <c r="E45" s="40">
        <f t="shared" si="10"/>
        <v>5697.4334401863071</v>
      </c>
    </row>
    <row r="46" spans="1:8" ht="13.8" x14ac:dyDescent="0.25">
      <c r="A46" s="48">
        <v>8</v>
      </c>
      <c r="B46" s="40">
        <f t="shared" si="8"/>
        <v>138356.06730832026</v>
      </c>
      <c r="C46" s="40">
        <f t="shared" si="7"/>
        <v>9932.5378496857666</v>
      </c>
      <c r="D46" s="52">
        <f t="shared" si="9"/>
        <v>5781.2810569760086</v>
      </c>
      <c r="E46" s="40">
        <f t="shared" si="10"/>
        <v>4151.256792709758</v>
      </c>
    </row>
    <row r="47" spans="1:8" ht="13.8" x14ac:dyDescent="0.25">
      <c r="A47" s="48">
        <v>9</v>
      </c>
      <c r="B47" s="40">
        <f t="shared" si="8"/>
        <v>134204.8105156105</v>
      </c>
      <c r="C47" s="40">
        <f t="shared" si="7"/>
        <v>7969.8662585815473</v>
      </c>
      <c r="D47" s="52">
        <f t="shared" si="9"/>
        <v>5607.8186080553269</v>
      </c>
      <c r="E47" s="40">
        <f t="shared" si="10"/>
        <v>2362.0476505262204</v>
      </c>
    </row>
    <row r="48" spans="1:8" ht="13.8" x14ac:dyDescent="0.25">
      <c r="A48" s="48">
        <v>10</v>
      </c>
      <c r="B48" s="40">
        <f t="shared" si="8"/>
        <v>131842.76286508428</v>
      </c>
      <c r="C48" s="40">
        <f t="shared" si="7"/>
        <v>5810.9275083668981</v>
      </c>
      <c r="D48" s="52">
        <f t="shared" si="9"/>
        <v>5509.11920438385</v>
      </c>
      <c r="E48" s="40">
        <f t="shared" si="10"/>
        <v>301.80830398304806</v>
      </c>
    </row>
    <row r="49" spans="1:5" ht="13.8" x14ac:dyDescent="0.25">
      <c r="A49" s="48">
        <v>11</v>
      </c>
      <c r="B49" s="40">
        <f t="shared" si="8"/>
        <v>131540.95456110124</v>
      </c>
      <c r="C49" s="40">
        <f t="shared" si="7"/>
        <v>3436.0948831307833</v>
      </c>
      <c r="D49" s="52">
        <f t="shared" si="9"/>
        <v>5496.5079856306675</v>
      </c>
      <c r="E49" s="40">
        <f t="shared" si="10"/>
        <v>-2060.4131024998842</v>
      </c>
    </row>
    <row r="50" spans="1:5" ht="13.8" x14ac:dyDescent="0.25">
      <c r="A50" s="48">
        <v>12</v>
      </c>
      <c r="B50" s="40">
        <f t="shared" si="8"/>
        <v>133601.36766360112</v>
      </c>
      <c r="C50" s="40">
        <f t="shared" si="7"/>
        <v>823.77899537105986</v>
      </c>
      <c r="D50" s="52">
        <f t="shared" si="9"/>
        <v>5582.6034310330206</v>
      </c>
      <c r="E50" s="40">
        <f t="shared" si="10"/>
        <v>-4758.8244356619607</v>
      </c>
    </row>
    <row r="51" spans="1:5" ht="13.8" x14ac:dyDescent="0.25">
      <c r="A51" s="48">
        <v>13</v>
      </c>
      <c r="B51" s="40">
        <f t="shared" si="8"/>
        <v>138360.19209926308</v>
      </c>
      <c r="C51" s="40">
        <f t="shared" si="7"/>
        <v>-2049.7684811646177</v>
      </c>
      <c r="D51" s="52">
        <f t="shared" si="9"/>
        <v>5781.4534135354688</v>
      </c>
      <c r="E51" s="40">
        <f t="shared" si="10"/>
        <v>-7831.2218947000865</v>
      </c>
    </row>
    <row r="52" spans="1:5" ht="13.8" x14ac:dyDescent="0.25">
      <c r="A52" s="48">
        <v>14</v>
      </c>
      <c r="B52" s="40">
        <f t="shared" si="8"/>
        <v>146191.41399396316</v>
      </c>
      <c r="C52" s="40">
        <f t="shared" si="7"/>
        <v>-5210.6707053538848</v>
      </c>
      <c r="D52" s="52">
        <f t="shared" si="9"/>
        <v>6108.6851401493304</v>
      </c>
      <c r="E52" s="40">
        <f t="shared" si="10"/>
        <v>-11319.355845503214</v>
      </c>
    </row>
    <row r="53" spans="1:5" ht="13.8" x14ac:dyDescent="0.25">
      <c r="A53" s="48">
        <v>15</v>
      </c>
      <c r="B53" s="40">
        <f t="shared" si="8"/>
        <v>157510.76983946637</v>
      </c>
      <c r="C53" s="40">
        <f t="shared" si="7"/>
        <v>-8687.6631519620714</v>
      </c>
      <c r="D53" s="52">
        <f t="shared" si="9"/>
        <v>6581.6703788880659</v>
      </c>
      <c r="E53" s="40">
        <f t="shared" si="10"/>
        <v>-15269.333530850137</v>
      </c>
    </row>
    <row r="54" spans="1:5" ht="13.8" x14ac:dyDescent="0.25">
      <c r="A54" s="48">
        <v>16</v>
      </c>
      <c r="B54" s="40">
        <f t="shared" si="8"/>
        <v>172780.1033703165</v>
      </c>
      <c r="C54" s="40">
        <f t="shared" si="7"/>
        <v>180000</v>
      </c>
      <c r="D54" s="52">
        <f t="shared" si="9"/>
        <v>7219.7075131601223</v>
      </c>
      <c r="E54" s="40">
        <f t="shared" si="10"/>
        <v>172780.29248683987</v>
      </c>
    </row>
    <row r="55" spans="1:5" x14ac:dyDescent="0.25">
      <c r="A55" s="48">
        <v>17</v>
      </c>
      <c r="B55" s="40">
        <f t="shared" si="8"/>
        <v>-0.18911652336828411</v>
      </c>
      <c r="C55" s="40"/>
      <c r="E55" s="40"/>
    </row>
    <row r="56" spans="1:5" x14ac:dyDescent="0.25">
      <c r="A56" s="48"/>
    </row>
    <row r="57" spans="1:5" x14ac:dyDescent="0.25">
      <c r="A57" s="48"/>
    </row>
    <row r="58" spans="1:5" x14ac:dyDescent="0.25">
      <c r="A58" s="48"/>
    </row>
    <row r="59" spans="1:5" x14ac:dyDescent="0.25">
      <c r="A59" s="48"/>
    </row>
    <row r="60" spans="1:5" x14ac:dyDescent="0.25">
      <c r="A60" s="48"/>
    </row>
    <row r="61" spans="1:5" x14ac:dyDescent="0.25">
      <c r="A61" s="48"/>
    </row>
    <row r="62" spans="1:5" x14ac:dyDescent="0.25">
      <c r="A62" s="48"/>
      <c r="E62" s="40"/>
    </row>
    <row r="63" spans="1:5" x14ac:dyDescent="0.25">
      <c r="A63" s="48"/>
      <c r="D63" s="41"/>
      <c r="E63" s="40"/>
    </row>
    <row r="64" spans="1:5" x14ac:dyDescent="0.25">
      <c r="A64" s="48"/>
      <c r="D64" s="41"/>
      <c r="E64" s="40"/>
    </row>
    <row r="65" spans="1:5" x14ac:dyDescent="0.25">
      <c r="A65" s="48"/>
      <c r="D65" s="41"/>
      <c r="E65" s="40"/>
    </row>
    <row r="66" spans="1:5" x14ac:dyDescent="0.25">
      <c r="A66" s="48"/>
      <c r="D66" s="41"/>
      <c r="E66" s="40"/>
    </row>
    <row r="67" spans="1:5" x14ac:dyDescent="0.25">
      <c r="A67" s="48"/>
      <c r="D67" s="41"/>
      <c r="E67" s="40"/>
    </row>
    <row r="68" spans="1:5" x14ac:dyDescent="0.25">
      <c r="A68" s="48"/>
      <c r="D68" s="41"/>
      <c r="E68" s="40"/>
    </row>
    <row r="69" spans="1:5" x14ac:dyDescent="0.25">
      <c r="A69" s="48"/>
      <c r="D69" s="41"/>
      <c r="E69" s="40"/>
    </row>
    <row r="70" spans="1:5" x14ac:dyDescent="0.25">
      <c r="A70" s="48"/>
      <c r="D70" s="41"/>
      <c r="E70" s="40"/>
    </row>
    <row r="71" spans="1:5" x14ac:dyDescent="0.25">
      <c r="A71" s="48"/>
      <c r="D71" s="41"/>
      <c r="E71" s="40"/>
    </row>
    <row r="72" spans="1:5" x14ac:dyDescent="0.25">
      <c r="A72" s="48"/>
      <c r="D72" s="41"/>
      <c r="E72" s="40"/>
    </row>
    <row r="73" spans="1:5" x14ac:dyDescent="0.25">
      <c r="A73" s="48"/>
      <c r="D73" s="41"/>
      <c r="E73" s="40"/>
    </row>
    <row r="74" spans="1:5" x14ac:dyDescent="0.25">
      <c r="A74" s="48"/>
      <c r="D74" s="41"/>
      <c r="E74" s="40"/>
    </row>
    <row r="75" spans="1:5" x14ac:dyDescent="0.25">
      <c r="A75" s="48"/>
      <c r="D75" s="41"/>
      <c r="E75" s="40"/>
    </row>
    <row r="76" spans="1:5" x14ac:dyDescent="0.25">
      <c r="D76" s="41"/>
      <c r="E76" s="40"/>
    </row>
    <row r="77" spans="1:5" x14ac:dyDescent="0.25">
      <c r="D77" s="41"/>
      <c r="E77" s="40"/>
    </row>
    <row r="78" spans="1:5" x14ac:dyDescent="0.25">
      <c r="D78" s="41"/>
      <c r="E78" s="40"/>
    </row>
    <row r="79" spans="1:5" x14ac:dyDescent="0.25">
      <c r="D79" s="41"/>
      <c r="E79" s="40"/>
    </row>
    <row r="80" spans="1:5" x14ac:dyDescent="0.25">
      <c r="D80" s="41"/>
    </row>
    <row r="81" spans="4:4" x14ac:dyDescent="0.25">
      <c r="D81" s="41"/>
    </row>
    <row r="82" spans="4:4" x14ac:dyDescent="0.25">
      <c r="D82" s="41"/>
    </row>
    <row r="83" spans="4:4" x14ac:dyDescent="0.25">
      <c r="D83" s="41"/>
    </row>
    <row r="84" spans="4:4" x14ac:dyDescent="0.25">
      <c r="D84" s="41"/>
    </row>
  </sheetData>
  <mergeCells count="1">
    <mergeCell ref="A1:I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IRR</vt:lpstr>
      <vt:lpstr>MPM</vt:lpstr>
      <vt:lpstr>Sheet2</vt:lpstr>
      <vt:lpstr>Exercise 1</vt:lpstr>
      <vt:lpstr>'Exercise 1'!tax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2024-10-24T02:20:59Z</dcterms:modified>
</cp:coreProperties>
</file>