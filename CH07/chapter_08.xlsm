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7\"/>
    </mc:Choice>
  </mc:AlternateContent>
  <xr:revisionPtr revIDLastSave="0" documentId="13_ncr:1_{71EBD72E-D44E-425B-B7EB-906B9A830469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8" i="1" l="1"/>
  <c r="C18" i="1"/>
  <c r="D17" i="1"/>
  <c r="C17" i="1"/>
  <c r="D16" i="1"/>
  <c r="C16" i="1"/>
  <c r="D15" i="1"/>
  <c r="C15" i="1"/>
  <c r="D14" i="1"/>
  <c r="C14" i="1"/>
  <c r="D13" i="1"/>
  <c r="C13" i="1"/>
  <c r="D12" i="1"/>
  <c r="C12" i="1"/>
  <c r="D11" i="1"/>
  <c r="C11" i="1"/>
  <c r="D10" i="1"/>
  <c r="C10" i="1"/>
  <c r="D9" i="1"/>
  <c r="C9" i="1"/>
  <c r="D8" i="1"/>
  <c r="C8" i="1"/>
  <c r="D7" i="1"/>
  <c r="C7" i="1"/>
  <c r="D6" i="1"/>
  <c r="C6" i="1"/>
  <c r="D5" i="1"/>
  <c r="C5" i="1"/>
  <c r="D4" i="1"/>
  <c r="C4" i="1"/>
  <c r="D3" i="1"/>
  <c r="C3" i="1"/>
</calcChain>
</file>

<file path=xl/sharedStrings.xml><?xml version="1.0" encoding="utf-8"?>
<sst xmlns="http://schemas.openxmlformats.org/spreadsheetml/2006/main" count="4" uniqueCount="4">
  <si>
    <t>COMPARING THE MPM INCOME WITH THE IRR INCOME</t>
  </si>
  <si>
    <t>Year</t>
  </si>
  <si>
    <t>IRR income</t>
  </si>
  <si>
    <t>MPM 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</si>
</sst>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/>
    <xf numFmtId="0" fontId="0" fillId="0" borderId="0" xfId="0" applyAlignment="1">
      <alignment horizontal="center"/>
    </xf>
    <xf numFmtId="3" fontId="0" fillId="0" borderId="0" xfId="0" applyNumberFormat="1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zh-CN" altLang="en-US" sz="1325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Comparing the MPM Income with the IRR Income</a:t>
            </a:r>
          </a:p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zh-CN" alt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The IRR income is the true economic income</a:t>
            </a:r>
          </a:p>
        </c:rich>
      </c:tx>
      <c:layout>
        <c:manualLayout>
          <c:xMode val="edge"/>
          <c:yMode val="edge"/>
          <c:x val="0.10880025242746295"/>
          <c:y val="1.933633408738216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936264328546944"/>
          <c:y val="0.11188827107501417"/>
          <c:w val="0.77049265987504345"/>
          <c:h val="0.78088689187770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Sheet1!$C$2</c:f>
              <c:strCache>
                <c:ptCount val="1"/>
                <c:pt idx="0">
                  <c:v>IRR income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Sheet1!$B$3:$B$18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xVal>
          <c:yVal>
            <c:numRef>
              <c:f>Sheet1!$C$3:$C$18</c:f>
              <c:numCache>
                <c:formatCode>#,##0</c:formatCode>
                <c:ptCount val="16"/>
                <c:pt idx="0">
                  <c:v>24913.369449103808</c:v>
                </c:pt>
                <c:pt idx="1">
                  <c:v>21795.759096773185</c:v>
                </c:pt>
                <c:pt idx="2">
                  <c:v>13327.946663454351</c:v>
                </c:pt>
                <c:pt idx="3">
                  <c:v>7431.2019934785803</c:v>
                </c:pt>
                <c:pt idx="4">
                  <c:v>3438.077914161478</c:v>
                </c:pt>
                <c:pt idx="5">
                  <c:v>898.325943587202</c:v>
                </c:pt>
                <c:pt idx="6">
                  <c:v>-1774.1106159986462</c:v>
                </c:pt>
                <c:pt idx="7">
                  <c:v>-4577.3914348524595</c:v>
                </c:pt>
                <c:pt idx="8">
                  <c:v>-5295.3028890086762</c:v>
                </c:pt>
                <c:pt idx="9">
                  <c:v>-3625.9205946886777</c:v>
                </c:pt>
                <c:pt idx="10">
                  <c:v>-1479.6564176073266</c:v>
                </c:pt>
                <c:pt idx="11">
                  <c:v>1229.7865342305092</c:v>
                </c:pt>
                <c:pt idx="12">
                  <c:v>4602.1442065179835</c:v>
                </c:pt>
                <c:pt idx="13">
                  <c:v>8752.5345913889141</c:v>
                </c:pt>
                <c:pt idx="14">
                  <c:v>13813.669645859938</c:v>
                </c:pt>
                <c:pt idx="15">
                  <c:v>19938.372324520664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4C-4AD5-8CC6-84E3B5E9CF83}"/>
            </c:ext>
          </c:extLst>
        </c:ser>
        <c:ser>
          <c:idx val="1"/>
          <c:order val="1"/>
          <c:tx>
            <c:strRef>
              <c:f>Sheet1!$D$2</c:f>
              <c:strCache>
                <c:ptCount val="1"/>
                <c:pt idx="0">
                  <c:v>MPM income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Sheet1!$B$3:$B$18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xVal>
          <c:yVal>
            <c:numRef>
              <c:f>Sheet1!$D$3:$D$18</c:f>
              <c:numCache>
                <c:formatCode>#,##0</c:formatCode>
                <c:ptCount val="16"/>
                <c:pt idx="0">
                  <c:v>21822.421710368832</c:v>
                </c:pt>
                <c:pt idx="1">
                  <c:v>18754.346690697366</c:v>
                </c:pt>
                <c:pt idx="2">
                  <c:v>11005.26246830568</c:v>
                </c:pt>
                <c:pt idx="3">
                  <c:v>5586.6811561562026</c:v>
                </c:pt>
                <c:pt idx="4">
                  <c:v>1887.7157669789979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1514.1085085749405</c:v>
                </c:pt>
                <c:pt idx="12">
                  <c:v>4499.0880454053604</c:v>
                </c:pt>
                <c:pt idx="13">
                  <c:v>8123.3038176720966</c:v>
                </c:pt>
                <c:pt idx="14">
                  <c:v>12487.858121305209</c:v>
                </c:pt>
                <c:pt idx="15">
                  <c:v>17708.020125165014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4C-4AD5-8CC6-84E3B5E9CF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2511528"/>
        <c:axId val="1"/>
      </c:scatterChart>
      <c:valAx>
        <c:axId val="1072511528"/>
        <c:scaling>
          <c:orientation val="minMax"/>
          <c:max val="16"/>
          <c:min val="1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25000"/>
          <c:min val="-6000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7251152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9890754731119266"/>
          <c:y val="0.41491900523651093"/>
          <c:w val="0.2222224692783813"/>
          <c:h val="0.1142192767224102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106680</xdr:colOff>
      <xdr:row>1</xdr:row>
      <xdr:rowOff>99060</xdr:rowOff>
    </xdr:from>
    <xdr:to>
      <xdr:col>12</xdr:col>
      <xdr:colOff>457200</xdr:colOff>
      <xdr:row>24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BE0AE18-48BD-4BE6-80B8-FD863F1BF2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504825</xdr:colOff>
      <xdr:row>1</xdr:row>
      <xdr:rowOff>47625</xdr:rowOff>
    </xdr:from>
    <xdr:to>
      <xdr:col>27</xdr:col>
      <xdr:colOff>95250</xdr:colOff>
      <xdr:row>28</xdr:row>
      <xdr:rowOff>9525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81636D63-B04A-C716-BF9E-FBA959A527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8429625" y="266700"/>
          <a:ext cx="8124825" cy="47529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7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221"/>
      <sheetName val="Page 221 (中文)"/>
      <sheetName val="Page 223"/>
      <sheetName val="Page 223 (中文)"/>
      <sheetName val="Page 224 "/>
      <sheetName val="Page 224(中文)"/>
      <sheetName val="Page 225"/>
      <sheetName val="Page 225 (中文)"/>
      <sheetName val="Pages 226, 228 top"/>
      <sheetName val="Pages 226, 228 top (中文)"/>
      <sheetName val="Page 228, bottom"/>
      <sheetName val="Page 228, bottom (中文)"/>
      <sheetName val="Page 230"/>
      <sheetName val="Page 230 (中文)"/>
      <sheetName val="Page 232"/>
      <sheetName val="Page 232 (中文)"/>
      <sheetName val="Page 233"/>
      <sheetName val="Page 233 (中文)"/>
      <sheetName val="Page 234"/>
      <sheetName val="Page 234 (中文)"/>
    </sheetNames>
    <sheetDataSet>
      <sheetData sheetId="0"/>
      <sheetData sheetId="1"/>
      <sheetData sheetId="4"/>
      <sheetData sheetId="5"/>
      <sheetData sheetId="8"/>
      <sheetData sheetId="9"/>
      <sheetData sheetId="10">
        <row r="7">
          <cell r="D7">
            <v>24913.369449103808</v>
          </cell>
        </row>
        <row r="8">
          <cell r="D8">
            <v>21795.759096773185</v>
          </cell>
        </row>
        <row r="9">
          <cell r="D9">
            <v>13327.946663454351</v>
          </cell>
        </row>
        <row r="10">
          <cell r="D10">
            <v>7431.2019934785803</v>
          </cell>
        </row>
        <row r="11">
          <cell r="D11">
            <v>3438.077914161478</v>
          </cell>
        </row>
        <row r="12">
          <cell r="D12">
            <v>898.325943587202</v>
          </cell>
        </row>
        <row r="13">
          <cell r="D13">
            <v>-1774.1106159986462</v>
          </cell>
        </row>
        <row r="14">
          <cell r="D14">
            <v>-4577.3914348524595</v>
          </cell>
        </row>
        <row r="15">
          <cell r="D15">
            <v>-5295.3028890086762</v>
          </cell>
        </row>
        <row r="16">
          <cell r="D16">
            <v>-3625.9205946886777</v>
          </cell>
        </row>
        <row r="17">
          <cell r="D17">
            <v>-1479.6564176073266</v>
          </cell>
        </row>
        <row r="18">
          <cell r="D18">
            <v>1229.7865342305092</v>
          </cell>
        </row>
        <row r="19">
          <cell r="D19">
            <v>4602.1442065179835</v>
          </cell>
        </row>
        <row r="20">
          <cell r="D20">
            <v>8752.5345913889141</v>
          </cell>
        </row>
        <row r="21">
          <cell r="D21">
            <v>13813.669645859938</v>
          </cell>
        </row>
        <row r="22">
          <cell r="D22">
            <v>19938.372324520664</v>
          </cell>
        </row>
      </sheetData>
      <sheetData sheetId="11"/>
      <sheetData sheetId="12"/>
      <sheetData sheetId="13"/>
      <sheetData sheetId="14"/>
      <sheetData sheetId="15"/>
      <sheetData sheetId="16">
        <row r="6">
          <cell r="D6">
            <v>21822.421710368832</v>
          </cell>
        </row>
        <row r="7">
          <cell r="D7">
            <v>18754.346690697366</v>
          </cell>
        </row>
        <row r="8">
          <cell r="D8">
            <v>11005.26246830568</v>
          </cell>
        </row>
        <row r="9">
          <cell r="D9">
            <v>5586.6811561562026</v>
          </cell>
        </row>
        <row r="10">
          <cell r="D10">
            <v>1887.7157669789979</v>
          </cell>
        </row>
        <row r="11">
          <cell r="D11">
            <v>0</v>
          </cell>
        </row>
        <row r="12">
          <cell r="D12">
            <v>0</v>
          </cell>
        </row>
        <row r="13">
          <cell r="D13">
            <v>0</v>
          </cell>
        </row>
        <row r="14">
          <cell r="D14">
            <v>0</v>
          </cell>
        </row>
        <row r="15">
          <cell r="D15">
            <v>0</v>
          </cell>
        </row>
        <row r="16">
          <cell r="D16">
            <v>0</v>
          </cell>
        </row>
        <row r="17">
          <cell r="D17">
            <v>1514.1085085749405</v>
          </cell>
        </row>
        <row r="18">
          <cell r="D18">
            <v>4499.0880454053604</v>
          </cell>
        </row>
        <row r="19">
          <cell r="D19">
            <v>8123.3038176720966</v>
          </cell>
        </row>
        <row r="20">
          <cell r="D20">
            <v>12487.858121305209</v>
          </cell>
        </row>
        <row r="21">
          <cell r="D21">
            <v>17708.020125165014</v>
          </cell>
        </row>
      </sheetData>
      <sheetData sheetId="17"/>
      <sheetData sheetId="18">
        <row r="2">
          <cell r="C2" t="str">
            <v>IRR income</v>
          </cell>
          <cell r="D2" t="str">
            <v>MPM income</v>
          </cell>
        </row>
        <row r="3">
          <cell r="B3">
            <v>1</v>
          </cell>
          <cell r="C3">
            <v>24913.369449103808</v>
          </cell>
          <cell r="D3">
            <v>21822.421710368832</v>
          </cell>
        </row>
        <row r="4">
          <cell r="B4">
            <v>2</v>
          </cell>
          <cell r="C4">
            <v>21795.759096773185</v>
          </cell>
          <cell r="D4">
            <v>18754.346690697366</v>
          </cell>
        </row>
        <row r="5">
          <cell r="B5">
            <v>3</v>
          </cell>
          <cell r="C5">
            <v>13327.946663454351</v>
          </cell>
          <cell r="D5">
            <v>11005.26246830568</v>
          </cell>
        </row>
        <row r="6">
          <cell r="B6">
            <v>4</v>
          </cell>
          <cell r="C6">
            <v>7431.2019934785803</v>
          </cell>
          <cell r="D6">
            <v>5586.6811561562026</v>
          </cell>
        </row>
        <row r="7">
          <cell r="B7">
            <v>5</v>
          </cell>
          <cell r="C7">
            <v>3438.077914161478</v>
          </cell>
          <cell r="D7">
            <v>1887.7157669789979</v>
          </cell>
        </row>
        <row r="8">
          <cell r="B8">
            <v>6</v>
          </cell>
          <cell r="C8">
            <v>898.325943587202</v>
          </cell>
          <cell r="D8">
            <v>0</v>
          </cell>
        </row>
        <row r="9">
          <cell r="B9">
            <v>7</v>
          </cell>
          <cell r="C9">
            <v>-1774.1106159986462</v>
          </cell>
          <cell r="D9">
            <v>0</v>
          </cell>
        </row>
        <row r="10">
          <cell r="B10">
            <v>8</v>
          </cell>
          <cell r="C10">
            <v>-4577.3914348524595</v>
          </cell>
          <cell r="D10">
            <v>0</v>
          </cell>
        </row>
        <row r="11">
          <cell r="B11">
            <v>9</v>
          </cell>
          <cell r="C11">
            <v>-5295.3028890086762</v>
          </cell>
          <cell r="D11">
            <v>0</v>
          </cell>
        </row>
        <row r="12">
          <cell r="B12">
            <v>10</v>
          </cell>
          <cell r="C12">
            <v>-3625.9205946886777</v>
          </cell>
          <cell r="D12">
            <v>0</v>
          </cell>
        </row>
        <row r="13">
          <cell r="B13">
            <v>11</v>
          </cell>
          <cell r="C13">
            <v>-1479.6564176073266</v>
          </cell>
          <cell r="D13">
            <v>0</v>
          </cell>
        </row>
        <row r="14">
          <cell r="B14">
            <v>12</v>
          </cell>
          <cell r="C14">
            <v>1229.7865342305092</v>
          </cell>
          <cell r="D14">
            <v>1514.1085085749405</v>
          </cell>
        </row>
        <row r="15">
          <cell r="B15">
            <v>13</v>
          </cell>
          <cell r="C15">
            <v>4602.1442065179835</v>
          </cell>
          <cell r="D15">
            <v>4499.0880454053604</v>
          </cell>
        </row>
        <row r="16">
          <cell r="B16">
            <v>14</v>
          </cell>
          <cell r="C16">
            <v>8752.5345913889141</v>
          </cell>
          <cell r="D16">
            <v>8123.3038176720966</v>
          </cell>
        </row>
        <row r="17">
          <cell r="B17">
            <v>15</v>
          </cell>
          <cell r="C17">
            <v>13813.669645859938</v>
          </cell>
          <cell r="D17">
            <v>12487.858121305209</v>
          </cell>
        </row>
        <row r="18">
          <cell r="B18">
            <v>16</v>
          </cell>
          <cell r="C18">
            <v>19938.372324520664</v>
          </cell>
          <cell r="D18">
            <v>17708.020125165014</v>
          </cell>
        </row>
      </sheetData>
      <sheetData sheetId="19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M27"/>
  <sheetViews>
    <sheetView tabSelected="1" zoomScale="175" zoomScaleNormal="175" workbookViewId="0">
      <selection activeCell="N12" sqref="N12"/>
    </sheetView>
  </sheetViews>
  <sheetFormatPr defaultRowHeight="13.8" x14ac:dyDescent="0.25"/>
  <sheetData>
    <row r="1" spans="1:13" ht="17.399999999999999" x14ac:dyDescent="0.3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ht="26.4" x14ac:dyDescent="0.25">
      <c r="A2" s="2"/>
      <c r="B2" s="3" t="s">
        <v>1</v>
      </c>
      <c r="C2" s="3" t="s">
        <v>2</v>
      </c>
      <c r="D2" s="3" t="s">
        <v>3</v>
      </c>
      <c r="E2" s="2"/>
      <c r="F2" s="2"/>
      <c r="G2" s="2"/>
      <c r="H2" s="2"/>
      <c r="I2" s="2"/>
      <c r="J2" s="2"/>
      <c r="K2" s="2"/>
      <c r="L2" s="2"/>
      <c r="M2" s="2"/>
    </row>
    <row r="3" spans="1:13" x14ac:dyDescent="0.25">
      <c r="A3" s="4"/>
      <c r="B3" s="5">
        <v>1</v>
      </c>
      <c r="C3" s="6">
        <f>'[1]Page 228, bottom'!D7</f>
        <v>24913.369449103808</v>
      </c>
      <c r="D3" s="6">
        <f>'[1]Page 233'!D6</f>
        <v>21822.421710368832</v>
      </c>
      <c r="E3" s="4"/>
      <c r="F3" s="4"/>
      <c r="G3" s="4"/>
      <c r="H3" s="4"/>
      <c r="I3" s="4"/>
      <c r="J3" s="4"/>
      <c r="K3" s="4"/>
      <c r="L3" s="4"/>
      <c r="M3" s="4"/>
    </row>
    <row r="4" spans="1:13" x14ac:dyDescent="0.25">
      <c r="A4" s="4"/>
      <c r="B4" s="5">
        <v>2</v>
      </c>
      <c r="C4" s="6">
        <f>'[1]Page 228, bottom'!D8</f>
        <v>21795.759096773185</v>
      </c>
      <c r="D4" s="6">
        <f>'[1]Page 233'!D7</f>
        <v>18754.346690697366</v>
      </c>
      <c r="E4" s="4"/>
      <c r="F4" s="4"/>
      <c r="G4" s="4"/>
      <c r="H4" s="4"/>
      <c r="I4" s="4"/>
      <c r="J4" s="4"/>
      <c r="K4" s="4"/>
      <c r="L4" s="4"/>
      <c r="M4" s="4"/>
    </row>
    <row r="5" spans="1:13" x14ac:dyDescent="0.25">
      <c r="A5" s="4"/>
      <c r="B5" s="5">
        <v>3</v>
      </c>
      <c r="C5" s="6">
        <f>'[1]Page 228, bottom'!D9</f>
        <v>13327.946663454351</v>
      </c>
      <c r="D5" s="6">
        <f>'[1]Page 233'!D8</f>
        <v>11005.26246830568</v>
      </c>
      <c r="E5" s="4"/>
      <c r="F5" s="4"/>
      <c r="G5" s="4"/>
      <c r="H5" s="4"/>
      <c r="I5" s="4"/>
      <c r="J5" s="4"/>
      <c r="K5" s="4"/>
      <c r="L5" s="4"/>
      <c r="M5" s="4"/>
    </row>
    <row r="6" spans="1:13" x14ac:dyDescent="0.25">
      <c r="A6" s="4"/>
      <c r="B6" s="5">
        <v>4</v>
      </c>
      <c r="C6" s="6">
        <f>'[1]Page 228, bottom'!D10</f>
        <v>7431.2019934785803</v>
      </c>
      <c r="D6" s="6">
        <f>'[1]Page 233'!D9</f>
        <v>5586.6811561562026</v>
      </c>
      <c r="E6" s="4"/>
      <c r="F6" s="4"/>
      <c r="G6" s="4"/>
      <c r="H6" s="4"/>
      <c r="I6" s="4"/>
      <c r="J6" s="4"/>
      <c r="K6" s="4"/>
      <c r="L6" s="4"/>
      <c r="M6" s="4"/>
    </row>
    <row r="7" spans="1:13" x14ac:dyDescent="0.25">
      <c r="A7" s="4"/>
      <c r="B7" s="5">
        <v>5</v>
      </c>
      <c r="C7" s="6">
        <f>'[1]Page 228, bottom'!D11</f>
        <v>3438.077914161478</v>
      </c>
      <c r="D7" s="6">
        <f>'[1]Page 233'!D10</f>
        <v>1887.7157669789979</v>
      </c>
      <c r="E7" s="4"/>
      <c r="F7" s="4"/>
      <c r="G7" s="4"/>
      <c r="H7" s="4"/>
      <c r="I7" s="4"/>
      <c r="J7" s="4"/>
      <c r="K7" s="4"/>
      <c r="L7" s="4"/>
      <c r="M7" s="4"/>
    </row>
    <row r="8" spans="1:13" x14ac:dyDescent="0.25">
      <c r="A8" s="4"/>
      <c r="B8" s="5">
        <v>6</v>
      </c>
      <c r="C8" s="6">
        <f>'[1]Page 228, bottom'!D12</f>
        <v>898.325943587202</v>
      </c>
      <c r="D8" s="6">
        <f>'[1]Page 233'!D11</f>
        <v>0</v>
      </c>
      <c r="E8" s="4"/>
      <c r="F8" s="4"/>
      <c r="G8" s="4"/>
      <c r="H8" s="4"/>
      <c r="I8" s="4"/>
      <c r="J8" s="4"/>
      <c r="K8" s="4"/>
      <c r="L8" s="4"/>
      <c r="M8" s="4"/>
    </row>
    <row r="9" spans="1:13" x14ac:dyDescent="0.25">
      <c r="A9" s="4"/>
      <c r="B9" s="5">
        <v>7</v>
      </c>
      <c r="C9" s="6">
        <f>'[1]Page 228, bottom'!D13</f>
        <v>-1774.1106159986462</v>
      </c>
      <c r="D9" s="6">
        <f>'[1]Page 233'!D12</f>
        <v>0</v>
      </c>
      <c r="E9" s="4"/>
      <c r="F9" s="4"/>
      <c r="G9" s="4"/>
      <c r="H9" s="4"/>
      <c r="I9" s="4"/>
      <c r="J9" s="4"/>
      <c r="K9" s="4"/>
      <c r="L9" s="4"/>
      <c r="M9" s="4"/>
    </row>
    <row r="10" spans="1:13" x14ac:dyDescent="0.25">
      <c r="A10" s="4"/>
      <c r="B10" s="5">
        <v>8</v>
      </c>
      <c r="C10" s="6">
        <f>'[1]Page 228, bottom'!D14</f>
        <v>-4577.3914348524595</v>
      </c>
      <c r="D10" s="6">
        <f>'[1]Page 233'!D13</f>
        <v>0</v>
      </c>
      <c r="E10" s="4"/>
      <c r="F10" s="4"/>
      <c r="G10" s="4"/>
      <c r="H10" s="4"/>
      <c r="I10" s="4"/>
      <c r="J10" s="4"/>
      <c r="K10" s="4"/>
      <c r="L10" s="4"/>
      <c r="M10" s="4"/>
    </row>
    <row r="11" spans="1:13" x14ac:dyDescent="0.25">
      <c r="A11" s="4"/>
      <c r="B11" s="5">
        <v>9</v>
      </c>
      <c r="C11" s="6">
        <f>'[1]Page 228, bottom'!D15</f>
        <v>-5295.3028890086762</v>
      </c>
      <c r="D11" s="6">
        <f>'[1]Page 233'!D14</f>
        <v>0</v>
      </c>
      <c r="E11" s="4"/>
      <c r="F11" s="4"/>
      <c r="G11" s="4"/>
      <c r="H11" s="4"/>
      <c r="I11" s="4"/>
      <c r="J11" s="4"/>
      <c r="K11" s="4"/>
      <c r="L11" s="4"/>
      <c r="M11" s="4"/>
    </row>
    <row r="12" spans="1:13" x14ac:dyDescent="0.25">
      <c r="A12" s="4"/>
      <c r="B12" s="5">
        <v>10</v>
      </c>
      <c r="C12" s="6">
        <f>'[1]Page 228, bottom'!D16</f>
        <v>-3625.9205946886777</v>
      </c>
      <c r="D12" s="6">
        <f>'[1]Page 233'!D15</f>
        <v>0</v>
      </c>
      <c r="E12" s="4"/>
      <c r="F12" s="4"/>
      <c r="G12" s="4"/>
      <c r="H12" s="4"/>
      <c r="I12" s="4"/>
      <c r="J12" s="4"/>
      <c r="K12" s="4"/>
      <c r="L12" s="4"/>
      <c r="M12" s="4"/>
    </row>
    <row r="13" spans="1:13" x14ac:dyDescent="0.25">
      <c r="A13" s="4"/>
      <c r="B13" s="5">
        <v>11</v>
      </c>
      <c r="C13" s="6">
        <f>'[1]Page 228, bottom'!D17</f>
        <v>-1479.6564176073266</v>
      </c>
      <c r="D13" s="6">
        <f>'[1]Page 233'!D16</f>
        <v>0</v>
      </c>
      <c r="E13" s="4"/>
      <c r="F13" s="4"/>
      <c r="G13" s="4"/>
      <c r="H13" s="4"/>
      <c r="I13" s="4"/>
      <c r="J13" s="4"/>
      <c r="K13" s="4"/>
      <c r="L13" s="4"/>
      <c r="M13" s="4"/>
    </row>
    <row r="14" spans="1:13" x14ac:dyDescent="0.25">
      <c r="A14" s="4"/>
      <c r="B14" s="5">
        <v>12</v>
      </c>
      <c r="C14" s="6">
        <f>'[1]Page 228, bottom'!D18</f>
        <v>1229.7865342305092</v>
      </c>
      <c r="D14" s="6">
        <f>'[1]Page 233'!D17</f>
        <v>1514.1085085749405</v>
      </c>
      <c r="E14" s="4"/>
      <c r="F14" s="4"/>
      <c r="G14" s="4"/>
      <c r="H14" s="4"/>
      <c r="I14" s="4"/>
      <c r="J14" s="4"/>
      <c r="K14" s="4"/>
      <c r="L14" s="4"/>
      <c r="M14" s="4"/>
    </row>
    <row r="15" spans="1:13" x14ac:dyDescent="0.25">
      <c r="A15" s="4"/>
      <c r="B15" s="5">
        <v>13</v>
      </c>
      <c r="C15" s="6">
        <f>'[1]Page 228, bottom'!D19</f>
        <v>4602.1442065179835</v>
      </c>
      <c r="D15" s="6">
        <f>'[1]Page 233'!D18</f>
        <v>4499.0880454053604</v>
      </c>
      <c r="E15" s="4"/>
      <c r="F15" s="4"/>
      <c r="G15" s="4"/>
      <c r="H15" s="4"/>
      <c r="I15" s="4"/>
      <c r="J15" s="4"/>
      <c r="K15" s="4"/>
      <c r="L15" s="4"/>
      <c r="M15" s="4"/>
    </row>
    <row r="16" spans="1:13" x14ac:dyDescent="0.25">
      <c r="A16" s="4"/>
      <c r="B16" s="5">
        <v>14</v>
      </c>
      <c r="C16" s="6">
        <f>'[1]Page 228, bottom'!D20</f>
        <v>8752.5345913889141</v>
      </c>
      <c r="D16" s="6">
        <f>'[1]Page 233'!D19</f>
        <v>8123.3038176720966</v>
      </c>
      <c r="E16" s="4"/>
      <c r="F16" s="4"/>
      <c r="G16" s="4"/>
      <c r="H16" s="4"/>
      <c r="I16" s="4"/>
      <c r="J16" s="4"/>
      <c r="K16" s="4"/>
      <c r="L16" s="4"/>
      <c r="M16" s="4"/>
    </row>
    <row r="17" spans="1:13" x14ac:dyDescent="0.25">
      <c r="A17" s="4"/>
      <c r="B17" s="5">
        <v>15</v>
      </c>
      <c r="C17" s="6">
        <f>'[1]Page 228, bottom'!D21</f>
        <v>13813.669645859938</v>
      </c>
      <c r="D17" s="6">
        <f>'[1]Page 233'!D20</f>
        <v>12487.858121305209</v>
      </c>
      <c r="E17" s="4"/>
      <c r="F17" s="4"/>
      <c r="G17" s="4"/>
      <c r="H17" s="4"/>
      <c r="I17" s="4"/>
      <c r="J17" s="4"/>
      <c r="K17" s="4"/>
      <c r="L17" s="4"/>
      <c r="M17" s="4"/>
    </row>
    <row r="18" spans="1:13" x14ac:dyDescent="0.25">
      <c r="A18" s="4"/>
      <c r="B18" s="5">
        <v>16</v>
      </c>
      <c r="C18" s="6">
        <f>'[1]Page 228, bottom'!D22</f>
        <v>19938.372324520664</v>
      </c>
      <c r="D18" s="6">
        <f>'[1]Page 233'!D21</f>
        <v>17708.020125165014</v>
      </c>
      <c r="E18" s="4"/>
      <c r="F18" s="4"/>
      <c r="G18" s="4"/>
      <c r="H18" s="4"/>
      <c r="I18" s="4"/>
      <c r="J18" s="4"/>
      <c r="K18" s="4"/>
      <c r="L18" s="4"/>
      <c r="M18" s="4"/>
    </row>
    <row r="19" spans="1:13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</row>
    <row r="20" spans="1:13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</row>
    <row r="21" spans="1:13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</row>
    <row r="22" spans="1:13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</row>
    <row r="23" spans="1:13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</row>
    <row r="24" spans="1:13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</row>
    <row r="25" spans="1:13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</row>
    <row r="26" spans="1:13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</row>
    <row r="27" spans="1:13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</row>
  </sheetData>
  <mergeCells count="1">
    <mergeCell ref="A1:M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2024-10-23T08:06:53Z</dcterms:modified>
</cp:coreProperties>
</file>