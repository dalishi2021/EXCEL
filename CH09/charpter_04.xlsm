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9\"/>
    </mc:Choice>
  </mc:AlternateContent>
  <xr:revisionPtr revIDLastSave="0" documentId="13_ncr:1_{E126CB06-156C-413A-93C6-923E5D7DC9D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7" i="1" l="1"/>
  <c r="L47" i="1"/>
  <c r="M46" i="1"/>
  <c r="L46" i="1"/>
  <c r="M45" i="1"/>
  <c r="L45" i="1"/>
  <c r="M44" i="1"/>
  <c r="L44" i="1"/>
  <c r="M43" i="1"/>
  <c r="L43" i="1"/>
  <c r="M42" i="1"/>
  <c r="L42" i="1"/>
  <c r="M41" i="1"/>
  <c r="L41" i="1"/>
  <c r="M40" i="1"/>
  <c r="L40" i="1"/>
  <c r="M39" i="1"/>
  <c r="L39" i="1"/>
  <c r="M38" i="1"/>
  <c r="L38" i="1"/>
  <c r="M37" i="1"/>
  <c r="L37" i="1"/>
  <c r="M36" i="1"/>
  <c r="L36" i="1"/>
  <c r="M35" i="1"/>
  <c r="L35" i="1"/>
  <c r="M34" i="1"/>
  <c r="L34" i="1"/>
  <c r="M33" i="1"/>
  <c r="L33" i="1"/>
  <c r="M32" i="1"/>
  <c r="L32" i="1"/>
  <c r="M31" i="1"/>
  <c r="L31" i="1"/>
  <c r="M30" i="1"/>
  <c r="L30" i="1"/>
  <c r="M29" i="1"/>
  <c r="L29" i="1"/>
  <c r="M28" i="1"/>
  <c r="L28" i="1"/>
  <c r="M27" i="1"/>
  <c r="L27" i="1"/>
  <c r="M26" i="1"/>
  <c r="L26" i="1"/>
  <c r="M25" i="1"/>
  <c r="L25" i="1"/>
  <c r="M24" i="1"/>
  <c r="L24" i="1"/>
  <c r="M23" i="1"/>
  <c r="L23" i="1"/>
  <c r="M22" i="1"/>
  <c r="L22" i="1"/>
  <c r="M21" i="1"/>
  <c r="L21" i="1"/>
  <c r="M20" i="1"/>
  <c r="L20" i="1"/>
  <c r="A12" i="1" a="1"/>
  <c r="A13" i="1" s="1"/>
  <c r="A10" i="1"/>
  <c r="C6" i="1"/>
  <c r="B6" i="1"/>
  <c r="A6" i="1"/>
  <c r="B5" i="1"/>
  <c r="A5" i="1"/>
  <c r="A4" i="1"/>
  <c r="G16" i="1"/>
  <c r="G12" i="1"/>
  <c r="B12" i="1"/>
  <c r="A14" i="1" l="1"/>
  <c r="A15" i="1"/>
  <c r="A12" i="1"/>
  <c r="F12" i="1" s="1" a="1"/>
  <c r="F15" i="1" l="1"/>
  <c r="F14" i="1"/>
  <c r="F13" i="1"/>
  <c r="F12" i="1"/>
  <c r="B20" i="1" l="1" a="1"/>
  <c r="B20" i="1" s="1"/>
  <c r="B19" i="1"/>
  <c r="N27" i="1" s="1"/>
  <c r="F16" i="1"/>
</calcChain>
</file>

<file path=xl/sharedStrings.xml><?xml version="1.0" encoding="utf-8"?>
<sst xmlns="http://schemas.openxmlformats.org/spreadsheetml/2006/main" count="11" uniqueCount="11">
  <si>
    <r>
      <t>IF c = r</t>
    </r>
    <r>
      <rPr>
        <b/>
        <vertAlign val="subscript"/>
        <sz val="14"/>
        <rFont val="Arial"/>
        <family val="2"/>
      </rPr>
      <t xml:space="preserve">f  </t>
    </r>
    <r>
      <rPr>
        <b/>
        <sz val="14"/>
        <rFont val="Arial"/>
        <family val="2"/>
      </rPr>
      <t xml:space="preserve">AND THE OPTIMIZING PORTFOLIO IS EFFICIENT, THEN THE ENVELOPE PORTFOLIO IS OPTIMAL
</t>
    </r>
    <r>
      <rPr>
        <b/>
        <sz val="12"/>
        <rFont val="Arial"/>
        <family val="2"/>
      </rPr>
      <t xml:space="preserve">The portfolio </t>
    </r>
    <r>
      <rPr>
        <b/>
        <i/>
        <sz val="12"/>
        <rFont val="Arial"/>
        <family val="2"/>
      </rPr>
      <t>x</t>
    </r>
    <r>
      <rPr>
        <b/>
        <sz val="12"/>
        <rFont val="Arial"/>
        <family val="2"/>
      </rPr>
      <t xml:space="preserve"> determined by the constant c= 4% is optimal</t>
    </r>
  </si>
  <si>
    <t>Variance-covariance matrix</t>
  </si>
  <si>
    <t>Expected returns</t>
  </si>
  <si>
    <t>Constant</t>
  </si>
  <si>
    <t>z</t>
  </si>
  <si>
    <t>Envelope portfolio
x</t>
  </si>
  <si>
    <t>Sum</t>
  </si>
  <si>
    <r>
      <t>E(r</t>
    </r>
    <r>
      <rPr>
        <vertAlign val="subscript"/>
        <sz val="10"/>
        <rFont val="Arial"/>
        <family val="2"/>
      </rPr>
      <t>x</t>
    </r>
    <r>
      <rPr>
        <sz val="11"/>
        <color theme="1"/>
        <rFont val="等线"/>
        <family val="2"/>
        <charset val="134"/>
        <scheme val="minor"/>
      </rPr>
      <t>)</t>
    </r>
  </si>
  <si>
    <t>Sigma</t>
  </si>
  <si>
    <t>Return</t>
  </si>
  <si>
    <r>
      <t>s</t>
    </r>
    <r>
      <rPr>
        <vertAlign val="subscript"/>
        <sz val="10"/>
        <rFont val="Arial"/>
        <family val="2"/>
      </rPr>
      <t>x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</si>
</sst>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vertAlign val="subscript"/>
      <sz val="14"/>
      <name val="Arial"/>
      <family val="2"/>
    </font>
    <font>
      <b/>
      <sz val="12"/>
      <name val="Arial"/>
      <family val="2"/>
    </font>
    <font>
      <b/>
      <i/>
      <sz val="12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/>
    <xf numFmtId="0" fontId="0" fillId="0" borderId="0" xfId="0" applyAlignme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wrapText="1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2" borderId="0" xfId="0" applyFill="1" applyAlignment="1"/>
    <xf numFmtId="0" fontId="6" fillId="0" borderId="0" xfId="0" applyFont="1" applyAlignment="1"/>
    <xf numFmtId="176" fontId="0" fillId="0" borderId="0" xfId="0" applyNumberFormat="1" applyAlignment="1"/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/>
    <xf numFmtId="0" fontId="8" fillId="2" borderId="0" xfId="0" applyFont="1" applyFill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82779957624706"/>
          <c:y val="0.11578957287346908"/>
          <c:w val="0.78620805484248379"/>
          <c:h val="0.684211112434135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Sheet1!$L$20:$L$47</c:f>
              <c:numCache>
                <c:formatCode>General</c:formatCode>
                <c:ptCount val="28"/>
                <c:pt idx="0">
                  <c:v>0.21993805158731042</c:v>
                </c:pt>
                <c:pt idx="1">
                  <c:v>0.2164321629484347</c:v>
                </c:pt>
                <c:pt idx="2">
                  <c:v>0.21310770581613184</c:v>
                </c:pt>
                <c:pt idx="3">
                  <c:v>0.20997329805252407</c:v>
                </c:pt>
                <c:pt idx="4">
                  <c:v>0.2070375714913964</c:v>
                </c:pt>
                <c:pt idx="5">
                  <c:v>0.20430909088980331</c:v>
                </c:pt>
                <c:pt idx="6">
                  <c:v>0.2017962629201607</c:v>
                </c:pt>
                <c:pt idx="7">
                  <c:v>0.19950723629490036</c:v>
                </c:pt>
                <c:pt idx="8">
                  <c:v>0.19844909819197518</c:v>
                </c:pt>
                <c:pt idx="9">
                  <c:v>0.19744979472432397</c:v>
                </c:pt>
                <c:pt idx="10">
                  <c:v>0.19651022346035232</c:v>
                </c:pt>
                <c:pt idx="11">
                  <c:v>0.19563124504150151</c:v>
                </c:pt>
                <c:pt idx="12">
                  <c:v>0.19481367963474455</c:v>
                </c:pt>
                <c:pt idx="13">
                  <c:v>0.19405830343858063</c:v>
                </c:pt>
                <c:pt idx="14">
                  <c:v>0.19336584527362127</c:v>
                </c:pt>
                <c:pt idx="15">
                  <c:v>0.19273698328964869</c:v>
                </c:pt>
                <c:pt idx="16">
                  <c:v>0.19217234182133772</c:v>
                </c:pt>
                <c:pt idx="17">
                  <c:v>0.19167248842463094</c:v>
                </c:pt>
                <c:pt idx="18">
                  <c:v>0.19086911590759811</c:v>
                </c:pt>
                <c:pt idx="19">
                  <c:v>0.19033017231371338</c:v>
                </c:pt>
                <c:pt idx="20">
                  <c:v>0.1900579071644993</c:v>
                </c:pt>
                <c:pt idx="21">
                  <c:v>0.19005346657110175</c:v>
                </c:pt>
                <c:pt idx="22">
                  <c:v>0.19031686928067681</c:v>
                </c:pt>
                <c:pt idx="23">
                  <c:v>0.19084700628269075</c:v>
                </c:pt>
                <c:pt idx="24">
                  <c:v>0.19164166399427479</c:v>
                </c:pt>
                <c:pt idx="25">
                  <c:v>0.19269756990446321</c:v>
                </c:pt>
                <c:pt idx="26">
                  <c:v>0.19401045851406651</c:v>
                </c:pt>
                <c:pt idx="27">
                  <c:v>0.19557515454615695</c:v>
                </c:pt>
              </c:numCache>
            </c:numRef>
          </c:xVal>
          <c:yVal>
            <c:numRef>
              <c:f>Sheet1!$M$20:$M$47</c:f>
              <c:numCache>
                <c:formatCode>General</c:formatCode>
                <c:ptCount val="28"/>
                <c:pt idx="0">
                  <c:v>7.3377156127424029E-2</c:v>
                </c:pt>
                <c:pt idx="1">
                  <c:v>7.3039155329599786E-2</c:v>
                </c:pt>
                <c:pt idx="2">
                  <c:v>7.2701154531775516E-2</c:v>
                </c:pt>
                <c:pt idx="3">
                  <c:v>7.2363153733951274E-2</c:v>
                </c:pt>
                <c:pt idx="4">
                  <c:v>7.202515293612699E-2</c:v>
                </c:pt>
                <c:pt idx="5">
                  <c:v>7.1687152138302762E-2</c:v>
                </c:pt>
                <c:pt idx="6">
                  <c:v>7.1349151340478506E-2</c:v>
                </c:pt>
                <c:pt idx="7">
                  <c:v>7.1011150542654236E-2</c:v>
                </c:pt>
                <c:pt idx="8">
                  <c:v>7.0842150143742122E-2</c:v>
                </c:pt>
                <c:pt idx="9">
                  <c:v>7.067314974482998E-2</c:v>
                </c:pt>
                <c:pt idx="10">
                  <c:v>7.0504149345917852E-2</c:v>
                </c:pt>
                <c:pt idx="11">
                  <c:v>7.0335148947005724E-2</c:v>
                </c:pt>
                <c:pt idx="12">
                  <c:v>7.0166148548093596E-2</c:v>
                </c:pt>
                <c:pt idx="13">
                  <c:v>6.9997148149181468E-2</c:v>
                </c:pt>
                <c:pt idx="14">
                  <c:v>6.982814775026934E-2</c:v>
                </c:pt>
                <c:pt idx="15">
                  <c:v>6.9659147351357212E-2</c:v>
                </c:pt>
                <c:pt idx="16">
                  <c:v>6.9490146952445084E-2</c:v>
                </c:pt>
                <c:pt idx="17">
                  <c:v>6.9321146553532956E-2</c:v>
                </c:pt>
                <c:pt idx="18">
                  <c:v>6.89831457557087E-2</c:v>
                </c:pt>
                <c:pt idx="19">
                  <c:v>6.8645144957884457E-2</c:v>
                </c:pt>
                <c:pt idx="20">
                  <c:v>6.8307144160060174E-2</c:v>
                </c:pt>
                <c:pt idx="21">
                  <c:v>6.7969143362235931E-2</c:v>
                </c:pt>
                <c:pt idx="22">
                  <c:v>6.7631142564411661E-2</c:v>
                </c:pt>
                <c:pt idx="23">
                  <c:v>6.7293141766587419E-2</c:v>
                </c:pt>
                <c:pt idx="24">
                  <c:v>6.6955140968763163E-2</c:v>
                </c:pt>
                <c:pt idx="25">
                  <c:v>6.6617140170938921E-2</c:v>
                </c:pt>
                <c:pt idx="26">
                  <c:v>6.6279139373114665E-2</c:v>
                </c:pt>
                <c:pt idx="27">
                  <c:v>6.5941138575290409E-2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84-42A1-B6DF-DD45567739E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7"/>
            <c:marker>
              <c:symbol val="square"/>
              <c:size val="10"/>
            </c:marker>
            <c:bubble3D val="0"/>
            <c:extLst>
              <c:ext xmlns:c16="http://schemas.microsoft.com/office/drawing/2014/chart" uri="{C3380CC4-5D6E-409C-BE32-E72D297353CC}">
                <c16:uniqueId val="{00000002-4484-42A1-B6DF-DD45567739E7}"/>
              </c:ext>
            </c:extLst>
          </c:dPt>
          <c:xVal>
            <c:numRef>
              <c:f>Sheet1!$L$20:$L$47</c:f>
              <c:numCache>
                <c:formatCode>General</c:formatCode>
                <c:ptCount val="28"/>
                <c:pt idx="0">
                  <c:v>0.21993805158731042</c:v>
                </c:pt>
                <c:pt idx="1">
                  <c:v>0.2164321629484347</c:v>
                </c:pt>
                <c:pt idx="2">
                  <c:v>0.21310770581613184</c:v>
                </c:pt>
                <c:pt idx="3">
                  <c:v>0.20997329805252407</c:v>
                </c:pt>
                <c:pt idx="4">
                  <c:v>0.2070375714913964</c:v>
                </c:pt>
                <c:pt idx="5">
                  <c:v>0.20430909088980331</c:v>
                </c:pt>
                <c:pt idx="6">
                  <c:v>0.2017962629201607</c:v>
                </c:pt>
                <c:pt idx="7">
                  <c:v>0.19950723629490036</c:v>
                </c:pt>
                <c:pt idx="8">
                  <c:v>0.19844909819197518</c:v>
                </c:pt>
                <c:pt idx="9">
                  <c:v>0.19744979472432397</c:v>
                </c:pt>
                <c:pt idx="10">
                  <c:v>0.19651022346035232</c:v>
                </c:pt>
                <c:pt idx="11">
                  <c:v>0.19563124504150151</c:v>
                </c:pt>
                <c:pt idx="12">
                  <c:v>0.19481367963474455</c:v>
                </c:pt>
                <c:pt idx="13">
                  <c:v>0.19405830343858063</c:v>
                </c:pt>
                <c:pt idx="14">
                  <c:v>0.19336584527362127</c:v>
                </c:pt>
                <c:pt idx="15">
                  <c:v>0.19273698328964869</c:v>
                </c:pt>
                <c:pt idx="16">
                  <c:v>0.19217234182133772</c:v>
                </c:pt>
                <c:pt idx="17">
                  <c:v>0.19167248842463094</c:v>
                </c:pt>
                <c:pt idx="18">
                  <c:v>0.19086911590759811</c:v>
                </c:pt>
                <c:pt idx="19">
                  <c:v>0.19033017231371338</c:v>
                </c:pt>
                <c:pt idx="20">
                  <c:v>0.1900579071644993</c:v>
                </c:pt>
                <c:pt idx="21">
                  <c:v>0.19005346657110175</c:v>
                </c:pt>
                <c:pt idx="22">
                  <c:v>0.19031686928067681</c:v>
                </c:pt>
                <c:pt idx="23">
                  <c:v>0.19084700628269075</c:v>
                </c:pt>
                <c:pt idx="24">
                  <c:v>0.19164166399427479</c:v>
                </c:pt>
                <c:pt idx="25">
                  <c:v>0.19269756990446321</c:v>
                </c:pt>
                <c:pt idx="26">
                  <c:v>0.19401045851406651</c:v>
                </c:pt>
                <c:pt idx="27">
                  <c:v>0.19557515454615695</c:v>
                </c:pt>
              </c:numCache>
            </c:numRef>
          </c:xVal>
          <c:yVal>
            <c:numRef>
              <c:f>Sheet1!$N$20:$N$47</c:f>
              <c:numCache>
                <c:formatCode>General</c:formatCode>
                <c:ptCount val="28"/>
                <c:pt idx="7" formatCode="0.0000">
                  <c:v>7.1011150542654236E-2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84-42A1-B6DF-DD4556773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553160"/>
        <c:axId val="1"/>
      </c:scatterChart>
      <c:valAx>
        <c:axId val="1313553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313553160"/>
        <c:crosses val="autoZero"/>
        <c:crossBetween val="midCat"/>
        <c:majorUnit val="2.1000000000000003E-3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</xdr:row>
      <xdr:rowOff>60960</xdr:rowOff>
    </xdr:from>
    <xdr:to>
      <xdr:col>6</xdr:col>
      <xdr:colOff>1775460</xdr:colOff>
      <xdr:row>29</xdr:row>
      <xdr:rowOff>160020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9A6DB0D-BFA4-4290-9EBF-93DC830E3B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542925</xdr:colOff>
      <xdr:row>0</xdr:row>
      <xdr:rowOff>38100</xdr:rowOff>
    </xdr:from>
    <xdr:to>
      <xdr:col>35</xdr:col>
      <xdr:colOff>510540</xdr:colOff>
      <xdr:row>51</xdr:row>
      <xdr:rowOff>15240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ED390997-C09B-F196-0102-0E8CE748EE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687300" y="38100"/>
          <a:ext cx="12773025" cy="9324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268-70"/>
      <sheetName val="Pages 268-70中文"/>
      <sheetName val="Page 273"/>
      <sheetName val="Page 273中文"/>
      <sheetName val="Page 274"/>
      <sheetName val="Page 274中文"/>
      <sheetName val="Page 276"/>
      <sheetName val="Page 276中文"/>
      <sheetName val="Page 277"/>
      <sheetName val="Page 277中文"/>
      <sheetName val="Page 278"/>
      <sheetName val="Page 278中文"/>
      <sheetName val="Data for CML chart, p. 278"/>
      <sheetName val="Data for CML chart, p. 278中文"/>
      <sheetName val="Page 279"/>
      <sheetName val="Page 279中文"/>
      <sheetName val="Pages 280-81"/>
      <sheetName val="Pages 280-81中文"/>
      <sheetName val="Page 282"/>
      <sheetName val="Page 282中文"/>
    </sheetNames>
    <sheetDataSet>
      <sheetData sheetId="0">
        <row r="43">
          <cell r="B43">
            <v>0.21993805158731042</v>
          </cell>
          <cell r="C43">
            <v>7.3377156127424029E-2</v>
          </cell>
        </row>
        <row r="44">
          <cell r="B44">
            <v>0.2164321629484347</v>
          </cell>
          <cell r="C44">
            <v>7.3039155329599786E-2</v>
          </cell>
        </row>
        <row r="45">
          <cell r="B45">
            <v>0.21310770581613184</v>
          </cell>
          <cell r="C45">
            <v>7.2701154531775516E-2</v>
          </cell>
        </row>
        <row r="46">
          <cell r="B46">
            <v>0.20997329805252407</v>
          </cell>
          <cell r="C46">
            <v>7.2363153733951274E-2</v>
          </cell>
        </row>
        <row r="47">
          <cell r="B47">
            <v>0.2070375714913964</v>
          </cell>
          <cell r="C47">
            <v>7.202515293612699E-2</v>
          </cell>
        </row>
        <row r="48">
          <cell r="B48">
            <v>0.20430909088980331</v>
          </cell>
          <cell r="C48">
            <v>7.1687152138302762E-2</v>
          </cell>
        </row>
        <row r="49">
          <cell r="B49">
            <v>0.2017962629201607</v>
          </cell>
          <cell r="C49">
            <v>7.1349151340478506E-2</v>
          </cell>
        </row>
        <row r="50">
          <cell r="B50">
            <v>0.19950723629490036</v>
          </cell>
          <cell r="C50">
            <v>7.1011150542654236E-2</v>
          </cell>
        </row>
        <row r="51">
          <cell r="B51">
            <v>0.19844909819197518</v>
          </cell>
          <cell r="C51">
            <v>7.0842150143742122E-2</v>
          </cell>
        </row>
        <row r="52">
          <cell r="B52">
            <v>0.19744979472432397</v>
          </cell>
          <cell r="C52">
            <v>7.067314974482998E-2</v>
          </cell>
        </row>
        <row r="53">
          <cell r="B53">
            <v>0.19651022346035232</v>
          </cell>
          <cell r="C53">
            <v>7.0504149345917852E-2</v>
          </cell>
        </row>
        <row r="54">
          <cell r="B54">
            <v>0.19563124504150151</v>
          </cell>
          <cell r="C54">
            <v>7.0335148947005724E-2</v>
          </cell>
        </row>
        <row r="55">
          <cell r="B55">
            <v>0.19481367963474455</v>
          </cell>
          <cell r="C55">
            <v>7.0166148548093596E-2</v>
          </cell>
        </row>
        <row r="56">
          <cell r="B56">
            <v>0.19405830343858063</v>
          </cell>
          <cell r="C56">
            <v>6.9997148149181468E-2</v>
          </cell>
        </row>
        <row r="57">
          <cell r="B57">
            <v>0.19336584527362127</v>
          </cell>
          <cell r="C57">
            <v>6.982814775026934E-2</v>
          </cell>
        </row>
        <row r="58">
          <cell r="B58">
            <v>0.19273698328964869</v>
          </cell>
          <cell r="C58">
            <v>6.9659147351357212E-2</v>
          </cell>
        </row>
        <row r="59">
          <cell r="B59">
            <v>0.19217234182133772</v>
          </cell>
          <cell r="C59">
            <v>6.9490146952445084E-2</v>
          </cell>
        </row>
        <row r="60">
          <cell r="B60">
            <v>0.19167248842463094</v>
          </cell>
          <cell r="C60">
            <v>6.9321146553532956E-2</v>
          </cell>
        </row>
        <row r="61">
          <cell r="B61">
            <v>0.19086911590759811</v>
          </cell>
          <cell r="C61">
            <v>6.89831457557087E-2</v>
          </cell>
        </row>
        <row r="62">
          <cell r="B62">
            <v>0.19033017231371338</v>
          </cell>
          <cell r="C62">
            <v>6.8645144957884457E-2</v>
          </cell>
        </row>
        <row r="63">
          <cell r="B63">
            <v>0.1900579071644993</v>
          </cell>
          <cell r="C63">
            <v>6.8307144160060174E-2</v>
          </cell>
        </row>
        <row r="64">
          <cell r="B64">
            <v>0.19005346657110175</v>
          </cell>
          <cell r="C64">
            <v>6.7969143362235931E-2</v>
          </cell>
        </row>
        <row r="65">
          <cell r="B65">
            <v>0.19031686928067681</v>
          </cell>
          <cell r="C65">
            <v>6.7631142564411661E-2</v>
          </cell>
        </row>
        <row r="66">
          <cell r="B66">
            <v>0.19084700628269075</v>
          </cell>
          <cell r="C66">
            <v>6.7293141766587419E-2</v>
          </cell>
        </row>
        <row r="67">
          <cell r="B67">
            <v>0.19164166399427479</v>
          </cell>
          <cell r="C67">
            <v>6.6955140968763163E-2</v>
          </cell>
        </row>
        <row r="68">
          <cell r="B68">
            <v>0.19269756990446321</v>
          </cell>
          <cell r="C68">
            <v>6.6617140170938921E-2</v>
          </cell>
        </row>
        <row r="69">
          <cell r="B69">
            <v>0.19401045851406651</v>
          </cell>
          <cell r="C69">
            <v>6.6279139373114665E-2</v>
          </cell>
        </row>
        <row r="70">
          <cell r="B70">
            <v>0.19557515454615695</v>
          </cell>
          <cell r="C70">
            <v>6.5941138575290409E-2</v>
          </cell>
        </row>
      </sheetData>
      <sheetData sheetId="1"/>
      <sheetData sheetId="2"/>
      <sheetData sheetId="3"/>
      <sheetData sheetId="4"/>
      <sheetData sheetId="5"/>
      <sheetData sheetId="6">
        <row r="20">
          <cell r="L20">
            <v>0.21993805158731042</v>
          </cell>
          <cell r="M20">
            <v>7.3377156127424029E-2</v>
          </cell>
        </row>
        <row r="21">
          <cell r="L21">
            <v>0.2164321629484347</v>
          </cell>
          <cell r="M21">
            <v>7.3039155329599786E-2</v>
          </cell>
        </row>
        <row r="22">
          <cell r="L22">
            <v>0.21310770581613184</v>
          </cell>
          <cell r="M22">
            <v>7.2701154531775516E-2</v>
          </cell>
        </row>
        <row r="23">
          <cell r="L23">
            <v>0.20997329805252407</v>
          </cell>
          <cell r="M23">
            <v>7.2363153733951274E-2</v>
          </cell>
        </row>
        <row r="24">
          <cell r="L24">
            <v>0.2070375714913964</v>
          </cell>
          <cell r="M24">
            <v>7.202515293612699E-2</v>
          </cell>
        </row>
        <row r="25">
          <cell r="L25">
            <v>0.20430909088980331</v>
          </cell>
          <cell r="M25">
            <v>7.1687152138302762E-2</v>
          </cell>
        </row>
        <row r="26">
          <cell r="L26">
            <v>0.2017962629201607</v>
          </cell>
          <cell r="M26">
            <v>7.1349151340478506E-2</v>
          </cell>
        </row>
        <row r="27">
          <cell r="L27">
            <v>0.19950723629490036</v>
          </cell>
          <cell r="M27">
            <v>7.1011150542654236E-2</v>
          </cell>
          <cell r="N27">
            <v>7.1011150542654236E-2</v>
          </cell>
        </row>
        <row r="28">
          <cell r="L28">
            <v>0.19844909819197518</v>
          </cell>
          <cell r="M28">
            <v>7.0842150143742122E-2</v>
          </cell>
        </row>
        <row r="29">
          <cell r="L29">
            <v>0.19744979472432397</v>
          </cell>
          <cell r="M29">
            <v>7.067314974482998E-2</v>
          </cell>
        </row>
        <row r="30">
          <cell r="L30">
            <v>0.19651022346035232</v>
          </cell>
          <cell r="M30">
            <v>7.0504149345917852E-2</v>
          </cell>
        </row>
        <row r="31">
          <cell r="L31">
            <v>0.19563124504150151</v>
          </cell>
          <cell r="M31">
            <v>7.0335148947005724E-2</v>
          </cell>
        </row>
        <row r="32">
          <cell r="L32">
            <v>0.19481367963474455</v>
          </cell>
          <cell r="M32">
            <v>7.0166148548093596E-2</v>
          </cell>
        </row>
        <row r="33">
          <cell r="L33">
            <v>0.19405830343858063</v>
          </cell>
          <cell r="M33">
            <v>6.9997148149181468E-2</v>
          </cell>
        </row>
        <row r="34">
          <cell r="L34">
            <v>0.19336584527362127</v>
          </cell>
          <cell r="M34">
            <v>6.982814775026934E-2</v>
          </cell>
        </row>
        <row r="35">
          <cell r="L35">
            <v>0.19273698328964869</v>
          </cell>
          <cell r="M35">
            <v>6.9659147351357212E-2</v>
          </cell>
        </row>
        <row r="36">
          <cell r="L36">
            <v>0.19217234182133772</v>
          </cell>
          <cell r="M36">
            <v>6.9490146952445084E-2</v>
          </cell>
        </row>
        <row r="37">
          <cell r="L37">
            <v>0.19167248842463094</v>
          </cell>
          <cell r="M37">
            <v>6.9321146553532956E-2</v>
          </cell>
        </row>
        <row r="38">
          <cell r="L38">
            <v>0.19086911590759811</v>
          </cell>
          <cell r="M38">
            <v>6.89831457557087E-2</v>
          </cell>
        </row>
        <row r="39">
          <cell r="L39">
            <v>0.19033017231371338</v>
          </cell>
          <cell r="M39">
            <v>6.8645144957884457E-2</v>
          </cell>
        </row>
        <row r="40">
          <cell r="L40">
            <v>0.1900579071644993</v>
          </cell>
          <cell r="M40">
            <v>6.8307144160060174E-2</v>
          </cell>
        </row>
        <row r="41">
          <cell r="L41">
            <v>0.19005346657110175</v>
          </cell>
          <cell r="M41">
            <v>6.7969143362235931E-2</v>
          </cell>
        </row>
        <row r="42">
          <cell r="L42">
            <v>0.19031686928067681</v>
          </cell>
          <cell r="M42">
            <v>6.7631142564411661E-2</v>
          </cell>
        </row>
        <row r="43">
          <cell r="L43">
            <v>0.19084700628269075</v>
          </cell>
          <cell r="M43">
            <v>6.7293141766587419E-2</v>
          </cell>
        </row>
        <row r="44">
          <cell r="L44">
            <v>0.19164166399427479</v>
          </cell>
          <cell r="M44">
            <v>6.6955140968763163E-2</v>
          </cell>
        </row>
        <row r="45">
          <cell r="L45">
            <v>0.19269756990446321</v>
          </cell>
          <cell r="M45">
            <v>6.6617140170938921E-2</v>
          </cell>
        </row>
        <row r="46">
          <cell r="L46">
            <v>0.19401045851406651</v>
          </cell>
          <cell r="M46">
            <v>6.6279139373114665E-2</v>
          </cell>
        </row>
        <row r="47">
          <cell r="L47">
            <v>0.19557515454615695</v>
          </cell>
          <cell r="M47">
            <v>6.5941138575290409E-2</v>
          </cell>
        </row>
      </sheetData>
      <sheetData sheetId="7"/>
      <sheetData sheetId="8"/>
      <sheetData sheetId="9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O48"/>
  <sheetViews>
    <sheetView tabSelected="1" zoomScale="115" zoomScaleNormal="115" workbookViewId="0">
      <selection activeCell="I25" sqref="I25"/>
    </sheetView>
  </sheetViews>
  <sheetFormatPr defaultRowHeight="13.8" x14ac:dyDescent="0.25"/>
  <cols>
    <col min="1" max="1" width="15.33203125" style="4" customWidth="1"/>
    <col min="2" max="4" width="8.88671875" style="4"/>
    <col min="5" max="5" width="12.33203125" style="4" customWidth="1"/>
    <col min="6" max="6" width="9.44140625" style="4" customWidth="1"/>
    <col min="7" max="7" width="27" style="4" bestFit="1" customWidth="1"/>
    <col min="8" max="8" width="33.109375" style="4" customWidth="1"/>
    <col min="9" max="15" width="8.88671875" style="4"/>
  </cols>
  <sheetData>
    <row r="1" spans="1:9" ht="17.399999999999999" x14ac:dyDescent="0.3">
      <c r="A1" s="1" t="s">
        <v>0</v>
      </c>
      <c r="B1" s="2"/>
      <c r="C1" s="2"/>
      <c r="D1" s="2"/>
      <c r="E1" s="2"/>
      <c r="F1" s="2"/>
      <c r="G1" s="2"/>
      <c r="H1" s="3"/>
      <c r="I1" s="3"/>
    </row>
    <row r="2" spans="1:9" ht="26.4" x14ac:dyDescent="0.25">
      <c r="A2" s="5" t="s">
        <v>1</v>
      </c>
      <c r="B2" s="5"/>
      <c r="C2" s="5"/>
      <c r="D2" s="5"/>
      <c r="F2" s="6" t="s">
        <v>2</v>
      </c>
      <c r="G2" s="6"/>
    </row>
    <row r="3" spans="1:9" x14ac:dyDescent="0.25">
      <c r="A3" s="7">
        <v>0.4</v>
      </c>
      <c r="B3" s="7">
        <v>0.03</v>
      </c>
      <c r="C3" s="7">
        <v>0.02</v>
      </c>
      <c r="D3" s="7">
        <v>0</v>
      </c>
      <c r="E3" s="8"/>
      <c r="F3" s="8">
        <v>0.06</v>
      </c>
      <c r="G3" s="9"/>
    </row>
    <row r="4" spans="1:9" x14ac:dyDescent="0.25">
      <c r="A4" s="7">
        <f>B3</f>
        <v>0.03</v>
      </c>
      <c r="B4" s="7">
        <v>0.2</v>
      </c>
      <c r="C4" s="7">
        <v>1E-3</v>
      </c>
      <c r="D4" s="7">
        <v>-0.06</v>
      </c>
      <c r="E4" s="8"/>
      <c r="F4" s="8">
        <v>0.05</v>
      </c>
      <c r="G4" s="9"/>
    </row>
    <row r="5" spans="1:9" x14ac:dyDescent="0.25">
      <c r="A5" s="7">
        <f>C3</f>
        <v>0.02</v>
      </c>
      <c r="B5" s="7">
        <f>C4</f>
        <v>1E-3</v>
      </c>
      <c r="C5" s="7">
        <v>0.3</v>
      </c>
      <c r="D5" s="7">
        <v>0.03</v>
      </c>
      <c r="E5" s="8"/>
      <c r="F5" s="8">
        <v>7.0000000000000007E-2</v>
      </c>
      <c r="G5" s="9"/>
    </row>
    <row r="6" spans="1:9" x14ac:dyDescent="0.25">
      <c r="A6" s="7">
        <f>D3</f>
        <v>0</v>
      </c>
      <c r="B6" s="7">
        <f>D4</f>
        <v>-0.06</v>
      </c>
      <c r="C6" s="7">
        <f>D5</f>
        <v>0.03</v>
      </c>
      <c r="D6" s="7">
        <v>0.1</v>
      </c>
      <c r="E6" s="8"/>
      <c r="F6" s="8">
        <v>0.08</v>
      </c>
      <c r="G6" s="9"/>
    </row>
    <row r="8" spans="1:9" x14ac:dyDescent="0.25">
      <c r="A8" s="10" t="s">
        <v>3</v>
      </c>
      <c r="B8" s="10">
        <v>0.04</v>
      </c>
    </row>
    <row r="10" spans="1:9" x14ac:dyDescent="0.25">
      <c r="A10" s="11" t="str">
        <f>"Computing an envelope portfolio with constant = "&amp;TEXT(B8,"0.00")</f>
        <v>Computing an envelope portfolio with constant = 0.04</v>
      </c>
      <c r="B10" s="12"/>
      <c r="C10" s="12"/>
      <c r="D10" s="12"/>
      <c r="E10" s="12"/>
      <c r="F10" s="12"/>
    </row>
    <row r="11" spans="1:9" ht="39.6" x14ac:dyDescent="0.25">
      <c r="A11" s="13" t="s">
        <v>4</v>
      </c>
      <c r="B11" s="14"/>
      <c r="C11" s="15"/>
      <c r="D11" s="15"/>
      <c r="E11" s="15"/>
      <c r="F11" s="16" t="s">
        <v>5</v>
      </c>
    </row>
    <row r="12" spans="1:9" x14ac:dyDescent="0.25">
      <c r="A12" s="17">
        <f t="array" ref="A12:A15">MMULT(MINVERSE(A3:D6),F3:F6-B8)</f>
        <v>3.2970145650599497E-2</v>
      </c>
      <c r="B12" s="4" t="str">
        <f ca="1">[2]!getformula(A12)</f>
        <v>&lt;--  {=MMULT(MINVERSE(A3:D6),F3:F6-B8)}</v>
      </c>
      <c r="C12" s="12"/>
      <c r="D12" s="12"/>
      <c r="E12" s="12"/>
      <c r="F12" s="17">
        <f t="array" ref="F12:F15">A12:A15/SUM(A12:A15)</f>
        <v>4.2317528124238286E-2</v>
      </c>
      <c r="G12" s="4" t="str">
        <f ca="1">[2]!getformula(F12)</f>
        <v>&lt;--  {=A12:A15/SUM(A12:A15)}</v>
      </c>
    </row>
    <row r="13" spans="1:9" x14ac:dyDescent="0.25">
      <c r="A13" s="17">
        <v>0.19586384485394703</v>
      </c>
      <c r="C13" s="12"/>
      <c r="D13" s="12"/>
      <c r="E13" s="12"/>
      <c r="F13" s="17">
        <v>0.25139330141168598</v>
      </c>
    </row>
    <row r="14" spans="1:9" x14ac:dyDescent="0.25">
      <c r="A14" s="17">
        <v>4.6801319707089437E-2</v>
      </c>
      <c r="C14" s="12"/>
      <c r="D14" s="12"/>
      <c r="E14" s="12"/>
      <c r="F14" s="17">
        <v>6.0069985251042193E-2</v>
      </c>
    </row>
    <row r="15" spans="1:9" x14ac:dyDescent="0.25">
      <c r="A15" s="17">
        <v>0.50347791100024131</v>
      </c>
      <c r="C15" s="12"/>
      <c r="D15" s="12"/>
      <c r="E15" s="12"/>
      <c r="F15" s="17">
        <v>0.64621918521303356</v>
      </c>
    </row>
    <row r="16" spans="1:9" x14ac:dyDescent="0.25">
      <c r="B16" s="12"/>
      <c r="C16" s="12"/>
      <c r="D16" s="12"/>
      <c r="E16" s="12" t="s">
        <v>6</v>
      </c>
      <c r="F16" s="17">
        <f>SUM(F12:F15)</f>
        <v>1</v>
      </c>
      <c r="G16" s="4" t="str">
        <f ca="1">[2]!getformula(F16)</f>
        <v>&lt;--  =SUM(F12:F15)</v>
      </c>
    </row>
    <row r="19" spans="1:14" ht="15.6" x14ac:dyDescent="0.35">
      <c r="A19" s="10" t="s">
        <v>7</v>
      </c>
      <c r="B19" s="18">
        <f>SUMPRODUCT(F12:F15,F3:F6)</f>
        <v>7.1011150542654236E-2</v>
      </c>
      <c r="L19" s="4" t="s">
        <v>8</v>
      </c>
      <c r="M19" s="4" t="s">
        <v>9</v>
      </c>
    </row>
    <row r="20" spans="1:14" ht="15.6" x14ac:dyDescent="0.35">
      <c r="A20" s="19" t="s">
        <v>10</v>
      </c>
      <c r="B20" s="18">
        <f t="array" ref="B20">SQRT(MMULT(MMULT(TRANSPOSE(F12:F15),A3:D6),F12:F15))</f>
        <v>0.19950723629490036</v>
      </c>
      <c r="L20" s="4">
        <f>'[1]Pages 268-70'!B43</f>
        <v>0.21993805158731042</v>
      </c>
      <c r="M20" s="4">
        <f>'[1]Pages 268-70'!C43</f>
        <v>7.3377156127424029E-2</v>
      </c>
    </row>
    <row r="21" spans="1:14" x14ac:dyDescent="0.25">
      <c r="L21" s="4">
        <f>'[1]Pages 268-70'!B44</f>
        <v>0.2164321629484347</v>
      </c>
      <c r="M21" s="4">
        <f>'[1]Pages 268-70'!C44</f>
        <v>7.3039155329599786E-2</v>
      </c>
    </row>
    <row r="22" spans="1:14" x14ac:dyDescent="0.25">
      <c r="L22" s="4">
        <f>'[1]Pages 268-70'!B45</f>
        <v>0.21310770581613184</v>
      </c>
      <c r="M22" s="4">
        <f>'[1]Pages 268-70'!C45</f>
        <v>7.2701154531775516E-2</v>
      </c>
    </row>
    <row r="23" spans="1:14" x14ac:dyDescent="0.25">
      <c r="L23" s="4">
        <f>'[1]Pages 268-70'!B46</f>
        <v>0.20997329805252407</v>
      </c>
      <c r="M23" s="4">
        <f>'[1]Pages 268-70'!C46</f>
        <v>7.2363153733951274E-2</v>
      </c>
    </row>
    <row r="24" spans="1:14" x14ac:dyDescent="0.25">
      <c r="L24" s="4">
        <f>'[1]Pages 268-70'!B47</f>
        <v>0.2070375714913964</v>
      </c>
      <c r="M24" s="4">
        <f>'[1]Pages 268-70'!C47</f>
        <v>7.202515293612699E-2</v>
      </c>
    </row>
    <row r="25" spans="1:14" x14ac:dyDescent="0.25">
      <c r="L25" s="4">
        <f>'[1]Pages 268-70'!B48</f>
        <v>0.20430909088980331</v>
      </c>
      <c r="M25" s="4">
        <f>'[1]Pages 268-70'!C48</f>
        <v>7.1687152138302762E-2</v>
      </c>
    </row>
    <row r="26" spans="1:14" x14ac:dyDescent="0.25">
      <c r="L26" s="4">
        <f>'[1]Pages 268-70'!B49</f>
        <v>0.2017962629201607</v>
      </c>
      <c r="M26" s="4">
        <f>'[1]Pages 268-70'!C49</f>
        <v>7.1349151340478506E-2</v>
      </c>
    </row>
    <row r="27" spans="1:14" x14ac:dyDescent="0.25">
      <c r="L27" s="4">
        <f>'[1]Pages 268-70'!B50</f>
        <v>0.19950723629490036</v>
      </c>
      <c r="M27" s="4">
        <f>'[1]Pages 268-70'!C50</f>
        <v>7.1011150542654236E-2</v>
      </c>
      <c r="N27" s="12">
        <f>B19</f>
        <v>7.1011150542654236E-2</v>
      </c>
    </row>
    <row r="28" spans="1:14" x14ac:dyDescent="0.25">
      <c r="L28" s="4">
        <f>'[1]Pages 268-70'!B51</f>
        <v>0.19844909819197518</v>
      </c>
      <c r="M28" s="4">
        <f>'[1]Pages 268-70'!C51</f>
        <v>7.0842150143742122E-2</v>
      </c>
    </row>
    <row r="29" spans="1:14" x14ac:dyDescent="0.25">
      <c r="L29" s="4">
        <f>'[1]Pages 268-70'!B52</f>
        <v>0.19744979472432397</v>
      </c>
      <c r="M29" s="4">
        <f>'[1]Pages 268-70'!C52</f>
        <v>7.067314974482998E-2</v>
      </c>
    </row>
    <row r="30" spans="1:14" x14ac:dyDescent="0.25">
      <c r="L30" s="4">
        <f>'[1]Pages 268-70'!B53</f>
        <v>0.19651022346035232</v>
      </c>
      <c r="M30" s="4">
        <f>'[1]Pages 268-70'!C53</f>
        <v>7.0504149345917852E-2</v>
      </c>
    </row>
    <row r="31" spans="1:14" x14ac:dyDescent="0.25">
      <c r="L31" s="4">
        <f>'[1]Pages 268-70'!B54</f>
        <v>0.19563124504150151</v>
      </c>
      <c r="M31" s="4">
        <f>'[1]Pages 268-70'!C54</f>
        <v>7.0335148947005724E-2</v>
      </c>
    </row>
    <row r="32" spans="1:14" x14ac:dyDescent="0.25">
      <c r="L32" s="4">
        <f>'[1]Pages 268-70'!B55</f>
        <v>0.19481367963474455</v>
      </c>
      <c r="M32" s="4">
        <f>'[1]Pages 268-70'!C55</f>
        <v>7.0166148548093596E-2</v>
      </c>
    </row>
    <row r="33" spans="12:13" x14ac:dyDescent="0.25">
      <c r="L33" s="4">
        <f>'[1]Pages 268-70'!B56</f>
        <v>0.19405830343858063</v>
      </c>
      <c r="M33" s="4">
        <f>'[1]Pages 268-70'!C56</f>
        <v>6.9997148149181468E-2</v>
      </c>
    </row>
    <row r="34" spans="12:13" x14ac:dyDescent="0.25">
      <c r="L34" s="4">
        <f>'[1]Pages 268-70'!B57</f>
        <v>0.19336584527362127</v>
      </c>
      <c r="M34" s="4">
        <f>'[1]Pages 268-70'!C57</f>
        <v>6.982814775026934E-2</v>
      </c>
    </row>
    <row r="35" spans="12:13" x14ac:dyDescent="0.25">
      <c r="L35" s="4">
        <f>'[1]Pages 268-70'!B58</f>
        <v>0.19273698328964869</v>
      </c>
      <c r="M35" s="4">
        <f>'[1]Pages 268-70'!C58</f>
        <v>6.9659147351357212E-2</v>
      </c>
    </row>
    <row r="36" spans="12:13" x14ac:dyDescent="0.25">
      <c r="L36" s="4">
        <f>'[1]Pages 268-70'!B59</f>
        <v>0.19217234182133772</v>
      </c>
      <c r="M36" s="4">
        <f>'[1]Pages 268-70'!C59</f>
        <v>6.9490146952445084E-2</v>
      </c>
    </row>
    <row r="37" spans="12:13" x14ac:dyDescent="0.25">
      <c r="L37" s="4">
        <f>'[1]Pages 268-70'!B60</f>
        <v>0.19167248842463094</v>
      </c>
      <c r="M37" s="4">
        <f>'[1]Pages 268-70'!C60</f>
        <v>6.9321146553532956E-2</v>
      </c>
    </row>
    <row r="38" spans="12:13" x14ac:dyDescent="0.25">
      <c r="L38" s="4">
        <f>'[1]Pages 268-70'!B61</f>
        <v>0.19086911590759811</v>
      </c>
      <c r="M38" s="4">
        <f>'[1]Pages 268-70'!C61</f>
        <v>6.89831457557087E-2</v>
      </c>
    </row>
    <row r="39" spans="12:13" x14ac:dyDescent="0.25">
      <c r="L39" s="4">
        <f>'[1]Pages 268-70'!B62</f>
        <v>0.19033017231371338</v>
      </c>
      <c r="M39" s="4">
        <f>'[1]Pages 268-70'!C62</f>
        <v>6.8645144957884457E-2</v>
      </c>
    </row>
    <row r="40" spans="12:13" x14ac:dyDescent="0.25">
      <c r="L40" s="4">
        <f>'[1]Pages 268-70'!B63</f>
        <v>0.1900579071644993</v>
      </c>
      <c r="M40" s="4">
        <f>'[1]Pages 268-70'!C63</f>
        <v>6.8307144160060174E-2</v>
      </c>
    </row>
    <row r="41" spans="12:13" x14ac:dyDescent="0.25">
      <c r="L41" s="4">
        <f>'[1]Pages 268-70'!B64</f>
        <v>0.19005346657110175</v>
      </c>
      <c r="M41" s="4">
        <f>'[1]Pages 268-70'!C64</f>
        <v>6.7969143362235931E-2</v>
      </c>
    </row>
    <row r="42" spans="12:13" x14ac:dyDescent="0.25">
      <c r="L42" s="4">
        <f>'[1]Pages 268-70'!B65</f>
        <v>0.19031686928067681</v>
      </c>
      <c r="M42" s="4">
        <f>'[1]Pages 268-70'!C65</f>
        <v>6.7631142564411661E-2</v>
      </c>
    </row>
    <row r="43" spans="12:13" x14ac:dyDescent="0.25">
      <c r="L43" s="4">
        <f>'[1]Pages 268-70'!B66</f>
        <v>0.19084700628269075</v>
      </c>
      <c r="M43" s="4">
        <f>'[1]Pages 268-70'!C66</f>
        <v>6.7293141766587419E-2</v>
      </c>
    </row>
    <row r="44" spans="12:13" x14ac:dyDescent="0.25">
      <c r="L44" s="4">
        <f>'[1]Pages 268-70'!B67</f>
        <v>0.19164166399427479</v>
      </c>
      <c r="M44" s="4">
        <f>'[1]Pages 268-70'!C67</f>
        <v>6.6955140968763163E-2</v>
      </c>
    </row>
    <row r="45" spans="12:13" x14ac:dyDescent="0.25">
      <c r="L45" s="4">
        <f>'[1]Pages 268-70'!B68</f>
        <v>0.19269756990446321</v>
      </c>
      <c r="M45" s="4">
        <f>'[1]Pages 268-70'!C68</f>
        <v>6.6617140170938921E-2</v>
      </c>
    </row>
    <row r="46" spans="12:13" x14ac:dyDescent="0.25">
      <c r="L46" s="4">
        <f>'[1]Pages 268-70'!B69</f>
        <v>0.19401045851406651</v>
      </c>
      <c r="M46" s="4">
        <f>'[1]Pages 268-70'!C69</f>
        <v>6.6279139373114665E-2</v>
      </c>
    </row>
    <row r="47" spans="12:13" x14ac:dyDescent="0.25">
      <c r="L47" s="4">
        <f>'[1]Pages 268-70'!B70</f>
        <v>0.19557515454615695</v>
      </c>
      <c r="M47" s="4">
        <f>'[1]Pages 268-70'!C70</f>
        <v>6.5941138575290409E-2</v>
      </c>
    </row>
    <row r="48" spans="12:13" x14ac:dyDescent="0.25">
      <c r="L48" s="12"/>
      <c r="M48" s="12"/>
    </row>
  </sheetData>
  <mergeCells count="2">
    <mergeCell ref="A1:G1"/>
    <mergeCell ref="A2:D2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2024-10-29T03:10:44Z</dcterms:modified>
</cp:coreProperties>
</file>