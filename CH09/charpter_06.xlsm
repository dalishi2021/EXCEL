
<file path=[Content_Types].xml><?xml version="1.0" encoding="utf-8"?>
<Types xmlns="http://schemas.openxmlformats.org/package/2006/content-types">
  <Default Extension="emf" ContentType="image/x-emf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chartsheets/sheet1.xml" ContentType="application/vnd.openxmlformats-officedocument.spreadsheetml.chartsheet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ml.chartshapes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025"/>
  <workbookPr defaultThemeVersion="166925"/>
  <mc:AlternateContent xmlns:mc="http://schemas.openxmlformats.org/markup-compatibility/2006">
    <mc:Choice Requires="x15">
      <x15ac:absPath xmlns:x15ac="http://schemas.microsoft.com/office/spreadsheetml/2010/11/ac" url="D:\lizhengdong\交易框架\5_工具箱\_书库\编程\Excel\CH09\"/>
    </mc:Choice>
  </mc:AlternateContent>
  <xr:revisionPtr revIDLastSave="0" documentId="13_ncr:1_{8AB0A980-DA47-41E0-8D9E-851026998B58}" xr6:coauthVersionLast="47" xr6:coauthVersionMax="47" xr10:uidLastSave="{00000000-0000-0000-0000-000000000000}"/>
  <bookViews>
    <workbookView xWindow="-38520" yWindow="-120" windowWidth="38640" windowHeight="21120" activeTab="1" xr2:uid="{EA6F33A8-FE0E-48B1-8C74-8B2321C6BA8B}"/>
  </bookViews>
  <sheets>
    <sheet name="Chart1" sheetId="3" r:id="rId1"/>
    <sheet name="Sheet1" sheetId="1" r:id="rId2"/>
  </sheets>
  <externalReferences>
    <externalReference r:id="rId3"/>
  </externalReferences>
  <calcPr calcId="191029" iterate="1" iterateDelta="1.0000000000000001E-5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42" i="1" l="1"/>
  <c r="D43" i="1" s="1"/>
  <c r="D44" i="1" s="1"/>
  <c r="D45" i="1" s="1"/>
  <c r="D46" i="1" s="1"/>
  <c r="D47" i="1" s="1"/>
  <c r="D48" i="1" s="1"/>
  <c r="D49" i="1" s="1"/>
  <c r="D50" i="1" s="1"/>
  <c r="D51" i="1" s="1"/>
  <c r="D52" i="1" s="1"/>
  <c r="D53" i="1" s="1"/>
  <c r="D54" i="1" s="1"/>
  <c r="D55" i="1" s="1"/>
  <c r="D56" i="1" s="1"/>
  <c r="D41" i="1"/>
  <c r="D37" i="1"/>
  <c r="D38" i="1" s="1"/>
  <c r="D39" i="1" s="1"/>
  <c r="G7" i="1"/>
  <c r="A7" i="1"/>
  <c r="B11" i="1" s="1" a="1"/>
  <c r="G6" i="1"/>
  <c r="G5" i="1"/>
  <c r="G4" i="1"/>
  <c r="B11" i="1" l="1"/>
  <c r="B14" i="1"/>
  <c r="B13" i="1"/>
  <c r="B12" i="1"/>
  <c r="C12" i="1" s="1"/>
  <c r="E11" i="1" a="1"/>
  <c r="E14" i="1" l="1"/>
  <c r="E13" i="1"/>
  <c r="E12" i="1"/>
  <c r="E11" i="1"/>
  <c r="F11" i="1" s="1"/>
  <c r="C13" i="1"/>
  <c r="C14" i="1"/>
  <c r="C11" i="1"/>
  <c r="B18" i="1" s="1" a="1"/>
  <c r="E18" i="1" l="1"/>
  <c r="D18" i="1"/>
  <c r="C18" i="1"/>
  <c r="B18" i="1"/>
  <c r="F12" i="1"/>
  <c r="B21" i="1" s="1" a="1"/>
  <c r="F13" i="1"/>
  <c r="F14" i="1"/>
  <c r="E21" i="1" l="1"/>
  <c r="D21" i="1"/>
  <c r="C21" i="1"/>
  <c r="B21" i="1"/>
  <c r="C24" i="1"/>
  <c r="C23" i="1"/>
  <c r="C27" i="1"/>
  <c r="C25" i="1" l="1"/>
  <c r="C28" i="1" s="1"/>
  <c r="F24" i="1"/>
  <c r="F25" i="1" s="1"/>
  <c r="F16" i="1" s="1"/>
  <c r="F23" i="1"/>
  <c r="F15" i="1"/>
  <c r="G56" i="1" l="1"/>
  <c r="G48" i="1"/>
  <c r="G40" i="1"/>
  <c r="G39" i="1"/>
  <c r="G55" i="1"/>
  <c r="G47" i="1"/>
  <c r="G38" i="1"/>
  <c r="G54" i="1"/>
  <c r="G46" i="1"/>
  <c r="G37" i="1"/>
  <c r="G53" i="1"/>
  <c r="G45" i="1"/>
  <c r="G36" i="1"/>
  <c r="G52" i="1"/>
  <c r="G44" i="1"/>
  <c r="G51" i="1"/>
  <c r="G43" i="1"/>
  <c r="G50" i="1"/>
  <c r="G42" i="1"/>
  <c r="G49" i="1"/>
  <c r="G41" i="1"/>
  <c r="B35" i="1"/>
  <c r="E35" i="1" s="1"/>
  <c r="B34" i="1"/>
  <c r="F35" i="1" s="1"/>
</calcChain>
</file>

<file path=xl/sharedStrings.xml><?xml version="1.0" encoding="utf-8"?>
<sst xmlns="http://schemas.openxmlformats.org/spreadsheetml/2006/main" count="37" uniqueCount="33">
  <si>
    <t>THE CAPITAL MARKET LINE (CML)</t>
  </si>
  <si>
    <t>Variance-covariance matrix</t>
  </si>
  <si>
    <t>Mean
returns</t>
  </si>
  <si>
    <t>Mean
minus constant</t>
  </si>
  <si>
    <t>Constant</t>
  </si>
  <si>
    <t>z</t>
  </si>
  <si>
    <t>x</t>
  </si>
  <si>
    <t>M</t>
  </si>
  <si>
    <r>
      <t>Note</t>
    </r>
    <r>
      <rPr>
        <sz val="10"/>
        <rFont val="Arial"/>
        <family val="2"/>
      </rPr>
      <t>: the market portfolio</t>
    </r>
  </si>
  <si>
    <t>for the constant.</t>
  </si>
  <si>
    <t>Mean(M)</t>
  </si>
  <si>
    <t>Sigma(M)</t>
  </si>
  <si>
    <t>Transpose x</t>
  </si>
  <si>
    <t>Transpose y</t>
  </si>
  <si>
    <t>Mean(x)</t>
  </si>
  <si>
    <t>Var(x)</t>
  </si>
  <si>
    <t>Var(M)</t>
  </si>
  <si>
    <t>Sigma(x)</t>
  </si>
  <si>
    <t>Cov(x,y)</t>
  </si>
  <si>
    <t>Corr(x,y)</t>
  </si>
  <si>
    <t>DATA TABLE</t>
  </si>
  <si>
    <t>A single portfolio calculation</t>
  </si>
  <si>
    <t>FOR EFFICIENT FRONTIER</t>
  </si>
  <si>
    <t>Proportion of x</t>
  </si>
  <si>
    <t>GRAPH</t>
  </si>
  <si>
    <t>CML</t>
  </si>
  <si>
    <t>p's mean return</t>
  </si>
  <si>
    <t>Sigma</t>
  </si>
  <si>
    <t>Return</t>
  </si>
  <si>
    <t>p's sigma</t>
  </si>
  <si>
    <t>"jumps" in table</t>
  </si>
  <si>
    <r>
      <t>M</t>
    </r>
    <r>
      <rPr>
        <sz val="10"/>
        <rFont val="Arial"/>
        <family val="2"/>
      </rPr>
      <t xml:space="preserve"> is the tangency portfolio</t>
    </r>
    <phoneticPr fontId="1" type="noConversion"/>
  </si>
  <si>
    <r>
      <t>&lt;-- This is M, given that r</t>
    </r>
    <r>
      <rPr>
        <vertAlign val="subscript"/>
        <sz val="10"/>
        <rFont val="等线"/>
        <family val="2"/>
        <charset val="134"/>
      </rPr>
      <t>f</t>
    </r>
    <r>
      <rPr>
        <sz val="11"/>
        <color theme="1"/>
        <rFont val="等线"/>
        <family val="2"/>
        <charset val="134"/>
        <scheme val="minor"/>
      </rPr>
      <t xml:space="preserve"> = 0.01 (the constant in cell E11).</t>
    </r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</si>
</sst>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0.0000"/>
  </numFmts>
  <fonts count="9" x14ac:knownFonts="1">
    <font>
      <sz val="11"/>
      <color theme="1"/>
      <name val="等线"/>
      <family val="2"/>
      <charset val="134"/>
      <scheme val="minor"/>
    </font>
    <font>
      <sz val="9"/>
      <name val="等线"/>
      <family val="2"/>
      <charset val="134"/>
      <scheme val="minor"/>
    </font>
    <font>
      <sz val="11"/>
      <color theme="1"/>
      <name val="等线"/>
      <family val="2"/>
      <charset val="134"/>
      <scheme val="minor"/>
    </font>
    <font>
      <sz val="11"/>
      <color rgb="FFFF0000"/>
      <name val="等线"/>
      <family val="2"/>
      <charset val="134"/>
      <scheme val="minor"/>
    </font>
    <font>
      <b/>
      <sz val="12"/>
      <name val="Arial"/>
      <family val="2"/>
    </font>
    <font>
      <b/>
      <sz val="10"/>
      <name val="Arial"/>
      <family val="2"/>
    </font>
    <font>
      <sz val="10"/>
      <name val="Arial"/>
      <family val="2"/>
    </font>
    <font>
      <vertAlign val="subscript"/>
      <sz val="10"/>
      <name val="等线"/>
      <family val="2"/>
      <charset val="134"/>
    </font>
    <font>
      <b/>
      <sz val="10"/>
      <color rgb="FFFF0000"/>
      <name val="Arial"/>
      <family val="2"/>
    </font>
  </fonts>
  <fills count="2">
    <fill>
      <patternFill patternType="none"/>
    </fill>
    <fill>
      <patternFill patternType="gray125"/>
    </fill>
  </fills>
  <borders count="9">
    <border>
      <left/>
      <right/>
      <top/>
      <bottom/>
      <diagonal/>
    </border>
    <border>
      <left style="thick">
        <color indexed="64"/>
      </left>
      <right/>
      <top style="thick">
        <color indexed="64"/>
      </top>
      <bottom/>
      <diagonal/>
    </border>
    <border>
      <left/>
      <right/>
      <top style="thick">
        <color indexed="64"/>
      </top>
      <bottom/>
      <diagonal/>
    </border>
    <border>
      <left/>
      <right style="thick">
        <color indexed="64"/>
      </right>
      <top style="thick">
        <color indexed="64"/>
      </top>
      <bottom/>
      <diagonal/>
    </border>
    <border>
      <left style="thick">
        <color indexed="64"/>
      </left>
      <right/>
      <top/>
      <bottom/>
      <diagonal/>
    </border>
    <border>
      <left/>
      <right style="thick">
        <color indexed="64"/>
      </right>
      <top/>
      <bottom/>
      <diagonal/>
    </border>
    <border>
      <left style="thick">
        <color indexed="64"/>
      </left>
      <right/>
      <top/>
      <bottom style="thick">
        <color indexed="64"/>
      </bottom>
      <diagonal/>
    </border>
    <border>
      <left/>
      <right/>
      <top/>
      <bottom style="thick">
        <color indexed="64"/>
      </bottom>
      <diagonal/>
    </border>
    <border>
      <left/>
      <right style="thick">
        <color indexed="64"/>
      </right>
      <top/>
      <bottom style="thick">
        <color indexed="64"/>
      </bottom>
      <diagonal/>
    </border>
  </borders>
  <cellStyleXfs count="2">
    <xf numFmtId="0" fontId="0" fillId="0" borderId="0">
      <alignment vertical="center"/>
    </xf>
    <xf numFmtId="9" fontId="2" fillId="0" borderId="0" applyFont="0" applyFill="0" applyBorder="0" applyAlignment="0" applyProtection="0">
      <alignment vertical="center"/>
    </xf>
  </cellStyleXfs>
  <cellXfs count="28">
    <xf numFmtId="0" fontId="0" fillId="0" borderId="0" xfId="0">
      <alignment vertical="center"/>
    </xf>
    <xf numFmtId="0" fontId="4" fillId="0" borderId="0" xfId="0" applyFont="1" applyAlignment="1">
      <alignment horizontal="center"/>
    </xf>
    <xf numFmtId="0" fontId="0" fillId="0" borderId="0" xfId="0" applyAlignment="1"/>
    <xf numFmtId="0" fontId="5" fillId="0" borderId="0" xfId="0" applyFont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5" fillId="0" borderId="0" xfId="0" applyFont="1" applyAlignment="1">
      <alignment horizontal="center" vertical="center" wrapText="1"/>
    </xf>
    <xf numFmtId="2" fontId="0" fillId="0" borderId="0" xfId="0" applyNumberFormat="1" applyAlignment="1">
      <alignment horizontal="center"/>
    </xf>
    <xf numFmtId="0" fontId="0" fillId="0" borderId="0" xfId="0" applyAlignment="1">
      <alignment horizontal="center"/>
    </xf>
    <xf numFmtId="0" fontId="5" fillId="0" borderId="0" xfId="0" applyFont="1" applyAlignment="1">
      <alignment horizontal="center"/>
    </xf>
    <xf numFmtId="176" fontId="0" fillId="0" borderId="0" xfId="0" applyNumberFormat="1" applyAlignment="1"/>
    <xf numFmtId="0" fontId="5" fillId="0" borderId="0" xfId="0" applyFont="1" applyAlignment="1"/>
    <xf numFmtId="176" fontId="5" fillId="0" borderId="0" xfId="0" applyNumberFormat="1" applyFont="1" applyAlignment="1"/>
    <xf numFmtId="0" fontId="5" fillId="0" borderId="0" xfId="0" applyFont="1" applyAlignment="1">
      <alignment horizontal="centerContinuous"/>
    </xf>
    <xf numFmtId="10" fontId="0" fillId="0" borderId="0" xfId="1" applyNumberFormat="1" applyFont="1" applyAlignment="1"/>
    <xf numFmtId="10" fontId="0" fillId="0" borderId="0" xfId="0" applyNumberFormat="1" applyAlignment="1"/>
    <xf numFmtId="0" fontId="0" fillId="0" borderId="1" xfId="0" applyBorder="1" applyAlignment="1"/>
    <xf numFmtId="176" fontId="0" fillId="0" borderId="2" xfId="0" applyNumberFormat="1" applyBorder="1" applyAlignment="1"/>
    <xf numFmtId="176" fontId="0" fillId="0" borderId="3" xfId="0" applyNumberFormat="1" applyBorder="1" applyAlignment="1"/>
    <xf numFmtId="0" fontId="0" fillId="0" borderId="4" xfId="0" applyBorder="1" applyAlignment="1"/>
    <xf numFmtId="176" fontId="0" fillId="0" borderId="5" xfId="0" applyNumberFormat="1" applyBorder="1" applyAlignment="1"/>
    <xf numFmtId="0" fontId="0" fillId="0" borderId="6" xfId="0" applyBorder="1" applyAlignment="1"/>
    <xf numFmtId="176" fontId="0" fillId="0" borderId="7" xfId="0" applyNumberFormat="1" applyBorder="1" applyAlignment="1"/>
    <xf numFmtId="176" fontId="0" fillId="0" borderId="8" xfId="0" applyNumberFormat="1" applyBorder="1" applyAlignment="1"/>
    <xf numFmtId="0" fontId="3" fillId="0" borderId="0" xfId="0" applyFont="1" applyAlignment="1"/>
    <xf numFmtId="0" fontId="3" fillId="0" borderId="4" xfId="0" applyFont="1" applyBorder="1" applyAlignment="1"/>
    <xf numFmtId="176" fontId="3" fillId="0" borderId="0" xfId="0" applyNumberFormat="1" applyFont="1" applyAlignment="1"/>
    <xf numFmtId="176" fontId="3" fillId="0" borderId="5" xfId="0" applyNumberFormat="1" applyFont="1" applyBorder="1" applyAlignment="1"/>
    <xf numFmtId="176" fontId="8" fillId="0" borderId="0" xfId="0" applyNumberFormat="1" applyFont="1" applyAlignment="1"/>
  </cellXfs>
  <cellStyles count="2">
    <cellStyle name="百分比" xfId="1" builtinId="5"/>
    <cellStyle name="常规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externalLink" Target="externalLinks/externalLink1.xml"/><Relationship Id="rId7" Type="http://schemas.openxmlformats.org/officeDocument/2006/relationships/calcChain" Target="calcChain.xml"/><Relationship Id="rId2" Type="http://schemas.openxmlformats.org/officeDocument/2006/relationships/worksheet" Target="worksheets/sheet1.xml"/><Relationship Id="rId1" Type="http://schemas.openxmlformats.org/officeDocument/2006/relationships/chartsheet" Target="chart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2.xml"/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zh-CN" b="1">
                <a:solidFill>
                  <a:schemeClr val="tx1"/>
                </a:solidFill>
              </a:rPr>
              <a:t>Efficient Frontier with CML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xVal>
            <c:numRef>
              <c:f>Sheet1!$E$36:$E$56</c:f>
              <c:numCache>
                <c:formatCode>0.0000</c:formatCode>
                <c:ptCount val="21"/>
                <c:pt idx="0">
                  <c:v>0.20021679710466486</c:v>
                </c:pt>
                <c:pt idx="1">
                  <c:v>0.18485210781975137</c:v>
                </c:pt>
                <c:pt idx="2">
                  <c:v>0.16965354565966786</c:v>
                </c:pt>
                <c:pt idx="3">
                  <c:v>0.15467009152168573</c:v>
                </c:pt>
                <c:pt idx="4">
                  <c:v>0.13997084244475302</c:v>
                </c:pt>
                <c:pt idx="5">
                  <c:v>0.12565557737322572</c:v>
                </c:pt>
                <c:pt idx="6">
                  <c:v>0.11187179886924657</c:v>
                </c:pt>
                <c:pt idx="7">
                  <c:v>9.8842108973965115E-2</c:v>
                </c:pt>
                <c:pt idx="8">
                  <c:v>8.6906349005920411E-2</c:v>
                </c:pt>
                <c:pt idx="9">
                  <c:v>7.6577753659885395E-2</c:v>
                </c:pt>
                <c:pt idx="10">
                  <c:v>6.8586289304692238E-2</c:v>
                </c:pt>
                <c:pt idx="11">
                  <c:v>6.381609258265028E-2</c:v>
                </c:pt>
                <c:pt idx="12">
                  <c:v>6.3003143821443119E-2</c:v>
                </c:pt>
                <c:pt idx="13">
                  <c:v>6.6293185601471155E-2</c:v>
                </c:pt>
                <c:pt idx="14">
                  <c:v>7.3134565356843137E-2</c:v>
                </c:pt>
                <c:pt idx="15">
                  <c:v>8.2650049664928948E-2</c:v>
                </c:pt>
                <c:pt idx="16">
                  <c:v>9.4031296046761401E-2</c:v>
                </c:pt>
                <c:pt idx="17">
                  <c:v>0.10668283099819649</c:v>
                </c:pt>
                <c:pt idx="18">
                  <c:v>0.1202042265907627</c:v>
                </c:pt>
                <c:pt idx="19">
                  <c:v>0.13433306971001108</c:v>
                </c:pt>
                <c:pt idx="20">
                  <c:v>0.14889653794525773</c:v>
                </c:pt>
              </c:numCache>
            </c:numRef>
          </c:xVal>
          <c:yVal>
            <c:numRef>
              <c:f>Sheet1!$F$36:$F$56</c:f>
              <c:numCache>
                <c:formatCode>0.0000</c:formatCode>
                <c:ptCount val="21"/>
                <c:pt idx="0">
                  <c:v>1.8086560364464689E-2</c:v>
                </c:pt>
                <c:pt idx="1">
                  <c:v>1.7493491701919949E-2</c:v>
                </c:pt>
                <c:pt idx="2">
                  <c:v>1.6900423039375202E-2</c:v>
                </c:pt>
                <c:pt idx="3">
                  <c:v>1.6307354376830462E-2</c:v>
                </c:pt>
                <c:pt idx="4">
                  <c:v>1.5714285714285715E-2</c:v>
                </c:pt>
                <c:pt idx="5">
                  <c:v>1.5121217051740972E-2</c:v>
                </c:pt>
                <c:pt idx="6">
                  <c:v>1.4528148389196228E-2</c:v>
                </c:pt>
                <c:pt idx="7">
                  <c:v>1.3935079726651482E-2</c:v>
                </c:pt>
                <c:pt idx="8">
                  <c:v>1.3342011064106738E-2</c:v>
                </c:pt>
                <c:pt idx="9">
                  <c:v>1.2748942401561993E-2</c:v>
                </c:pt>
                <c:pt idx="10">
                  <c:v>1.2155873739017248E-2</c:v>
                </c:pt>
                <c:pt idx="11">
                  <c:v>1.1562805076472504E-2</c:v>
                </c:pt>
                <c:pt idx="12">
                  <c:v>1.0969736413927761E-2</c:v>
                </c:pt>
                <c:pt idx="13">
                  <c:v>1.0376667751383016E-2</c:v>
                </c:pt>
                <c:pt idx="14">
                  <c:v>9.7835990888382705E-3</c:v>
                </c:pt>
                <c:pt idx="15">
                  <c:v>9.1905304262935271E-3</c:v>
                </c:pt>
                <c:pt idx="16">
                  <c:v>8.5974617637487802E-3</c:v>
                </c:pt>
                <c:pt idx="17">
                  <c:v>8.0043931012040367E-3</c:v>
                </c:pt>
                <c:pt idx="18">
                  <c:v>7.4113244386592916E-3</c:v>
                </c:pt>
                <c:pt idx="19">
                  <c:v>6.8182557761145464E-3</c:v>
                </c:pt>
                <c:pt idx="20">
                  <c:v>6.2251871135698012E-3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1EE4-4065-98AF-EC9C5D8B2F0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32558048"/>
        <c:axId val="932561288"/>
      </c:scatterChart>
      <c:valAx>
        <c:axId val="932558048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altLang="zh-CN" b="1">
                    <a:solidFill>
                      <a:schemeClr val="tx1"/>
                    </a:solidFill>
                  </a:rPr>
                  <a:t>Portfolio standard deviation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zh-CN"/>
            </a:p>
          </c:txPr>
        </c:title>
        <c:numFmt formatCode="0.0000" sourceLinked="1"/>
        <c:majorTickMark val="none"/>
        <c:minorTickMark val="none"/>
        <c:tickLblPos val="none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932561288"/>
        <c:crosses val="autoZero"/>
        <c:crossBetween val="midCat"/>
      </c:valAx>
      <c:valAx>
        <c:axId val="932561288"/>
        <c:scaling>
          <c:orientation val="minMax"/>
        </c:scaling>
        <c:delete val="0"/>
        <c:axPos val="l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altLang="zh-CN" b="1">
                    <a:solidFill>
                      <a:schemeClr val="tx1"/>
                    </a:solidFill>
                  </a:rPr>
                  <a:t>Portfolio mean return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zh-CN"/>
            </a:p>
          </c:txPr>
        </c:title>
        <c:numFmt formatCode="0.0000" sourceLinked="1"/>
        <c:majorTickMark val="none"/>
        <c:minorTickMark val="none"/>
        <c:tickLblPos val="none"/>
        <c:spPr>
          <a:noFill/>
          <a:ln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93255804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userShapes r:id="rId3"/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chartsheets/sheet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EFCB992A-C553-4EF3-8C0C-C71EB077AA57}">
  <sheetPr/>
  <sheetViews>
    <sheetView zoomScale="135" workbookViewId="0" zoomToFit="1"/>
  </sheetViews>
  <pageMargins left="0.7" right="0.7" top="0.75" bottom="0.75" header="0.3" footer="0.3"/>
  <drawing r:id="rId1"/>
</chartsheet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absoluteAnchor>
    <xdr:pos x="0" y="0"/>
    <xdr:ext cx="11605092" cy="7577978"/>
    <xdr:graphicFrame macro="">
      <xdr:nvGraphicFramePr>
        <xdr:cNvPr id="2" name="图表 1">
          <a:extLst>
            <a:ext uri="{FF2B5EF4-FFF2-40B4-BE49-F238E27FC236}">
              <a16:creationId xmlns:a16="http://schemas.microsoft.com/office/drawing/2014/main" id="{307D97D7-57BB-8C61-92F3-67EC0115744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.xml><?xml version="1.0" encoding="utf-8"?>
<c:userShapes xmlns:c="http://schemas.openxmlformats.org/drawingml/2006/chart">
  <cdr:relSizeAnchor xmlns:cdr="http://schemas.openxmlformats.org/drawingml/2006/chartDrawing">
    <cdr:from>
      <cdr:x>0.16184</cdr:x>
      <cdr:y>0.24971</cdr:y>
    </cdr:from>
    <cdr:to>
      <cdr:x>0.38216</cdr:x>
      <cdr:y>0.32052</cdr:y>
    </cdr:to>
    <cdr:sp macro="" textlink="">
      <cdr:nvSpPr>
        <cdr:cNvPr id="2" name="Text Box 5">
          <a:extLst xmlns:a="http://schemas.openxmlformats.org/drawingml/2006/main">
            <a:ext uri="{FF2B5EF4-FFF2-40B4-BE49-F238E27FC236}">
              <a16:creationId xmlns:a16="http://schemas.microsoft.com/office/drawing/2014/main" id="{452804DC-CBCF-70D1-6C6B-190508791A47}"/>
            </a:ext>
          </a:extLst>
        </cdr:cNvPr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1878189" y="1892300"/>
          <a:ext cx="2556819" cy="536608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>
          <a:noFill/>
        </a:ln>
      </cdr:spPr>
      <cdr:txBody>
        <a:bodyPr xmlns:a="http://schemas.openxmlformats.org/drawingml/2006/main" wrap="square" lIns="36576" tIns="27432" rIns="0" bIns="0" anchor="t" upright="1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l" rtl="0">
            <a:defRPr sz="1000"/>
          </a:pPr>
          <a:r>
            <a:rPr lang="zh-CN" altLang="en-US" sz="1200" b="0" i="0" u="none" strike="noStrike" baseline="0">
              <a:solidFill>
                <a:srgbClr val="000000"/>
              </a:solidFill>
              <a:latin typeface="Arial"/>
              <a:cs typeface="Arial"/>
            </a:rPr>
            <a:t>Capital market line, CML</a:t>
          </a:r>
        </a:p>
      </cdr:txBody>
    </cdr:sp>
  </cdr:relSizeAnchor>
  <cdr:relSizeAnchor xmlns:cdr="http://schemas.openxmlformats.org/drawingml/2006/chartDrawing">
    <cdr:from>
      <cdr:x>0.0287</cdr:x>
      <cdr:y>0.2134</cdr:y>
    </cdr:from>
    <cdr:to>
      <cdr:x>0.58756</cdr:x>
      <cdr:y>0.57778</cdr:y>
    </cdr:to>
    <cdr:sp macro="" textlink="">
      <cdr:nvSpPr>
        <cdr:cNvPr id="3" name="Line 8">
          <a:extLst xmlns:a="http://schemas.openxmlformats.org/drawingml/2006/main">
            <a:ext uri="{FF2B5EF4-FFF2-40B4-BE49-F238E27FC236}">
              <a16:creationId xmlns:a16="http://schemas.microsoft.com/office/drawing/2014/main" id="{826BE258-E750-41C9-3A01-36EED559FB04}"/>
            </a:ext>
          </a:extLst>
        </cdr:cNvPr>
        <cdr:cNvSpPr>
          <a:spLocks xmlns:a="http://schemas.openxmlformats.org/drawingml/2006/main" noChangeShapeType="1"/>
        </cdr:cNvSpPr>
      </cdr:nvSpPr>
      <cdr:spPr bwMode="auto">
        <a:xfrm xmlns:a="http://schemas.openxmlformats.org/drawingml/2006/main" flipV="1">
          <a:off x="333022" y="1617133"/>
          <a:ext cx="6485654" cy="2761258"/>
        </a:xfrm>
        <a:prstGeom xmlns:a="http://schemas.openxmlformats.org/drawingml/2006/main" prst="line">
          <a:avLst/>
        </a:prstGeom>
        <a:noFill xmlns:a="http://schemas.openxmlformats.org/drawingml/2006/main"/>
        <a:ln xmlns:a="http://schemas.openxmlformats.org/drawingml/2006/main" w="1587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</cdr:spPr>
      <cdr:txBody>
        <a:bodyPr xmlns:a="http://schemas.openxmlformats.org/drawingml/2006/main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endParaRPr lang="zh-CN" altLang="en-US"/>
        </a:p>
      </cdr:txBody>
    </cdr:sp>
  </cdr:relSizeAnchor>
  <cdr:relSizeAnchor xmlns:cdr="http://schemas.openxmlformats.org/drawingml/2006/chartDrawing">
    <cdr:from>
      <cdr:x>0.05241</cdr:x>
      <cdr:y>0.61096</cdr:y>
    </cdr:from>
    <cdr:to>
      <cdr:x>0.16741</cdr:x>
      <cdr:y>0.64097</cdr:y>
    </cdr:to>
    <cdr:sp macro="" textlink="">
      <cdr:nvSpPr>
        <cdr:cNvPr id="6" name="Rectangle 9">
          <a:extLst xmlns:a="http://schemas.openxmlformats.org/drawingml/2006/main">
            <a:ext uri="{FF2B5EF4-FFF2-40B4-BE49-F238E27FC236}">
              <a16:creationId xmlns:a16="http://schemas.microsoft.com/office/drawing/2014/main" id="{B42533C7-5959-749B-3CDF-89C35D9BE704}"/>
            </a:ext>
          </a:extLst>
        </cdr:cNvPr>
        <cdr:cNvSpPr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608189" y="4629856"/>
          <a:ext cx="1334574" cy="227376"/>
        </a:xfrm>
        <a:prstGeom xmlns:a="http://schemas.openxmlformats.org/drawingml/2006/main" prst="rect">
          <a:avLst/>
        </a:prstGeom>
        <a:solidFill xmlns:a="http://schemas.openxmlformats.org/drawingml/2006/main">
          <a:srgbClr xmlns:mc="http://schemas.openxmlformats.org/markup-compatibility/2006" xmlns:a14="http://schemas.microsoft.com/office/drawing/2010/main" val="FFFFFF" mc:Ignorable="a14" a14:legacySpreadsheetColorIndex="9"/>
        </a:solidFill>
        <a:ln xmlns:a="http://schemas.openxmlformats.org/drawingml/2006/main"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cdr:spPr>
      <cdr:txBody>
        <a:bodyPr xmlns:a="http://schemas.openxmlformats.org/drawingml/2006/main" wrap="square" lIns="36576" tIns="27432" rIns="0" bIns="0" anchor="t" upright="1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l" rtl="0">
            <a:defRPr sz="1000"/>
          </a:pPr>
          <a:r>
            <a:rPr lang="zh-CN" altLang="en-US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Risk-free rate, r</a:t>
          </a:r>
          <a:r>
            <a:rPr lang="zh-CN" altLang="en-US" sz="1000" b="0" i="0" u="none" strike="noStrike" baseline="-25000">
              <a:solidFill>
                <a:srgbClr val="000000"/>
              </a:solidFill>
              <a:latin typeface="Arial"/>
              <a:cs typeface="Arial"/>
            </a:rPr>
            <a:t>f</a:t>
          </a:r>
        </a:p>
      </cdr:txBody>
    </cdr:sp>
  </cdr:relSizeAnchor>
  <cdr:relSizeAnchor xmlns:cdr="http://schemas.openxmlformats.org/drawingml/2006/chartDrawing">
    <cdr:from>
      <cdr:x>0.02991</cdr:x>
      <cdr:y>0.58489</cdr:y>
    </cdr:from>
    <cdr:to>
      <cdr:x>0.05065</cdr:x>
      <cdr:y>0.61874</cdr:y>
    </cdr:to>
    <cdr:sp macro="" textlink="">
      <cdr:nvSpPr>
        <cdr:cNvPr id="7" name="Line 10">
          <a:extLst xmlns:a="http://schemas.openxmlformats.org/drawingml/2006/main">
            <a:ext uri="{FF2B5EF4-FFF2-40B4-BE49-F238E27FC236}">
              <a16:creationId xmlns:a16="http://schemas.microsoft.com/office/drawing/2014/main" id="{B4C66278-5894-65C4-105D-724AA303D4BC}"/>
            </a:ext>
          </a:extLst>
        </cdr:cNvPr>
        <cdr:cNvSpPr>
          <a:spLocks xmlns:a="http://schemas.openxmlformats.org/drawingml/2006/main" noChangeShapeType="1"/>
        </cdr:cNvSpPr>
      </cdr:nvSpPr>
      <cdr:spPr bwMode="auto">
        <a:xfrm xmlns:a="http://schemas.openxmlformats.org/drawingml/2006/main" flipH="1" flipV="1">
          <a:off x="347133" y="4432300"/>
          <a:ext cx="240704" cy="256481"/>
        </a:xfrm>
        <a:prstGeom xmlns:a="http://schemas.openxmlformats.org/drawingml/2006/main" prst="line">
          <a:avLst/>
        </a:prstGeom>
        <a:noFill xmlns:a="http://schemas.openxmlformats.org/drawingml/2006/main"/>
        <a:ln xmlns:a="http://schemas.openxmlformats.org/drawingml/2006/main"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 type="triangle" w="med" len="med"/>
        </a:ln>
      </cdr:spPr>
      <cdr:txBody>
        <a:bodyPr xmlns:a="http://schemas.openxmlformats.org/drawingml/2006/main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endParaRPr lang="zh-CN" altLang="en-US"/>
        </a:p>
      </cdr:txBody>
    </cdr:sp>
  </cdr:relSizeAnchor>
  <cdr:relSizeAnchor xmlns:cdr="http://schemas.openxmlformats.org/drawingml/2006/chartDrawing">
    <cdr:from>
      <cdr:x>0.32782</cdr:x>
      <cdr:y>0.38844</cdr:y>
    </cdr:from>
    <cdr:to>
      <cdr:x>0.34856</cdr:x>
      <cdr:y>0.42228</cdr:y>
    </cdr:to>
    <cdr:sp macro="" textlink="">
      <cdr:nvSpPr>
        <cdr:cNvPr id="8" name="Line 10">
          <a:extLst xmlns:a="http://schemas.openxmlformats.org/drawingml/2006/main">
            <a:ext uri="{FF2B5EF4-FFF2-40B4-BE49-F238E27FC236}">
              <a16:creationId xmlns:a16="http://schemas.microsoft.com/office/drawing/2014/main" id="{B4C66278-5894-65C4-105D-724AA303D4BC}"/>
            </a:ext>
          </a:extLst>
        </cdr:cNvPr>
        <cdr:cNvSpPr>
          <a:spLocks xmlns:a="http://schemas.openxmlformats.org/drawingml/2006/main" noChangeShapeType="1"/>
        </cdr:cNvSpPr>
      </cdr:nvSpPr>
      <cdr:spPr bwMode="auto">
        <a:xfrm xmlns:a="http://schemas.openxmlformats.org/drawingml/2006/main" flipH="1" flipV="1">
          <a:off x="3804356" y="2943577"/>
          <a:ext cx="240704" cy="256481"/>
        </a:xfrm>
        <a:prstGeom xmlns:a="http://schemas.openxmlformats.org/drawingml/2006/main" prst="line">
          <a:avLst/>
        </a:prstGeom>
        <a:noFill xmlns:a="http://schemas.openxmlformats.org/drawingml/2006/main"/>
        <a:ln xmlns:a="http://schemas.openxmlformats.org/drawingml/2006/main"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 type="triangle" w="med" len="med"/>
        </a:ln>
      </cdr:spPr>
      <cdr:txBody>
        <a:bodyPr xmlns:a="http://schemas.openxmlformats.org/drawingml/2006/main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endParaRPr lang="zh-CN" altLang="en-US"/>
        </a:p>
      </cdr:txBody>
    </cdr:sp>
  </cdr:relSizeAnchor>
  <cdr:relSizeAnchor xmlns:cdr="http://schemas.openxmlformats.org/drawingml/2006/chartDrawing">
    <cdr:from>
      <cdr:x>0.3491</cdr:x>
      <cdr:y>0.41544</cdr:y>
    </cdr:from>
    <cdr:to>
      <cdr:x>0.44335</cdr:x>
      <cdr:y>0.48481</cdr:y>
    </cdr:to>
    <cdr:sp macro="" textlink="">
      <cdr:nvSpPr>
        <cdr:cNvPr id="9" name="Text Box 3">
          <a:extLst xmlns:a="http://schemas.openxmlformats.org/drawingml/2006/main">
            <a:ext uri="{FF2B5EF4-FFF2-40B4-BE49-F238E27FC236}">
              <a16:creationId xmlns:a16="http://schemas.microsoft.com/office/drawing/2014/main" id="{AB728E27-37C5-3283-3ADE-E7B62649B534}"/>
            </a:ext>
          </a:extLst>
        </cdr:cNvPr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4051300" y="3148189"/>
          <a:ext cx="1093869" cy="525694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>
          <a:noFill/>
        </a:ln>
      </cdr:spPr>
      <cdr:txBody>
        <a:bodyPr xmlns:a="http://schemas.openxmlformats.org/drawingml/2006/main" wrap="square" lIns="36576" tIns="27432" rIns="0" bIns="0" anchor="t" upright="1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l" rtl="0">
            <a:defRPr sz="1000"/>
          </a:pPr>
          <a:r>
            <a:rPr lang="zh-CN" altLang="en-US" sz="1200" b="0" i="0" u="none" strike="noStrike" baseline="0">
              <a:solidFill>
                <a:srgbClr val="000000"/>
              </a:solidFill>
              <a:latin typeface="Arial"/>
              <a:cs typeface="Arial"/>
            </a:rPr>
            <a:t>Market portfolio, M</a:t>
          </a:r>
        </a:p>
      </cdr:txBody>
    </cdr:sp>
  </cdr:relSizeAnchor>
</c:userShapes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342900</xdr:colOff>
      <xdr:row>1</xdr:row>
      <xdr:rowOff>9525</xdr:rowOff>
    </xdr:from>
    <xdr:to>
      <xdr:col>28</xdr:col>
      <xdr:colOff>19049</xdr:colOff>
      <xdr:row>57</xdr:row>
      <xdr:rowOff>0</xdr:rowOff>
    </xdr:to>
    <xdr:pic>
      <xdr:nvPicPr>
        <xdr:cNvPr id="2" name="图片 1">
          <a:extLst>
            <a:ext uri="{FF2B5EF4-FFF2-40B4-BE49-F238E27FC236}">
              <a16:creationId xmlns:a16="http://schemas.microsoft.com/office/drawing/2014/main" id="{77BC1025-A36F-2E3E-A789-F56570C6AF1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9163050" y="209550"/>
          <a:ext cx="8220075" cy="999172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D:\lizhengdong\&#20132;&#26131;&#26694;&#26550;\5_&#24037;&#20855;&#31665;\_&#20070;&#24211;\&#32534;&#31243;\EXCEL\&#36130;&#21153;&#37329;&#34701;&#24314;&#27169;&#31532;&#19977;&#29256;&#65288;&#29992;ECCEL&#24037;&#20855;&#65289;\Chapter%20files\fm3_chapter09.xls" TargetMode="External"/><Relationship Id="rId1" Type="http://schemas.openxmlformats.org/officeDocument/2006/relationships/externalLinkPath" Target="/lizhengdong/&#20132;&#26131;&#26694;&#26550;/5_&#24037;&#20855;&#31665;/_&#20070;&#24211;/&#32534;&#31243;/EXCEL/&#36130;&#21153;&#37329;&#34701;&#24314;&#27169;&#31532;&#19977;&#29256;&#65288;&#29992;ECCEL&#24037;&#20855;&#65289;/Chapter%20files/fm3_chapter09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Pages 268-70"/>
      <sheetName val="Pages 268-70中文"/>
      <sheetName val="Page 273"/>
      <sheetName val="Page 273中文"/>
      <sheetName val="Page 274"/>
      <sheetName val="Page 274中文"/>
      <sheetName val="Page 276"/>
      <sheetName val="Page 276中文"/>
      <sheetName val="Page 277"/>
      <sheetName val="Page 277中文"/>
      <sheetName val="Page 278"/>
      <sheetName val="Page 278中文"/>
      <sheetName val="Data for CML chart, p. 278"/>
      <sheetName val="Data for CML chart, p. 278中文"/>
      <sheetName val="Page 279"/>
      <sheetName val="Page 279中文"/>
      <sheetName val="Pages 280-81"/>
      <sheetName val="Pages 280-81中文"/>
      <sheetName val="Page 282"/>
      <sheetName val="Page 282中文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2"/>
      <sheetData sheetId="13"/>
      <sheetData sheetId="14"/>
      <sheetData sheetId="15"/>
      <sheetData sheetId="16"/>
      <sheetData sheetId="17"/>
      <sheetData sheetId="18"/>
      <sheetData sheetId="19"/>
    </sheetDataSet>
  </externalBook>
</externalLink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4BB0C1-0DD8-4FB5-B5BC-87C496726FA1}">
  <dimension ref="A1:M64"/>
  <sheetViews>
    <sheetView tabSelected="1" topLeftCell="A20" zoomScale="130" zoomScaleNormal="130" workbookViewId="0">
      <selection activeCell="I54" sqref="I54"/>
    </sheetView>
  </sheetViews>
  <sheetFormatPr defaultRowHeight="13.8" x14ac:dyDescent="0.25"/>
  <cols>
    <col min="1" max="1" width="16.44140625" style="2" customWidth="1"/>
    <col min="2" max="13" width="8.88671875" style="2"/>
  </cols>
  <sheetData>
    <row r="1" spans="1:13" ht="15.6" x14ac:dyDescent="0.3">
      <c r="A1" s="1" t="s">
        <v>0</v>
      </c>
      <c r="B1" s="1"/>
      <c r="C1" s="1"/>
      <c r="D1" s="1"/>
      <c r="E1" s="1"/>
      <c r="F1" s="1"/>
      <c r="G1" s="1"/>
      <c r="H1" s="1"/>
      <c r="I1" s="1"/>
    </row>
    <row r="3" spans="1:13" ht="39.6" x14ac:dyDescent="0.25">
      <c r="A3" s="3" t="s">
        <v>1</v>
      </c>
      <c r="B3" s="3"/>
      <c r="C3" s="3"/>
      <c r="D3" s="3"/>
      <c r="E3" s="4"/>
      <c r="F3" s="5" t="s">
        <v>2</v>
      </c>
      <c r="G3" s="5" t="s">
        <v>3</v>
      </c>
      <c r="H3" s="4"/>
      <c r="I3" s="4"/>
      <c r="J3" s="4"/>
      <c r="K3" s="4"/>
      <c r="L3" s="4"/>
      <c r="M3" s="4"/>
    </row>
    <row r="4" spans="1:13" x14ac:dyDescent="0.25">
      <c r="A4" s="6">
        <v>0.08</v>
      </c>
      <c r="B4" s="6">
        <v>0</v>
      </c>
      <c r="C4" s="6">
        <v>0</v>
      </c>
      <c r="D4" s="6">
        <v>0</v>
      </c>
      <c r="E4" s="7"/>
      <c r="F4" s="7">
        <v>0</v>
      </c>
      <c r="G4" s="6">
        <f>F4-$E$9</f>
        <v>-0.01</v>
      </c>
    </row>
    <row r="5" spans="1:13" x14ac:dyDescent="0.25">
      <c r="A5" s="6">
        <v>0</v>
      </c>
      <c r="B5" s="6">
        <v>0.06</v>
      </c>
      <c r="C5" s="6">
        <v>1E-3</v>
      </c>
      <c r="D5" s="6">
        <v>-0.06</v>
      </c>
      <c r="E5" s="7"/>
      <c r="F5" s="7">
        <v>5.0000000000000001E-3</v>
      </c>
      <c r="G5" s="6">
        <f>F5-$E$9</f>
        <v>-5.0000000000000001E-3</v>
      </c>
    </row>
    <row r="6" spans="1:13" x14ac:dyDescent="0.25">
      <c r="A6" s="6">
        <v>0</v>
      </c>
      <c r="B6" s="6">
        <v>0</v>
      </c>
      <c r="C6" s="6">
        <v>0.04</v>
      </c>
      <c r="D6" s="6">
        <v>0</v>
      </c>
      <c r="E6" s="7"/>
      <c r="F6" s="7">
        <v>0.01</v>
      </c>
      <c r="G6" s="6">
        <f>F6-$E$9</f>
        <v>0</v>
      </c>
    </row>
    <row r="7" spans="1:13" x14ac:dyDescent="0.25">
      <c r="A7" s="6">
        <f>D4</f>
        <v>0</v>
      </c>
      <c r="B7" s="6">
        <v>0</v>
      </c>
      <c r="C7" s="6">
        <v>0</v>
      </c>
      <c r="D7" s="6">
        <v>0.02</v>
      </c>
      <c r="E7" s="7"/>
      <c r="F7" s="7">
        <v>1.4999999999999999E-2</v>
      </c>
      <c r="G7" s="6">
        <f>F7-$E$9</f>
        <v>4.9999999999999992E-3</v>
      </c>
    </row>
    <row r="9" spans="1:13" x14ac:dyDescent="0.25">
      <c r="D9" s="2" t="s">
        <v>4</v>
      </c>
      <c r="E9" s="23">
        <v>0.01</v>
      </c>
    </row>
    <row r="10" spans="1:13" x14ac:dyDescent="0.25">
      <c r="A10" s="8"/>
      <c r="B10" s="8" t="s">
        <v>5</v>
      </c>
      <c r="C10" s="8" t="s">
        <v>6</v>
      </c>
      <c r="D10" s="8"/>
      <c r="E10" s="8" t="s">
        <v>5</v>
      </c>
      <c r="F10" s="8" t="s">
        <v>7</v>
      </c>
      <c r="G10" s="8"/>
      <c r="H10" s="8"/>
      <c r="I10" s="8"/>
      <c r="J10" s="8"/>
      <c r="K10" s="8"/>
      <c r="L10" s="8"/>
      <c r="M10" s="8"/>
    </row>
    <row r="11" spans="1:13" x14ac:dyDescent="0.25">
      <c r="B11" s="9">
        <f t="array" ref="B11:B14">MMULT(MINVERSE(A4:D7),F4:F7)</f>
        <v>0</v>
      </c>
      <c r="C11" s="9">
        <f>B11/SUM($B$11:$B$14)</f>
        <v>0</v>
      </c>
      <c r="D11" s="9"/>
      <c r="E11" s="9">
        <f t="array" ref="E11:E14">MMULT(MINVERSE(A4:D7),G4:G7)</f>
        <v>-0.125</v>
      </c>
      <c r="F11" s="9">
        <f>E11/SUM($E$11:$E$14)</f>
        <v>-0.4285714285714286</v>
      </c>
      <c r="H11" s="10" t="s">
        <v>8</v>
      </c>
    </row>
    <row r="12" spans="1:13" x14ac:dyDescent="0.25">
      <c r="B12" s="9">
        <v>0.82916666666666672</v>
      </c>
      <c r="C12" s="9">
        <f>B12/SUM($B$11:$B$14)</f>
        <v>0.45330296127562647</v>
      </c>
      <c r="D12" s="9"/>
      <c r="E12" s="9">
        <v>0.16666666666666663</v>
      </c>
      <c r="F12" s="9">
        <f>E12/SUM($E$11:$E$14)</f>
        <v>0.5714285714285714</v>
      </c>
      <c r="H12" s="10" t="s">
        <v>31</v>
      </c>
    </row>
    <row r="13" spans="1:13" x14ac:dyDescent="0.25">
      <c r="B13" s="9">
        <v>0.25</v>
      </c>
      <c r="C13" s="9">
        <f>B13/SUM($B$11:$B$14)</f>
        <v>0.1366742596810934</v>
      </c>
      <c r="D13" s="9"/>
      <c r="E13" s="9">
        <v>0</v>
      </c>
      <c r="F13" s="9">
        <f>E13/SUM($E$11:$E$14)</f>
        <v>0</v>
      </c>
      <c r="H13" s="2" t="s">
        <v>9</v>
      </c>
    </row>
    <row r="14" spans="1:13" x14ac:dyDescent="0.25">
      <c r="B14" s="9">
        <v>0.75</v>
      </c>
      <c r="C14" s="9">
        <f>B14/SUM($B$11:$B$14)</f>
        <v>0.41002277904328022</v>
      </c>
      <c r="D14" s="9"/>
      <c r="E14" s="9">
        <v>0.24999999999999997</v>
      </c>
      <c r="F14" s="9">
        <f>E14/SUM($E$11:$E$14)</f>
        <v>0.85714285714285721</v>
      </c>
    </row>
    <row r="15" spans="1:13" x14ac:dyDescent="0.25">
      <c r="B15" s="9"/>
      <c r="C15" s="9"/>
      <c r="D15" s="9"/>
      <c r="E15" s="11" t="s">
        <v>10</v>
      </c>
      <c r="F15" s="9">
        <f>MMULT(B21:E21,F4:F7)</f>
        <v>1.5714285714285715E-2</v>
      </c>
    </row>
    <row r="16" spans="1:13" x14ac:dyDescent="0.25">
      <c r="B16" s="9"/>
      <c r="C16" s="9"/>
      <c r="D16" s="9"/>
      <c r="E16" s="11" t="s">
        <v>11</v>
      </c>
      <c r="F16" s="9">
        <f>F25</f>
        <v>0.13997084244475302</v>
      </c>
    </row>
    <row r="17" spans="1:6" x14ac:dyDescent="0.25">
      <c r="B17" s="10" t="s">
        <v>12</v>
      </c>
      <c r="F17" s="9"/>
    </row>
    <row r="18" spans="1:6" x14ac:dyDescent="0.25">
      <c r="B18" s="9">
        <f t="array" ref="B18:E18">TRANSPOSE(C11:C24)</f>
        <v>0</v>
      </c>
      <c r="C18" s="9">
        <v>0.45330296127562647</v>
      </c>
      <c r="D18" s="9">
        <v>0.1366742596810934</v>
      </c>
      <c r="E18" s="9">
        <v>0.41002277904328022</v>
      </c>
      <c r="F18" s="9"/>
    </row>
    <row r="19" spans="1:6" x14ac:dyDescent="0.25">
      <c r="B19" s="9"/>
      <c r="C19" s="9"/>
      <c r="D19" s="9"/>
      <c r="E19" s="9"/>
      <c r="F19" s="9"/>
    </row>
    <row r="20" spans="1:6" x14ac:dyDescent="0.25">
      <c r="B20" s="27" t="s">
        <v>13</v>
      </c>
      <c r="C20" s="9"/>
      <c r="D20" s="9"/>
      <c r="E20" s="9"/>
      <c r="F20" s="9"/>
    </row>
    <row r="21" spans="1:6" x14ac:dyDescent="0.25">
      <c r="B21" s="9">
        <f t="array" ref="B21:E21">TRANSPOSE(F11:F14)</f>
        <v>-0.4285714285714286</v>
      </c>
      <c r="C21" s="9">
        <v>0.5714285714285714</v>
      </c>
      <c r="D21" s="9">
        <v>0</v>
      </c>
      <c r="E21" s="9">
        <v>0.85714285714285721</v>
      </c>
      <c r="F21" s="9"/>
    </row>
    <row r="22" spans="1:6" x14ac:dyDescent="0.25">
      <c r="F22" s="9"/>
    </row>
    <row r="23" spans="1:6" x14ac:dyDescent="0.25">
      <c r="B23" s="11" t="s">
        <v>14</v>
      </c>
      <c r="C23" s="9">
        <f>MMULT(B18:E18,F4:F7)</f>
        <v>9.7835990888382705E-3</v>
      </c>
      <c r="D23" s="9"/>
      <c r="E23" s="11" t="s">
        <v>10</v>
      </c>
      <c r="F23" s="9">
        <f>MMULT(B21:E21,F4:F7)</f>
        <v>1.5714285714285715E-2</v>
      </c>
    </row>
    <row r="24" spans="1:6" x14ac:dyDescent="0.25">
      <c r="B24" s="11" t="s">
        <v>15</v>
      </c>
      <c r="C24" s="9">
        <f>MMULT(MMULT(B18:E18,A4:D7),C11:C14)</f>
        <v>5.3486646499343619E-3</v>
      </c>
      <c r="D24" s="9"/>
      <c r="E24" s="11" t="s">
        <v>16</v>
      </c>
      <c r="F24" s="9">
        <f>MMULT(MMULT(B21:E21,A4:D7),F11:F14)</f>
        <v>1.9591836734693877E-2</v>
      </c>
    </row>
    <row r="25" spans="1:6" x14ac:dyDescent="0.25">
      <c r="B25" s="11" t="s">
        <v>17</v>
      </c>
      <c r="C25" s="9">
        <f>SQRT(C24)</f>
        <v>7.3134565356843151E-2</v>
      </c>
      <c r="D25" s="9"/>
      <c r="E25" s="11" t="s">
        <v>11</v>
      </c>
      <c r="F25" s="9">
        <f>SQRT(F24)</f>
        <v>0.13997084244475302</v>
      </c>
    </row>
    <row r="27" spans="1:6" x14ac:dyDescent="0.25">
      <c r="B27" s="10" t="s">
        <v>18</v>
      </c>
      <c r="C27" s="9">
        <f>MMULT(MMULT(B18:E18,A4:D7),F11:F14)</f>
        <v>-7.419459811259365E-4</v>
      </c>
    </row>
    <row r="28" spans="1:6" x14ac:dyDescent="0.25">
      <c r="B28" s="10" t="s">
        <v>19</v>
      </c>
      <c r="C28" s="9">
        <f>C27/(C25*F25)</f>
        <v>-7.2478972102074116E-2</v>
      </c>
    </row>
    <row r="29" spans="1:6" x14ac:dyDescent="0.25">
      <c r="B29" s="10"/>
      <c r="C29" s="9"/>
    </row>
    <row r="30" spans="1:6" x14ac:dyDescent="0.25">
      <c r="B30" s="10"/>
      <c r="C30" s="9"/>
    </row>
    <row r="31" spans="1:6" x14ac:dyDescent="0.25">
      <c r="D31" s="12" t="s">
        <v>20</v>
      </c>
      <c r="E31" s="12"/>
      <c r="F31" s="12"/>
    </row>
    <row r="32" spans="1:6" x14ac:dyDescent="0.25">
      <c r="A32" s="10" t="s">
        <v>21</v>
      </c>
      <c r="D32" s="12" t="s">
        <v>22</v>
      </c>
      <c r="E32" s="12"/>
      <c r="F32" s="12"/>
    </row>
    <row r="33" spans="1:8" x14ac:dyDescent="0.25">
      <c r="A33" s="2" t="s">
        <v>23</v>
      </c>
      <c r="B33" s="2">
        <v>0.3</v>
      </c>
      <c r="D33" s="12" t="s">
        <v>24</v>
      </c>
      <c r="E33" s="12"/>
      <c r="F33" s="12"/>
      <c r="G33" s="2" t="s">
        <v>25</v>
      </c>
    </row>
    <row r="34" spans="1:8" ht="14.4" thickBot="1" x14ac:dyDescent="0.3">
      <c r="A34" s="2" t="s">
        <v>26</v>
      </c>
      <c r="B34" s="13">
        <f>B33*C23+(1-B33)*F23</f>
        <v>1.393507972665148E-2</v>
      </c>
      <c r="E34" s="8" t="s">
        <v>27</v>
      </c>
      <c r="F34" s="8" t="s">
        <v>28</v>
      </c>
      <c r="G34" s="2" t="s">
        <v>28</v>
      </c>
    </row>
    <row r="35" spans="1:8" ht="14.4" thickTop="1" x14ac:dyDescent="0.25">
      <c r="A35" s="2" t="s">
        <v>29</v>
      </c>
      <c r="B35" s="14">
        <f>SQRT(B33^2*C24+(1-B33)^2*F24+2*B33*(1-B33)*C27)</f>
        <v>9.8842108973965115E-2</v>
      </c>
      <c r="D35" s="15"/>
      <c r="E35" s="16">
        <f>B35</f>
        <v>9.8842108973965115E-2</v>
      </c>
      <c r="F35" s="17">
        <f>B34</f>
        <v>1.393507972665148E-2</v>
      </c>
      <c r="G35" s="9"/>
    </row>
    <row r="36" spans="1:8" x14ac:dyDescent="0.25">
      <c r="D36" s="18">
        <v>-0.4</v>
      </c>
      <c r="E36" s="9">
        <v>0.20021679710466486</v>
      </c>
      <c r="F36" s="19">
        <v>1.8086560364464689E-2</v>
      </c>
      <c r="G36" s="9">
        <f>$E$9+E36*($F$23-$E$9)/$F$25</f>
        <v>1.817381651401296E-2</v>
      </c>
      <c r="H36" s="7"/>
    </row>
    <row r="37" spans="1:8" x14ac:dyDescent="0.25">
      <c r="D37" s="18">
        <f>D36+$B$38</f>
        <v>-0.30000000000000004</v>
      </c>
      <c r="E37" s="9">
        <v>0.18485210781975137</v>
      </c>
      <c r="F37" s="19">
        <v>1.7493491701919949E-2</v>
      </c>
      <c r="G37" s="9">
        <f t="shared" ref="G37:G56" si="0">$E$9+E37*($F$23-$E$9)/$F$25</f>
        <v>1.754655570060552E-2</v>
      </c>
      <c r="H37" s="7"/>
    </row>
    <row r="38" spans="1:8" x14ac:dyDescent="0.25">
      <c r="A38" s="2" t="s">
        <v>30</v>
      </c>
      <c r="B38" s="2">
        <v>0.1</v>
      </c>
      <c r="D38" s="18">
        <f t="shared" ref="D38:D53" si="1">D37+$B$38</f>
        <v>-0.20000000000000004</v>
      </c>
      <c r="E38" s="9">
        <v>0.16965354565966786</v>
      </c>
      <c r="F38" s="19">
        <v>1.6900423039375202E-2</v>
      </c>
      <c r="G38" s="9">
        <f t="shared" si="0"/>
        <v>1.6926076998669236E-2</v>
      </c>
      <c r="H38" s="7"/>
    </row>
    <row r="39" spans="1:8" x14ac:dyDescent="0.25">
      <c r="D39" s="18">
        <f t="shared" si="1"/>
        <v>-0.10000000000000003</v>
      </c>
      <c r="E39" s="9">
        <v>0.15467009152168573</v>
      </c>
      <c r="F39" s="19">
        <v>1.6307354376830462E-2</v>
      </c>
      <c r="G39" s="9">
        <f t="shared" si="0"/>
        <v>1.6314380044961746E-2</v>
      </c>
      <c r="H39" s="7"/>
    </row>
    <row r="40" spans="1:8" ht="15.6" x14ac:dyDescent="0.35">
      <c r="D40" s="24">
        <v>0</v>
      </c>
      <c r="E40" s="25">
        <v>0.13997084244475302</v>
      </c>
      <c r="F40" s="26">
        <v>1.5714285714285715E-2</v>
      </c>
      <c r="G40" s="25">
        <f t="shared" si="0"/>
        <v>1.5714285714285715E-2</v>
      </c>
      <c r="H40" s="9" t="s">
        <v>32</v>
      </c>
    </row>
    <row r="41" spans="1:8" x14ac:dyDescent="0.25">
      <c r="D41" s="18">
        <f t="shared" si="1"/>
        <v>0.1</v>
      </c>
      <c r="E41" s="9">
        <v>0.12565557737322572</v>
      </c>
      <c r="F41" s="19">
        <v>1.5121217051740972E-2</v>
      </c>
      <c r="G41" s="9">
        <f t="shared" si="0"/>
        <v>1.5129867464986908E-2</v>
      </c>
      <c r="H41" s="7"/>
    </row>
    <row r="42" spans="1:8" x14ac:dyDescent="0.25">
      <c r="D42" s="18">
        <f t="shared" si="1"/>
        <v>0.2</v>
      </c>
      <c r="E42" s="9">
        <v>0.11187179886924657</v>
      </c>
      <c r="F42" s="19">
        <v>1.4528148389196228E-2</v>
      </c>
      <c r="G42" s="9">
        <f t="shared" si="0"/>
        <v>1.4567147063948705E-2</v>
      </c>
      <c r="H42" s="7"/>
    </row>
    <row r="43" spans="1:8" x14ac:dyDescent="0.25">
      <c r="D43" s="18">
        <f t="shared" si="1"/>
        <v>0.30000000000000004</v>
      </c>
      <c r="E43" s="9">
        <v>9.8842108973965115E-2</v>
      </c>
      <c r="F43" s="19">
        <v>1.3935079726651482E-2</v>
      </c>
      <c r="G43" s="9">
        <f t="shared" si="0"/>
        <v>1.4035212201446413E-2</v>
      </c>
      <c r="H43" s="7"/>
    </row>
    <row r="44" spans="1:8" x14ac:dyDescent="0.25">
      <c r="D44" s="18">
        <f t="shared" si="1"/>
        <v>0.4</v>
      </c>
      <c r="E44" s="9">
        <v>8.6906349005920411E-2</v>
      </c>
      <c r="F44" s="19">
        <v>1.3342011064106738E-2</v>
      </c>
      <c r="G44" s="9">
        <f t="shared" si="0"/>
        <v>1.3547936841212286E-2</v>
      </c>
      <c r="H44" s="7"/>
    </row>
    <row r="45" spans="1:8" x14ac:dyDescent="0.25">
      <c r="D45" s="18">
        <f t="shared" si="1"/>
        <v>0.5</v>
      </c>
      <c r="E45" s="9">
        <v>7.6577753659885395E-2</v>
      </c>
      <c r="F45" s="19">
        <v>1.2748942401561993E-2</v>
      </c>
      <c r="G45" s="9">
        <f t="shared" si="0"/>
        <v>1.3126273701921105E-2</v>
      </c>
      <c r="H45" s="7"/>
    </row>
    <row r="46" spans="1:8" x14ac:dyDescent="0.25">
      <c r="D46" s="18">
        <f t="shared" si="1"/>
        <v>0.6</v>
      </c>
      <c r="E46" s="9">
        <v>6.8586289304692238E-2</v>
      </c>
      <c r="F46" s="19">
        <v>1.2155873739017248E-2</v>
      </c>
      <c r="G46" s="9">
        <f t="shared" si="0"/>
        <v>1.2800023535790055E-2</v>
      </c>
      <c r="H46" s="7"/>
    </row>
    <row r="47" spans="1:8" x14ac:dyDescent="0.25">
      <c r="D47" s="18">
        <f t="shared" si="1"/>
        <v>0.7</v>
      </c>
      <c r="E47" s="9">
        <v>6.381609258265028E-2</v>
      </c>
      <c r="F47" s="19">
        <v>1.1562805076472504E-2</v>
      </c>
      <c r="G47" s="9">
        <f t="shared" si="0"/>
        <v>1.2605281070095059E-2</v>
      </c>
      <c r="H47" s="7"/>
    </row>
    <row r="48" spans="1:8" x14ac:dyDescent="0.25">
      <c r="D48" s="18">
        <f t="shared" si="1"/>
        <v>0.79999999999999993</v>
      </c>
      <c r="E48" s="9">
        <v>6.3003143821443119E-2</v>
      </c>
      <c r="F48" s="19">
        <v>1.0969736413927761E-2</v>
      </c>
      <c r="G48" s="9">
        <f t="shared" si="0"/>
        <v>1.2572092575895305E-2</v>
      </c>
      <c r="H48" s="7"/>
    </row>
    <row r="49" spans="4:8" x14ac:dyDescent="0.25">
      <c r="D49" s="18">
        <f t="shared" si="1"/>
        <v>0.89999999999999991</v>
      </c>
      <c r="E49" s="9">
        <v>6.6293185601471155E-2</v>
      </c>
      <c r="F49" s="19">
        <v>1.0376667751383016E-2</v>
      </c>
      <c r="G49" s="9">
        <f t="shared" si="0"/>
        <v>1.2706407969120419E-2</v>
      </c>
      <c r="H49" s="7"/>
    </row>
    <row r="50" spans="4:8" x14ac:dyDescent="0.25">
      <c r="D50" s="18">
        <f t="shared" si="1"/>
        <v>0.99999999999999989</v>
      </c>
      <c r="E50" s="9">
        <v>7.3134565356843137E-2</v>
      </c>
      <c r="F50" s="19">
        <v>9.7835990888382705E-3</v>
      </c>
      <c r="G50" s="9">
        <f t="shared" si="0"/>
        <v>1.2985706128074887E-2</v>
      </c>
      <c r="H50" s="7"/>
    </row>
    <row r="51" spans="4:8" x14ac:dyDescent="0.25">
      <c r="D51" s="18">
        <f t="shared" si="1"/>
        <v>1.0999999999999999</v>
      </c>
      <c r="E51" s="9">
        <v>8.2650049664928948E-2</v>
      </c>
      <c r="F51" s="19">
        <v>9.1905304262935271E-3</v>
      </c>
      <c r="G51" s="9">
        <f t="shared" si="0"/>
        <v>1.3374174148246062E-2</v>
      </c>
      <c r="H51" s="7"/>
    </row>
    <row r="52" spans="4:8" x14ac:dyDescent="0.25">
      <c r="D52" s="18">
        <f t="shared" si="1"/>
        <v>1.2</v>
      </c>
      <c r="E52" s="9">
        <v>9.4031296046761401E-2</v>
      </c>
      <c r="F52" s="19">
        <v>8.5974617637487802E-3</v>
      </c>
      <c r="G52" s="9">
        <f t="shared" si="0"/>
        <v>1.3838811586119175E-2</v>
      </c>
      <c r="H52" s="7"/>
    </row>
    <row r="53" spans="4:8" x14ac:dyDescent="0.25">
      <c r="D53" s="18">
        <f t="shared" si="1"/>
        <v>1.3</v>
      </c>
      <c r="E53" s="9">
        <v>0.10668283099819649</v>
      </c>
      <c r="F53" s="19">
        <v>8.0043931012040367E-3</v>
      </c>
      <c r="G53" s="9">
        <f t="shared" si="0"/>
        <v>1.4355308337685894E-2</v>
      </c>
      <c r="H53" s="7"/>
    </row>
    <row r="54" spans="4:8" x14ac:dyDescent="0.25">
      <c r="D54" s="18">
        <f>D53+$B$38</f>
        <v>1.4000000000000001</v>
      </c>
      <c r="E54" s="9">
        <v>0.1202042265907627</v>
      </c>
      <c r="F54" s="19">
        <v>7.4113244386592916E-3</v>
      </c>
      <c r="G54" s="9">
        <f t="shared" si="0"/>
        <v>1.4907317001220971E-2</v>
      </c>
      <c r="H54" s="7"/>
    </row>
    <row r="55" spans="4:8" x14ac:dyDescent="0.25">
      <c r="D55" s="18">
        <f>D54+$B$38</f>
        <v>1.5000000000000002</v>
      </c>
      <c r="E55" s="9">
        <v>0.13433306971001108</v>
      </c>
      <c r="F55" s="19">
        <v>6.8182557761145464E-3</v>
      </c>
      <c r="G55" s="9">
        <f t="shared" si="0"/>
        <v>1.5484124606187498E-2</v>
      </c>
      <c r="H55" s="7"/>
    </row>
    <row r="56" spans="4:8" ht="14.4" thickBot="1" x14ac:dyDescent="0.3">
      <c r="D56" s="20">
        <f>D55+$B$38</f>
        <v>1.6000000000000003</v>
      </c>
      <c r="E56" s="21">
        <v>0.14889653794525773</v>
      </c>
      <c r="F56" s="22">
        <v>6.2251871135698012E-3</v>
      </c>
      <c r="G56" s="9">
        <f t="shared" si="0"/>
        <v>1.607867570721392E-2</v>
      </c>
      <c r="H56" s="7"/>
    </row>
    <row r="57" spans="4:8" ht="14.4" thickTop="1" x14ac:dyDescent="0.25">
      <c r="G57" s="9"/>
    </row>
    <row r="58" spans="4:8" x14ac:dyDescent="0.25">
      <c r="G58" s="9"/>
    </row>
    <row r="59" spans="4:8" x14ac:dyDescent="0.25">
      <c r="G59" s="9"/>
    </row>
    <row r="60" spans="4:8" x14ac:dyDescent="0.25">
      <c r="G60" s="9"/>
    </row>
    <row r="61" spans="4:8" x14ac:dyDescent="0.25">
      <c r="G61" s="9"/>
    </row>
    <row r="62" spans="4:8" x14ac:dyDescent="0.25">
      <c r="G62" s="9"/>
    </row>
    <row r="63" spans="4:8" x14ac:dyDescent="0.25">
      <c r="G63" s="9"/>
    </row>
    <row r="64" spans="4:8" x14ac:dyDescent="0.25">
      <c r="G64" s="9"/>
    </row>
  </sheetData>
  <mergeCells count="2">
    <mergeCell ref="A1:I1"/>
    <mergeCell ref="A3:D3"/>
  </mergeCells>
  <phoneticPr fontId="1" type="noConversion"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1</vt:i4>
      </vt:variant>
      <vt:variant>
        <vt:lpstr>图表</vt:lpstr>
      </vt:variant>
      <vt:variant>
        <vt:i4>1</vt:i4>
      </vt:variant>
    </vt:vector>
  </HeadingPairs>
  <TitlesOfParts>
    <vt:vector size="2" baseType="lpstr">
      <vt:lpstr>Sheet1</vt:lpstr>
      <vt:lpstr>Chart1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正东 李</dc:creator>
  <cp:lastModifiedBy>正东 李</cp:lastModifiedBy>
  <dcterms:created xsi:type="dcterms:W3CDTF">2024-10-05T13:27:14Z</dcterms:created>
  <dcterms:modified xsi:type="dcterms:W3CDTF">2024-10-29T07:03:41Z</dcterms:modified>
</cp:coreProperties>
</file>