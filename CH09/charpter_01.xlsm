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9\"/>
    </mc:Choice>
  </mc:AlternateContent>
  <xr:revisionPtr revIDLastSave="0" documentId="13_ncr:1_{E5F717D6-7BF6-467A-A1E0-31D2951F6B4E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4" i="1" l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D42" i="1"/>
  <c r="A18" i="1"/>
  <c r="G6" i="1"/>
  <c r="C6" i="1"/>
  <c r="A12" i="1" s="1" a="1"/>
  <c r="B6" i="1"/>
  <c r="A6" i="1"/>
  <c r="G5" i="1"/>
  <c r="B5" i="1"/>
  <c r="A5" i="1"/>
  <c r="G4" i="1"/>
  <c r="A4" i="1"/>
  <c r="A20" i="1" s="1" a="1"/>
  <c r="G3" i="1"/>
  <c r="C37" i="1"/>
  <c r="C36" i="1"/>
  <c r="D31" i="1"/>
  <c r="D30" i="1"/>
  <c r="G28" i="1"/>
  <c r="G27" i="1"/>
  <c r="G26" i="1"/>
  <c r="G24" i="1"/>
  <c r="G20" i="1"/>
  <c r="B20" i="1"/>
  <c r="G16" i="1"/>
  <c r="G12" i="1"/>
  <c r="B12" i="1"/>
  <c r="H4" i="1"/>
  <c r="H5" i="1"/>
  <c r="H6" i="1"/>
  <c r="H3" i="1"/>
  <c r="A22" i="1" l="1"/>
  <c r="F22" i="1" s="1"/>
  <c r="A23" i="1"/>
  <c r="F23" i="1" s="1"/>
  <c r="A21" i="1"/>
  <c r="A20" i="1"/>
  <c r="A14" i="1"/>
  <c r="F14" i="1" s="1"/>
  <c r="A12" i="1"/>
  <c r="A15" i="1"/>
  <c r="A13" i="1"/>
  <c r="F13" i="1" l="1"/>
  <c r="F15" i="1"/>
  <c r="F12" i="1"/>
  <c r="F20" i="1"/>
  <c r="F21" i="1"/>
  <c r="F26" i="1" l="1" a="1"/>
  <c r="F26" i="1" s="1"/>
  <c r="F24" i="1"/>
  <c r="F27" i="1" a="1"/>
  <c r="F27" i="1" s="1"/>
  <c r="F28" i="1" s="1"/>
  <c r="B26" i="1" a="1"/>
  <c r="B26" i="1" s="1"/>
  <c r="B36" i="1" s="1"/>
  <c r="C42" i="1" s="1"/>
  <c r="F16" i="1"/>
  <c r="C30" i="1" a="1"/>
  <c r="C30" i="1" s="1"/>
  <c r="B27" i="1" a="1"/>
  <c r="B27" i="1" s="1"/>
  <c r="B28" i="1" l="1"/>
  <c r="B37" i="1"/>
  <c r="B42" i="1" s="1"/>
  <c r="C31" i="1"/>
</calcChain>
</file>

<file path=xl/sharedStrings.xml><?xml version="1.0" encoding="utf-8"?>
<sst xmlns="http://schemas.openxmlformats.org/spreadsheetml/2006/main" count="29" uniqueCount="25">
  <si>
    <t>CALCULATING THE EFFICIENT FRONTIER</t>
  </si>
  <si>
    <t>Variance-covariance matrix</t>
  </si>
  <si>
    <t>Expected returns
E(r)</t>
  </si>
  <si>
    <t>Expected minus constant
E(r) - c</t>
  </si>
  <si>
    <t>Constant</t>
  </si>
  <si>
    <t>Computing an envelope portfolio with constant = 0</t>
  </si>
  <si>
    <t>z</t>
  </si>
  <si>
    <t>Sum</t>
  </si>
  <si>
    <t>Envelope portfolio
y</t>
  </si>
  <si>
    <t>E(x)</t>
  </si>
  <si>
    <t>Var(x)</t>
  </si>
  <si>
    <t>Var(y)</t>
  </si>
  <si>
    <t>Sigma(x)</t>
  </si>
  <si>
    <t>Sigma(y)</t>
  </si>
  <si>
    <t>Cov(x,y)</t>
  </si>
  <si>
    <t>Corr(x,y)</t>
  </si>
  <si>
    <t>A single portfolio calculation</t>
  </si>
  <si>
    <t>Proportion of x</t>
  </si>
  <si>
    <r>
      <t>E(r</t>
    </r>
    <r>
      <rPr>
        <vertAlign val="subscript"/>
        <sz val="10"/>
        <rFont val="Arial"/>
        <family val="2"/>
      </rPr>
      <t>p</t>
    </r>
    <r>
      <rPr>
        <sz val="11"/>
        <color theme="1"/>
        <rFont val="等线"/>
        <family val="2"/>
        <charset val="134"/>
        <scheme val="minor"/>
      </rPr>
      <t>)</t>
    </r>
  </si>
  <si>
    <r>
      <t>s</t>
    </r>
    <r>
      <rPr>
        <vertAlign val="subscript"/>
        <sz val="10"/>
        <rFont val="Arial"/>
        <family val="2"/>
      </rPr>
      <t>p</t>
    </r>
  </si>
  <si>
    <t>Data table:  we vary the proportion of x to produce a graph of the frontier</t>
  </si>
  <si>
    <t>Sigma</t>
  </si>
  <si>
    <t>Return</t>
  </si>
  <si>
    <t>jumps in x for table</t>
  </si>
  <si>
    <t>Envelope portfolio
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</si>
</sst>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"/>
    <numFmt numFmtId="177" formatCode="0.000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3" fillId="0" borderId="0" xfId="0" applyFont="1" applyAlignment="1">
      <alignment horizontal="center"/>
    </xf>
    <xf numFmtId="0" fontId="3" fillId="0" borderId="0" xfId="0" applyFont="1" applyAlignment="1"/>
    <xf numFmtId="0" fontId="0" fillId="0" borderId="0" xfId="0" applyAlignment="1"/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4" fillId="0" borderId="0" xfId="0" applyFont="1" applyAlignment="1"/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/>
    </xf>
    <xf numFmtId="176" fontId="0" fillId="0" borderId="0" xfId="0" applyNumberFormat="1" applyAlignment="1"/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4" fillId="0" borderId="0" xfId="0" applyNumberFormat="1" applyFont="1" applyAlignment="1"/>
    <xf numFmtId="0" fontId="4" fillId="0" borderId="0" xfId="0" applyFont="1" applyAlignment="1">
      <alignment horizontal="centerContinuous"/>
    </xf>
    <xf numFmtId="10" fontId="0" fillId="0" borderId="0" xfId="1" applyNumberFormat="1" applyFont="1" applyAlignment="1"/>
    <xf numFmtId="0" fontId="6" fillId="0" borderId="0" xfId="0" applyFont="1" applyAlignment="1"/>
    <xf numFmtId="10" fontId="0" fillId="0" borderId="0" xfId="0" applyNumberFormat="1" applyAlignment="1"/>
    <xf numFmtId="177" fontId="0" fillId="0" borderId="0" xfId="0" applyNumberFormat="1" applyAlignment="1"/>
    <xf numFmtId="176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77" fontId="0" fillId="2" borderId="0" xfId="0" applyNumberFormat="1" applyFill="1" applyAlignment="1"/>
    <xf numFmtId="176" fontId="0" fillId="2" borderId="0" xfId="0" applyNumberFormat="1" applyFill="1" applyAlignment="1"/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953083046374844"/>
          <c:y val="5.8823611164515351E-2"/>
          <c:w val="0.83214981586094583"/>
          <c:h val="0.84630098643141438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dPt>
            <c:idx val="7"/>
            <c:marker>
              <c:symbol val="diamond"/>
              <c:size val="10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BBAB-4669-A47B-FE340CABDA7E}"/>
              </c:ext>
            </c:extLst>
          </c:dPt>
          <c:dPt>
            <c:idx val="12"/>
            <c:marker>
              <c:symbol val="star"/>
              <c:size val="7"/>
              <c:spPr>
                <a:noFill/>
                <a:ln>
                  <a:solidFill>
                    <a:srgbClr val="00008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BBAB-4669-A47B-FE340CABDA7E}"/>
              </c:ext>
            </c:extLst>
          </c:dPt>
          <c:dPt>
            <c:idx val="17"/>
            <c:marker>
              <c:symbol val="diamond"/>
              <c:size val="10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BBAB-4669-A47B-FE340CABDA7E}"/>
              </c:ext>
            </c:extLst>
          </c:dPt>
          <c:xVal>
            <c:numRef>
              <c:f>Sheet1!$B$43:$B$70</c:f>
              <c:numCache>
                <c:formatCode>0.0000</c:formatCode>
                <c:ptCount val="28"/>
                <c:pt idx="0">
                  <c:v>0.21993805158731042</c:v>
                </c:pt>
                <c:pt idx="1">
                  <c:v>0.2164321629484347</c:v>
                </c:pt>
                <c:pt idx="2">
                  <c:v>0.21310770581613184</c:v>
                </c:pt>
                <c:pt idx="3">
                  <c:v>0.20997329805252407</c:v>
                </c:pt>
                <c:pt idx="4">
                  <c:v>0.2070375714913964</c:v>
                </c:pt>
                <c:pt idx="5">
                  <c:v>0.20430909088980331</c:v>
                </c:pt>
                <c:pt idx="6">
                  <c:v>0.2017962629201607</c:v>
                </c:pt>
                <c:pt idx="7">
                  <c:v>0.19950723629490036</c:v>
                </c:pt>
                <c:pt idx="8">
                  <c:v>0.19844909819197518</c:v>
                </c:pt>
                <c:pt idx="9">
                  <c:v>0.19744979472432397</c:v>
                </c:pt>
                <c:pt idx="10">
                  <c:v>0.19651022346035232</c:v>
                </c:pt>
                <c:pt idx="11">
                  <c:v>0.19563124504150151</c:v>
                </c:pt>
                <c:pt idx="12">
                  <c:v>0.19481367963474455</c:v>
                </c:pt>
                <c:pt idx="13">
                  <c:v>0.19405830343858063</c:v>
                </c:pt>
                <c:pt idx="14">
                  <c:v>0.19336584527362127</c:v>
                </c:pt>
                <c:pt idx="15">
                  <c:v>0.19273698328964869</c:v>
                </c:pt>
                <c:pt idx="16">
                  <c:v>0.19217234182133772</c:v>
                </c:pt>
                <c:pt idx="17">
                  <c:v>0.19167248842463094</c:v>
                </c:pt>
                <c:pt idx="18">
                  <c:v>0.19086911590759811</c:v>
                </c:pt>
                <c:pt idx="19">
                  <c:v>0.19033017231371338</c:v>
                </c:pt>
                <c:pt idx="20">
                  <c:v>0.1900579071644993</c:v>
                </c:pt>
                <c:pt idx="21">
                  <c:v>0.19005346657110175</c:v>
                </c:pt>
                <c:pt idx="22">
                  <c:v>0.19031686928067681</c:v>
                </c:pt>
                <c:pt idx="23">
                  <c:v>0.19084700628269075</c:v>
                </c:pt>
                <c:pt idx="24">
                  <c:v>0.19164166399427479</c:v>
                </c:pt>
                <c:pt idx="25">
                  <c:v>0.19269756990446321</c:v>
                </c:pt>
                <c:pt idx="26">
                  <c:v>0.19401045851406651</c:v>
                </c:pt>
                <c:pt idx="27">
                  <c:v>0.19557515454615695</c:v>
                </c:pt>
              </c:numCache>
            </c:numRef>
          </c:xVal>
          <c:yVal>
            <c:numRef>
              <c:f>Sheet1!$C$43:$C$70</c:f>
              <c:numCache>
                <c:formatCode>0.0000</c:formatCode>
                <c:ptCount val="28"/>
                <c:pt idx="0">
                  <c:v>7.3377156127424029E-2</c:v>
                </c:pt>
                <c:pt idx="1">
                  <c:v>7.3039155329599786E-2</c:v>
                </c:pt>
                <c:pt idx="2">
                  <c:v>7.2701154531775516E-2</c:v>
                </c:pt>
                <c:pt idx="3">
                  <c:v>7.2363153733951274E-2</c:v>
                </c:pt>
                <c:pt idx="4">
                  <c:v>7.202515293612699E-2</c:v>
                </c:pt>
                <c:pt idx="5">
                  <c:v>7.1687152138302762E-2</c:v>
                </c:pt>
                <c:pt idx="6">
                  <c:v>7.1349151340478506E-2</c:v>
                </c:pt>
                <c:pt idx="7">
                  <c:v>7.1011150542654236E-2</c:v>
                </c:pt>
                <c:pt idx="8">
                  <c:v>7.0842150143742122E-2</c:v>
                </c:pt>
                <c:pt idx="9">
                  <c:v>7.067314974482998E-2</c:v>
                </c:pt>
                <c:pt idx="10">
                  <c:v>7.0504149345917852E-2</c:v>
                </c:pt>
                <c:pt idx="11">
                  <c:v>7.0335148947005724E-2</c:v>
                </c:pt>
                <c:pt idx="12">
                  <c:v>7.0166148548093596E-2</c:v>
                </c:pt>
                <c:pt idx="13">
                  <c:v>6.9997148149181468E-2</c:v>
                </c:pt>
                <c:pt idx="14">
                  <c:v>6.982814775026934E-2</c:v>
                </c:pt>
                <c:pt idx="15">
                  <c:v>6.9659147351357212E-2</c:v>
                </c:pt>
                <c:pt idx="16">
                  <c:v>6.9490146952445084E-2</c:v>
                </c:pt>
                <c:pt idx="17">
                  <c:v>6.9321146553532956E-2</c:v>
                </c:pt>
                <c:pt idx="18">
                  <c:v>6.89831457557087E-2</c:v>
                </c:pt>
                <c:pt idx="19">
                  <c:v>6.8645144957884457E-2</c:v>
                </c:pt>
                <c:pt idx="20">
                  <c:v>6.8307144160060174E-2</c:v>
                </c:pt>
                <c:pt idx="21">
                  <c:v>6.7969143362235931E-2</c:v>
                </c:pt>
                <c:pt idx="22">
                  <c:v>6.7631142564411661E-2</c:v>
                </c:pt>
                <c:pt idx="23">
                  <c:v>6.7293141766587419E-2</c:v>
                </c:pt>
                <c:pt idx="24">
                  <c:v>6.6955140968763163E-2</c:v>
                </c:pt>
                <c:pt idx="25">
                  <c:v>6.6617140170938921E-2</c:v>
                </c:pt>
                <c:pt idx="26">
                  <c:v>6.6279139373114665E-2</c:v>
                </c:pt>
                <c:pt idx="27">
                  <c:v>6.5941138575290409E-2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BAB-4669-A47B-FE340CABDA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5291368"/>
        <c:axId val="1"/>
      </c:scatterChart>
      <c:valAx>
        <c:axId val="1315291368"/>
        <c:scaling>
          <c:orientation val="minMax"/>
        </c:scaling>
        <c:delete val="0"/>
        <c:axPos val="b"/>
        <c:numFmt formatCode="0.0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numFmt formatCode="0.0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31529136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228600</xdr:colOff>
      <xdr:row>42</xdr:row>
      <xdr:rowOff>137160</xdr:rowOff>
    </xdr:from>
    <xdr:to>
      <xdr:col>7</xdr:col>
      <xdr:colOff>3108960</xdr:colOff>
      <xdr:row>66</xdr:row>
      <xdr:rowOff>129540</xdr:rowOff>
    </xdr:to>
    <xdr:graphicFrame macro="">
      <xdr:nvGraphicFramePr>
        <xdr:cNvPr id="2" name="图表 10">
          <a:extLst>
            <a:ext uri="{FF2B5EF4-FFF2-40B4-BE49-F238E27FC236}">
              <a16:creationId xmlns:a16="http://schemas.microsoft.com/office/drawing/2014/main" id="{F7136BD3-548E-4A82-9BEB-22342ACA03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411480</xdr:colOff>
      <xdr:row>54</xdr:row>
      <xdr:rowOff>137160</xdr:rowOff>
    </xdr:from>
    <xdr:to>
      <xdr:col>6</xdr:col>
      <xdr:colOff>403860</xdr:colOff>
      <xdr:row>56</xdr:row>
      <xdr:rowOff>0</xdr:rowOff>
    </xdr:to>
    <xdr:sp macro="" textlink="">
      <xdr:nvSpPr>
        <xdr:cNvPr id="3" name="Text Box 11">
          <a:extLst>
            <a:ext uri="{FF2B5EF4-FFF2-40B4-BE49-F238E27FC236}">
              <a16:creationId xmlns:a16="http://schemas.microsoft.com/office/drawing/2014/main" id="{921005B6-F4DF-481C-B1A1-F557211B053B}"/>
            </a:ext>
          </a:extLst>
        </xdr:cNvPr>
        <xdr:cNvSpPr txBox="1">
          <a:spLocks noChangeArrowheads="1"/>
        </xdr:cNvSpPr>
      </xdr:nvSpPr>
      <xdr:spPr bwMode="auto">
        <a:xfrm>
          <a:off x="3895725" y="10810875"/>
          <a:ext cx="638175" cy="209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Portfolio x</a:t>
          </a:r>
        </a:p>
      </xdr:txBody>
    </xdr:sp>
    <xdr:clientData/>
  </xdr:twoCellAnchor>
  <xdr:twoCellAnchor>
    <xdr:from>
      <xdr:col>5</xdr:col>
      <xdr:colOff>449580</xdr:colOff>
      <xdr:row>49</xdr:row>
      <xdr:rowOff>91440</xdr:rowOff>
    </xdr:from>
    <xdr:to>
      <xdr:col>6</xdr:col>
      <xdr:colOff>449580</xdr:colOff>
      <xdr:row>50</xdr:row>
      <xdr:rowOff>106680</xdr:rowOff>
    </xdr:to>
    <xdr:sp macro="" textlink="">
      <xdr:nvSpPr>
        <xdr:cNvPr id="4" name="Text Box 12">
          <a:extLst>
            <a:ext uri="{FF2B5EF4-FFF2-40B4-BE49-F238E27FC236}">
              <a16:creationId xmlns:a16="http://schemas.microsoft.com/office/drawing/2014/main" id="{E1F1EB1F-942C-453A-94A1-E5D16D2F6F45}"/>
            </a:ext>
          </a:extLst>
        </xdr:cNvPr>
        <xdr:cNvSpPr txBox="1">
          <a:spLocks noChangeArrowheads="1"/>
        </xdr:cNvSpPr>
      </xdr:nvSpPr>
      <xdr:spPr bwMode="auto">
        <a:xfrm>
          <a:off x="3933825" y="9915525"/>
          <a:ext cx="647700" cy="1809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Portfolio y</a:t>
          </a:r>
        </a:p>
      </xdr:txBody>
    </xdr:sp>
    <xdr:clientData/>
  </xdr:twoCellAnchor>
  <xdr:twoCellAnchor>
    <xdr:from>
      <xdr:col>7</xdr:col>
      <xdr:colOff>1600200</xdr:colOff>
      <xdr:row>48</xdr:row>
      <xdr:rowOff>76200</xdr:rowOff>
    </xdr:from>
    <xdr:to>
      <xdr:col>7</xdr:col>
      <xdr:colOff>2857500</xdr:colOff>
      <xdr:row>50</xdr:row>
      <xdr:rowOff>106680</xdr:rowOff>
    </xdr:to>
    <xdr:sp macro="" textlink="">
      <xdr:nvSpPr>
        <xdr:cNvPr id="5" name="Text Box 13">
          <a:extLst>
            <a:ext uri="{FF2B5EF4-FFF2-40B4-BE49-F238E27FC236}">
              <a16:creationId xmlns:a16="http://schemas.microsoft.com/office/drawing/2014/main" id="{714B612B-A5BD-4FC5-BFDD-B0A518AE4381}"/>
            </a:ext>
          </a:extLst>
        </xdr:cNvPr>
        <xdr:cNvSpPr txBox="1">
          <a:spLocks noChangeArrowheads="1"/>
        </xdr:cNvSpPr>
      </xdr:nvSpPr>
      <xdr:spPr bwMode="auto">
        <a:xfrm>
          <a:off x="6343650" y="9725025"/>
          <a:ext cx="1257300" cy="371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Proportion of x:  -1.0</a:t>
          </a: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Proportion of y:  2</a:t>
          </a:r>
        </a:p>
      </xdr:txBody>
    </xdr:sp>
    <xdr:clientData/>
  </xdr:twoCellAnchor>
  <xdr:twoCellAnchor>
    <xdr:from>
      <xdr:col>7</xdr:col>
      <xdr:colOff>1470660</xdr:colOff>
      <xdr:row>47</xdr:row>
      <xdr:rowOff>91440</xdr:rowOff>
    </xdr:from>
    <xdr:to>
      <xdr:col>7</xdr:col>
      <xdr:colOff>1592580</xdr:colOff>
      <xdr:row>50</xdr:row>
      <xdr:rowOff>0</xdr:rowOff>
    </xdr:to>
    <xdr:sp macro="" textlink="">
      <xdr:nvSpPr>
        <xdr:cNvPr id="6" name="Line 14">
          <a:extLst>
            <a:ext uri="{FF2B5EF4-FFF2-40B4-BE49-F238E27FC236}">
              <a16:creationId xmlns:a16="http://schemas.microsoft.com/office/drawing/2014/main" id="{33621E08-AA2E-4F0D-9382-E9DABD09DAB2}"/>
            </a:ext>
          </a:extLst>
        </xdr:cNvPr>
        <xdr:cNvSpPr>
          <a:spLocks noChangeShapeType="1"/>
        </xdr:cNvSpPr>
      </xdr:nvSpPr>
      <xdr:spPr bwMode="auto">
        <a:xfrm flipH="1" flipV="1">
          <a:off x="6210300" y="9572625"/>
          <a:ext cx="123825" cy="4191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114300</xdr:colOff>
      <xdr:row>59</xdr:row>
      <xdr:rowOff>60960</xdr:rowOff>
    </xdr:from>
    <xdr:to>
      <xdr:col>7</xdr:col>
      <xdr:colOff>723900</xdr:colOff>
      <xdr:row>61</xdr:row>
      <xdr:rowOff>68580</xdr:rowOff>
    </xdr:to>
    <xdr:sp macro="" textlink="">
      <xdr:nvSpPr>
        <xdr:cNvPr id="7" name="Text Box 15">
          <a:extLst>
            <a:ext uri="{FF2B5EF4-FFF2-40B4-BE49-F238E27FC236}">
              <a16:creationId xmlns:a16="http://schemas.microsoft.com/office/drawing/2014/main" id="{91EA15C7-3343-4E06-B2A7-ACC918651531}"/>
            </a:ext>
          </a:extLst>
        </xdr:cNvPr>
        <xdr:cNvSpPr txBox="1">
          <a:spLocks noChangeArrowheads="1"/>
        </xdr:cNvSpPr>
      </xdr:nvSpPr>
      <xdr:spPr bwMode="auto">
        <a:xfrm>
          <a:off x="4248150" y="11591925"/>
          <a:ext cx="1219200" cy="3524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Proportion of x:  2.8</a:t>
          </a: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Proportion of y:  -1.8</a:t>
          </a:r>
        </a:p>
      </xdr:txBody>
    </xdr:sp>
    <xdr:clientData/>
  </xdr:twoCellAnchor>
  <xdr:twoCellAnchor>
    <xdr:from>
      <xdr:col>5</xdr:col>
      <xdr:colOff>571500</xdr:colOff>
      <xdr:row>60</xdr:row>
      <xdr:rowOff>129540</xdr:rowOff>
    </xdr:from>
    <xdr:to>
      <xdr:col>6</xdr:col>
      <xdr:colOff>76200</xdr:colOff>
      <xdr:row>61</xdr:row>
      <xdr:rowOff>68580</xdr:rowOff>
    </xdr:to>
    <xdr:sp macro="" textlink="">
      <xdr:nvSpPr>
        <xdr:cNvPr id="8" name="Line 16">
          <a:extLst>
            <a:ext uri="{FF2B5EF4-FFF2-40B4-BE49-F238E27FC236}">
              <a16:creationId xmlns:a16="http://schemas.microsoft.com/office/drawing/2014/main" id="{4A09DC11-FAA4-46FF-B3BC-40B5FEB79875}"/>
            </a:ext>
          </a:extLst>
        </xdr:cNvPr>
        <xdr:cNvSpPr>
          <a:spLocks noChangeShapeType="1"/>
        </xdr:cNvSpPr>
      </xdr:nvSpPr>
      <xdr:spPr bwMode="auto">
        <a:xfrm flipH="1">
          <a:off x="4057650" y="11839575"/>
          <a:ext cx="152400" cy="1047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236220</xdr:colOff>
      <xdr:row>51</xdr:row>
      <xdr:rowOff>137160</xdr:rowOff>
    </xdr:from>
    <xdr:to>
      <xdr:col>7</xdr:col>
      <xdr:colOff>1082040</xdr:colOff>
      <xdr:row>54</xdr:row>
      <xdr:rowOff>137160</xdr:rowOff>
    </xdr:to>
    <xdr:sp macro="" textlink="">
      <xdr:nvSpPr>
        <xdr:cNvPr id="9" name="Text Box 17">
          <a:extLst>
            <a:ext uri="{FF2B5EF4-FFF2-40B4-BE49-F238E27FC236}">
              <a16:creationId xmlns:a16="http://schemas.microsoft.com/office/drawing/2014/main" id="{EF561156-90D3-41B5-AA15-98D78C89FDB6}"/>
            </a:ext>
          </a:extLst>
        </xdr:cNvPr>
        <xdr:cNvSpPr txBox="1">
          <a:spLocks noChangeArrowheads="1"/>
        </xdr:cNvSpPr>
      </xdr:nvSpPr>
      <xdr:spPr bwMode="auto">
        <a:xfrm>
          <a:off x="4981575" y="10296525"/>
          <a:ext cx="847725" cy="514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Portfolio w:  50% in x, 50% in y</a:t>
          </a:r>
        </a:p>
      </xdr:txBody>
    </xdr:sp>
    <xdr:clientData/>
  </xdr:twoCellAnchor>
  <xdr:twoCellAnchor>
    <xdr:from>
      <xdr:col>6</xdr:col>
      <xdr:colOff>106680</xdr:colOff>
      <xdr:row>52</xdr:row>
      <xdr:rowOff>160020</xdr:rowOff>
    </xdr:from>
    <xdr:to>
      <xdr:col>7</xdr:col>
      <xdr:colOff>220980</xdr:colOff>
      <xdr:row>53</xdr:row>
      <xdr:rowOff>91440</xdr:rowOff>
    </xdr:to>
    <xdr:sp macro="" textlink="">
      <xdr:nvSpPr>
        <xdr:cNvPr id="10" name="Line 18">
          <a:extLst>
            <a:ext uri="{FF2B5EF4-FFF2-40B4-BE49-F238E27FC236}">
              <a16:creationId xmlns:a16="http://schemas.microsoft.com/office/drawing/2014/main" id="{FECA363D-2519-4BDA-90D4-F4DBBDED2C47}"/>
            </a:ext>
          </a:extLst>
        </xdr:cNvPr>
        <xdr:cNvSpPr>
          <a:spLocks noChangeShapeType="1"/>
        </xdr:cNvSpPr>
      </xdr:nvSpPr>
      <xdr:spPr bwMode="auto">
        <a:xfrm flipH="1" flipV="1">
          <a:off x="4238625" y="10496550"/>
          <a:ext cx="723900" cy="1047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8</xdr:col>
      <xdr:colOff>276225</xdr:colOff>
      <xdr:row>0</xdr:row>
      <xdr:rowOff>152400</xdr:rowOff>
    </xdr:from>
    <xdr:to>
      <xdr:col>23</xdr:col>
      <xdr:colOff>281940</xdr:colOff>
      <xdr:row>88</xdr:row>
      <xdr:rowOff>0</xdr:rowOff>
    </xdr:to>
    <xdr:pic>
      <xdr:nvPicPr>
        <xdr:cNvPr id="11" name="图片 10">
          <a:extLst>
            <a:ext uri="{FF2B5EF4-FFF2-40B4-BE49-F238E27FC236}">
              <a16:creationId xmlns:a16="http://schemas.microsoft.com/office/drawing/2014/main" id="{C358DE01-20ED-E0FF-C65D-2EFBF84157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8201025" y="152400"/>
          <a:ext cx="9153525" cy="162020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09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09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s 268-70"/>
      <sheetName val="Pages 268-70中文"/>
      <sheetName val="Page 273"/>
      <sheetName val="Page 273中文"/>
      <sheetName val="Page 274"/>
      <sheetName val="Page 274中文"/>
      <sheetName val="Page 276"/>
      <sheetName val="Page 276中文"/>
      <sheetName val="Page 277"/>
      <sheetName val="Page 277中文"/>
      <sheetName val="Page 278"/>
      <sheetName val="Page 278中文"/>
      <sheetName val="Data for CML chart, p. 278"/>
      <sheetName val="Data for CML chart, p. 278中文"/>
      <sheetName val="Page 279"/>
      <sheetName val="Page 279中文"/>
      <sheetName val="Pages 280-81"/>
      <sheetName val="Pages 280-81中文"/>
      <sheetName val="Page 282"/>
      <sheetName val="Page 282中文"/>
    </sheetNames>
    <sheetDataSet>
      <sheetData sheetId="0">
        <row r="43">
          <cell r="B43">
            <v>0.21993805158731042</v>
          </cell>
          <cell r="C43">
            <v>7.3377156127424029E-2</v>
          </cell>
        </row>
        <row r="44">
          <cell r="B44">
            <v>0.2164321629484347</v>
          </cell>
          <cell r="C44">
            <v>7.3039155329599786E-2</v>
          </cell>
        </row>
        <row r="45">
          <cell r="B45">
            <v>0.21310770581613184</v>
          </cell>
          <cell r="C45">
            <v>7.2701154531775516E-2</v>
          </cell>
        </row>
        <row r="46">
          <cell r="B46">
            <v>0.20997329805252407</v>
          </cell>
          <cell r="C46">
            <v>7.2363153733951274E-2</v>
          </cell>
        </row>
        <row r="47">
          <cell r="B47">
            <v>0.2070375714913964</v>
          </cell>
          <cell r="C47">
            <v>7.202515293612699E-2</v>
          </cell>
        </row>
        <row r="48">
          <cell r="B48">
            <v>0.20430909088980331</v>
          </cell>
          <cell r="C48">
            <v>7.1687152138302762E-2</v>
          </cell>
        </row>
        <row r="49">
          <cell r="B49">
            <v>0.2017962629201607</v>
          </cell>
          <cell r="C49">
            <v>7.1349151340478506E-2</v>
          </cell>
        </row>
        <row r="50">
          <cell r="B50">
            <v>0.19950723629490036</v>
          </cell>
          <cell r="C50">
            <v>7.1011150542654236E-2</v>
          </cell>
        </row>
        <row r="51">
          <cell r="B51">
            <v>0.19844909819197518</v>
          </cell>
          <cell r="C51">
            <v>7.0842150143742122E-2</v>
          </cell>
        </row>
        <row r="52">
          <cell r="B52">
            <v>0.19744979472432397</v>
          </cell>
          <cell r="C52">
            <v>7.067314974482998E-2</v>
          </cell>
        </row>
        <row r="53">
          <cell r="B53">
            <v>0.19651022346035232</v>
          </cell>
          <cell r="C53">
            <v>7.0504149345917852E-2</v>
          </cell>
        </row>
        <row r="54">
          <cell r="B54">
            <v>0.19563124504150151</v>
          </cell>
          <cell r="C54">
            <v>7.0335148947005724E-2</v>
          </cell>
        </row>
        <row r="55">
          <cell r="B55">
            <v>0.19481367963474455</v>
          </cell>
          <cell r="C55">
            <v>7.0166148548093596E-2</v>
          </cell>
        </row>
        <row r="56">
          <cell r="B56">
            <v>0.19405830343858063</v>
          </cell>
          <cell r="C56">
            <v>6.9997148149181468E-2</v>
          </cell>
        </row>
        <row r="57">
          <cell r="B57">
            <v>0.19336584527362127</v>
          </cell>
          <cell r="C57">
            <v>6.982814775026934E-2</v>
          </cell>
        </row>
        <row r="58">
          <cell r="B58">
            <v>0.19273698328964869</v>
          </cell>
          <cell r="C58">
            <v>6.9659147351357212E-2</v>
          </cell>
        </row>
        <row r="59">
          <cell r="B59">
            <v>0.19217234182133772</v>
          </cell>
          <cell r="C59">
            <v>6.9490146952445084E-2</v>
          </cell>
        </row>
        <row r="60">
          <cell r="B60">
            <v>0.19167248842463094</v>
          </cell>
          <cell r="C60">
            <v>6.9321146553532956E-2</v>
          </cell>
        </row>
        <row r="61">
          <cell r="B61">
            <v>0.19086911590759811</v>
          </cell>
          <cell r="C61">
            <v>6.89831457557087E-2</v>
          </cell>
        </row>
        <row r="62">
          <cell r="B62">
            <v>0.19033017231371338</v>
          </cell>
          <cell r="C62">
            <v>6.8645144957884457E-2</v>
          </cell>
        </row>
        <row r="63">
          <cell r="B63">
            <v>0.1900579071644993</v>
          </cell>
          <cell r="C63">
            <v>6.8307144160060174E-2</v>
          </cell>
        </row>
        <row r="64">
          <cell r="B64">
            <v>0.19005346657110175</v>
          </cell>
          <cell r="C64">
            <v>6.7969143362235931E-2</v>
          </cell>
        </row>
        <row r="65">
          <cell r="B65">
            <v>0.19031686928067681</v>
          </cell>
          <cell r="C65">
            <v>6.7631142564411661E-2</v>
          </cell>
        </row>
        <row r="66">
          <cell r="B66">
            <v>0.19084700628269075</v>
          </cell>
          <cell r="C66">
            <v>6.7293141766587419E-2</v>
          </cell>
        </row>
        <row r="67">
          <cell r="B67">
            <v>0.19164166399427479</v>
          </cell>
          <cell r="C67">
            <v>6.6955140968763163E-2</v>
          </cell>
        </row>
        <row r="68">
          <cell r="B68">
            <v>0.19269756990446321</v>
          </cell>
          <cell r="C68">
            <v>6.6617140170938921E-2</v>
          </cell>
        </row>
        <row r="69">
          <cell r="B69">
            <v>0.19401045851406651</v>
          </cell>
          <cell r="C69">
            <v>6.6279139373114665E-2</v>
          </cell>
        </row>
        <row r="70">
          <cell r="B70">
            <v>0.19557515454615695</v>
          </cell>
          <cell r="C70">
            <v>6.5941138575290409E-2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:J83"/>
  <sheetViews>
    <sheetView tabSelected="1" topLeftCell="A41" zoomScale="175" zoomScaleNormal="175" workbookViewId="0">
      <selection activeCell="H69" sqref="H69"/>
    </sheetView>
  </sheetViews>
  <sheetFormatPr defaultRowHeight="13.8" x14ac:dyDescent="0.25"/>
  <cols>
    <col min="1" max="1" width="15.33203125" style="3" customWidth="1"/>
    <col min="2" max="5" width="8.88671875" style="3"/>
    <col min="6" max="6" width="9.44140625" style="3" customWidth="1"/>
    <col min="7" max="7" width="8.88671875" style="3"/>
    <col min="8" max="8" width="46.33203125" style="3" customWidth="1"/>
    <col min="9" max="10" width="8.88671875" style="3"/>
  </cols>
  <sheetData>
    <row r="1" spans="1:10" ht="17.399999999999999" x14ac:dyDescent="0.3">
      <c r="A1" s="1" t="s">
        <v>0</v>
      </c>
      <c r="B1" s="1"/>
      <c r="C1" s="1"/>
      <c r="D1" s="1"/>
      <c r="E1" s="1"/>
      <c r="F1" s="1"/>
      <c r="G1" s="1"/>
      <c r="H1" s="1"/>
      <c r="I1" s="2"/>
    </row>
    <row r="2" spans="1:10" ht="52.8" x14ac:dyDescent="0.25">
      <c r="A2" s="4" t="s">
        <v>1</v>
      </c>
      <c r="B2" s="4"/>
      <c r="C2" s="4"/>
      <c r="D2" s="4"/>
      <c r="F2" s="5" t="s">
        <v>2</v>
      </c>
      <c r="G2" s="5" t="s">
        <v>3</v>
      </c>
    </row>
    <row r="3" spans="1:10" x14ac:dyDescent="0.25">
      <c r="A3" s="22">
        <v>0.4</v>
      </c>
      <c r="B3" s="22">
        <v>0.03</v>
      </c>
      <c r="C3" s="22">
        <v>0.02</v>
      </c>
      <c r="D3" s="22">
        <v>0</v>
      </c>
      <c r="E3" s="6"/>
      <c r="F3" s="7">
        <v>0.06</v>
      </c>
      <c r="G3" s="7">
        <f>F3-$B$8</f>
        <v>1.9999999999999997E-2</v>
      </c>
      <c r="H3" s="3" t="str">
        <f ca="1">[2]!getformula(G3)</f>
        <v>&lt;--  =F3-$B$8</v>
      </c>
    </row>
    <row r="4" spans="1:10" x14ac:dyDescent="0.25">
      <c r="A4" s="22">
        <f>B3</f>
        <v>0.03</v>
      </c>
      <c r="B4" s="22">
        <v>0.2</v>
      </c>
      <c r="C4" s="22">
        <v>1E-3</v>
      </c>
      <c r="D4" s="22">
        <v>-0.06</v>
      </c>
      <c r="E4" s="6"/>
      <c r="F4" s="7">
        <v>0.05</v>
      </c>
      <c r="G4" s="7">
        <f>F4-$B$8</f>
        <v>1.0000000000000002E-2</v>
      </c>
      <c r="H4" s="3" t="str">
        <f ca="1">[2]!getformula(G4)</f>
        <v>&lt;--  =F4-$B$8</v>
      </c>
    </row>
    <row r="5" spans="1:10" x14ac:dyDescent="0.25">
      <c r="A5" s="22">
        <f>C3</f>
        <v>0.02</v>
      </c>
      <c r="B5" s="22">
        <f>C4</f>
        <v>1E-3</v>
      </c>
      <c r="C5" s="22">
        <v>0.3</v>
      </c>
      <c r="D5" s="22">
        <v>0.03</v>
      </c>
      <c r="E5" s="6"/>
      <c r="F5" s="7">
        <v>7.0000000000000007E-2</v>
      </c>
      <c r="G5" s="7">
        <f>F5-$B$8</f>
        <v>3.0000000000000006E-2</v>
      </c>
      <c r="H5" s="3" t="str">
        <f ca="1">[2]!getformula(G5)</f>
        <v>&lt;--  =F5-$B$8</v>
      </c>
    </row>
    <row r="6" spans="1:10" x14ac:dyDescent="0.25">
      <c r="A6" s="22">
        <f>D3</f>
        <v>0</v>
      </c>
      <c r="B6" s="22">
        <f>D4</f>
        <v>-0.06</v>
      </c>
      <c r="C6" s="22">
        <f>D5</f>
        <v>0.03</v>
      </c>
      <c r="D6" s="22">
        <v>0.1</v>
      </c>
      <c r="E6" s="6"/>
      <c r="F6" s="7">
        <v>0.08</v>
      </c>
      <c r="G6" s="7">
        <f>F6-$B$8</f>
        <v>0.04</v>
      </c>
      <c r="H6" s="3" t="str">
        <f ca="1">[2]!getformula(G6)</f>
        <v>&lt;--  =F6-$B$8</v>
      </c>
    </row>
    <row r="8" spans="1:10" x14ac:dyDescent="0.25">
      <c r="A8" s="3" t="s">
        <v>4</v>
      </c>
      <c r="B8" s="6">
        <v>0.04</v>
      </c>
    </row>
    <row r="10" spans="1:10" x14ac:dyDescent="0.25">
      <c r="A10" s="8" t="s">
        <v>5</v>
      </c>
    </row>
    <row r="11" spans="1:10" ht="39.6" x14ac:dyDescent="0.25">
      <c r="A11" s="9" t="s">
        <v>6</v>
      </c>
      <c r="B11" s="9"/>
      <c r="C11" s="9"/>
      <c r="D11" s="9"/>
      <c r="E11" s="9"/>
      <c r="F11" s="10" t="s">
        <v>24</v>
      </c>
      <c r="G11" s="11"/>
      <c r="H11" s="11"/>
      <c r="I11" s="11"/>
      <c r="J11" s="11"/>
    </row>
    <row r="12" spans="1:10" x14ac:dyDescent="0.25">
      <c r="A12" s="12">
        <f t="array" ref="A12:A15">MMULT(MINVERSE(A3:D6),F3:F6)</f>
        <v>0.10186529331294758</v>
      </c>
      <c r="B12" s="3" t="str">
        <f ca="1">[2]!getformula(A12)</f>
        <v>&lt;--  {=MMULT(MINVERSE(A3:D6),F3:F6)}</v>
      </c>
      <c r="D12" s="12"/>
      <c r="F12" s="12">
        <f>A12/SUM($A$12:$A$15)</f>
        <v>5.3985865109542834E-2</v>
      </c>
      <c r="G12" s="3" t="str">
        <f ca="1">[2]!getformula(F12)</f>
        <v>&lt;--  =A12/SUM($A$12:$A$15)</v>
      </c>
    </row>
    <row r="13" spans="1:10" x14ac:dyDescent="0.25">
      <c r="A13" s="12">
        <v>0.56570370966444017</v>
      </c>
      <c r="D13" s="12"/>
      <c r="F13" s="12">
        <f>A13/SUM($A$12:$A$15)</f>
        <v>0.29980774774866981</v>
      </c>
    </row>
    <row r="14" spans="1:10" x14ac:dyDescent="0.25">
      <c r="A14" s="12">
        <v>0.11413856924438728</v>
      </c>
      <c r="D14" s="12"/>
      <c r="F14" s="12">
        <f>A14/SUM($A$12:$A$15)</f>
        <v>6.0490371181609333E-2</v>
      </c>
    </row>
    <row r="15" spans="1:10" x14ac:dyDescent="0.25">
      <c r="A15" s="12">
        <v>1.1051806550253478</v>
      </c>
      <c r="D15" s="12"/>
      <c r="F15" s="12">
        <f>A15/SUM($A$12:$A$15)</f>
        <v>0.58571601596017797</v>
      </c>
    </row>
    <row r="16" spans="1:10" x14ac:dyDescent="0.25">
      <c r="A16" s="12"/>
      <c r="D16" s="12"/>
      <c r="E16" s="3" t="s">
        <v>7</v>
      </c>
      <c r="F16" s="12">
        <f>SUM(F12:F15)</f>
        <v>1</v>
      </c>
      <c r="G16" s="3" t="str">
        <f ca="1">[2]!getformula(F16)</f>
        <v>&lt;--  =SUM(F12:F15)</v>
      </c>
    </row>
    <row r="17" spans="1:7" x14ac:dyDescent="0.25">
      <c r="A17" s="12"/>
      <c r="D17" s="12"/>
      <c r="F17" s="12"/>
    </row>
    <row r="18" spans="1:7" x14ac:dyDescent="0.25">
      <c r="A18" s="8" t="str">
        <f>"Computing an envelope portfolio with constant = "&amp;TEXT(B8,"0.00")</f>
        <v>Computing an envelope portfolio with constant = 0.04</v>
      </c>
      <c r="B18" s="12"/>
      <c r="C18" s="12"/>
      <c r="D18" s="12"/>
      <c r="E18" s="12"/>
      <c r="F18" s="12"/>
    </row>
    <row r="19" spans="1:7" ht="39.6" x14ac:dyDescent="0.25">
      <c r="A19" s="9" t="s">
        <v>6</v>
      </c>
      <c r="B19" s="13"/>
      <c r="C19" s="14"/>
      <c r="D19" s="14"/>
      <c r="E19" s="14"/>
      <c r="F19" s="10" t="s">
        <v>8</v>
      </c>
    </row>
    <row r="20" spans="1:7" x14ac:dyDescent="0.25">
      <c r="A20" s="12">
        <f t="array" ref="A20:A23">MMULT(MINVERSE(A3:D6),G3:G6)</f>
        <v>3.2970145650599497E-2</v>
      </c>
      <c r="B20" s="3" t="str">
        <f ca="1">[2]!getformula(A20)</f>
        <v>&lt;--  {=MMULT(MINVERSE(A3:D6),G3:G6)}</v>
      </c>
      <c r="C20" s="12"/>
      <c r="D20" s="12"/>
      <c r="E20" s="12"/>
      <c r="F20" s="12">
        <f>A20/SUM($A$20:$A$23)</f>
        <v>4.2317528124238286E-2</v>
      </c>
      <c r="G20" s="3" t="str">
        <f ca="1">[2]!getformula(F20)</f>
        <v>&lt;--  =A20/SUM($A$20:$A$23)</v>
      </c>
    </row>
    <row r="21" spans="1:7" x14ac:dyDescent="0.25">
      <c r="A21" s="12">
        <v>0.19586384485394703</v>
      </c>
      <c r="C21" s="12"/>
      <c r="D21" s="12"/>
      <c r="E21" s="12"/>
      <c r="F21" s="12">
        <f>A21/SUM($A$20:$A$23)</f>
        <v>0.25139330141168598</v>
      </c>
    </row>
    <row r="22" spans="1:7" x14ac:dyDescent="0.25">
      <c r="A22" s="12">
        <v>4.6801319707089437E-2</v>
      </c>
      <c r="C22" s="12"/>
      <c r="D22" s="12"/>
      <c r="E22" s="12"/>
      <c r="F22" s="12">
        <f>A22/SUM($A$20:$A$23)</f>
        <v>6.0069985251042193E-2</v>
      </c>
    </row>
    <row r="23" spans="1:7" x14ac:dyDescent="0.25">
      <c r="A23" s="12">
        <v>0.50347791100024131</v>
      </c>
      <c r="C23" s="12"/>
      <c r="D23" s="12"/>
      <c r="E23" s="12"/>
      <c r="F23" s="12">
        <f>A23/SUM($A$20:$A$23)</f>
        <v>0.64621918521303356</v>
      </c>
    </row>
    <row r="24" spans="1:7" x14ac:dyDescent="0.25">
      <c r="B24" s="12"/>
      <c r="C24" s="12"/>
      <c r="D24" s="12"/>
      <c r="E24" s="12" t="s">
        <v>7</v>
      </c>
      <c r="F24" s="12">
        <f>SUM(F20:F23)</f>
        <v>1</v>
      </c>
      <c r="G24" s="3" t="str">
        <f ca="1">[2]!getformula(F24)</f>
        <v>&lt;--  =SUM(F20:F23)</v>
      </c>
    </row>
    <row r="25" spans="1:7" x14ac:dyDescent="0.25">
      <c r="F25" s="12"/>
    </row>
    <row r="26" spans="1:7" x14ac:dyDescent="0.25">
      <c r="A26" s="15" t="s">
        <v>9</v>
      </c>
      <c r="B26" s="12">
        <f t="array" ref="B26">MMULT(TRANSPOSE(F12:F15),F3:F6)</f>
        <v>6.9321146553532956E-2</v>
      </c>
      <c r="D26" s="12"/>
      <c r="E26" s="15" t="s">
        <v>9</v>
      </c>
      <c r="F26" s="12">
        <f t="array" ref="F26">MMULT(TRANSPOSE(F20:F23),F3:F6)</f>
        <v>7.1011150542654236E-2</v>
      </c>
      <c r="G26" s="3" t="str">
        <f ca="1">[2]!getformula(F26)</f>
        <v>&lt;--  {=MMULT(TRANSPOSE(F20:F23),F3:F6)}</v>
      </c>
    </row>
    <row r="27" spans="1:7" x14ac:dyDescent="0.25">
      <c r="A27" s="15" t="s">
        <v>10</v>
      </c>
      <c r="B27" s="12">
        <f t="array" ref="B27">MMULT(MMULT(TRANSPOSE(F12:F15),A3:D6),F12:F15)</f>
        <v>3.6738342818890282E-2</v>
      </c>
      <c r="D27" s="12"/>
      <c r="E27" s="15" t="s">
        <v>11</v>
      </c>
      <c r="F27" s="12">
        <f t="array" ref="F27">MMULT(MMULT(TRANSPOSE(F20:F23),A3:D6),F20:F23)</f>
        <v>3.9803137334029209E-2</v>
      </c>
      <c r="G27" s="3" t="str">
        <f ca="1">[2]!getformula(F27)</f>
        <v>&lt;--  {=MMULT(MMULT(TRANSPOSE(F20:F23),A3:D6),F20:F23)}</v>
      </c>
    </row>
    <row r="28" spans="1:7" x14ac:dyDescent="0.25">
      <c r="A28" s="15" t="s">
        <v>12</v>
      </c>
      <c r="B28" s="12">
        <f>SQRT(B27)</f>
        <v>0.19167248842463094</v>
      </c>
      <c r="D28" s="12"/>
      <c r="E28" s="15" t="s">
        <v>13</v>
      </c>
      <c r="F28" s="12">
        <f>SQRT(F27)</f>
        <v>0.19950723629490036</v>
      </c>
      <c r="G28" s="3" t="str">
        <f ca="1">[2]!getformula(F28)</f>
        <v>&lt;--  =SQRT(F27)</v>
      </c>
    </row>
    <row r="30" spans="1:7" x14ac:dyDescent="0.25">
      <c r="B30" s="8" t="s">
        <v>14</v>
      </c>
      <c r="C30" s="12">
        <f t="array" ref="C30">MMULT(MMULT(TRANSPOSE(F12:F15),A3:D6),F20:F23)</f>
        <v>3.7633999469198029E-2</v>
      </c>
      <c r="D30" s="3" t="str">
        <f ca="1">[2]!getformula(C30)</f>
        <v>&lt;--  {=MMULT(MMULT(TRANSPOSE(F12:F15),A3:D6),F20:F23)}</v>
      </c>
    </row>
    <row r="31" spans="1:7" x14ac:dyDescent="0.25">
      <c r="B31" s="8" t="s">
        <v>15</v>
      </c>
      <c r="C31" s="12">
        <f>C30/(B28*F28)</f>
        <v>0.98415145914034718</v>
      </c>
      <c r="D31" s="3" t="str">
        <f ca="1">[2]!getformula(C31)</f>
        <v>&lt;--  =C30/(B28*F28)</v>
      </c>
    </row>
    <row r="32" spans="1:7" x14ac:dyDescent="0.25">
      <c r="B32" s="8"/>
      <c r="C32" s="12"/>
    </row>
    <row r="33" spans="1:6" x14ac:dyDescent="0.25">
      <c r="D33" s="16"/>
      <c r="E33" s="16"/>
      <c r="F33" s="16"/>
    </row>
    <row r="34" spans="1:6" x14ac:dyDescent="0.25">
      <c r="A34" s="8" t="s">
        <v>16</v>
      </c>
      <c r="D34" s="16"/>
      <c r="E34" s="16"/>
      <c r="F34" s="16"/>
    </row>
    <row r="35" spans="1:6" x14ac:dyDescent="0.25">
      <c r="A35" s="3" t="s">
        <v>17</v>
      </c>
      <c r="B35" s="3">
        <v>0.3</v>
      </c>
      <c r="D35" s="16"/>
      <c r="E35" s="16"/>
      <c r="F35" s="16"/>
    </row>
    <row r="36" spans="1:6" ht="15.6" x14ac:dyDescent="0.35">
      <c r="A36" s="3" t="s">
        <v>18</v>
      </c>
      <c r="B36" s="17">
        <f>B35*B26+(1-B35)*F26</f>
        <v>7.0504149345917852E-2</v>
      </c>
      <c r="C36" s="3" t="str">
        <f ca="1">[2]!getformula(B36)</f>
        <v>&lt;--  =B35*B26+(1-B35)*F26</v>
      </c>
    </row>
    <row r="37" spans="1:6" ht="15.6" x14ac:dyDescent="0.35">
      <c r="A37" s="18" t="s">
        <v>19</v>
      </c>
      <c r="B37" s="19">
        <f>SQRT(B35^2*B27+(1-B35)^2*F27+2*B35*(1-B35)*C30)</f>
        <v>0.19651022346035232</v>
      </c>
      <c r="C37" s="3" t="str">
        <f ca="1">[2]!getformula(B37)</f>
        <v>&lt;--  =SQRT(B35^2*B27+(1-B35)^2*F27+2*B35*(1-B35)*C30)</v>
      </c>
    </row>
    <row r="40" spans="1:6" x14ac:dyDescent="0.25">
      <c r="A40" s="8" t="s">
        <v>20</v>
      </c>
    </row>
    <row r="41" spans="1:6" x14ac:dyDescent="0.25">
      <c r="A41" s="6" t="s">
        <v>17</v>
      </c>
      <c r="B41" s="11" t="s">
        <v>21</v>
      </c>
      <c r="C41" s="11" t="s">
        <v>22</v>
      </c>
    </row>
    <row r="42" spans="1:6" x14ac:dyDescent="0.25">
      <c r="B42" s="12">
        <f>B37</f>
        <v>0.19651022346035232</v>
      </c>
      <c r="C42" s="12">
        <f>B36</f>
        <v>7.0504149345917852E-2</v>
      </c>
      <c r="D42" s="12" t="str">
        <f>"&lt;-- Data table header refers to cells "&amp;CHAR(COLUMN(B36)+64)&amp;ROW(B36)&amp;" and "&amp;CHAR(COLUMN(B35)+64)&amp;ROW(B35)</f>
        <v>&lt;-- Data table header refers to cells B36 and B35</v>
      </c>
    </row>
    <row r="43" spans="1:6" x14ac:dyDescent="0.25">
      <c r="A43" s="20">
        <v>-1.4</v>
      </c>
      <c r="B43" s="12">
        <f t="dataTable" ref="B43:C70" dt2D="0" dtr="0" r1="B35"/>
        <v>0.21993805158731042</v>
      </c>
      <c r="C43" s="12">
        <v>7.3377156127424029E-2</v>
      </c>
      <c r="D43" s="12"/>
      <c r="E43" s="21"/>
    </row>
    <row r="44" spans="1:6" x14ac:dyDescent="0.25">
      <c r="A44" s="20">
        <f>A43+0.2</f>
        <v>-1.2</v>
      </c>
      <c r="B44" s="12">
        <v>0.2164321629484347</v>
      </c>
      <c r="C44" s="12">
        <v>7.3039155329599786E-2</v>
      </c>
      <c r="D44" s="12"/>
      <c r="E44" s="21"/>
    </row>
    <row r="45" spans="1:6" x14ac:dyDescent="0.25">
      <c r="A45" s="23">
        <f t="shared" ref="A45:A50" si="0">A44+0.2</f>
        <v>-1</v>
      </c>
      <c r="B45" s="24">
        <v>0.21310770581613184</v>
      </c>
      <c r="C45" s="24">
        <v>7.2701154531775516E-2</v>
      </c>
      <c r="D45" s="12"/>
      <c r="E45" s="21"/>
    </row>
    <row r="46" spans="1:6" x14ac:dyDescent="0.25">
      <c r="A46" s="20">
        <f t="shared" si="0"/>
        <v>-0.8</v>
      </c>
      <c r="B46" s="12">
        <v>0.20997329805252407</v>
      </c>
      <c r="C46" s="12">
        <v>7.2363153733951274E-2</v>
      </c>
      <c r="D46" s="12"/>
      <c r="E46" s="21"/>
    </row>
    <row r="47" spans="1:6" x14ac:dyDescent="0.25">
      <c r="A47" s="20">
        <f t="shared" si="0"/>
        <v>-0.60000000000000009</v>
      </c>
      <c r="B47" s="12">
        <v>0.2070375714913964</v>
      </c>
      <c r="C47" s="12">
        <v>7.202515293612699E-2</v>
      </c>
      <c r="D47" s="12"/>
      <c r="E47" s="21"/>
    </row>
    <row r="48" spans="1:6" x14ac:dyDescent="0.25">
      <c r="A48" s="20">
        <f t="shared" si="0"/>
        <v>-0.40000000000000008</v>
      </c>
      <c r="B48" s="12">
        <v>0.20430909088980331</v>
      </c>
      <c r="C48" s="12">
        <v>7.1687152138302762E-2</v>
      </c>
      <c r="E48" s="21"/>
    </row>
    <row r="49" spans="1:5" x14ac:dyDescent="0.25">
      <c r="A49" s="20">
        <f t="shared" si="0"/>
        <v>-0.20000000000000007</v>
      </c>
      <c r="B49" s="12">
        <v>0.2017962629201607</v>
      </c>
      <c r="C49" s="12">
        <v>7.1349151340478506E-2</v>
      </c>
      <c r="D49" s="12"/>
      <c r="E49" s="21"/>
    </row>
    <row r="50" spans="1:5" x14ac:dyDescent="0.25">
      <c r="A50" s="23">
        <f t="shared" si="0"/>
        <v>0</v>
      </c>
      <c r="B50" s="24">
        <v>0.19950723629490036</v>
      </c>
      <c r="C50" s="24">
        <v>7.1011150542654236E-2</v>
      </c>
      <c r="E50" s="21"/>
    </row>
    <row r="51" spans="1:5" x14ac:dyDescent="0.25">
      <c r="A51" s="20">
        <f t="shared" ref="A51:A60" si="1">A50+0.1</f>
        <v>0.1</v>
      </c>
      <c r="B51" s="12">
        <v>0.19844909819197518</v>
      </c>
      <c r="C51" s="12">
        <v>7.0842150143742122E-2</v>
      </c>
      <c r="E51" s="21"/>
    </row>
    <row r="52" spans="1:5" x14ac:dyDescent="0.25">
      <c r="A52" s="20">
        <f t="shared" si="1"/>
        <v>0.2</v>
      </c>
      <c r="B52" s="12">
        <v>0.19744979472432397</v>
      </c>
      <c r="C52" s="12">
        <v>7.067314974482998E-2</v>
      </c>
      <c r="D52" s="12"/>
      <c r="E52" s="21"/>
    </row>
    <row r="53" spans="1:5" x14ac:dyDescent="0.25">
      <c r="A53" s="20">
        <f t="shared" si="1"/>
        <v>0.30000000000000004</v>
      </c>
      <c r="B53" s="12">
        <v>0.19651022346035232</v>
      </c>
      <c r="C53" s="12">
        <v>7.0504149345917852E-2</v>
      </c>
      <c r="D53" s="12"/>
      <c r="E53" s="21"/>
    </row>
    <row r="54" spans="1:5" x14ac:dyDescent="0.25">
      <c r="A54" s="20">
        <f t="shared" si="1"/>
        <v>0.4</v>
      </c>
      <c r="B54" s="12">
        <v>0.19563124504150151</v>
      </c>
      <c r="C54" s="12">
        <v>7.0335148947005724E-2</v>
      </c>
      <c r="D54" s="12"/>
      <c r="E54" s="21"/>
    </row>
    <row r="55" spans="1:5" x14ac:dyDescent="0.25">
      <c r="A55" s="20">
        <f t="shared" si="1"/>
        <v>0.5</v>
      </c>
      <c r="B55" s="12">
        <v>0.19481367963474455</v>
      </c>
      <c r="C55" s="12">
        <v>7.0166148548093596E-2</v>
      </c>
      <c r="E55" s="21"/>
    </row>
    <row r="56" spans="1:5" x14ac:dyDescent="0.25">
      <c r="A56" s="20">
        <f t="shared" si="1"/>
        <v>0.6</v>
      </c>
      <c r="B56" s="12">
        <v>0.19405830343858063</v>
      </c>
      <c r="C56" s="12">
        <v>6.9997148149181468E-2</v>
      </c>
      <c r="E56" s="21"/>
    </row>
    <row r="57" spans="1:5" x14ac:dyDescent="0.25">
      <c r="A57" s="20">
        <f t="shared" si="1"/>
        <v>0.7</v>
      </c>
      <c r="B57" s="12">
        <v>0.19336584527362127</v>
      </c>
      <c r="C57" s="12">
        <v>6.982814775026934E-2</v>
      </c>
      <c r="D57" s="12"/>
      <c r="E57" s="21"/>
    </row>
    <row r="58" spans="1:5" x14ac:dyDescent="0.25">
      <c r="A58" s="20">
        <f t="shared" si="1"/>
        <v>0.79999999999999993</v>
      </c>
      <c r="B58" s="12">
        <v>0.19273698328964869</v>
      </c>
      <c r="C58" s="12">
        <v>6.9659147351357212E-2</v>
      </c>
      <c r="E58" s="6"/>
    </row>
    <row r="59" spans="1:5" x14ac:dyDescent="0.25">
      <c r="A59" s="20">
        <f t="shared" si="1"/>
        <v>0.89999999999999991</v>
      </c>
      <c r="B59" s="12">
        <v>0.19217234182133772</v>
      </c>
      <c r="C59" s="12">
        <v>6.9490146952445084E-2</v>
      </c>
      <c r="E59" s="6"/>
    </row>
    <row r="60" spans="1:5" x14ac:dyDescent="0.25">
      <c r="A60" s="23">
        <f t="shared" si="1"/>
        <v>0.99999999999999989</v>
      </c>
      <c r="B60" s="24">
        <v>0.19167248842463094</v>
      </c>
      <c r="C60" s="24">
        <v>6.9321146553532956E-2</v>
      </c>
      <c r="D60" s="12"/>
      <c r="E60" s="6"/>
    </row>
    <row r="61" spans="1:5" x14ac:dyDescent="0.25">
      <c r="A61" s="20">
        <f>A60+0.2</f>
        <v>1.2</v>
      </c>
      <c r="B61" s="12">
        <v>0.19086911590759811</v>
      </c>
      <c r="C61" s="12">
        <v>6.89831457557087E-2</v>
      </c>
      <c r="E61" s="6"/>
    </row>
    <row r="62" spans="1:5" x14ac:dyDescent="0.25">
      <c r="A62" s="20">
        <f t="shared" ref="A62:A70" si="2">A61+0.2</f>
        <v>1.4</v>
      </c>
      <c r="B62" s="12">
        <v>0.19033017231371338</v>
      </c>
      <c r="C62" s="12">
        <v>6.8645144957884457E-2</v>
      </c>
      <c r="D62" s="12"/>
      <c r="E62" s="6"/>
    </row>
    <row r="63" spans="1:5" x14ac:dyDescent="0.25">
      <c r="A63" s="20">
        <f t="shared" si="2"/>
        <v>1.5999999999999999</v>
      </c>
      <c r="B63" s="12">
        <v>0.1900579071644993</v>
      </c>
      <c r="C63" s="12">
        <v>6.8307144160060174E-2</v>
      </c>
      <c r="D63" s="12"/>
      <c r="E63" s="6"/>
    </row>
    <row r="64" spans="1:5" x14ac:dyDescent="0.25">
      <c r="A64" s="20">
        <f t="shared" si="2"/>
        <v>1.7999999999999998</v>
      </c>
      <c r="B64" s="12">
        <v>0.19005346657110175</v>
      </c>
      <c r="C64" s="12">
        <v>6.7969143362235931E-2</v>
      </c>
    </row>
    <row r="65" spans="1:3" x14ac:dyDescent="0.25">
      <c r="A65" s="20">
        <f t="shared" si="2"/>
        <v>1.9999999999999998</v>
      </c>
      <c r="B65" s="12">
        <v>0.19031686928067681</v>
      </c>
      <c r="C65" s="12">
        <v>6.7631142564411661E-2</v>
      </c>
    </row>
    <row r="66" spans="1:3" x14ac:dyDescent="0.25">
      <c r="A66" s="20">
        <f t="shared" si="2"/>
        <v>2.1999999999999997</v>
      </c>
      <c r="B66" s="12">
        <v>0.19084700628269075</v>
      </c>
      <c r="C66" s="12">
        <v>6.7293141766587419E-2</v>
      </c>
    </row>
    <row r="67" spans="1:3" x14ac:dyDescent="0.25">
      <c r="A67" s="20">
        <f t="shared" si="2"/>
        <v>2.4</v>
      </c>
      <c r="B67" s="12">
        <v>0.19164166399427479</v>
      </c>
      <c r="C67" s="12">
        <v>6.6955140968763163E-2</v>
      </c>
    </row>
    <row r="68" spans="1:3" x14ac:dyDescent="0.25">
      <c r="A68" s="20">
        <f t="shared" si="2"/>
        <v>2.6</v>
      </c>
      <c r="B68" s="12">
        <v>0.19269756990446321</v>
      </c>
      <c r="C68" s="12">
        <v>6.6617140170938921E-2</v>
      </c>
    </row>
    <row r="69" spans="1:3" x14ac:dyDescent="0.25">
      <c r="A69" s="23">
        <f t="shared" si="2"/>
        <v>2.8000000000000003</v>
      </c>
      <c r="B69" s="24">
        <v>0.19401045851406651</v>
      </c>
      <c r="C69" s="24">
        <v>6.6279139373114665E-2</v>
      </c>
    </row>
    <row r="70" spans="1:3" x14ac:dyDescent="0.25">
      <c r="A70" s="20">
        <f t="shared" si="2"/>
        <v>3.0000000000000004</v>
      </c>
      <c r="B70" s="12">
        <v>0.19557515454615695</v>
      </c>
      <c r="C70" s="12">
        <v>6.5941138575290409E-2</v>
      </c>
    </row>
    <row r="71" spans="1:3" x14ac:dyDescent="0.25">
      <c r="A71" s="20"/>
      <c r="B71" s="12"/>
      <c r="C71" s="12"/>
    </row>
    <row r="72" spans="1:3" x14ac:dyDescent="0.25">
      <c r="A72" s="20"/>
      <c r="B72" s="12"/>
      <c r="C72" s="12"/>
    </row>
    <row r="73" spans="1:3" x14ac:dyDescent="0.25">
      <c r="A73" s="20"/>
      <c r="B73" s="12"/>
      <c r="C73" s="12"/>
    </row>
    <row r="74" spans="1:3" x14ac:dyDescent="0.25">
      <c r="A74" s="20"/>
      <c r="B74" s="12"/>
      <c r="C74" s="12"/>
    </row>
    <row r="75" spans="1:3" x14ac:dyDescent="0.25">
      <c r="A75" s="20"/>
      <c r="B75" s="12"/>
      <c r="C75" s="12"/>
    </row>
    <row r="76" spans="1:3" x14ac:dyDescent="0.25">
      <c r="A76" s="20"/>
      <c r="B76" s="12"/>
      <c r="C76" s="12"/>
    </row>
    <row r="83" spans="1:2" x14ac:dyDescent="0.25">
      <c r="A83" s="3" t="s">
        <v>23</v>
      </c>
      <c r="B83" s="3">
        <v>0.2</v>
      </c>
    </row>
  </sheetData>
  <mergeCells count="2">
    <mergeCell ref="A1:H1"/>
    <mergeCell ref="A2:D2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2024-10-29T05:16:08Z</dcterms:modified>
</cp:coreProperties>
</file>