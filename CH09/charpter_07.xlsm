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"/>
    </mc:Choice>
  </mc:AlternateContent>
  <xr:revisionPtr revIDLastSave="0" documentId="13_ncr:1_{7D8DD902-A388-4C4E-A9E3-1E9E3199D06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  <sheet name="Sheet2" sheetId="2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1" l="1"/>
  <c r="A1" i="2" a="1"/>
  <c r="A1" i="2" s="1"/>
  <c r="F2" i="2"/>
  <c r="A3" i="2"/>
  <c r="B3" i="2"/>
  <c r="F4" i="2"/>
  <c r="D24" i="1"/>
  <c r="E11" i="1"/>
  <c r="D11" i="1"/>
  <c r="C11" i="1"/>
  <c r="B11" i="1"/>
  <c r="F11" i="1"/>
  <c r="C43" i="1"/>
  <c r="C42" i="1"/>
  <c r="C39" i="1"/>
  <c r="C38" i="1"/>
  <c r="C37" i="1"/>
  <c r="F34" i="1"/>
  <c r="F33" i="1"/>
  <c r="F32" i="1"/>
  <c r="H3" i="1"/>
  <c r="F16" i="1"/>
  <c r="G2" i="2" l="1"/>
  <c r="G4" i="2"/>
  <c r="E2" i="2"/>
  <c r="D2" i="2"/>
  <c r="E4" i="2"/>
  <c r="C2" i="2"/>
  <c r="D4" i="2"/>
  <c r="B2" i="2"/>
  <c r="C4" i="2"/>
  <c r="A2" i="2"/>
  <c r="B4" i="2"/>
  <c r="G1" i="2"/>
  <c r="A4" i="2"/>
  <c r="F1" i="2"/>
  <c r="G3" i="2"/>
  <c r="E1" i="2"/>
  <c r="F3" i="2"/>
  <c r="D1" i="2"/>
  <c r="E3" i="2"/>
  <c r="C1" i="2"/>
  <c r="D3" i="2"/>
  <c r="B1" i="2"/>
  <c r="C3" i="2"/>
  <c r="B15" i="1" a="1"/>
  <c r="E17" i="1" l="1"/>
  <c r="D17" i="1"/>
  <c r="C17" i="1"/>
  <c r="B17" i="1"/>
  <c r="E18" i="1"/>
  <c r="D18" i="1"/>
  <c r="C18" i="1"/>
  <c r="E16" i="1"/>
  <c r="D16" i="1"/>
  <c r="B15" i="1"/>
  <c r="B18" i="1"/>
  <c r="C16" i="1"/>
  <c r="C15" i="1"/>
  <c r="B16" i="1"/>
  <c r="E15" i="1"/>
  <c r="D15" i="1"/>
  <c r="B23" i="1" l="1" a="1"/>
  <c r="B26" i="1" l="1"/>
  <c r="B25" i="1"/>
  <c r="B24" i="1"/>
  <c r="B23" i="1"/>
  <c r="G3" i="1" s="1" a="1"/>
  <c r="G9" i="1" l="1"/>
  <c r="G8" i="1"/>
  <c r="G3" i="1"/>
  <c r="G7" i="1"/>
  <c r="G6" i="1"/>
  <c r="G5" i="1"/>
  <c r="G4" i="1"/>
  <c r="E32" i="1" l="1"/>
  <c r="D32" i="1"/>
  <c r="C32" i="1"/>
  <c r="B33" i="1"/>
  <c r="B32" i="1"/>
  <c r="D33" i="1"/>
  <c r="G11" i="1"/>
  <c r="C33" i="1"/>
  <c r="E34" i="1"/>
  <c r="D34" i="1"/>
  <c r="C34" i="1"/>
  <c r="B34" i="1"/>
  <c r="E33" i="1"/>
  <c r="B37" i="1" l="1"/>
  <c r="B38" i="1"/>
  <c r="B43" i="1" s="1"/>
  <c r="B39" i="1"/>
</calcChain>
</file>

<file path=xl/sharedStrings.xml><?xml version="1.0" encoding="utf-8"?>
<sst xmlns="http://schemas.openxmlformats.org/spreadsheetml/2006/main" count="39" uniqueCount="22">
  <si>
    <t>Dates</t>
  </si>
  <si>
    <t>Asset 1</t>
  </si>
  <si>
    <t>Asset 2</t>
  </si>
  <si>
    <t>Asset 3</t>
  </si>
  <si>
    <t>Asset 4</t>
  </si>
  <si>
    <t>Efficient portfolio w</t>
  </si>
  <si>
    <t>Mean</t>
  </si>
  <si>
    <t>Variance-covariance matrix</t>
  </si>
  <si>
    <t>Finding an efficient portfolio w</t>
  </si>
  <si>
    <t>Constant</t>
  </si>
  <si>
    <t>Step 1:  Regress each asset's returns on those of the efficient portfolio w</t>
  </si>
  <si>
    <t>Alpha</t>
  </si>
  <si>
    <t>Beta</t>
  </si>
  <si>
    <t>R-squared</t>
  </si>
  <si>
    <t>Step 2:  Regress the asset mean returns on their betas</t>
  </si>
  <si>
    <t>Intercept</t>
  </si>
  <si>
    <t>Slope</t>
  </si>
  <si>
    <r>
      <t>Check Propositions 3 &amp; 4:  Step 2 coefficients should be:
Intercept = c, Slope = E(r</t>
    </r>
    <r>
      <rPr>
        <b/>
        <vertAlign val="subscript"/>
        <sz val="10"/>
        <rFont val="Arial"/>
        <family val="2"/>
      </rPr>
      <t>w</t>
    </r>
    <r>
      <rPr>
        <b/>
        <sz val="10"/>
        <rFont val="Arial"/>
        <family val="2"/>
      </rPr>
      <t>) - c</t>
    </r>
  </si>
  <si>
    <t>Intercept = c ?</t>
  </si>
  <si>
    <r>
      <t>Slope = E(r</t>
    </r>
    <r>
      <rPr>
        <vertAlign val="subscript"/>
        <sz val="10"/>
        <rFont val="Arial"/>
        <family val="2"/>
      </rPr>
      <t>w</t>
    </r>
    <r>
      <rPr>
        <sz val="11"/>
        <color theme="1"/>
        <rFont val="等线"/>
        <family val="2"/>
        <charset val="134"/>
        <scheme val="minor"/>
      </rPr>
      <t>) - c ?</t>
    </r>
  </si>
  <si>
    <t>ILLUSTRATING PROPOSITIONS 3-5</t>
    <phoneticPr fontId="1" type="noConversion"/>
  </si>
  <si>
    <t>Implementing propositions 3-5--finding the SML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</si>
</sst>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202" formatCode="0.000000000000000000000000000%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1"/>
      <color rgb="FFFF000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Alignment="1"/>
    <xf numFmtId="0" fontId="5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10" fontId="2" fillId="0" borderId="0" xfId="1" applyNumberFormat="1" applyAlignment="1"/>
    <xf numFmtId="10" fontId="2" fillId="0" borderId="0" xfId="1" applyNumberFormat="1" applyAlignment="1">
      <alignment horizontal="center"/>
    </xf>
    <xf numFmtId="10" fontId="0" fillId="0" borderId="0" xfId="0" applyNumberFormat="1" applyAlignment="1"/>
    <xf numFmtId="0" fontId="5" fillId="0" borderId="0" xfId="0" applyFont="1" applyAlignment="1"/>
    <xf numFmtId="176" fontId="0" fillId="0" borderId="0" xfId="0" applyNumberFormat="1" applyAlignment="1"/>
    <xf numFmtId="0" fontId="0" fillId="2" borderId="0" xfId="0" applyFill="1" applyAlignment="1">
      <alignment horizontal="center" vertical="center" wrapText="1"/>
    </xf>
    <xf numFmtId="0" fontId="7" fillId="0" borderId="0" xfId="0" applyFont="1" applyAlignment="1"/>
    <xf numFmtId="10" fontId="6" fillId="0" borderId="0" xfId="1" applyNumberFormat="1" applyFont="1" applyAlignment="1"/>
    <xf numFmtId="0" fontId="5" fillId="0" borderId="0" xfId="0" applyFont="1" applyAlignment="1">
      <alignment horizontal="left" vertical="center" wrapText="1"/>
    </xf>
    <xf numFmtId="176" fontId="0" fillId="0" borderId="0" xfId="0" applyNumberFormat="1" applyAlignment="1">
      <alignment horizontal="center"/>
    </xf>
    <xf numFmtId="10" fontId="0" fillId="0" borderId="0" xfId="1" applyNumberFormat="1" applyFont="1">
      <alignment vertical="center"/>
    </xf>
    <xf numFmtId="176" fontId="0" fillId="3" borderId="0" xfId="0" applyNumberFormat="1" applyFill="1" applyAlignment="1"/>
    <xf numFmtId="10" fontId="2" fillId="3" borderId="0" xfId="1" applyNumberFormat="1" applyFill="1" applyAlignment="1"/>
    <xf numFmtId="202" fontId="0" fillId="0" borderId="0" xfId="0" applyNumberFormat="1" applyAlignment="1"/>
    <xf numFmtId="10" fontId="0" fillId="0" borderId="0" xfId="1" applyNumberFormat="1" applyFont="1" applyAlignment="1"/>
    <xf numFmtId="0" fontId="3" fillId="0" borderId="0" xfId="0" applyFont="1" applyAlignment="1"/>
    <xf numFmtId="0" fontId="10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23</xdr:row>
      <xdr:rowOff>160020</xdr:rowOff>
    </xdr:from>
    <xdr:to>
      <xdr:col>2</xdr:col>
      <xdr:colOff>701040</xdr:colOff>
      <xdr:row>24</xdr:row>
      <xdr:rowOff>99060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637AFC01-C16B-4D33-9FF3-5E271AF7F6ED}"/>
            </a:ext>
          </a:extLst>
        </xdr:cNvPr>
        <xdr:cNvSpPr>
          <a:spLocks noChangeShapeType="1"/>
        </xdr:cNvSpPr>
      </xdr:nvSpPr>
      <xdr:spPr bwMode="auto">
        <a:xfrm flipH="1" flipV="1">
          <a:off x="1895475" y="4152900"/>
          <a:ext cx="6667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8</xdr:col>
      <xdr:colOff>590550</xdr:colOff>
      <xdr:row>1</xdr:row>
      <xdr:rowOff>0</xdr:rowOff>
    </xdr:from>
    <xdr:to>
      <xdr:col>23</xdr:col>
      <xdr:colOff>283846</xdr:colOff>
      <xdr:row>46</xdr:row>
      <xdr:rowOff>93345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45A1A92-60CF-EE03-940A-1258C5AB8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39275" y="219075"/>
          <a:ext cx="8848725" cy="787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68-70"/>
      <sheetName val="Pages 268-70中文"/>
      <sheetName val="Page 273"/>
      <sheetName val="Page 273中文"/>
      <sheetName val="Page 274"/>
      <sheetName val="Page 274中文"/>
      <sheetName val="Page 276"/>
      <sheetName val="Page 276中文"/>
      <sheetName val="Page 277"/>
      <sheetName val="Page 277中文"/>
      <sheetName val="Page 278"/>
      <sheetName val="Page 278中文"/>
      <sheetName val="Data for CML chart, p. 278"/>
      <sheetName val="Data for CML chart, p. 278中文"/>
      <sheetName val="Page 279"/>
      <sheetName val="Page 279中文"/>
      <sheetName val="Pages 280-81"/>
      <sheetName val="Pages 280-81中文"/>
      <sheetName val="Page 282"/>
      <sheetName val="Page 282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43"/>
  <sheetViews>
    <sheetView tabSelected="1" topLeftCell="A6" zoomScale="145" zoomScaleNormal="145" workbookViewId="0">
      <selection activeCell="H18" sqref="H18"/>
    </sheetView>
  </sheetViews>
  <sheetFormatPr defaultRowHeight="13.8" x14ac:dyDescent="0.25"/>
  <cols>
    <col min="1" max="1" width="16.33203125" style="4" customWidth="1"/>
    <col min="2" max="5" width="10.6640625" style="4" customWidth="1"/>
    <col min="6" max="6" width="34.5546875" style="4" bestFit="1" customWidth="1"/>
    <col min="7" max="7" width="21.33203125" style="4" customWidth="1"/>
    <col min="8" max="8" width="27.6640625" style="4" bestFit="1" customWidth="1"/>
  </cols>
  <sheetData>
    <row r="1" spans="1:8" ht="17.399999999999999" x14ac:dyDescent="0.3">
      <c r="A1" s="1" t="s">
        <v>20</v>
      </c>
      <c r="B1" s="1"/>
      <c r="C1" s="1"/>
      <c r="D1" s="1"/>
      <c r="E1" s="1"/>
      <c r="F1" s="1"/>
      <c r="G1" s="2"/>
      <c r="H1" s="2"/>
    </row>
    <row r="2" spans="1:8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G2" s="3" t="s">
        <v>5</v>
      </c>
    </row>
    <row r="3" spans="1:8" x14ac:dyDescent="0.25">
      <c r="A3" s="5">
        <v>1</v>
      </c>
      <c r="B3" s="6">
        <v>-6.6255605887467039E-2</v>
      </c>
      <c r="C3" s="6">
        <v>-2.4904679180075117E-2</v>
      </c>
      <c r="D3" s="6">
        <v>-4.269514666027549E-2</v>
      </c>
      <c r="E3" s="6">
        <v>0.1172</v>
      </c>
      <c r="G3" s="7">
        <f t="array" ref="G3:G9">MMULT(B3:E9,B23:B26)</f>
        <v>-1.8222825757319806E-2</v>
      </c>
      <c r="H3" s="8" t="str">
        <f ca="1">[2]!getformula(G3)</f>
        <v>&lt;--  {=MMULT(B3:E9,B23:B26)}</v>
      </c>
    </row>
    <row r="4" spans="1:8" x14ac:dyDescent="0.25">
      <c r="A4" s="5">
        <v>2</v>
      </c>
      <c r="B4" s="6">
        <v>8.5300000000000001E-2</v>
      </c>
      <c r="C4" s="6">
        <v>2.4400000000000002E-2</v>
      </c>
      <c r="D4" s="6">
        <v>-3.1543618535442949E-2</v>
      </c>
      <c r="E4" s="6">
        <v>-8.3299999999999999E-2</v>
      </c>
      <c r="G4" s="7">
        <v>9.9087550844717976E-3</v>
      </c>
      <c r="H4" s="8"/>
    </row>
    <row r="5" spans="1:8" x14ac:dyDescent="0.25">
      <c r="A5" s="5">
        <v>3</v>
      </c>
      <c r="B5" s="6">
        <v>1.7937188329115412E-2</v>
      </c>
      <c r="C5" s="6">
        <v>4.4606698040520781E-2</v>
      </c>
      <c r="D5" s="6">
        <v>1.9195027491194547E-2</v>
      </c>
      <c r="E5" s="6">
        <v>0.19180375767263116</v>
      </c>
      <c r="G5" s="7">
        <v>5.4706257461176799E-2</v>
      </c>
      <c r="H5" s="8"/>
    </row>
    <row r="6" spans="1:8" x14ac:dyDescent="0.25">
      <c r="A6" s="5">
        <v>4</v>
      </c>
      <c r="B6" s="6">
        <v>7.2484350433373146E-2</v>
      </c>
      <c r="C6" s="6">
        <v>0.17896441688028816</v>
      </c>
      <c r="D6" s="6">
        <v>-6.5257342301863905E-2</v>
      </c>
      <c r="E6" s="6">
        <v>-7.4061437799726737E-2</v>
      </c>
      <c r="G6" s="7">
        <v>3.6503513841059508E-2</v>
      </c>
      <c r="H6" s="8"/>
    </row>
    <row r="7" spans="1:8" x14ac:dyDescent="0.25">
      <c r="A7" s="5">
        <v>5</v>
      </c>
      <c r="B7" s="6">
        <v>7.545292033896033E-3</v>
      </c>
      <c r="C7" s="6">
        <v>-8.2229955942229177E-2</v>
      </c>
      <c r="D7" s="6">
        <v>-1.757117827535767E-2</v>
      </c>
      <c r="E7" s="6">
        <v>-1.443594623294148E-2</v>
      </c>
      <c r="G7" s="7">
        <v>-2.5107488636137654E-2</v>
      </c>
      <c r="H7" s="8"/>
    </row>
    <row r="8" spans="1:8" x14ac:dyDescent="0.25">
      <c r="A8" s="5">
        <v>6</v>
      </c>
      <c r="B8" s="6">
        <v>-1.5696373666933345E-2</v>
      </c>
      <c r="C8" s="6">
        <v>8.3192591965755795E-3</v>
      </c>
      <c r="D8" s="6">
        <v>0.1288</v>
      </c>
      <c r="E8" s="6">
        <v>-5.9221112814114754E-2</v>
      </c>
      <c r="G8" s="7">
        <v>2.1615229585562404E-2</v>
      </c>
      <c r="H8" s="8"/>
    </row>
    <row r="9" spans="1:8" x14ac:dyDescent="0.25">
      <c r="A9" s="5">
        <v>7</v>
      </c>
      <c r="B9" s="6">
        <v>-2.0984886675167722E-2</v>
      </c>
      <c r="C9" s="6">
        <v>5.1431364020888035E-2</v>
      </c>
      <c r="D9" s="6">
        <v>0.1340676294208841</v>
      </c>
      <c r="E9" s="6">
        <v>-4.5686250612152913E-3</v>
      </c>
      <c r="G9" s="7">
        <v>4.1386712004944544E-2</v>
      </c>
      <c r="H9" s="8"/>
    </row>
    <row r="11" spans="1:8" x14ac:dyDescent="0.25">
      <c r="A11" s="4" t="s">
        <v>6</v>
      </c>
      <c r="B11" s="18">
        <f>AVERAGE(B3:B9)</f>
        <v>1.1475709223830927E-2</v>
      </c>
      <c r="C11" s="18">
        <f>AVERAGE(C3:C9)</f>
        <v>2.8655300430852609E-2</v>
      </c>
      <c r="D11" s="18">
        <f>AVERAGE(D3:D9)</f>
        <v>1.7856481591305519E-2</v>
      </c>
      <c r="E11" s="18">
        <f>AVERAGE(E3:E9)</f>
        <v>1.0488090823518989E-2</v>
      </c>
      <c r="F11" s="6" t="str">
        <f ca="1">[2]!getformula(E11)</f>
        <v>&lt;--  =AVERAGE(E3:E9)</v>
      </c>
      <c r="G11" s="7">
        <f>AVERAGE(G3:G9)</f>
        <v>1.7255736226251088E-2</v>
      </c>
    </row>
    <row r="12" spans="1:8" x14ac:dyDescent="0.25">
      <c r="B12" s="6"/>
      <c r="C12" s="6"/>
      <c r="D12" s="6"/>
      <c r="E12" s="6"/>
      <c r="F12" s="6"/>
    </row>
    <row r="13" spans="1:8" x14ac:dyDescent="0.25">
      <c r="A13" s="9" t="s">
        <v>7</v>
      </c>
    </row>
    <row r="14" spans="1:8" x14ac:dyDescent="0.25">
      <c r="B14" s="5" t="s">
        <v>1</v>
      </c>
      <c r="C14" s="5" t="s">
        <v>2</v>
      </c>
      <c r="D14" s="5" t="s">
        <v>3</v>
      </c>
      <c r="E14" s="5" t="s">
        <v>4</v>
      </c>
    </row>
    <row r="15" spans="1:8" x14ac:dyDescent="0.25">
      <c r="A15" s="4" t="s">
        <v>1</v>
      </c>
      <c r="B15" s="10">
        <f t="array" ref="B15:E18">MMULT(TRANSPOSE(B3:E9-B11:E11),B3:E9-B11:E11)/7</f>
        <v>2.4376355465752187E-3</v>
      </c>
      <c r="C15" s="10">
        <v>1.910205859138172E-3</v>
      </c>
      <c r="D15" s="10">
        <v>-1.5213980341143869E-3</v>
      </c>
      <c r="E15" s="10">
        <v>-2.3892178138495862E-3</v>
      </c>
    </row>
    <row r="16" spans="1:8" x14ac:dyDescent="0.25">
      <c r="A16" s="4" t="s">
        <v>2</v>
      </c>
      <c r="B16" s="10">
        <v>1.910205859138172E-3</v>
      </c>
      <c r="C16" s="10">
        <v>5.5659857568364493E-3</v>
      </c>
      <c r="D16" s="10">
        <v>-6.7128169135941441E-4</v>
      </c>
      <c r="E16" s="10">
        <v>-1.6134761521794001E-3</v>
      </c>
      <c r="F16" s="11" t="str">
        <f ca="1">"cells "&amp;CHAR(COLUMN(B15)+64)&amp;ROW(B15)&amp;":"&amp;CHAR(COLUMN(E18)+64)&amp;ROW(E18)&amp;" contain the formula "&amp;[2]!ggetformula(B15)</f>
        <v>cells B15:E18 contain the formula  {=MMULT(TRANSPOSE(B3:E9-B11:E11),B3:E9-B11:E11)/7}</v>
      </c>
      <c r="G16" s="11"/>
    </row>
    <row r="17" spans="1:7" x14ac:dyDescent="0.25">
      <c r="A17" s="4" t="s">
        <v>3</v>
      </c>
      <c r="B17" s="10">
        <v>-1.5213980341143869E-3</v>
      </c>
      <c r="C17" s="10">
        <v>-6.7128169135941441E-4</v>
      </c>
      <c r="D17" s="10">
        <v>5.7264547491596863E-3</v>
      </c>
      <c r="E17" s="10">
        <v>-4.5129243537122291E-4</v>
      </c>
      <c r="F17" s="11"/>
      <c r="G17" s="11"/>
    </row>
    <row r="18" spans="1:7" x14ac:dyDescent="0.25">
      <c r="A18" s="4" t="s">
        <v>4</v>
      </c>
      <c r="B18" s="10">
        <v>-2.3892178138495862E-3</v>
      </c>
      <c r="C18" s="10">
        <v>-1.6134761521794001E-3</v>
      </c>
      <c r="D18" s="10">
        <v>-4.5129243537122291E-4</v>
      </c>
      <c r="E18" s="10">
        <v>9.4164166805685689E-3</v>
      </c>
      <c r="F18" s="11"/>
      <c r="G18" s="11"/>
    </row>
    <row r="20" spans="1:7" x14ac:dyDescent="0.25">
      <c r="A20" s="9" t="s">
        <v>8</v>
      </c>
    </row>
    <row r="21" spans="1:7" x14ac:dyDescent="0.25">
      <c r="A21" s="4" t="s">
        <v>9</v>
      </c>
      <c r="B21" s="8">
        <v>5.0000000000000001E-3</v>
      </c>
    </row>
    <row r="23" spans="1:7" x14ac:dyDescent="0.25">
      <c r="A23" s="4" t="s">
        <v>1</v>
      </c>
      <c r="B23" s="10">
        <f t="array" ref="B23:B26">MMULT(MINVERSE(B15:E18),TRANSPOSE(B11:E11)-B21)/SUM(MMULT(MINVERSE(B15:E18),TRANSPOSE(B11:E11)-B21))</f>
        <v>0.31285942027940788</v>
      </c>
    </row>
    <row r="24" spans="1:7" x14ac:dyDescent="0.25">
      <c r="A24" s="4" t="s">
        <v>2</v>
      </c>
      <c r="B24" s="10">
        <v>0.24641147896469962</v>
      </c>
      <c r="D24" s="11" t="str">
        <f>{"Cells B23:B26 contain the formula {=MMULT(MINVERSE(B15:E18),TRANSPOSE(B11:E11)-B21)/SUM(MMULT(MINVERSE(B15:E18),TRANSPOSE(B11:E11)-B21))}"}</f>
        <v>Cells B23:B26 contain the formula {=MMULT(MINVERSE(B15:E18),TRANSPOSE(B11:E11)-B21)/SUM(MMULT(MINVERSE(B15:E18),TRANSPOSE(B11:E11)-B21))}</v>
      </c>
      <c r="E24" s="11"/>
      <c r="F24" s="11"/>
      <c r="G24" s="11"/>
    </row>
    <row r="25" spans="1:7" x14ac:dyDescent="0.25">
      <c r="A25" s="4" t="s">
        <v>3</v>
      </c>
      <c r="B25" s="10">
        <v>0.26899369984741706</v>
      </c>
      <c r="D25" s="11"/>
      <c r="E25" s="11"/>
      <c r="F25" s="11"/>
      <c r="G25" s="11"/>
    </row>
    <row r="26" spans="1:7" x14ac:dyDescent="0.25">
      <c r="A26" s="4" t="s">
        <v>4</v>
      </c>
      <c r="B26" s="10">
        <v>0.17173540090847547</v>
      </c>
      <c r="D26" s="11"/>
      <c r="E26" s="11"/>
      <c r="F26" s="11"/>
      <c r="G26" s="11"/>
    </row>
    <row r="29" spans="1:7" ht="15.6" x14ac:dyDescent="0.3">
      <c r="A29" s="12" t="s">
        <v>21</v>
      </c>
    </row>
    <row r="30" spans="1:7" x14ac:dyDescent="0.25">
      <c r="A30" s="13" t="s">
        <v>10</v>
      </c>
      <c r="B30" s="6"/>
      <c r="C30" s="6"/>
      <c r="D30" s="6"/>
    </row>
    <row r="31" spans="1:7" x14ac:dyDescent="0.25">
      <c r="B31" s="3" t="s">
        <v>1</v>
      </c>
      <c r="C31" s="3" t="s">
        <v>2</v>
      </c>
      <c r="D31" s="3" t="s">
        <v>3</v>
      </c>
      <c r="E31" s="3" t="s">
        <v>4</v>
      </c>
    </row>
    <row r="32" spans="1:7" x14ac:dyDescent="0.25">
      <c r="A32" s="4" t="s">
        <v>11</v>
      </c>
      <c r="B32" s="10">
        <f>INTERCEPT(B3:B9,$G$3:$G$9)</f>
        <v>2.3580904874729788E-3</v>
      </c>
      <c r="C32" s="10">
        <f>INTERCEPT(C3:C9,$G$3:$G$9)</f>
        <v>-4.6507055937546719E-3</v>
      </c>
      <c r="D32" s="10">
        <f>INTERCEPT(D3:D9,$G$3:$G$9)</f>
        <v>-2.4508742435548972E-4</v>
      </c>
      <c r="E32" s="10">
        <f>INTERCEPT(E3:E9,$G$3:$G$9)</f>
        <v>2.7610113655335599E-3</v>
      </c>
      <c r="F32" s="10" t="str">
        <f ca="1">[2]!getformula(E32)</f>
        <v>&lt;--  =INTERCEPT(E3:E9,$G$3:$G$9)</v>
      </c>
    </row>
    <row r="33" spans="1:6" x14ac:dyDescent="0.25">
      <c r="A33" s="4" t="s">
        <v>12</v>
      </c>
      <c r="B33" s="17">
        <f>SLOPE(B3:B9,$G$3:$G$9)</f>
        <v>0.52838190250540273</v>
      </c>
      <c r="C33" s="17">
        <f>SLOPE(C3:C9,$G$3:$G$9)</f>
        <v>1.9301411187509332</v>
      </c>
      <c r="D33" s="17">
        <f>SLOPE(D3:D9,$G$3:$G$9)</f>
        <v>1.049017484871098</v>
      </c>
      <c r="E33" s="17">
        <f>SLOPE(E3:E9,$G$3:$G$9)</f>
        <v>0.44779772689328967</v>
      </c>
      <c r="F33" s="10" t="str">
        <f ca="1">[2]!getformula(E33)</f>
        <v>&lt;--  =SLOPE(E3:E9,$G$3:$G$9)</v>
      </c>
    </row>
    <row r="34" spans="1:6" x14ac:dyDescent="0.25">
      <c r="A34" s="4" t="s">
        <v>13</v>
      </c>
      <c r="B34" s="10">
        <f>RSQ(B3:B9,$G$3:$G$9)</f>
        <v>8.9689683964278413E-2</v>
      </c>
      <c r="C34" s="10">
        <f>RSQ(C3:C9,$G$3:$G$9)</f>
        <v>0.52414498455428704</v>
      </c>
      <c r="D34" s="10">
        <f>RSQ(D3:D9,$G$3:$G$9)</f>
        <v>0.15048562636313398</v>
      </c>
      <c r="E34" s="10">
        <f>RSQ(E3:E9,$G$3:$G$9)</f>
        <v>1.6676061990681626E-2</v>
      </c>
      <c r="F34" s="10" t="str">
        <f ca="1">[2]!getformula(E34)</f>
        <v>&lt;--  =RSQ(E3:E9,$G$3:$G$9)</v>
      </c>
    </row>
    <row r="36" spans="1:6" x14ac:dyDescent="0.25">
      <c r="A36" s="4" t="s">
        <v>14</v>
      </c>
    </row>
    <row r="37" spans="1:6" x14ac:dyDescent="0.25">
      <c r="A37" s="4" t="s">
        <v>15</v>
      </c>
      <c r="B37" s="20">
        <f>INTERCEPT(B11:E11,B33:E33)</f>
        <v>5.0000000000000062E-3</v>
      </c>
      <c r="C37" s="10" t="str">
        <f ca="1">[2]!getformula(B37)</f>
        <v>&lt;--  =INTERCEPT(B11:E11,B33:E33)</v>
      </c>
      <c r="F37" s="19"/>
    </row>
    <row r="38" spans="1:6" x14ac:dyDescent="0.25">
      <c r="A38" s="4" t="s">
        <v>16</v>
      </c>
      <c r="B38" s="10">
        <f>SLOPE(B11:E11,B33:E33)</f>
        <v>1.2255736226251082E-2</v>
      </c>
      <c r="C38" s="10" t="str">
        <f ca="1">[2]!getformula(B38)</f>
        <v>&lt;--  =SLOPE(B11:E11,B33:E33)</v>
      </c>
    </row>
    <row r="39" spans="1:6" x14ac:dyDescent="0.25">
      <c r="A39" s="4" t="s">
        <v>13</v>
      </c>
      <c r="B39" s="10">
        <f>RSQ(B11:E11,B33:E33)</f>
        <v>0.99999999999999978</v>
      </c>
      <c r="C39" s="10" t="str">
        <f ca="1">[2]!getformula(B39)</f>
        <v>&lt;--  =RSQ(B11:E11,B33:E33)</v>
      </c>
    </row>
    <row r="40" spans="1:6" x14ac:dyDescent="0.25">
      <c r="B40" s="10"/>
      <c r="C40" s="10"/>
    </row>
    <row r="41" spans="1:6" x14ac:dyDescent="0.25">
      <c r="A41" s="14" t="s">
        <v>17</v>
      </c>
      <c r="B41" s="14"/>
      <c r="C41" s="14"/>
      <c r="D41" s="14"/>
      <c r="E41" s="14"/>
    </row>
    <row r="42" spans="1:6" x14ac:dyDescent="0.25">
      <c r="A42" s="21" t="s">
        <v>18</v>
      </c>
      <c r="B42" s="22" t="str">
        <f>IF(B37=B21,"yes","no")</f>
        <v>no</v>
      </c>
      <c r="C42" s="10" t="str">
        <f ca="1">[2]!getformula(B42)</f>
        <v>&lt;--  =IF(B37=B21,"yes","no")</v>
      </c>
    </row>
    <row r="43" spans="1:6" ht="15.6" x14ac:dyDescent="0.35">
      <c r="A43" s="4" t="s">
        <v>19</v>
      </c>
      <c r="B43" s="15" t="str">
        <f>IF(B38=G11-B21,"yes","no")</f>
        <v>yes</v>
      </c>
      <c r="C43" s="10" t="str">
        <f ca="1">[2]!getformula(B43)</f>
        <v>&lt;--  =IF(B38=G11-B21,"yes","no")</v>
      </c>
    </row>
  </sheetData>
  <mergeCells count="4">
    <mergeCell ref="A1:F1"/>
    <mergeCell ref="F16:G18"/>
    <mergeCell ref="D24:G26"/>
    <mergeCell ref="A41:E4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F1AD4-2ADA-43D9-9510-45F4A4E43F04}">
  <dimension ref="A1:G4"/>
  <sheetViews>
    <sheetView workbookViewId="0">
      <selection activeCell="I19" sqref="I19"/>
    </sheetView>
  </sheetViews>
  <sheetFormatPr defaultRowHeight="13.8" x14ac:dyDescent="0.25"/>
  <sheetData>
    <row r="1" spans="1:7" x14ac:dyDescent="0.25">
      <c r="A1" s="16">
        <f t="array" ref="A1:G4">TRANSPOSE(Sheet1!B3:E9)</f>
        <v>-6.6255605887467039E-2</v>
      </c>
      <c r="B1" s="16">
        <v>8.5300000000000001E-2</v>
      </c>
      <c r="C1" s="16">
        <v>1.7937188329115412E-2</v>
      </c>
      <c r="D1" s="16">
        <v>7.2484350433373146E-2</v>
      </c>
      <c r="E1" s="16">
        <v>7.545292033896033E-3</v>
      </c>
      <c r="F1" s="16">
        <v>-1.5696373666933345E-2</v>
      </c>
      <c r="G1" s="16">
        <v>-2.0984886675167722E-2</v>
      </c>
    </row>
    <row r="2" spans="1:7" x14ac:dyDescent="0.25">
      <c r="A2" s="16">
        <v>-2.4904679180075117E-2</v>
      </c>
      <c r="B2" s="16">
        <v>2.4400000000000002E-2</v>
      </c>
      <c r="C2" s="16">
        <v>4.4606698040520781E-2</v>
      </c>
      <c r="D2" s="16">
        <v>0.17896441688028816</v>
      </c>
      <c r="E2" s="16">
        <v>-8.2229955942229177E-2</v>
      </c>
      <c r="F2" s="16">
        <v>8.3192591965755795E-3</v>
      </c>
      <c r="G2" s="16">
        <v>5.1431364020888035E-2</v>
      </c>
    </row>
    <row r="3" spans="1:7" x14ac:dyDescent="0.25">
      <c r="A3" s="16">
        <v>-4.269514666027549E-2</v>
      </c>
      <c r="B3" s="16">
        <v>-3.1543618535442949E-2</v>
      </c>
      <c r="C3" s="16">
        <v>1.9195027491194547E-2</v>
      </c>
      <c r="D3" s="16">
        <v>-6.5257342301863905E-2</v>
      </c>
      <c r="E3" s="16">
        <v>-1.757117827535767E-2</v>
      </c>
      <c r="F3" s="16">
        <v>0.1288</v>
      </c>
      <c r="G3" s="16">
        <v>0.1340676294208841</v>
      </c>
    </row>
    <row r="4" spans="1:7" x14ac:dyDescent="0.25">
      <c r="A4" s="16">
        <v>0.1172</v>
      </c>
      <c r="B4" s="16">
        <v>-8.3299999999999999E-2</v>
      </c>
      <c r="C4" s="16">
        <v>0.19180375767263116</v>
      </c>
      <c r="D4" s="16">
        <v>-7.4061437799726737E-2</v>
      </c>
      <c r="E4" s="16">
        <v>-1.443594623294148E-2</v>
      </c>
      <c r="F4" s="16">
        <v>-5.9221112814114754E-2</v>
      </c>
      <c r="G4" s="16">
        <v>-4.5686250612152913E-3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2024-10-29T06:44:44Z</dcterms:modified>
</cp:coreProperties>
</file>