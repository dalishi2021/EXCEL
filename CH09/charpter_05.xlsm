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"/>
    </mc:Choice>
  </mc:AlternateContent>
  <xr:revisionPtr revIDLastSave="0" documentId="13_ncr:1_{A77D23D6-972B-4777-9054-63F2E399B389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1" l="1" a="1"/>
  <c r="A11" i="1" s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D21" i="1"/>
  <c r="C6" i="1"/>
  <c r="B6" i="1"/>
  <c r="A6" i="1"/>
  <c r="B5" i="1"/>
  <c r="A5" i="1"/>
  <c r="A4" i="1"/>
  <c r="C16" i="1"/>
  <c r="C17" i="1"/>
  <c r="B11" i="1"/>
  <c r="B17" i="1" l="1" a="1"/>
  <c r="B17" i="1" s="1"/>
  <c r="A14" i="1"/>
  <c r="A13" i="1"/>
  <c r="A12" i="1"/>
  <c r="B16" i="1" s="1" a="1"/>
  <c r="B16" i="1" s="1"/>
  <c r="C21" i="1" l="1"/>
  <c r="B21" i="1"/>
</calcChain>
</file>

<file path=xl/sharedStrings.xml><?xml version="1.0" encoding="utf-8"?>
<sst xmlns="http://schemas.openxmlformats.org/spreadsheetml/2006/main" count="12" uniqueCount="11">
  <si>
    <t>FINDING EFFICIENT PORTFOLIOS IN ONE STEP</t>
  </si>
  <si>
    <t>Variance-covariance matrix</t>
  </si>
  <si>
    <t>Expected returns
E(r)</t>
  </si>
  <si>
    <t>Constant</t>
  </si>
  <si>
    <t>Envelope portfolio</t>
  </si>
  <si>
    <r>
      <t>Portfolio expected return, E(r</t>
    </r>
    <r>
      <rPr>
        <vertAlign val="subscript"/>
        <sz val="10"/>
        <rFont val="Arial"/>
        <family val="2"/>
      </rPr>
      <t>x</t>
    </r>
    <r>
      <rPr>
        <sz val="11"/>
        <color theme="1"/>
        <rFont val="等线"/>
        <family val="2"/>
        <charset val="134"/>
        <scheme val="minor"/>
      </rPr>
      <t>)</t>
    </r>
  </si>
  <si>
    <r>
      <t xml:space="preserve">Portfolio standard devation,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x</t>
    </r>
  </si>
  <si>
    <t>Data table with constant as variable</t>
  </si>
  <si>
    <r>
      <t xml:space="preserve">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x</t>
    </r>
  </si>
  <si>
    <r>
      <t>E(r</t>
    </r>
    <r>
      <rPr>
        <vertAlign val="subscript"/>
        <sz val="10"/>
        <rFont val="Arial"/>
        <family val="2"/>
      </rPr>
      <t>x</t>
    </r>
    <r>
      <rPr>
        <sz val="11"/>
        <color theme="1"/>
        <rFont val="等线"/>
        <family val="2"/>
        <charset val="134"/>
        <scheme val="minor"/>
      </rPr>
      <t>)</t>
    </r>
  </si>
  <si>
    <t>Jump in table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</si>
</sst>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/>
    <xf numFmtId="176" fontId="0" fillId="0" borderId="0" xfId="0" applyNumberFormat="1" applyAlignment="1">
      <alignment wrapText="1"/>
    </xf>
    <xf numFmtId="10" fontId="0" fillId="0" borderId="0" xfId="1" applyNumberFormat="1" applyFont="1" applyAlignment="1"/>
    <xf numFmtId="0" fontId="4" fillId="0" borderId="0" xfId="0" applyFont="1" applyAlignment="1"/>
    <xf numFmtId="10" fontId="0" fillId="0" borderId="0" xfId="0" applyNumberFormat="1" applyAlignment="1">
      <alignment horizontal="center"/>
    </xf>
    <xf numFmtId="0" fontId="7" fillId="0" borderId="0" xfId="0" applyFont="1" applyAlignment="1"/>
    <xf numFmtId="0" fontId="0" fillId="2" borderId="0" xfId="0" applyFill="1" applyAlignment="1">
      <alignment horizontal="center"/>
    </xf>
    <xf numFmtId="10" fontId="0" fillId="2" borderId="0" xfId="1" applyNumberFormat="1" applyFont="1" applyFill="1" applyAlignme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59384104363769"/>
          <c:y val="6.4444479407812186E-2"/>
          <c:w val="0.79883964703018451"/>
          <c:h val="0.8288893385901360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25"/>
            <c:marker>
              <c:symbol val="diamond"/>
              <c:size val="15"/>
              <c:spPr>
                <a:solidFill>
                  <a:srgbClr val="FF0000"/>
                </a:solidFill>
                <a:ln>
                  <a:solidFill>
                    <a:srgbClr val="00008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196-48B2-8242-3A41F8CC1F31}"/>
              </c:ext>
            </c:extLst>
          </c:dPt>
          <c:xVal>
            <c:numRef>
              <c:f>Sheet1!$B$22:$B$47</c:f>
              <c:numCache>
                <c:formatCode>0.00%</c:formatCode>
                <c:ptCount val="26"/>
                <c:pt idx="0">
                  <c:v>0.19037246391049767</c:v>
                </c:pt>
                <c:pt idx="1">
                  <c:v>0.19042496655394492</c:v>
                </c:pt>
                <c:pt idx="2">
                  <c:v>0.19045575687438748</c:v>
                </c:pt>
                <c:pt idx="3">
                  <c:v>0.19049021569549196</c:v>
                </c:pt>
                <c:pt idx="4">
                  <c:v>0.19052894953131436</c:v>
                </c:pt>
                <c:pt idx="5">
                  <c:v>0.19057269555888157</c:v>
                </c:pt>
                <c:pt idx="6">
                  <c:v>0.19062235689305412</c:v>
                </c:pt>
                <c:pt idx="7">
                  <c:v>0.19067904948613851</c:v>
                </c:pt>
                <c:pt idx="8">
                  <c:v>0.19074416524284549</c:v>
                </c:pt>
                <c:pt idx="9">
                  <c:v>0.19081945808451395</c:v>
                </c:pt>
                <c:pt idx="10">
                  <c:v>0.19090716301137378</c:v>
                </c:pt>
                <c:pt idx="11">
                  <c:v>0.19101016344226898</c:v>
                </c:pt>
                <c:pt idx="12">
                  <c:v>0.1911322305486983</c:v>
                </c:pt>
                <c:pt idx="13">
                  <c:v>0.19127837224479141</c:v>
                </c:pt>
                <c:pt idx="14">
                  <c:v>0.19145535317033865</c:v>
                </c:pt>
                <c:pt idx="15">
                  <c:v>0.19167248842463092</c:v>
                </c:pt>
                <c:pt idx="16">
                  <c:v>0.1919428887558299</c:v>
                </c:pt>
                <c:pt idx="17">
                  <c:v>0.19228547578015362</c:v>
                </c:pt>
                <c:pt idx="18">
                  <c:v>0.19272836232046492</c:v>
                </c:pt>
                <c:pt idx="19">
                  <c:v>0.19331476352231997</c:v>
                </c:pt>
                <c:pt idx="20">
                  <c:v>0.19411385221720437</c:v>
                </c:pt>
                <c:pt idx="21">
                  <c:v>0.1952418948116891</c:v>
                </c:pt>
                <c:pt idx="22">
                  <c:v>0.196906438173333</c:v>
                </c:pt>
                <c:pt idx="23">
                  <c:v>0.19950723629490036</c:v>
                </c:pt>
                <c:pt idx="24">
                  <c:v>0.20389445191285205</c:v>
                </c:pt>
                <c:pt idx="25">
                  <c:v>0.21213701193842571</c:v>
                </c:pt>
              </c:numCache>
            </c:numRef>
          </c:xVal>
          <c:yVal>
            <c:numRef>
              <c:f>Sheet1!$C$22:$C$47</c:f>
              <c:numCache>
                <c:formatCode>0.00%</c:formatCode>
                <c:ptCount val="26"/>
                <c:pt idx="0">
                  <c:v>6.867923343990899E-2</c:v>
                </c:pt>
                <c:pt idx="1">
                  <c:v>6.8718810620743795E-2</c:v>
                </c:pt>
                <c:pt idx="2">
                  <c:v>6.8740828785147007E-2</c:v>
                </c:pt>
                <c:pt idx="3">
                  <c:v>6.8764565339254707E-2</c:v>
                </c:pt>
                <c:pt idx="4">
                  <c:v>6.8790229617210263E-2</c:v>
                </c:pt>
                <c:pt idx="5">
                  <c:v>6.8818066393711574E-2</c:v>
                </c:pt>
                <c:pt idx="6">
                  <c:v>6.8848363715655669E-2</c:v>
                </c:pt>
                <c:pt idx="7">
                  <c:v>6.8881462906573432E-2</c:v>
                </c:pt>
                <c:pt idx="8">
                  <c:v>6.891777148123239E-2</c:v>
                </c:pt>
                <c:pt idx="9">
                  <c:v>6.8957780008349845E-2</c:v>
                </c:pt>
                <c:pt idx="10">
                  <c:v>6.9002084405148947E-2</c:v>
                </c:pt>
                <c:pt idx="11">
                  <c:v>6.9051415820901824E-2</c:v>
                </c:pt>
                <c:pt idx="12">
                  <c:v>6.9106681304531556E-2</c:v>
                </c:pt>
                <c:pt idx="13">
                  <c:v>6.9169020087066019E-2</c:v>
                </c:pt>
                <c:pt idx="14">
                  <c:v>6.9239882951947135E-2</c:v>
                </c:pt>
                <c:pt idx="15">
                  <c:v>6.9321146553532956E-2</c:v>
                </c:pt>
                <c:pt idx="16">
                  <c:v>6.941528205869317E-2</c:v>
                </c:pt>
                <c:pt idx="17">
                  <c:v>6.9525610817932723E-2</c:v>
                </c:pt>
                <c:pt idx="18">
                  <c:v>6.9656704395004043E-2</c:v>
                </c:pt>
                <c:pt idx="19">
                  <c:v>6.9815033926544798E-2</c:v>
                </c:pt>
                <c:pt idx="20">
                  <c:v>7.0010071131153068E-2</c:v>
                </c:pt>
                <c:pt idx="21">
                  <c:v>7.0256255514865557E-2</c:v>
                </c:pt>
                <c:pt idx="22">
                  <c:v>7.0576742791043978E-2</c:v>
                </c:pt>
                <c:pt idx="23">
                  <c:v>7.1011150542654236E-2</c:v>
                </c:pt>
                <c:pt idx="24">
                  <c:v>7.1633349034385299E-2</c:v>
                </c:pt>
                <c:pt idx="25">
                  <c:v>7.2598686635280102E-2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6-48B2-8242-3A41F8CC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473432"/>
        <c:axId val="1"/>
      </c:scatterChart>
      <c:valAx>
        <c:axId val="1314473432"/>
        <c:scaling>
          <c:orientation val="minMax"/>
        </c:scaling>
        <c:delete val="0"/>
        <c:axPos val="b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3144734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22</xdr:row>
      <xdr:rowOff>45720</xdr:rowOff>
    </xdr:from>
    <xdr:to>
      <xdr:col>7</xdr:col>
      <xdr:colOff>1577340</xdr:colOff>
      <xdr:row>42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B7CFA97-95F9-41FA-9D3D-E6D67295A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38100</xdr:colOff>
      <xdr:row>1</xdr:row>
      <xdr:rowOff>47625</xdr:rowOff>
    </xdr:from>
    <xdr:to>
      <xdr:col>22</xdr:col>
      <xdr:colOff>171450</xdr:colOff>
      <xdr:row>50</xdr:row>
      <xdr:rowOff>95250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9C5B8F9-0C5F-EF81-A679-77382C8BC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486650" y="266700"/>
          <a:ext cx="7448550" cy="9734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56"/>
  <sheetViews>
    <sheetView tabSelected="1" zoomScale="145" zoomScaleNormal="145" workbookViewId="0">
      <selection activeCell="H5" sqref="H5"/>
    </sheetView>
  </sheetViews>
  <sheetFormatPr defaultRowHeight="13.8" x14ac:dyDescent="0.25"/>
  <cols>
    <col min="1" max="1" width="13" style="1" customWidth="1"/>
    <col min="2" max="7" width="8.88671875" style="1"/>
    <col min="8" max="8" width="24.44140625" style="1" customWidth="1"/>
    <col min="9" max="10" width="8.88671875" style="1"/>
  </cols>
  <sheetData>
    <row r="1" spans="1:8" ht="17.399999999999999" x14ac:dyDescent="0.3">
      <c r="A1" s="16" t="s">
        <v>0</v>
      </c>
      <c r="B1" s="16"/>
      <c r="C1" s="16"/>
      <c r="D1" s="16"/>
      <c r="E1" s="16"/>
      <c r="F1" s="16"/>
      <c r="G1" s="16"/>
      <c r="H1" s="16"/>
    </row>
    <row r="2" spans="1:8" ht="39.6" x14ac:dyDescent="0.25">
      <c r="A2" s="17" t="s">
        <v>1</v>
      </c>
      <c r="B2" s="17"/>
      <c r="C2" s="17"/>
      <c r="D2" s="17"/>
      <c r="F2" s="3" t="s">
        <v>2</v>
      </c>
    </row>
    <row r="3" spans="1:8" x14ac:dyDescent="0.25">
      <c r="A3" s="4">
        <v>0.4</v>
      </c>
      <c r="B3" s="4">
        <v>0.03</v>
      </c>
      <c r="C3" s="4">
        <v>0.02</v>
      </c>
      <c r="D3" s="4">
        <v>0</v>
      </c>
      <c r="E3" s="5"/>
      <c r="F3" s="5">
        <v>0.06</v>
      </c>
    </row>
    <row r="4" spans="1:8" x14ac:dyDescent="0.25">
      <c r="A4" s="4">
        <f>B3</f>
        <v>0.03</v>
      </c>
      <c r="B4" s="4">
        <v>0.2</v>
      </c>
      <c r="C4" s="4">
        <v>1E-3</v>
      </c>
      <c r="D4" s="4">
        <v>-0.06</v>
      </c>
      <c r="E4" s="5"/>
      <c r="F4" s="5">
        <v>0.05</v>
      </c>
    </row>
    <row r="5" spans="1:8" x14ac:dyDescent="0.25">
      <c r="A5" s="4">
        <f>C3</f>
        <v>0.02</v>
      </c>
      <c r="B5" s="4">
        <f>C4</f>
        <v>1E-3</v>
      </c>
      <c r="C5" s="4">
        <v>0.3</v>
      </c>
      <c r="D5" s="4">
        <v>0.03</v>
      </c>
      <c r="E5" s="5"/>
      <c r="F5" s="5">
        <v>7.0000000000000007E-2</v>
      </c>
    </row>
    <row r="6" spans="1:8" x14ac:dyDescent="0.25">
      <c r="A6" s="4">
        <f>D3</f>
        <v>0</v>
      </c>
      <c r="B6" s="4">
        <f>D4</f>
        <v>-0.06</v>
      </c>
      <c r="C6" s="4">
        <f>D5</f>
        <v>0.03</v>
      </c>
      <c r="D6" s="4">
        <v>0.1</v>
      </c>
      <c r="E6" s="5"/>
      <c r="F6" s="5">
        <v>0.08</v>
      </c>
    </row>
    <row r="8" spans="1:8" x14ac:dyDescent="0.25">
      <c r="A8" s="1" t="s">
        <v>3</v>
      </c>
      <c r="B8" s="1">
        <v>0.05</v>
      </c>
    </row>
    <row r="10" spans="1:8" ht="26.4" x14ac:dyDescent="0.25">
      <c r="A10" s="2" t="s">
        <v>4</v>
      </c>
      <c r="B10" s="6"/>
      <c r="C10" s="6"/>
      <c r="D10" s="6"/>
      <c r="E10" s="6"/>
      <c r="F10" s="2"/>
      <c r="G10" s="6"/>
      <c r="H10" s="6"/>
    </row>
    <row r="11" spans="1:8" x14ac:dyDescent="0.25">
      <c r="A11" s="7">
        <f t="array" ref="A11:A14">MMULT(MINVERSE(A3:D6),F3:F6-B8)/SUM(MMULT(MINVERSE(A3:D6),F3:F6-B8))</f>
        <v>3.1356662810113331E-2</v>
      </c>
      <c r="B11" s="13" t="str">
        <f ca="1">_xlfn.FORMULATEXT(A11)</f>
        <v>{=MMULT(MINVERSE(A3:D6),F3:F6-B8)/SUM(MMULT(MINVERSE(A3:D6),F3:F6-B8))}</v>
      </c>
      <c r="D11" s="8"/>
      <c r="F11" s="8"/>
    </row>
    <row r="12" spans="1:8" x14ac:dyDescent="0.25">
      <c r="A12" s="7">
        <v>0.20591430759911927</v>
      </c>
      <c r="D12" s="8"/>
      <c r="F12" s="8"/>
    </row>
    <row r="13" spans="1:8" x14ac:dyDescent="0.25">
      <c r="A13" s="7">
        <v>5.9675088054406328E-2</v>
      </c>
      <c r="D13" s="8"/>
      <c r="F13" s="8"/>
    </row>
    <row r="14" spans="1:8" x14ac:dyDescent="0.25">
      <c r="A14" s="7">
        <v>0.70305394153636114</v>
      </c>
      <c r="D14" s="8"/>
      <c r="F14" s="8"/>
    </row>
    <row r="15" spans="1:8" x14ac:dyDescent="0.25">
      <c r="A15" s="8"/>
      <c r="D15" s="8"/>
      <c r="F15" s="8"/>
    </row>
    <row r="16" spans="1:8" ht="43.2" x14ac:dyDescent="0.35">
      <c r="A16" s="9" t="s">
        <v>5</v>
      </c>
      <c r="B16" s="10">
        <f t="array" ref="B16">MMULT(TRANSPOSE(A11:A14),F3:F6)</f>
        <v>7.2598686635280102E-2</v>
      </c>
      <c r="C16" s="13" t="str">
        <f ca="1">[1]!getformula(B16)</f>
        <v>&lt;--  {=MMULT(TRANSPOSE(A11:A14),F3:F6)}</v>
      </c>
      <c r="D16" s="8"/>
      <c r="F16" s="8"/>
    </row>
    <row r="17" spans="1:6" ht="43.2" x14ac:dyDescent="0.35">
      <c r="A17" s="9" t="s">
        <v>6</v>
      </c>
      <c r="B17" s="10">
        <f t="array" ref="B17">SQRT(MMULT(MMULT(TRANSPOSE(A11:A14),A3:D6),A11:A14))</f>
        <v>0.21213701193842574</v>
      </c>
      <c r="C17" s="13" t="str">
        <f ca="1">[1]!getformula(B17)</f>
        <v>&lt;--  {=SQRT(MMULT(MMULT(TRANSPOSE(A11:A14),A3:D6),A11:A14))}</v>
      </c>
      <c r="D17" s="8"/>
      <c r="F17" s="8"/>
    </row>
    <row r="18" spans="1:6" x14ac:dyDescent="0.25">
      <c r="A18" s="8"/>
      <c r="D18" s="8"/>
      <c r="F18" s="8"/>
    </row>
    <row r="19" spans="1:6" x14ac:dyDescent="0.25">
      <c r="A19" s="11" t="s">
        <v>7</v>
      </c>
    </row>
    <row r="20" spans="1:6" ht="15.6" x14ac:dyDescent="0.35">
      <c r="A20" s="5" t="s">
        <v>3</v>
      </c>
      <c r="B20" s="7" t="s">
        <v>8</v>
      </c>
      <c r="C20" s="7" t="s">
        <v>9</v>
      </c>
    </row>
    <row r="21" spans="1:6" x14ac:dyDescent="0.25">
      <c r="A21" s="5"/>
      <c r="B21" s="12">
        <f>B17</f>
        <v>0.21213701193842574</v>
      </c>
      <c r="C21" s="12">
        <f>B16</f>
        <v>7.2598686635280102E-2</v>
      </c>
      <c r="D21" s="8" t="str">
        <f>"&lt;-- Data table header refers to cells "&amp;CHAR(COLUMN(B17)+64)&amp;ROW(B17)&amp;" and "&amp;CHAR(COLUMN(B16)+64)&amp;ROW(B16)</f>
        <v>&lt;-- Data table header refers to cells B17 and B16</v>
      </c>
    </row>
    <row r="22" spans="1:6" x14ac:dyDescent="0.25">
      <c r="A22" s="5">
        <v>-0.08</v>
      </c>
      <c r="B22" s="10">
        <f t="dataTable" ref="B22:C47" dt2D="0" dtr="0" r1="B8"/>
        <v>0.19037246391049767</v>
      </c>
      <c r="C22" s="10">
        <v>6.867923343990899E-2</v>
      </c>
    </row>
    <row r="23" spans="1:6" x14ac:dyDescent="0.25">
      <c r="A23" s="5">
        <f>A22+2*$B$56</f>
        <v>-7.0000000000000007E-2</v>
      </c>
      <c r="B23" s="10">
        <v>0.19042496655394492</v>
      </c>
      <c r="C23" s="10">
        <v>6.8718810620743795E-2</v>
      </c>
    </row>
    <row r="24" spans="1:6" x14ac:dyDescent="0.25">
      <c r="A24" s="5">
        <f t="shared" ref="A24:A47" si="0">A23+$B$56</f>
        <v>-6.5000000000000002E-2</v>
      </c>
      <c r="B24" s="10">
        <v>0.19045575687438748</v>
      </c>
      <c r="C24" s="10">
        <v>6.8740828785147007E-2</v>
      </c>
    </row>
    <row r="25" spans="1:6" x14ac:dyDescent="0.25">
      <c r="A25" s="5">
        <f t="shared" si="0"/>
        <v>-6.0000000000000005E-2</v>
      </c>
      <c r="B25" s="10">
        <v>0.19049021569549196</v>
      </c>
      <c r="C25" s="10">
        <v>6.8764565339254707E-2</v>
      </c>
    </row>
    <row r="26" spans="1:6" x14ac:dyDescent="0.25">
      <c r="A26" s="5">
        <f t="shared" si="0"/>
        <v>-5.5000000000000007E-2</v>
      </c>
      <c r="B26" s="10">
        <v>0.19052894953131436</v>
      </c>
      <c r="C26" s="10">
        <v>6.8790229617210263E-2</v>
      </c>
    </row>
    <row r="27" spans="1:6" x14ac:dyDescent="0.25">
      <c r="A27" s="5">
        <f t="shared" si="0"/>
        <v>-5.000000000000001E-2</v>
      </c>
      <c r="B27" s="10">
        <v>0.19057269555888157</v>
      </c>
      <c r="C27" s="10">
        <v>6.8818066393711574E-2</v>
      </c>
    </row>
    <row r="28" spans="1:6" x14ac:dyDescent="0.25">
      <c r="A28" s="5">
        <f t="shared" si="0"/>
        <v>-4.5000000000000012E-2</v>
      </c>
      <c r="B28" s="10">
        <v>0.19062235689305412</v>
      </c>
      <c r="C28" s="10">
        <v>6.8848363715655669E-2</v>
      </c>
    </row>
    <row r="29" spans="1:6" x14ac:dyDescent="0.25">
      <c r="A29" s="5">
        <f t="shared" si="0"/>
        <v>-4.0000000000000015E-2</v>
      </c>
      <c r="B29" s="10">
        <v>0.19067904948613851</v>
      </c>
      <c r="C29" s="10">
        <v>6.8881462906573432E-2</v>
      </c>
    </row>
    <row r="30" spans="1:6" x14ac:dyDescent="0.25">
      <c r="A30" s="5">
        <f t="shared" si="0"/>
        <v>-3.5000000000000017E-2</v>
      </c>
      <c r="B30" s="10">
        <v>0.19074416524284549</v>
      </c>
      <c r="C30" s="10">
        <v>6.891777148123239E-2</v>
      </c>
    </row>
    <row r="31" spans="1:6" x14ac:dyDescent="0.25">
      <c r="A31" s="5">
        <f t="shared" si="0"/>
        <v>-3.0000000000000016E-2</v>
      </c>
      <c r="B31" s="10">
        <v>0.19081945808451395</v>
      </c>
      <c r="C31" s="10">
        <v>6.8957780008349845E-2</v>
      </c>
    </row>
    <row r="32" spans="1:6" x14ac:dyDescent="0.25">
      <c r="A32" s="5">
        <f t="shared" si="0"/>
        <v>-2.5000000000000015E-2</v>
      </c>
      <c r="B32" s="10">
        <v>0.19090716301137378</v>
      </c>
      <c r="C32" s="10">
        <v>6.9002084405148947E-2</v>
      </c>
    </row>
    <row r="33" spans="1:3" x14ac:dyDescent="0.25">
      <c r="A33" s="5">
        <f t="shared" si="0"/>
        <v>-2.0000000000000014E-2</v>
      </c>
      <c r="B33" s="10">
        <v>0.19101016344226898</v>
      </c>
      <c r="C33" s="10">
        <v>6.9051415820901824E-2</v>
      </c>
    </row>
    <row r="34" spans="1:3" x14ac:dyDescent="0.25">
      <c r="A34" s="5">
        <f t="shared" si="0"/>
        <v>-1.5000000000000013E-2</v>
      </c>
      <c r="B34" s="10">
        <v>0.1911322305486983</v>
      </c>
      <c r="C34" s="10">
        <v>6.9106681304531556E-2</v>
      </c>
    </row>
    <row r="35" spans="1:3" x14ac:dyDescent="0.25">
      <c r="A35" s="5">
        <f t="shared" si="0"/>
        <v>-1.0000000000000012E-2</v>
      </c>
      <c r="B35" s="10">
        <v>0.19127837224479141</v>
      </c>
      <c r="C35" s="10">
        <v>6.9169020087066019E-2</v>
      </c>
    </row>
    <row r="36" spans="1:3" x14ac:dyDescent="0.25">
      <c r="A36" s="5">
        <f t="shared" si="0"/>
        <v>-5.0000000000000122E-3</v>
      </c>
      <c r="B36" s="10">
        <v>0.19145535317033865</v>
      </c>
      <c r="C36" s="10">
        <v>6.9239882951947135E-2</v>
      </c>
    </row>
    <row r="37" spans="1:3" x14ac:dyDescent="0.25">
      <c r="A37" s="5">
        <f t="shared" si="0"/>
        <v>-1.214306433183765E-17</v>
      </c>
      <c r="B37" s="10">
        <v>0.19167248842463092</v>
      </c>
      <c r="C37" s="10">
        <v>6.9321146553532956E-2</v>
      </c>
    </row>
    <row r="38" spans="1:3" x14ac:dyDescent="0.25">
      <c r="A38" s="5">
        <f t="shared" si="0"/>
        <v>4.999999999999988E-3</v>
      </c>
      <c r="B38" s="10">
        <v>0.1919428887558299</v>
      </c>
      <c r="C38" s="10">
        <v>6.941528205869317E-2</v>
      </c>
    </row>
    <row r="39" spans="1:3" x14ac:dyDescent="0.25">
      <c r="A39" s="5">
        <f t="shared" si="0"/>
        <v>9.9999999999999881E-3</v>
      </c>
      <c r="B39" s="10">
        <v>0.19228547578015362</v>
      </c>
      <c r="C39" s="10">
        <v>6.9525610817932723E-2</v>
      </c>
    </row>
    <row r="40" spans="1:3" x14ac:dyDescent="0.25">
      <c r="A40" s="5">
        <f t="shared" si="0"/>
        <v>1.4999999999999989E-2</v>
      </c>
      <c r="B40" s="10">
        <v>0.19272836232046492</v>
      </c>
      <c r="C40" s="10">
        <v>6.9656704395004043E-2</v>
      </c>
    </row>
    <row r="41" spans="1:3" x14ac:dyDescent="0.25">
      <c r="A41" s="5">
        <f t="shared" si="0"/>
        <v>1.999999999999999E-2</v>
      </c>
      <c r="B41" s="10">
        <v>0.19331476352231997</v>
      </c>
      <c r="C41" s="10">
        <v>6.9815033926544798E-2</v>
      </c>
    </row>
    <row r="42" spans="1:3" x14ac:dyDescent="0.25">
      <c r="A42" s="5">
        <f t="shared" si="0"/>
        <v>2.4999999999999991E-2</v>
      </c>
      <c r="B42" s="10">
        <v>0.19411385221720437</v>
      </c>
      <c r="C42" s="10">
        <v>7.0010071131153068E-2</v>
      </c>
    </row>
    <row r="43" spans="1:3" x14ac:dyDescent="0.25">
      <c r="A43" s="5">
        <f t="shared" si="0"/>
        <v>2.9999999999999992E-2</v>
      </c>
      <c r="B43" s="10">
        <v>0.1952418948116891</v>
      </c>
      <c r="C43" s="10">
        <v>7.0256255514865557E-2</v>
      </c>
    </row>
    <row r="44" spans="1:3" x14ac:dyDescent="0.25">
      <c r="A44" s="5">
        <f t="shared" si="0"/>
        <v>3.4999999999999989E-2</v>
      </c>
      <c r="B44" s="10">
        <v>0.196906438173333</v>
      </c>
      <c r="C44" s="10">
        <v>7.0576742791043978E-2</v>
      </c>
    </row>
    <row r="45" spans="1:3" x14ac:dyDescent="0.25">
      <c r="A45" s="5">
        <f t="shared" si="0"/>
        <v>3.9999999999999987E-2</v>
      </c>
      <c r="B45" s="10">
        <v>0.19950723629490036</v>
      </c>
      <c r="C45" s="10">
        <v>7.1011150542654236E-2</v>
      </c>
    </row>
    <row r="46" spans="1:3" x14ac:dyDescent="0.25">
      <c r="A46" s="5">
        <f t="shared" si="0"/>
        <v>4.4999999999999984E-2</v>
      </c>
      <c r="B46" s="10">
        <v>0.20389445191285205</v>
      </c>
      <c r="C46" s="10">
        <v>7.1633349034385299E-2</v>
      </c>
    </row>
    <row r="47" spans="1:3" x14ac:dyDescent="0.25">
      <c r="A47" s="14">
        <f t="shared" si="0"/>
        <v>4.9999999999999982E-2</v>
      </c>
      <c r="B47" s="15">
        <v>0.21213701193842571</v>
      </c>
      <c r="C47" s="15">
        <v>7.2598686635280102E-2</v>
      </c>
    </row>
    <row r="56" spans="1:2" x14ac:dyDescent="0.25">
      <c r="A56" s="1" t="s">
        <v>10</v>
      </c>
      <c r="B56" s="1">
        <v>5.0000000000000001E-3</v>
      </c>
    </row>
  </sheetData>
  <mergeCells count="2">
    <mergeCell ref="A1:H1"/>
    <mergeCell ref="A2:D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2024-10-29T11:03:33Z</dcterms:modified>
</cp:coreProperties>
</file>