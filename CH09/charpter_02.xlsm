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"/>
    </mc:Choice>
  </mc:AlternateContent>
  <xr:revisionPtr revIDLastSave="0" documentId="13_ncr:1_{D3E84F5D-792B-41B2-97A9-4DD8D512C22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A27" i="1"/>
  <c r="C6" i="1"/>
  <c r="B6" i="1"/>
  <c r="A6" i="1"/>
  <c r="B5" i="1"/>
  <c r="A5" i="1"/>
  <c r="A4" i="1"/>
  <c r="A29" i="1" s="1" a="1"/>
  <c r="C42" i="1"/>
  <c r="C41" i="1"/>
  <c r="C38" i="1"/>
  <c r="C37" i="1"/>
  <c r="G33" i="1"/>
  <c r="G29" i="1"/>
  <c r="B18" i="1"/>
  <c r="G22" i="1"/>
  <c r="G18" i="1"/>
  <c r="G14" i="1"/>
  <c r="G10" i="1"/>
  <c r="B10" i="1"/>
  <c r="A31" i="1" l="1"/>
  <c r="A30" i="1"/>
  <c r="A29" i="1"/>
  <c r="F29" i="1" s="1" a="1"/>
  <c r="A32" i="1"/>
  <c r="A10" i="1" a="1"/>
  <c r="A18" i="1" a="1"/>
  <c r="A19" i="1" l="1"/>
  <c r="F19" i="1" s="1"/>
  <c r="A18" i="1"/>
  <c r="A21" i="1"/>
  <c r="A20" i="1"/>
  <c r="F20" i="1" s="1"/>
  <c r="A10" i="1"/>
  <c r="F10" i="1" s="1"/>
  <c r="A13" i="1"/>
  <c r="F13" i="1" s="1"/>
  <c r="A11" i="1"/>
  <c r="F11" i="1" s="1"/>
  <c r="A12" i="1"/>
  <c r="F32" i="1"/>
  <c r="F31" i="1"/>
  <c r="F30" i="1"/>
  <c r="F29" i="1"/>
  <c r="F33" i="1" l="1"/>
  <c r="F12" i="1"/>
  <c r="F14" i="1"/>
  <c r="F21" i="1"/>
  <c r="F18" i="1"/>
  <c r="F22" i="1" s="1"/>
  <c r="B37" i="1" l="1"/>
  <c r="B38" i="1" l="1"/>
  <c r="B42" i="1"/>
  <c r="B41" i="1"/>
  <c r="B44" i="1"/>
  <c r="B43" i="1"/>
</calcChain>
</file>

<file path=xl/sharedStrings.xml><?xml version="1.0" encoding="utf-8"?>
<sst xmlns="http://schemas.openxmlformats.org/spreadsheetml/2006/main" count="20" uniqueCount="16">
  <si>
    <r>
      <t xml:space="preserve">CALCULATING THE ENVELOPE
All constants </t>
    </r>
    <r>
      <rPr>
        <b/>
        <i/>
        <sz val="14"/>
        <rFont val="Arial"/>
        <family val="2"/>
      </rPr>
      <t>c</t>
    </r>
    <r>
      <rPr>
        <b/>
        <sz val="14"/>
        <rFont val="Arial"/>
        <family val="2"/>
      </rPr>
      <t xml:space="preserve"> lead to the same envelope</t>
    </r>
  </si>
  <si>
    <t>Variance-covariance matrix</t>
  </si>
  <si>
    <t>Expected returns</t>
  </si>
  <si>
    <t>Computing an envelope portfolio with constant = -0.03</t>
  </si>
  <si>
    <t>z</t>
  </si>
  <si>
    <t>Envelope portfolio x</t>
  </si>
  <si>
    <t>Sum</t>
  </si>
  <si>
    <t>Computing an envelope portfolio with constant = 0.08</t>
  </si>
  <si>
    <t>Envelope portfolio y</t>
  </si>
  <si>
    <t>Additional calculation:  Fix another constant, and show that the resulting
portfolio is a combination of the two above portfolios</t>
  </si>
  <si>
    <t>Constant</t>
  </si>
  <si>
    <t>Envelope portfolio
w</t>
  </si>
  <si>
    <t>Proportions of x and y which determine w</t>
  </si>
  <si>
    <t>Proportion of x</t>
  </si>
  <si>
    <t>Proportion of y</t>
  </si>
  <si>
    <t>Check:  Multiply the above proportions times portfolios x and y to get 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</si>
</sst>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i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>
      <alignment horizontal="center" wrapText="1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76" fontId="0" fillId="0" borderId="0" xfId="0" applyNumberFormat="1" applyAlignment="1"/>
    <xf numFmtId="0" fontId="4" fillId="0" borderId="0" xfId="0" applyFont="1" applyAlignment="1">
      <alignment horizontal="left" wrapText="1"/>
    </xf>
    <xf numFmtId="176" fontId="0" fillId="0" borderId="1" xfId="0" applyNumberFormat="1" applyBorder="1" applyAlignment="1"/>
    <xf numFmtId="176" fontId="0" fillId="0" borderId="2" xfId="0" applyNumberFormat="1" applyBorder="1" applyAlignment="1"/>
    <xf numFmtId="176" fontId="0" fillId="0" borderId="3" xfId="0" applyNumberFormat="1" applyBorder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</xdr:colOff>
      <xdr:row>31</xdr:row>
      <xdr:rowOff>106680</xdr:rowOff>
    </xdr:from>
    <xdr:to>
      <xdr:col>5</xdr:col>
      <xdr:colOff>0</xdr:colOff>
      <xdr:row>40</xdr:row>
      <xdr:rowOff>38100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879A3B4-6484-4CA7-8BC9-5227C7D7A192}"/>
            </a:ext>
          </a:extLst>
        </xdr:cNvPr>
        <xdr:cNvSpPr>
          <a:spLocks noChangeShapeType="1"/>
        </xdr:cNvSpPr>
      </xdr:nvSpPr>
      <xdr:spPr bwMode="auto">
        <a:xfrm flipV="1">
          <a:off x="1676400" y="7286625"/>
          <a:ext cx="2047875" cy="1476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561975</xdr:colOff>
      <xdr:row>0</xdr:row>
      <xdr:rowOff>200025</xdr:rowOff>
    </xdr:from>
    <xdr:to>
      <xdr:col>18</xdr:col>
      <xdr:colOff>91441</xdr:colOff>
      <xdr:row>49</xdr:row>
      <xdr:rowOff>38100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900C72F-D81B-8235-C020-A7B341CA2D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781800" y="200025"/>
          <a:ext cx="6229350" cy="9448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68-70"/>
      <sheetName val="Pages 268-70中文"/>
      <sheetName val="Page 273"/>
      <sheetName val="Page 273中文"/>
      <sheetName val="Page 274"/>
      <sheetName val="Page 274中文"/>
      <sheetName val="Page 276"/>
      <sheetName val="Page 276中文"/>
      <sheetName val="Page 277"/>
      <sheetName val="Page 277中文"/>
      <sheetName val="Page 278"/>
      <sheetName val="Page 278中文"/>
      <sheetName val="Data for CML chart, p. 278"/>
      <sheetName val="Data for CML chart, p. 278中文"/>
      <sheetName val="Page 279"/>
      <sheetName val="Page 279中文"/>
      <sheetName val="Pages 280-81"/>
      <sheetName val="Pages 280-81中文"/>
      <sheetName val="Page 282"/>
      <sheetName val="Page 282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44"/>
  <sheetViews>
    <sheetView tabSelected="1" zoomScale="160" zoomScaleNormal="160" workbookViewId="0">
      <selection activeCell="G38" sqref="G38"/>
    </sheetView>
  </sheetViews>
  <sheetFormatPr defaultRowHeight="13.8" x14ac:dyDescent="0.25"/>
  <cols>
    <col min="1" max="1" width="15.33203125" style="4" customWidth="1"/>
    <col min="2" max="2" width="9.109375" style="4" bestFit="1" customWidth="1"/>
    <col min="3" max="4" width="8.88671875" style="4"/>
    <col min="5" max="5" width="12.33203125" style="4" customWidth="1"/>
    <col min="6" max="6" width="9.44140625" style="4" customWidth="1"/>
    <col min="7" max="7" width="27" style="4" bestFit="1" customWidth="1"/>
  </cols>
  <sheetData>
    <row r="1" spans="1:7" ht="17.399999999999999" x14ac:dyDescent="0.25">
      <c r="A1" s="1" t="s">
        <v>0</v>
      </c>
      <c r="B1" s="2"/>
      <c r="C1" s="2"/>
      <c r="D1" s="2"/>
      <c r="E1" s="2"/>
      <c r="F1" s="2"/>
      <c r="G1" s="2"/>
    </row>
    <row r="2" spans="1:7" ht="26.4" x14ac:dyDescent="0.25">
      <c r="A2" s="3" t="s">
        <v>1</v>
      </c>
      <c r="B2" s="3"/>
      <c r="C2" s="3"/>
      <c r="D2" s="3"/>
      <c r="F2" s="5" t="s">
        <v>2</v>
      </c>
      <c r="G2" s="5"/>
    </row>
    <row r="3" spans="1:7" x14ac:dyDescent="0.25">
      <c r="A3" s="6">
        <v>0.4</v>
      </c>
      <c r="B3" s="6">
        <v>0.03</v>
      </c>
      <c r="C3" s="6">
        <v>0.02</v>
      </c>
      <c r="D3" s="6">
        <v>0</v>
      </c>
      <c r="E3" s="7"/>
      <c r="F3" s="8">
        <v>0.06</v>
      </c>
      <c r="G3" s="8"/>
    </row>
    <row r="4" spans="1:7" x14ac:dyDescent="0.25">
      <c r="A4" s="6">
        <f>B3</f>
        <v>0.03</v>
      </c>
      <c r="B4" s="6">
        <v>0.2</v>
      </c>
      <c r="C4" s="6">
        <v>1E-3</v>
      </c>
      <c r="D4" s="6">
        <v>-0.06</v>
      </c>
      <c r="E4" s="7"/>
      <c r="F4" s="8">
        <v>0.05</v>
      </c>
      <c r="G4" s="8"/>
    </row>
    <row r="5" spans="1:7" x14ac:dyDescent="0.25">
      <c r="A5" s="6">
        <f>C3</f>
        <v>0.02</v>
      </c>
      <c r="B5" s="6">
        <f>C4</f>
        <v>1E-3</v>
      </c>
      <c r="C5" s="6">
        <v>0.3</v>
      </c>
      <c r="D5" s="6">
        <v>0.03</v>
      </c>
      <c r="E5" s="7"/>
      <c r="F5" s="8">
        <v>7.0000000000000007E-2</v>
      </c>
      <c r="G5" s="8"/>
    </row>
    <row r="6" spans="1:7" x14ac:dyDescent="0.25">
      <c r="A6" s="6">
        <f>D3</f>
        <v>0</v>
      </c>
      <c r="B6" s="6">
        <f>D4</f>
        <v>-0.06</v>
      </c>
      <c r="C6" s="6">
        <f>D5</f>
        <v>0.03</v>
      </c>
      <c r="D6" s="6">
        <v>0.1</v>
      </c>
      <c r="E6" s="7"/>
      <c r="F6" s="8">
        <v>0.08</v>
      </c>
      <c r="G6" s="8"/>
    </row>
    <row r="8" spans="1:7" x14ac:dyDescent="0.25">
      <c r="A8" s="9" t="s">
        <v>3</v>
      </c>
    </row>
    <row r="9" spans="1:7" ht="39.6" x14ac:dyDescent="0.25">
      <c r="A9" s="10" t="s">
        <v>4</v>
      </c>
      <c r="B9" s="10"/>
      <c r="C9" s="10"/>
      <c r="D9" s="10"/>
      <c r="E9" s="10"/>
      <c r="F9" s="11" t="s">
        <v>5</v>
      </c>
      <c r="G9" s="10"/>
    </row>
    <row r="10" spans="1:7" x14ac:dyDescent="0.25">
      <c r="A10" s="12">
        <f t="array" ref="A10:A13">MMULT(MINVERSE(A3:D6),F3:F6-0.03)</f>
        <v>5.0193932566186525E-2</v>
      </c>
      <c r="B10" s="4" t="str">
        <f ca="1">[2]!getformula(A10)</f>
        <v>&lt;--  {=MMULT(MINVERSE(A3:D6),F3:F6-0.03)}</v>
      </c>
      <c r="D10" s="12"/>
      <c r="F10" s="12">
        <f>A10/SUM($A$10:$A$13)</f>
        <v>4.7529568823236272E-2</v>
      </c>
      <c r="G10" s="4" t="str">
        <f ca="1">[2]!getformula(F10)</f>
        <v>&lt;--  =A10/SUM($A$10:$A$13)</v>
      </c>
    </row>
    <row r="11" spans="1:7" x14ac:dyDescent="0.25">
      <c r="A11" s="12">
        <v>0.28832381105657034</v>
      </c>
      <c r="D11" s="12"/>
      <c r="F11" s="12">
        <f>A11/SUM($A$10:$A$13)</f>
        <v>0.27301918220734828</v>
      </c>
    </row>
    <row r="12" spans="1:7" x14ac:dyDescent="0.25">
      <c r="A12" s="12">
        <v>6.3635632091413888E-2</v>
      </c>
      <c r="D12" s="12"/>
      <c r="F12" s="12">
        <f>A12/SUM($A$10:$A$13)</f>
        <v>6.0257764244926355E-2</v>
      </c>
    </row>
    <row r="13" spans="1:7" x14ac:dyDescent="0.25">
      <c r="A13" s="12">
        <v>0.6539035970065179</v>
      </c>
      <c r="D13" s="12"/>
      <c r="F13" s="12">
        <f>A13/SUM($A$10:$A$13)</f>
        <v>0.61919348472448899</v>
      </c>
    </row>
    <row r="14" spans="1:7" x14ac:dyDescent="0.25">
      <c r="A14" s="12"/>
      <c r="D14" s="12"/>
      <c r="E14" s="4" t="s">
        <v>6</v>
      </c>
      <c r="F14" s="12">
        <f>SUM(F10:F13)</f>
        <v>0.99999999999999989</v>
      </c>
      <c r="G14" s="4" t="str">
        <f ca="1">[2]!getformula(F14)</f>
        <v>&lt;--  =SUM(F10:F13)</v>
      </c>
    </row>
    <row r="15" spans="1:7" x14ac:dyDescent="0.25">
      <c r="A15" s="12"/>
      <c r="D15" s="12"/>
      <c r="F15" s="12"/>
    </row>
    <row r="16" spans="1:7" x14ac:dyDescent="0.25">
      <c r="A16" s="9" t="s">
        <v>7</v>
      </c>
      <c r="B16" s="12"/>
      <c r="C16" s="12"/>
      <c r="D16" s="12"/>
      <c r="E16" s="12"/>
      <c r="F16" s="12"/>
    </row>
    <row r="17" spans="1:7" ht="39.6" x14ac:dyDescent="0.25">
      <c r="A17" s="10" t="s">
        <v>4</v>
      </c>
      <c r="C17" s="12"/>
      <c r="D17" s="12"/>
      <c r="E17" s="12"/>
      <c r="F17" s="11" t="s">
        <v>8</v>
      </c>
    </row>
    <row r="18" spans="1:7" x14ac:dyDescent="0.25">
      <c r="A18" s="12">
        <f t="array" ref="A18:A21">MMULT(MINVERSE(A3:D6),F3:F6-0.08)</f>
        <v>-3.5925002011748614E-2</v>
      </c>
      <c r="B18" s="4" t="str">
        <f ca="1">[2]!getformula(A18)</f>
        <v>&lt;--  {=MMULT(MINVERSE(A3:D6),F3:F6-0.08)}</v>
      </c>
      <c r="C18" s="12"/>
      <c r="D18" s="12"/>
      <c r="E18" s="12"/>
      <c r="F18" s="12">
        <f>A18/SUM($A$18:$A$21)</f>
        <v>0.10930690354236246</v>
      </c>
      <c r="G18" s="4" t="str">
        <f ca="1">[2]!getformula(F18)</f>
        <v>&lt;--  =A18/SUM($A$18:$A$21)</v>
      </c>
    </row>
    <row r="19" spans="1:7" x14ac:dyDescent="0.25">
      <c r="A19" s="12">
        <v>-0.17397601995654621</v>
      </c>
      <c r="C19" s="12"/>
      <c r="D19" s="12"/>
      <c r="E19" s="12"/>
      <c r="F19" s="12">
        <f>A19/SUM($A$18:$A$21)</f>
        <v>0.52934666575259293</v>
      </c>
    </row>
    <row r="20" spans="1:7" x14ac:dyDescent="0.25">
      <c r="A20" s="12">
        <v>-2.0535929830208403E-2</v>
      </c>
      <c r="C20" s="12"/>
      <c r="D20" s="12"/>
      <c r="E20" s="12"/>
      <c r="F20" s="12">
        <f>A20/SUM($A$18:$A$21)</f>
        <v>6.2483473219269954E-2</v>
      </c>
    </row>
    <row r="21" spans="1:7" x14ac:dyDescent="0.25">
      <c r="A21" s="12">
        <v>-9.8224833024865177E-2</v>
      </c>
      <c r="C21" s="12"/>
      <c r="D21" s="12"/>
      <c r="E21" s="12"/>
      <c r="F21" s="12">
        <f>A21/SUM($A$18:$A$21)</f>
        <v>0.29886295748577468</v>
      </c>
    </row>
    <row r="22" spans="1:7" x14ac:dyDescent="0.25">
      <c r="B22" s="12"/>
      <c r="C22" s="12"/>
      <c r="D22" s="12"/>
      <c r="E22" s="12" t="s">
        <v>6</v>
      </c>
      <c r="F22" s="12">
        <f>SUM(F18:F21)</f>
        <v>1</v>
      </c>
      <c r="G22" s="4" t="str">
        <f ca="1">[2]!getformula(F22)</f>
        <v>&lt;--  =SUM(F18:F21)</v>
      </c>
    </row>
    <row r="24" spans="1:7" x14ac:dyDescent="0.25">
      <c r="A24" s="13" t="s">
        <v>9</v>
      </c>
      <c r="B24" s="13"/>
      <c r="C24" s="13"/>
      <c r="D24" s="13"/>
      <c r="E24" s="13"/>
      <c r="F24" s="13"/>
      <c r="G24" s="13"/>
    </row>
    <row r="25" spans="1:7" x14ac:dyDescent="0.25">
      <c r="A25" s="4" t="s">
        <v>10</v>
      </c>
      <c r="B25" s="4">
        <v>0.01</v>
      </c>
    </row>
    <row r="27" spans="1:7" x14ac:dyDescent="0.25">
      <c r="A27" s="9" t="str">
        <f>"Computing an envelope portfolio with constant = "&amp;TEXT(B25,"0.00")</f>
        <v>Computing an envelope portfolio with constant = 0.01</v>
      </c>
      <c r="B27" s="12"/>
      <c r="C27" s="12"/>
      <c r="D27" s="12"/>
      <c r="E27" s="12"/>
      <c r="F27" s="12"/>
    </row>
    <row r="28" spans="1:7" ht="39.6" x14ac:dyDescent="0.25">
      <c r="A28" s="10" t="s">
        <v>4</v>
      </c>
      <c r="C28" s="12"/>
      <c r="D28" s="12"/>
      <c r="E28" s="12"/>
      <c r="F28" s="11" t="s">
        <v>11</v>
      </c>
    </row>
    <row r="29" spans="1:7" x14ac:dyDescent="0.25">
      <c r="A29" s="12">
        <f t="array" ref="A29:A32">MMULT(MINVERSE(A3:D6),F3:F6-B25)</f>
        <v>8.4641506397360566E-2</v>
      </c>
      <c r="B29" s="4" t="e">
        <f ca="1">getformulaa(A29)</f>
        <v>#NAME?</v>
      </c>
      <c r="C29" s="12"/>
      <c r="D29" s="12"/>
      <c r="E29" s="12"/>
      <c r="F29" s="14">
        <f t="array" ref="F29:F32">A29:A32/SUM(A29:A32)</f>
        <v>5.2574177353877025E-2</v>
      </c>
      <c r="G29" s="4" t="str">
        <f ca="1">[2]!getformula(F29)</f>
        <v>&lt;--  {=A29:A32/SUM(A29:A32)}</v>
      </c>
    </row>
    <row r="30" spans="1:7" x14ac:dyDescent="0.25">
      <c r="A30" s="12">
        <v>0.47324374346181697</v>
      </c>
      <c r="C30" s="12"/>
      <c r="D30" s="12"/>
      <c r="E30" s="12"/>
      <c r="F30" s="15">
        <v>0.29395035083106824</v>
      </c>
    </row>
    <row r="31" spans="1:7" x14ac:dyDescent="0.25">
      <c r="A31" s="12">
        <v>9.7304256860062804E-2</v>
      </c>
      <c r="C31" s="12"/>
      <c r="D31" s="12"/>
      <c r="E31" s="12"/>
      <c r="F31" s="15">
        <v>6.0439511005769067E-2</v>
      </c>
    </row>
    <row r="32" spans="1:7" x14ac:dyDescent="0.25">
      <c r="A32" s="12">
        <v>0.95475496901907131</v>
      </c>
      <c r="C32" s="12"/>
      <c r="D32" s="12"/>
      <c r="E32" s="12"/>
      <c r="F32" s="16">
        <v>0.59303596080928567</v>
      </c>
    </row>
    <row r="33" spans="1:7" x14ac:dyDescent="0.25">
      <c r="B33" s="12"/>
      <c r="C33" s="12"/>
      <c r="D33" s="12"/>
      <c r="E33" s="12" t="s">
        <v>6</v>
      </c>
      <c r="F33" s="12">
        <f>SUM(F29:F32)</f>
        <v>1</v>
      </c>
      <c r="G33" s="4" t="str">
        <f ca="1">[2]!getformula(F33)</f>
        <v>&lt;--  =SUM(F29:F32)</v>
      </c>
    </row>
    <row r="36" spans="1:7" x14ac:dyDescent="0.25">
      <c r="A36" s="9" t="s">
        <v>12</v>
      </c>
    </row>
    <row r="37" spans="1:7" x14ac:dyDescent="0.25">
      <c r="A37" s="4" t="s">
        <v>13</v>
      </c>
      <c r="B37" s="12">
        <f>(F29-F18)/(F10-F18)</f>
        <v>0.91834208203419065</v>
      </c>
      <c r="C37" s="4" t="str">
        <f ca="1">[2]!getformula(B37)</f>
        <v>&lt;--  =(F29-F18)/(F10-F18)</v>
      </c>
    </row>
    <row r="38" spans="1:7" x14ac:dyDescent="0.25">
      <c r="A38" s="4" t="s">
        <v>14</v>
      </c>
      <c r="B38" s="12">
        <f>1-B37</f>
        <v>8.1657917965809346E-2</v>
      </c>
      <c r="C38" s="4" t="str">
        <f ca="1">[2]!getformula(B38)</f>
        <v>&lt;--  =1-B37</v>
      </c>
    </row>
    <row r="40" spans="1:7" x14ac:dyDescent="0.25">
      <c r="A40" s="9" t="s">
        <v>15</v>
      </c>
    </row>
    <row r="41" spans="1:7" x14ac:dyDescent="0.25">
      <c r="B41" s="14">
        <f>$B$37*F10+$B$38*F18</f>
        <v>5.2574177353877025E-2</v>
      </c>
      <c r="C41" s="4" t="str">
        <f ca="1">[2]!getformula(B41)</f>
        <v>&lt;--  =$B$37*F10+$B$38*F18</v>
      </c>
    </row>
    <row r="42" spans="1:7" x14ac:dyDescent="0.25">
      <c r="B42" s="15">
        <f>$B$37*F11+$B$38*F19</f>
        <v>0.29395035083106824</v>
      </c>
      <c r="C42" s="4" t="str">
        <f ca="1">[2]!getformula(B42)</f>
        <v>&lt;--  =$B$37*F11+$B$38*F19</v>
      </c>
    </row>
    <row r="43" spans="1:7" x14ac:dyDescent="0.25">
      <c r="B43" s="15">
        <f>$B$37*F12+$B$38*F20</f>
        <v>6.0439511005769067E-2</v>
      </c>
    </row>
    <row r="44" spans="1:7" x14ac:dyDescent="0.25">
      <c r="B44" s="16">
        <f>$B$37*F13+$B$38*F21</f>
        <v>0.59303596080928556</v>
      </c>
    </row>
  </sheetData>
  <mergeCells count="3">
    <mergeCell ref="A1:G1"/>
    <mergeCell ref="A2:D2"/>
    <mergeCell ref="A24:G2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2024-10-29T02:28:12Z</dcterms:modified>
</cp:coreProperties>
</file>