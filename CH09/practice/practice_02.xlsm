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practice\"/>
    </mc:Choice>
  </mc:AlternateContent>
  <xr:revisionPtr revIDLastSave="0" documentId="13_ncr:1_{B85783C6-E09D-450E-9E1C-0106FD09BB4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epsilon">Sheet1!$B$3</definedName>
    <definedName name="solver_adj" localSheetId="0" hidden="1">Sheet1!$B$3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Sheet1!$E$22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2" i="1"/>
  <c r="G12" i="1"/>
  <c r="F13" i="1" s="1"/>
  <c r="L11" i="1"/>
  <c r="G11" i="1"/>
  <c r="E13" i="1" s="1"/>
  <c r="F11" i="1"/>
  <c r="E12" i="1" s="1"/>
  <c r="L10" i="1"/>
  <c r="G10" i="1"/>
  <c r="D13" i="1" s="1"/>
  <c r="F10" i="1"/>
  <c r="D12" i="1" s="1"/>
  <c r="E10" i="1"/>
  <c r="D11" i="1" s="1"/>
  <c r="L9" i="1"/>
  <c r="G9" i="1"/>
  <c r="C13" i="1" s="1"/>
  <c r="F9" i="1"/>
  <c r="C12" i="1" s="1"/>
  <c r="E9" i="1"/>
  <c r="C11" i="1" s="1"/>
  <c r="D9" i="1"/>
  <c r="C10" i="1" s="1"/>
  <c r="L8" i="1"/>
  <c r="G8" i="1"/>
  <c r="B13" i="1" s="1"/>
  <c r="F8" i="1"/>
  <c r="B12" i="1" s="1"/>
  <c r="E8" i="1"/>
  <c r="B11" i="1" s="1"/>
  <c r="D8" i="1"/>
  <c r="B10" i="1" s="1"/>
  <c r="C8" i="1"/>
  <c r="D6" i="1"/>
  <c r="B9" i="1" l="1"/>
  <c r="B19" i="1" s="1" a="1"/>
  <c r="B19" i="1" s="1"/>
  <c r="B20" i="1" l="1"/>
  <c r="B21" i="1"/>
  <c r="B22" i="1"/>
  <c r="B23" i="1"/>
  <c r="B24" i="1"/>
  <c r="C20" i="1" l="1"/>
  <c r="C21" i="1"/>
  <c r="C24" i="1"/>
  <c r="C22" i="1"/>
  <c r="C19" i="1"/>
  <c r="C23" i="1"/>
  <c r="E22" i="1" l="1"/>
</calcChain>
</file>

<file path=xl/sharedStrings.xml><?xml version="1.0" encoding="utf-8"?>
<sst xmlns="http://schemas.openxmlformats.org/spreadsheetml/2006/main" count="41" uniqueCount="28">
  <si>
    <t>&lt;-- Use solver to find epsilon such that minimum portfolio weight = 0.</t>
  </si>
  <si>
    <t>Variance-covariance matrix</t>
  </si>
  <si>
    <t>minus</t>
  </si>
  <si>
    <t>La-Z-Boy</t>
  </si>
  <si>
    <t>Kimball</t>
  </si>
  <si>
    <t>Flexsteel</t>
  </si>
  <si>
    <t>&amp; Platt</t>
  </si>
  <si>
    <t>Miller</t>
  </si>
  <si>
    <t>Shaw</t>
  </si>
  <si>
    <t>Means</t>
  </si>
  <si>
    <t>constant</t>
  </si>
  <si>
    <t>Explanation</t>
  </si>
  <si>
    <t>raw</t>
  </si>
  <si>
    <t>normalized</t>
  </si>
  <si>
    <t>When epsilon = 1, the variance-covariance matrix is the original</t>
  </si>
  <si>
    <t>portfolio</t>
  </si>
  <si>
    <t>weights</t>
  </si>
  <si>
    <t>matrix (as in Exercise 1).  For this case the optimized portfolio</t>
  </si>
  <si>
    <t>minimum</t>
  </si>
  <si>
    <t>port. weight</t>
  </si>
  <si>
    <r>
      <t xml:space="preserve">We use </t>
    </r>
    <r>
      <rPr>
        <b/>
        <sz val="10"/>
        <rFont val="Arial"/>
        <family val="2"/>
      </rPr>
      <t>Solver</t>
    </r>
    <r>
      <rPr>
        <sz val="10"/>
        <rFont val="Arial"/>
        <family val="2"/>
      </rPr>
      <t xml:space="preserve"> to determine epsilon so that the entry in cell E22</t>
    </r>
  </si>
  <si>
    <t>is zero.  You can determine manually that when epsilon is larger</t>
  </si>
  <si>
    <t>than this, there are short-selling positions.</t>
  </si>
  <si>
    <r>
      <t xml:space="preserve">Here are the </t>
    </r>
    <r>
      <rPr>
        <b/>
        <sz val="10"/>
        <rFont val="Arial"/>
        <family val="2"/>
      </rPr>
      <t>Solver</t>
    </r>
    <r>
      <rPr>
        <sz val="11"/>
        <color theme="1"/>
        <rFont val="等线"/>
        <family val="2"/>
        <charset val="134"/>
        <scheme val="minor"/>
      </rPr>
      <t xml:space="preserve"> settings:</t>
    </r>
  </si>
  <si>
    <t>epsilon</t>
    <phoneticPr fontId="1" type="noConversion"/>
  </si>
  <si>
    <t>contains at least one short-selling position (illustrated here).</t>
    <phoneticPr fontId="1" type="noConversion"/>
  </si>
  <si>
    <r>
      <t>Epsilon</t>
    </r>
    <r>
      <rPr>
        <sz val="10"/>
        <rFont val="Arial"/>
        <family val="2"/>
      </rPr>
      <t xml:space="preserve"> "shrinks" the variance-covariance matrix towards the</t>
    </r>
    <phoneticPr fontId="1" type="noConversion"/>
  </si>
  <si>
    <t>diagonal.  (Try setting epsilon = 0 to see what this means.)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</si>
</sst>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10" fontId="0" fillId="0" borderId="0" xfId="1" applyNumberFormat="1" applyFont="1" applyAlignment="1"/>
    <xf numFmtId="10" fontId="0" fillId="0" borderId="0" xfId="0" applyNumberFormat="1" applyAlignment="1"/>
    <xf numFmtId="9" fontId="0" fillId="0" borderId="0" xfId="0" applyNumberFormat="1" applyAlignment="1"/>
    <xf numFmtId="176" fontId="3" fillId="0" borderId="0" xfId="0" applyNumberFormat="1" applyFont="1" applyAlignment="1"/>
    <xf numFmtId="0" fontId="4" fillId="0" borderId="0" xfId="0" applyFont="1" applyAlignment="1"/>
    <xf numFmtId="0" fontId="0" fillId="0" borderId="0" xfId="0" quotePrefix="1" applyAlignment="1"/>
    <xf numFmtId="176" fontId="0" fillId="2" borderId="0" xfId="0" applyNumberFormat="1" applyFill="1" applyAlignment="1"/>
    <xf numFmtId="0" fontId="5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</xdr:colOff>
      <xdr:row>29</xdr:row>
      <xdr:rowOff>53340</xdr:rowOff>
    </xdr:from>
    <xdr:to>
      <xdr:col>12</xdr:col>
      <xdr:colOff>285750</xdr:colOff>
      <xdr:row>42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1AE1F8-1A53-4F8D-ADD0-056659076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" y="5029200"/>
          <a:ext cx="3867150" cy="2286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14</xdr:col>
      <xdr:colOff>464820</xdr:colOff>
      <xdr:row>2</xdr:row>
      <xdr:rowOff>60960</xdr:rowOff>
    </xdr:from>
    <xdr:to>
      <xdr:col>28</xdr:col>
      <xdr:colOff>472440</xdr:colOff>
      <xdr:row>46</xdr:row>
      <xdr:rowOff>59055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ABD58E7-A84F-71E2-6FB7-9F1ED3949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999220" y="411480"/>
          <a:ext cx="8549640" cy="77190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67491</xdr:colOff>
      <xdr:row>25</xdr:row>
      <xdr:rowOff>21772</xdr:rowOff>
    </xdr:from>
    <xdr:to>
      <xdr:col>5</xdr:col>
      <xdr:colOff>228509</xdr:colOff>
      <xdr:row>46</xdr:row>
      <xdr:rowOff>159693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97D3948-0DA5-BAC5-2872-8D9C8C966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91" y="4376058"/>
          <a:ext cx="3209018" cy="379361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10886</xdr:colOff>
      <xdr:row>25</xdr:row>
      <xdr:rowOff>103414</xdr:rowOff>
    </xdr:from>
    <xdr:to>
      <xdr:col>1</xdr:col>
      <xdr:colOff>566057</xdr:colOff>
      <xdr:row>27</xdr:row>
      <xdr:rowOff>54428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CAF37B7B-3734-236E-9704-0703FA549EC7}"/>
            </a:ext>
          </a:extLst>
        </xdr:cNvPr>
        <xdr:cNvSpPr/>
      </xdr:nvSpPr>
      <xdr:spPr>
        <a:xfrm>
          <a:off x="620486" y="4457700"/>
          <a:ext cx="555171" cy="299357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10886</xdr:colOff>
      <xdr:row>25</xdr:row>
      <xdr:rowOff>103414</xdr:rowOff>
    </xdr:from>
    <xdr:to>
      <xdr:col>1</xdr:col>
      <xdr:colOff>562247</xdr:colOff>
      <xdr:row>27</xdr:row>
      <xdr:rowOff>60143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63DC0636-5E82-4030-AF6B-BAB406AF16AB}"/>
            </a:ext>
          </a:extLst>
        </xdr:cNvPr>
        <xdr:cNvSpPr/>
      </xdr:nvSpPr>
      <xdr:spPr>
        <a:xfrm>
          <a:off x="620486" y="4457700"/>
          <a:ext cx="551361" cy="305072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469991</xdr:colOff>
      <xdr:row>42</xdr:row>
      <xdr:rowOff>128724</xdr:rowOff>
    </xdr:from>
    <xdr:to>
      <xdr:col>4</xdr:col>
      <xdr:colOff>407942</xdr:colOff>
      <xdr:row>44</xdr:row>
      <xdr:rowOff>83548</xdr:rowOff>
    </xdr:to>
    <xdr:sp macro="" textlink="">
      <xdr:nvSpPr>
        <xdr:cNvPr id="7" name="椭圆 6">
          <a:extLst>
            <a:ext uri="{FF2B5EF4-FFF2-40B4-BE49-F238E27FC236}">
              <a16:creationId xmlns:a16="http://schemas.microsoft.com/office/drawing/2014/main" id="{5D4A21D1-A082-217E-B976-8D0E4C78F7E1}"/>
            </a:ext>
          </a:extLst>
        </xdr:cNvPr>
        <xdr:cNvSpPr/>
      </xdr:nvSpPr>
      <xdr:spPr>
        <a:xfrm>
          <a:off x="2298791" y="7443924"/>
          <a:ext cx="547551" cy="303167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（中文）"/>
      <sheetName val="Exercise 2"/>
      <sheetName val="Exercise 2（中文）"/>
      <sheetName val="Exercise 3"/>
      <sheetName val="Exercise 3（中文）"/>
      <sheetName val="Exercise 4"/>
      <sheetName val="Exercise 4（中文）"/>
      <sheetName val="Page 285 chart"/>
      <sheetName val="Page 285 chart（中文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3:N39"/>
  <sheetViews>
    <sheetView tabSelected="1" zoomScale="175" zoomScaleNormal="175" workbookViewId="0">
      <selection activeCell="N15" sqref="N15"/>
    </sheetView>
  </sheetViews>
  <sheetFormatPr defaultRowHeight="13.8" x14ac:dyDescent="0.25"/>
  <cols>
    <col min="1" max="14" width="8.88671875" style="1"/>
  </cols>
  <sheetData>
    <row r="3" spans="1:13" x14ac:dyDescent="0.25">
      <c r="A3" s="1" t="s">
        <v>24</v>
      </c>
      <c r="B3" s="1">
        <v>1</v>
      </c>
      <c r="C3" s="1" t="s">
        <v>0</v>
      </c>
    </row>
    <row r="6" spans="1:13" x14ac:dyDescent="0.25">
      <c r="A6" s="2" t="s">
        <v>1</v>
      </c>
      <c r="D6" s="12" t="str">
        <f ca="1">_xlfn.FORMULATEXT(D8)</f>
        <v>=0.179207703893821*epsilon</v>
      </c>
      <c r="L6" s="2" t="s">
        <v>2</v>
      </c>
    </row>
    <row r="7" spans="1:13" x14ac:dyDescent="0.25">
      <c r="A7" s="2"/>
      <c r="B7" s="3" t="s">
        <v>3</v>
      </c>
      <c r="C7" s="3" t="s">
        <v>4</v>
      </c>
      <c r="D7" s="3" t="s">
        <v>5</v>
      </c>
      <c r="E7" s="3" t="s">
        <v>6</v>
      </c>
      <c r="F7" s="3" t="s">
        <v>7</v>
      </c>
      <c r="G7" s="3" t="s">
        <v>8</v>
      </c>
      <c r="H7" s="2"/>
      <c r="J7" s="2" t="s">
        <v>9</v>
      </c>
      <c r="K7" s="2"/>
      <c r="L7" s="2" t="s">
        <v>10</v>
      </c>
      <c r="M7" s="2"/>
    </row>
    <row r="8" spans="1:13" x14ac:dyDescent="0.25">
      <c r="A8" s="2" t="s">
        <v>3</v>
      </c>
      <c r="B8" s="11">
        <v>0.115202815532332</v>
      </c>
      <c r="C8" s="4">
        <f>0.0398019100471616*epsilon</f>
        <v>3.9801910047161597E-2</v>
      </c>
      <c r="D8" s="4">
        <f>0.179207703893821*epsilon</f>
        <v>0.17920770389382101</v>
      </c>
      <c r="E8" s="4">
        <f>0.0491770624758321*epsilon</f>
        <v>4.9177062475832103E-2</v>
      </c>
      <c r="F8" s="4">
        <f>0.0568451353322787*epsilon</f>
        <v>5.6845135332278703E-2</v>
      </c>
      <c r="G8" s="4">
        <f>0.0988720795200425*epsilon</f>
        <v>9.8872079520042497E-2</v>
      </c>
      <c r="I8" s="2" t="s">
        <v>3</v>
      </c>
      <c r="J8" s="5">
        <v>0.29243448293814894</v>
      </c>
      <c r="L8" s="6">
        <f t="shared" ref="L8:L13" si="0">J8-$C$15</f>
        <v>0.19243448293814894</v>
      </c>
    </row>
    <row r="9" spans="1:13" x14ac:dyDescent="0.25">
      <c r="A9" s="2" t="s">
        <v>4</v>
      </c>
      <c r="B9" s="4">
        <f>C8</f>
        <v>3.9801910047161597E-2</v>
      </c>
      <c r="C9" s="11">
        <v>6.485515464860532E-2</v>
      </c>
      <c r="D9" s="4">
        <f>0.0446918665801486*epsilon</f>
        <v>4.46918665801486E-2</v>
      </c>
      <c r="E9" s="4">
        <f>0.00622164705632041*epsilon</f>
        <v>6.2216470563204104E-3</v>
      </c>
      <c r="F9" s="4">
        <f>0.0349105816591252*epsilon</f>
        <v>3.4910581659125202E-2</v>
      </c>
      <c r="G9" s="4">
        <f>0.02686506402117*epsilon</f>
        <v>2.6865064021170001E-2</v>
      </c>
      <c r="I9" s="2" t="s">
        <v>4</v>
      </c>
      <c r="J9" s="5">
        <v>0.20680399718955364</v>
      </c>
      <c r="L9" s="6">
        <f t="shared" si="0"/>
        <v>0.10680399718955363</v>
      </c>
    </row>
    <row r="10" spans="1:13" x14ac:dyDescent="0.25">
      <c r="A10" s="2" t="s">
        <v>5</v>
      </c>
      <c r="B10" s="4">
        <f>D8</f>
        <v>0.17920770389382101</v>
      </c>
      <c r="C10" s="4">
        <f>D9</f>
        <v>4.46918665801486E-2</v>
      </c>
      <c r="D10" s="11">
        <v>0.33335505813088623</v>
      </c>
      <c r="E10" s="4">
        <f>0.0775435930698002*epsilon</f>
        <v>7.7543593069800201E-2</v>
      </c>
      <c r="F10" s="4">
        <f>0.0886426121981076*epsilon</f>
        <v>8.8642612198107595E-2</v>
      </c>
      <c r="G10" s="4">
        <f>0.148737035912903*epsilon</f>
        <v>0.14873703591290299</v>
      </c>
      <c r="I10" s="2" t="s">
        <v>5</v>
      </c>
      <c r="J10" s="5">
        <v>0.25022036930790836</v>
      </c>
      <c r="L10" s="6">
        <f t="shared" si="0"/>
        <v>0.15022036930790836</v>
      </c>
    </row>
    <row r="11" spans="1:13" x14ac:dyDescent="0.25">
      <c r="A11" s="2" t="s">
        <v>6</v>
      </c>
      <c r="B11" s="4">
        <f>E8</f>
        <v>4.9177062475832103E-2</v>
      </c>
      <c r="C11" s="4">
        <f>E9</f>
        <v>6.2216470563204104E-3</v>
      </c>
      <c r="D11" s="4">
        <f>E10</f>
        <v>7.7543593069800201E-2</v>
      </c>
      <c r="E11" s="11">
        <v>0.10326334402494085</v>
      </c>
      <c r="F11" s="4">
        <f>0.0190674016831789*epsilon</f>
        <v>1.90674016831789E-2</v>
      </c>
      <c r="G11" s="4">
        <f>0.059726651940702*epsilon</f>
        <v>5.9726651940702001E-2</v>
      </c>
      <c r="I11" s="2" t="s">
        <v>6</v>
      </c>
      <c r="J11" s="5">
        <v>0.31641518883395475</v>
      </c>
      <c r="L11" s="6">
        <f t="shared" si="0"/>
        <v>0.21641518883395475</v>
      </c>
    </row>
    <row r="12" spans="1:13" x14ac:dyDescent="0.25">
      <c r="A12" s="2" t="s">
        <v>7</v>
      </c>
      <c r="B12" s="4">
        <f>F8</f>
        <v>5.6845135332278703E-2</v>
      </c>
      <c r="C12" s="4">
        <f>F9</f>
        <v>3.4910581659125202E-2</v>
      </c>
      <c r="D12" s="4">
        <f>F10</f>
        <v>8.8642612198107595E-2</v>
      </c>
      <c r="E12" s="4">
        <f>F11</f>
        <v>1.90674016831789E-2</v>
      </c>
      <c r="F12" s="11">
        <v>5.9417132484788082E-2</v>
      </c>
      <c r="G12" s="4">
        <f>0.0243088866780294*epsilon</f>
        <v>2.4308886678029398E-2</v>
      </c>
      <c r="I12" s="2" t="s">
        <v>7</v>
      </c>
      <c r="J12" s="5">
        <v>0.15338921429495214</v>
      </c>
      <c r="L12" s="6">
        <f t="shared" si="0"/>
        <v>5.3389214294952136E-2</v>
      </c>
    </row>
    <row r="13" spans="1:13" x14ac:dyDescent="0.25">
      <c r="A13" s="2" t="s">
        <v>8</v>
      </c>
      <c r="B13" s="4">
        <f>G8</f>
        <v>9.8872079520042497E-2</v>
      </c>
      <c r="C13" s="4">
        <f>G9</f>
        <v>2.6865064021170001E-2</v>
      </c>
      <c r="D13" s="4">
        <f>G10</f>
        <v>0.14873703591290299</v>
      </c>
      <c r="E13" s="4">
        <f>G11</f>
        <v>5.9726651940702001E-2</v>
      </c>
      <c r="F13" s="4">
        <f>G12</f>
        <v>2.4308886678029398E-2</v>
      </c>
      <c r="G13" s="11">
        <v>0.16533364187811664</v>
      </c>
      <c r="I13" s="2" t="s">
        <v>8</v>
      </c>
      <c r="J13" s="5">
        <v>0.43872095634370767</v>
      </c>
      <c r="L13" s="6">
        <f t="shared" si="0"/>
        <v>0.33872095634370769</v>
      </c>
    </row>
    <row r="15" spans="1:13" x14ac:dyDescent="0.25">
      <c r="B15" s="2" t="s">
        <v>10</v>
      </c>
      <c r="C15" s="7">
        <v>0.1</v>
      </c>
    </row>
    <row r="16" spans="1:13" x14ac:dyDescent="0.25">
      <c r="G16" s="8" t="s">
        <v>11</v>
      </c>
      <c r="H16" s="4"/>
      <c r="I16" s="4"/>
      <c r="J16" s="4"/>
      <c r="K16" s="4"/>
      <c r="L16" s="4"/>
    </row>
    <row r="17" spans="2:13" x14ac:dyDescent="0.25">
      <c r="B17" s="2" t="s">
        <v>12</v>
      </c>
      <c r="C17" s="2" t="s">
        <v>13</v>
      </c>
      <c r="G17" s="4" t="s">
        <v>14</v>
      </c>
      <c r="H17" s="4"/>
      <c r="I17" s="4"/>
      <c r="J17" s="4"/>
      <c r="K17" s="4"/>
      <c r="L17" s="4"/>
    </row>
    <row r="18" spans="2:13" x14ac:dyDescent="0.25">
      <c r="B18" s="2" t="s">
        <v>15</v>
      </c>
      <c r="C18" s="2" t="s">
        <v>16</v>
      </c>
      <c r="G18" s="4" t="s">
        <v>17</v>
      </c>
      <c r="H18" s="4"/>
      <c r="I18" s="4"/>
      <c r="J18" s="4"/>
      <c r="K18" s="4"/>
      <c r="L18" s="4"/>
    </row>
    <row r="19" spans="2:13" x14ac:dyDescent="0.25">
      <c r="B19" s="4">
        <f t="array" ref="B19:B24">MMULT(MINVERSE(B8:G13),L8:L13)</f>
        <v>3.1707611761187682</v>
      </c>
      <c r="C19" s="4">
        <f t="shared" ref="C19:C24" si="1">B19/SUM($B$19:$B$24)</f>
        <v>0.72025432497671371</v>
      </c>
      <c r="G19" s="4" t="s">
        <v>25</v>
      </c>
      <c r="H19" s="4"/>
      <c r="I19" s="4"/>
      <c r="J19" s="4"/>
      <c r="K19" s="4"/>
      <c r="L19" s="4"/>
    </row>
    <row r="20" spans="2:13" x14ac:dyDescent="0.25">
      <c r="B20" s="4">
        <v>0.48609003215874702</v>
      </c>
      <c r="C20" s="4">
        <f t="shared" si="1"/>
        <v>0.110417791988662</v>
      </c>
      <c r="E20" s="1" t="s">
        <v>18</v>
      </c>
      <c r="G20" s="4"/>
      <c r="H20" s="4"/>
      <c r="I20" s="4"/>
      <c r="J20" s="4"/>
      <c r="K20" s="4"/>
      <c r="L20" s="4"/>
      <c r="M20" s="4"/>
    </row>
    <row r="21" spans="2:13" x14ac:dyDescent="0.25">
      <c r="B21" s="4">
        <v>-2.4405014156498415</v>
      </c>
      <c r="C21" s="4">
        <f t="shared" si="1"/>
        <v>-0.55437215296209652</v>
      </c>
      <c r="E21" s="1" t="s">
        <v>19</v>
      </c>
      <c r="G21" s="4" t="s">
        <v>20</v>
      </c>
      <c r="H21" s="4"/>
      <c r="I21" s="4"/>
      <c r="J21" s="4"/>
      <c r="K21" s="4"/>
      <c r="L21" s="4"/>
      <c r="M21" s="4"/>
    </row>
    <row r="22" spans="2:13" x14ac:dyDescent="0.25">
      <c r="B22" s="4">
        <v>1.3533464734026079</v>
      </c>
      <c r="C22" s="4">
        <f t="shared" si="1"/>
        <v>0.30741944804981419</v>
      </c>
      <c r="E22" s="4">
        <f>MIN(C19:C24)</f>
        <v>-0.55437215296209652</v>
      </c>
      <c r="G22" s="4" t="s">
        <v>21</v>
      </c>
      <c r="H22" s="4"/>
      <c r="I22" s="4"/>
      <c r="J22" s="4"/>
      <c r="K22" s="4"/>
      <c r="L22" s="4"/>
      <c r="M22" s="4"/>
    </row>
    <row r="23" spans="2:13" x14ac:dyDescent="0.25">
      <c r="B23" s="4">
        <v>6.1430893825823674E-2</v>
      </c>
      <c r="C23" s="4">
        <f t="shared" si="1"/>
        <v>1.3954336043496917E-2</v>
      </c>
      <c r="G23" s="4" t="s">
        <v>22</v>
      </c>
      <c r="H23" s="4"/>
      <c r="I23" s="4"/>
      <c r="J23" s="4"/>
      <c r="K23" s="4"/>
      <c r="L23" s="4"/>
      <c r="M23" s="4"/>
    </row>
    <row r="24" spans="2:13" x14ac:dyDescent="0.25">
      <c r="B24" s="4">
        <v>1.77115279343856</v>
      </c>
      <c r="C24" s="4">
        <f t="shared" si="1"/>
        <v>0.40232625190340965</v>
      </c>
      <c r="H24" s="4"/>
      <c r="I24" s="4"/>
      <c r="J24" s="4"/>
      <c r="K24" s="4"/>
      <c r="L24" s="4"/>
      <c r="M24" s="4"/>
    </row>
    <row r="25" spans="2:13" x14ac:dyDescent="0.25">
      <c r="C25" s="4"/>
      <c r="G25" s="2" t="s">
        <v>26</v>
      </c>
      <c r="H25" s="4"/>
      <c r="I25" s="4"/>
      <c r="J25" s="4"/>
      <c r="K25" s="4"/>
      <c r="L25" s="4"/>
      <c r="M25" s="4"/>
    </row>
    <row r="26" spans="2:13" x14ac:dyDescent="0.25">
      <c r="G26" s="4" t="s">
        <v>27</v>
      </c>
    </row>
    <row r="27" spans="2:13" x14ac:dyDescent="0.25">
      <c r="B27" s="2"/>
      <c r="C27" s="2"/>
      <c r="E27" s="2"/>
    </row>
    <row r="28" spans="2:13" x14ac:dyDescent="0.25">
      <c r="B28" s="5"/>
      <c r="C28" s="5"/>
      <c r="E28" s="2"/>
      <c r="G28" s="1" t="s">
        <v>23</v>
      </c>
    </row>
    <row r="29" spans="2:13" x14ac:dyDescent="0.25">
      <c r="B29" s="5"/>
      <c r="C29" s="5"/>
      <c r="E29" s="5"/>
      <c r="F29" s="5"/>
      <c r="G29" s="5"/>
      <c r="H29" s="5"/>
      <c r="I29" s="5"/>
      <c r="J29" s="5"/>
    </row>
    <row r="30" spans="2:13" x14ac:dyDescent="0.25">
      <c r="B30" s="5"/>
      <c r="C30" s="5"/>
      <c r="E30" s="2"/>
    </row>
    <row r="31" spans="2:13" x14ac:dyDescent="0.25">
      <c r="B31" s="5"/>
      <c r="C31" s="5"/>
      <c r="E31" s="5"/>
      <c r="F31" s="5"/>
      <c r="G31" s="5"/>
      <c r="H31" s="5"/>
      <c r="I31" s="5"/>
      <c r="J31" s="5"/>
    </row>
    <row r="32" spans="2:13" x14ac:dyDescent="0.25">
      <c r="B32" s="5"/>
      <c r="C32" s="5"/>
    </row>
    <row r="33" spans="1:3" x14ac:dyDescent="0.25">
      <c r="B33" s="5"/>
      <c r="C33" s="5"/>
    </row>
    <row r="35" spans="1:3" x14ac:dyDescent="0.25">
      <c r="A35" s="9"/>
      <c r="B35" s="10"/>
      <c r="C35" s="10"/>
    </row>
    <row r="36" spans="1:3" x14ac:dyDescent="0.25">
      <c r="A36" s="9"/>
      <c r="B36" s="10"/>
      <c r="C36" s="10"/>
    </row>
    <row r="37" spans="1:3" x14ac:dyDescent="0.25">
      <c r="A37" s="9"/>
      <c r="B37" s="10"/>
    </row>
    <row r="39" spans="1:3" x14ac:dyDescent="0.25">
      <c r="A39" s="2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epsilon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2024-10-30T02:35:25Z</dcterms:modified>
</cp:coreProperties>
</file>