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practice\"/>
    </mc:Choice>
  </mc:AlternateContent>
  <xr:revisionPtr revIDLastSave="0" documentId="13_ncr:1_{C8A5D72E-8D14-4E6F-8860-AB3CE26B5A0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2" i="1" l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41" i="1"/>
  <c r="B23" i="1" a="1"/>
  <c r="B23" i="1" s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L8" i="1"/>
  <c r="B14" i="1" s="1" a="1"/>
  <c r="B19" i="1" s="1"/>
  <c r="L7" i="1"/>
  <c r="L6" i="1"/>
  <c r="L5" i="1"/>
  <c r="L4" i="1"/>
  <c r="L3" i="1"/>
  <c r="C23" i="1" s="1" a="1"/>
  <c r="C23" i="1" s="1"/>
  <c r="C32" i="1"/>
  <c r="J25" i="1"/>
  <c r="A14" i="1"/>
  <c r="D20" i="1"/>
  <c r="D14" i="1"/>
  <c r="J23" i="1"/>
  <c r="C36" i="1"/>
  <c r="C37" i="1"/>
  <c r="D30" i="1"/>
  <c r="D31" i="1"/>
  <c r="C28" i="1" l="1"/>
  <c r="C27" i="1"/>
  <c r="C26" i="1"/>
  <c r="C25" i="1"/>
  <c r="C24" i="1"/>
  <c r="B32" i="1" s="1" a="1"/>
  <c r="B32" i="1" s="1"/>
  <c r="B28" i="1"/>
  <c r="B27" i="1"/>
  <c r="B26" i="1"/>
  <c r="B25" i="1"/>
  <c r="B31" i="1" s="1" a="1"/>
  <c r="B31" i="1" s="1"/>
  <c r="B24" i="1"/>
  <c r="E24" i="1" s="1" a="1"/>
  <c r="B14" i="1"/>
  <c r="B15" i="1"/>
  <c r="B16" i="1"/>
  <c r="B17" i="1"/>
  <c r="C17" i="1" s="1"/>
  <c r="G64" i="1" s="1"/>
  <c r="B18" i="1"/>
  <c r="C18" i="1" s="1"/>
  <c r="H64" i="1" s="1"/>
  <c r="E24" i="1" l="1"/>
  <c r="I24" i="1"/>
  <c r="H24" i="1"/>
  <c r="G24" i="1"/>
  <c r="J24" i="1"/>
  <c r="F24" i="1"/>
  <c r="B30" i="1" a="1"/>
  <c r="B30" i="1" s="1"/>
  <c r="E26" i="1" a="1"/>
  <c r="C30" i="1" a="1"/>
  <c r="C30" i="1" s="1"/>
  <c r="C31" i="1" a="1"/>
  <c r="C31" i="1" s="1"/>
  <c r="C16" i="1"/>
  <c r="F64" i="1" s="1"/>
  <c r="C15" i="1"/>
  <c r="E64" i="1" s="1"/>
  <c r="C14" i="1"/>
  <c r="C19" i="1"/>
  <c r="I64" i="1" s="1"/>
  <c r="B36" i="1" l="1"/>
  <c r="F39" i="1" s="1"/>
  <c r="E26" i="1"/>
  <c r="J26" i="1"/>
  <c r="I26" i="1"/>
  <c r="H26" i="1"/>
  <c r="G26" i="1"/>
  <c r="F26" i="1"/>
  <c r="B37" i="1"/>
  <c r="E39" i="1" s="1"/>
  <c r="D64" i="1"/>
  <c r="C20" i="1"/>
</calcChain>
</file>

<file path=xl/sharedStrings.xml><?xml version="1.0" encoding="utf-8"?>
<sst xmlns="http://schemas.openxmlformats.org/spreadsheetml/2006/main" count="49" uniqueCount="33">
  <si>
    <t>DATA FOR 6 FURNITURE COMPANIES</t>
  </si>
  <si>
    <t>Variance-covariance matrix</t>
  </si>
  <si>
    <t>La-Z-Boy</t>
  </si>
  <si>
    <t>Kimball</t>
  </si>
  <si>
    <t>Flexsteel</t>
  </si>
  <si>
    <t>Leggett</t>
  </si>
  <si>
    <t>Miller</t>
  </si>
  <si>
    <t>Shaw</t>
  </si>
  <si>
    <t>Means</t>
  </si>
  <si>
    <t>Means minus constant</t>
  </si>
  <si>
    <t>Constant</t>
  </si>
  <si>
    <t>raw</t>
  </si>
  <si>
    <t>normalized</t>
  </si>
  <si>
    <t>portfolio</t>
  </si>
  <si>
    <t>weights</t>
  </si>
  <si>
    <t>c = 0%</t>
  </si>
  <si>
    <t>c = 10%</t>
  </si>
  <si>
    <t>transposes</t>
  </si>
  <si>
    <t>mean</t>
  </si>
  <si>
    <t>variance</t>
  </si>
  <si>
    <t>covariance</t>
  </si>
  <si>
    <t>sample portfolio calculation</t>
  </si>
  <si>
    <t>proportion</t>
  </si>
  <si>
    <t>sigma</t>
  </si>
  <si>
    <t>see what the portfolio proportions are (in a data table).  No portfolio</t>
  </si>
  <si>
    <t>proportions seem to give a positive weight to the third asset.</t>
  </si>
  <si>
    <t>Portfolio weights</t>
  </si>
  <si>
    <t>Number of non-negative</t>
  </si>
  <si>
    <t>&amp; Platt</t>
  </si>
  <si>
    <t>proportions</t>
  </si>
  <si>
    <t>&lt;-- =COUNTIF(D67:I67,"&gt;=0")</t>
  </si>
  <si>
    <t>jump</t>
    <phoneticPr fontId="1" type="noConversion"/>
  </si>
  <si>
    <t>A crude test to see if we can generate positive portfolio weights we vary r to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</si>
</sst>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/>
    <xf numFmtId="176" fontId="0" fillId="0" borderId="0" xfId="0" applyNumberFormat="1" applyAlignment="1"/>
    <xf numFmtId="10" fontId="0" fillId="0" borderId="0" xfId="1" applyNumberFormat="1" applyFont="1" applyAlignment="1"/>
    <xf numFmtId="10" fontId="0" fillId="0" borderId="0" xfId="0" applyNumberFormat="1" applyAlignment="1"/>
    <xf numFmtId="0" fontId="4" fillId="0" borderId="0" xfId="0" applyFont="1" applyAlignment="1">
      <alignment horizontal="left"/>
    </xf>
    <xf numFmtId="9" fontId="0" fillId="0" borderId="0" xfId="0" applyNumberFormat="1" applyAlignment="1"/>
    <xf numFmtId="0" fontId="5" fillId="0" borderId="0" xfId="0" applyFont="1" applyAlignment="1"/>
    <xf numFmtId="10" fontId="0" fillId="0" borderId="0" xfId="1" quotePrefix="1" applyNumberFormat="1" applyFont="1" applyAlignment="1"/>
    <xf numFmtId="0" fontId="0" fillId="0" borderId="0" xfId="0" quotePrefix="1" applyAlignment="1"/>
    <xf numFmtId="10" fontId="0" fillId="2" borderId="0" xfId="1" applyNumberFormat="1" applyFont="1" applyFill="1" applyAlignme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</a:t>
            </a:r>
          </a:p>
        </c:rich>
      </c:tx>
      <c:layout>
        <c:manualLayout>
          <c:xMode val="edge"/>
          <c:yMode val="edge"/>
          <c:x val="0.34571573262722916"/>
          <c:y val="4.81928892152820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857255261950036"/>
          <c:y val="0.26907696478532489"/>
          <c:w val="0.62285974969203284"/>
          <c:h val="0.3574305950133420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Sheet1!$E$40:$E$56</c:f>
              <c:numCache>
                <c:formatCode>0.00%</c:formatCode>
                <c:ptCount val="17"/>
                <c:pt idx="0">
                  <c:v>0.20254243329423391</c:v>
                </c:pt>
                <c:pt idx="1">
                  <c:v>0.19895439090206629</c:v>
                </c:pt>
                <c:pt idx="2">
                  <c:v>0.19558205856401437</c:v>
                </c:pt>
                <c:pt idx="3">
                  <c:v>0.19243677715947438</c:v>
                </c:pt>
                <c:pt idx="4">
                  <c:v>0.18952985087678195</c:v>
                </c:pt>
                <c:pt idx="5">
                  <c:v>0.18687240337109043</c:v>
                </c:pt>
                <c:pt idx="6">
                  <c:v>0.18447521651555848</c:v>
                </c:pt>
                <c:pt idx="7">
                  <c:v>0.18234855489885074</c:v>
                </c:pt>
                <c:pt idx="8">
                  <c:v>0.1805019807021476</c:v>
                </c:pt>
                <c:pt idx="9">
                  <c:v>0.17894416503356608</c:v>
                </c:pt>
                <c:pt idx="10">
                  <c:v>0.17768270304164133</c:v>
                </c:pt>
                <c:pt idx="11">
                  <c:v>0.17672394099066027</c:v>
                </c:pt>
                <c:pt idx="12">
                  <c:v>0.17607282378839456</c:v>
                </c:pt>
                <c:pt idx="13">
                  <c:v>0.17573277108391036</c:v>
                </c:pt>
                <c:pt idx="14">
                  <c:v>0.17570558894725932</c:v>
                </c:pt>
                <c:pt idx="15">
                  <c:v>0.17599142234847404</c:v>
                </c:pt>
                <c:pt idx="16">
                  <c:v>0.17658875131682886</c:v>
                </c:pt>
              </c:numCache>
            </c:numRef>
          </c:xVal>
          <c:yVal>
            <c:numRef>
              <c:f>Sheet1!$F$40:$F$56</c:f>
              <c:numCache>
                <c:formatCode>0.00%</c:formatCode>
                <c:ptCount val="17"/>
                <c:pt idx="0">
                  <c:v>0.31351750872216622</c:v>
                </c:pt>
                <c:pt idx="1">
                  <c:v>0.30780241735945169</c:v>
                </c:pt>
                <c:pt idx="2">
                  <c:v>0.30208732599673715</c:v>
                </c:pt>
                <c:pt idx="3">
                  <c:v>0.29637223463402262</c:v>
                </c:pt>
                <c:pt idx="4">
                  <c:v>0.29065714327130815</c:v>
                </c:pt>
                <c:pt idx="5">
                  <c:v>0.28494205190859367</c:v>
                </c:pt>
                <c:pt idx="6">
                  <c:v>0.27922696054587909</c:v>
                </c:pt>
                <c:pt idx="7">
                  <c:v>0.27351186918316456</c:v>
                </c:pt>
                <c:pt idx="8">
                  <c:v>0.26779677782045008</c:v>
                </c:pt>
                <c:pt idx="9">
                  <c:v>0.26208168645773555</c:v>
                </c:pt>
                <c:pt idx="10">
                  <c:v>0.25636659509502113</c:v>
                </c:pt>
                <c:pt idx="11">
                  <c:v>0.2506515037323066</c:v>
                </c:pt>
                <c:pt idx="12">
                  <c:v>0.24493641236959207</c:v>
                </c:pt>
                <c:pt idx="13">
                  <c:v>0.2392213210068776</c:v>
                </c:pt>
                <c:pt idx="14">
                  <c:v>0.23350622964416301</c:v>
                </c:pt>
                <c:pt idx="15">
                  <c:v>0.22779113828144859</c:v>
                </c:pt>
                <c:pt idx="16">
                  <c:v>0.22207604691873406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50-4EB2-BAF7-C194527A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780480"/>
        <c:axId val="1"/>
      </c:scatterChart>
      <c:valAx>
        <c:axId val="28978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layout>
            <c:manualLayout>
              <c:xMode val="edge"/>
              <c:yMode val="edge"/>
              <c:x val="0.52571648597859644"/>
              <c:y val="0.81927911665979503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2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layout>
            <c:manualLayout>
              <c:xMode val="edge"/>
              <c:yMode val="edge"/>
              <c:x val="7.1428870377526696E-2"/>
              <c:y val="0.37751096551970947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97804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39</xdr:row>
      <xdr:rowOff>121920</xdr:rowOff>
    </xdr:from>
    <xdr:to>
      <xdr:col>11</xdr:col>
      <xdr:colOff>457200</xdr:colOff>
      <xdr:row>53</xdr:row>
      <xdr:rowOff>99060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88279B3-F784-48E6-87AD-E92F64A339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190500</xdr:colOff>
      <xdr:row>1</xdr:row>
      <xdr:rowOff>66675</xdr:rowOff>
    </xdr:from>
    <xdr:to>
      <xdr:col>28</xdr:col>
      <xdr:colOff>552451</xdr:colOff>
      <xdr:row>84</xdr:row>
      <xdr:rowOff>129540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C207884-B09C-14C5-6527-C539F184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686925" y="266700"/>
          <a:ext cx="8286750" cy="14620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83"/>
  <sheetViews>
    <sheetView tabSelected="1" topLeftCell="A17" zoomScale="160" zoomScaleNormal="160" workbookViewId="0">
      <selection activeCell="M25" sqref="M25"/>
    </sheetView>
  </sheetViews>
  <sheetFormatPr defaultRowHeight="13.8" x14ac:dyDescent="0.25"/>
  <cols>
    <col min="1" max="1" width="9.77734375" style="1" customWidth="1"/>
    <col min="2" max="13" width="8.88671875" style="1"/>
  </cols>
  <sheetData>
    <row r="1" spans="1:13" ht="15.6" x14ac:dyDescent="0.3">
      <c r="A1" s="15" t="s">
        <v>0</v>
      </c>
      <c r="B1" s="15"/>
      <c r="C1" s="15"/>
      <c r="D1" s="15"/>
      <c r="E1" s="15"/>
      <c r="F1" s="15"/>
      <c r="G1" s="15"/>
      <c r="H1" s="15"/>
      <c r="I1" s="15"/>
    </row>
    <row r="2" spans="1:13" ht="39.6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/>
      <c r="I2" s="2" t="s">
        <v>8</v>
      </c>
      <c r="J2" s="3"/>
      <c r="K2" s="2"/>
      <c r="L2" s="2" t="s">
        <v>9</v>
      </c>
      <c r="M2" s="2"/>
    </row>
    <row r="3" spans="1:13" x14ac:dyDescent="0.25">
      <c r="A3" s="4" t="s">
        <v>2</v>
      </c>
      <c r="B3" s="5">
        <v>0.11520281553233175</v>
      </c>
      <c r="C3" s="5">
        <v>3.9801910047161576E-2</v>
      </c>
      <c r="D3" s="5">
        <v>0.1792077038938214</v>
      </c>
      <c r="E3" s="5">
        <v>4.9177062475832138E-2</v>
      </c>
      <c r="F3" s="5">
        <v>5.684513533227873E-2</v>
      </c>
      <c r="G3" s="5">
        <v>9.8872079520042455E-2</v>
      </c>
      <c r="I3" s="6">
        <v>0.29243448293814894</v>
      </c>
      <c r="L3" s="7">
        <f t="shared" ref="L3:L8" si="0">I3-$C$10</f>
        <v>0.19243448293814894</v>
      </c>
    </row>
    <row r="4" spans="1:13" x14ac:dyDescent="0.25">
      <c r="A4" s="4" t="s">
        <v>3</v>
      </c>
      <c r="B4" s="5">
        <v>3.9801910047161576E-2</v>
      </c>
      <c r="C4" s="5">
        <v>6.485515464860532E-2</v>
      </c>
      <c r="D4" s="5">
        <v>4.469186658014862E-2</v>
      </c>
      <c r="E4" s="5">
        <v>6.2216470563204148E-3</v>
      </c>
      <c r="F4" s="5">
        <v>3.4910581659125202E-2</v>
      </c>
      <c r="G4" s="5">
        <v>2.6865064021170025E-2</v>
      </c>
      <c r="I4" s="6">
        <v>0.20680399718955364</v>
      </c>
      <c r="L4" s="7">
        <f t="shared" si="0"/>
        <v>0.10680399718955363</v>
      </c>
    </row>
    <row r="5" spans="1:13" x14ac:dyDescent="0.25">
      <c r="A5" s="4" t="s">
        <v>4</v>
      </c>
      <c r="B5" s="5">
        <v>0.1792077038938214</v>
      </c>
      <c r="C5" s="5">
        <v>4.469186658014862E-2</v>
      </c>
      <c r="D5" s="5">
        <v>0.33335505813088623</v>
      </c>
      <c r="E5" s="5">
        <v>7.7543593069800229E-2</v>
      </c>
      <c r="F5" s="5">
        <v>8.8642612198107595E-2</v>
      </c>
      <c r="G5" s="5">
        <v>0.14873703591290333</v>
      </c>
      <c r="I5" s="6">
        <v>0.25022036930790836</v>
      </c>
      <c r="L5" s="7">
        <f t="shared" si="0"/>
        <v>0.15022036930790836</v>
      </c>
    </row>
    <row r="6" spans="1:13" x14ac:dyDescent="0.25">
      <c r="A6" s="8" t="s">
        <v>5</v>
      </c>
      <c r="B6" s="5">
        <v>4.9177062475832138E-2</v>
      </c>
      <c r="C6" s="5">
        <v>6.2216470563204148E-3</v>
      </c>
      <c r="D6" s="5">
        <v>7.7543593069800229E-2</v>
      </c>
      <c r="E6" s="5">
        <v>0.10326334402494085</v>
      </c>
      <c r="F6" s="5">
        <v>1.9067401683178917E-2</v>
      </c>
      <c r="G6" s="5">
        <v>5.9726651940702029E-2</v>
      </c>
      <c r="I6" s="6">
        <v>0.31641518883395475</v>
      </c>
      <c r="L6" s="7">
        <f t="shared" si="0"/>
        <v>0.21641518883395475</v>
      </c>
    </row>
    <row r="7" spans="1:13" x14ac:dyDescent="0.25">
      <c r="A7" s="4" t="s">
        <v>6</v>
      </c>
      <c r="B7" s="5">
        <v>5.684513533227873E-2</v>
      </c>
      <c r="C7" s="5">
        <v>3.4910581659125202E-2</v>
      </c>
      <c r="D7" s="5">
        <v>8.8642612198107595E-2</v>
      </c>
      <c r="E7" s="5">
        <v>1.9067401683178917E-2</v>
      </c>
      <c r="F7" s="5">
        <v>5.9417132484788082E-2</v>
      </c>
      <c r="G7" s="5">
        <v>2.4308886678029388E-2</v>
      </c>
      <c r="I7" s="6">
        <v>0.15338921429495214</v>
      </c>
      <c r="L7" s="7">
        <f t="shared" si="0"/>
        <v>5.3389214294952136E-2</v>
      </c>
    </row>
    <row r="8" spans="1:13" x14ac:dyDescent="0.25">
      <c r="A8" s="4" t="s">
        <v>7</v>
      </c>
      <c r="B8" s="5">
        <v>9.8872079520042455E-2</v>
      </c>
      <c r="C8" s="5">
        <v>2.6865064021170025E-2</v>
      </c>
      <c r="D8" s="5">
        <v>0.14873703591290333</v>
      </c>
      <c r="E8" s="5">
        <v>5.9726651940702029E-2</v>
      </c>
      <c r="F8" s="5">
        <v>2.4308886678029388E-2</v>
      </c>
      <c r="G8" s="5">
        <v>0.16533364187811664</v>
      </c>
      <c r="I8" s="6">
        <v>0.43872095634370767</v>
      </c>
      <c r="L8" s="7">
        <f t="shared" si="0"/>
        <v>0.33872095634370769</v>
      </c>
    </row>
    <row r="10" spans="1:13" x14ac:dyDescent="0.25">
      <c r="B10" s="4" t="s">
        <v>10</v>
      </c>
      <c r="C10" s="9">
        <v>0.1</v>
      </c>
    </row>
    <row r="12" spans="1:13" x14ac:dyDescent="0.25">
      <c r="B12" s="4" t="s">
        <v>11</v>
      </c>
      <c r="C12" s="4" t="s">
        <v>12</v>
      </c>
    </row>
    <row r="13" spans="1:13" x14ac:dyDescent="0.25">
      <c r="B13" s="4" t="s">
        <v>13</v>
      </c>
      <c r="C13" s="4" t="s">
        <v>14</v>
      </c>
    </row>
    <row r="14" spans="1:13" x14ac:dyDescent="0.25">
      <c r="A14" s="1" t="str">
        <f ca="1">_xlfn.FORMULATEXT(B14)</f>
        <v>{=MMULT(MINVERSE(B3:G8),L3:L8)}</v>
      </c>
      <c r="B14" s="5">
        <f t="array" ref="B14:B19">MMULT(MINVERSE(B3:G8),L3:L8)</f>
        <v>3.1707611761189893</v>
      </c>
      <c r="C14" s="5">
        <f t="shared" ref="C14:C19" si="1">B14/SUM($B$14:$B$19)</f>
        <v>0.7202543249767609</v>
      </c>
      <c r="D14" s="1" t="str">
        <f ca="1">[1]!getformula(C14)</f>
        <v>&lt;--  =B14/SUM($B$14:$B$19)</v>
      </c>
    </row>
    <row r="15" spans="1:13" x14ac:dyDescent="0.25">
      <c r="B15" s="5">
        <v>0.4860900321587075</v>
      </c>
      <c r="C15" s="5">
        <f t="shared" si="1"/>
        <v>0.11041779198865255</v>
      </c>
    </row>
    <row r="16" spans="1:13" x14ac:dyDescent="0.25">
      <c r="B16" s="5">
        <v>-2.4405014156499369</v>
      </c>
      <c r="C16" s="5">
        <f t="shared" si="1"/>
        <v>-0.55437215296211584</v>
      </c>
    </row>
    <row r="17" spans="1:10" x14ac:dyDescent="0.25">
      <c r="B17" s="5">
        <v>1.3533464734025964</v>
      </c>
      <c r="C17" s="5">
        <f t="shared" si="1"/>
        <v>0.30741944804981031</v>
      </c>
    </row>
    <row r="18" spans="1:10" x14ac:dyDescent="0.25">
      <c r="B18" s="5">
        <v>6.1430893825792587E-2</v>
      </c>
      <c r="C18" s="5">
        <f t="shared" si="1"/>
        <v>1.3954336043489796E-2</v>
      </c>
    </row>
    <row r="19" spans="1:10" x14ac:dyDescent="0.25">
      <c r="B19" s="5">
        <v>1.7711527934385352</v>
      </c>
      <c r="C19" s="5">
        <f t="shared" si="1"/>
        <v>0.40232625190340227</v>
      </c>
    </row>
    <row r="20" spans="1:10" x14ac:dyDescent="0.25">
      <c r="C20" s="5">
        <f>SUM(C14:C19)</f>
        <v>1</v>
      </c>
      <c r="D20" s="1" t="str">
        <f ca="1">[1]!getformula(C20)</f>
        <v>&lt;--  =SUM(C14:C19)</v>
      </c>
    </row>
    <row r="22" spans="1:10" x14ac:dyDescent="0.25">
      <c r="B22" s="4" t="s">
        <v>15</v>
      </c>
      <c r="C22" s="4" t="s">
        <v>16</v>
      </c>
      <c r="E22" s="4" t="s">
        <v>17</v>
      </c>
    </row>
    <row r="23" spans="1:10" x14ac:dyDescent="0.25">
      <c r="B23" s="13">
        <f t="array" ref="B23:B28">MMULT(MINVERSE($B$3:$G$8),I$3:I$8)/SUM(MMULT(MINVERSE($B$3:$G$8),I$3:I$8))</f>
        <v>0.4201897131641919</v>
      </c>
      <c r="C23" s="13">
        <f t="array" ref="C23:C28">MMULT(MINVERSE($B$3:$G$8),L$3:L$8)/SUM(MMULT(MINVERSE($B$3:$G$8),L$3:L$8))</f>
        <v>0.7202543249767609</v>
      </c>
      <c r="E23" s="4" t="s">
        <v>15</v>
      </c>
      <c r="J23" s="1" t="str">
        <f ca="1">_xlfn.FORMULATEXT(J24)</f>
        <v>{=TRANSPOSE(B23:B28)}</v>
      </c>
    </row>
    <row r="24" spans="1:10" x14ac:dyDescent="0.25">
      <c r="B24" s="13">
        <v>0.15789631158133774</v>
      </c>
      <c r="C24" s="13">
        <v>0.11041779198865255</v>
      </c>
      <c r="E24" s="6">
        <f t="array" ref="E24:J24">TRANSPOSE(B23:B28)</f>
        <v>0.4201897131641919</v>
      </c>
      <c r="F24" s="6">
        <v>0.15789631158133774</v>
      </c>
      <c r="G24" s="6">
        <v>-0.41859645802345785</v>
      </c>
      <c r="H24" s="6">
        <v>0.28086746851103928</v>
      </c>
      <c r="I24" s="6">
        <v>0.25118309700494335</v>
      </c>
      <c r="J24" s="6">
        <v>0.30845986776194562</v>
      </c>
    </row>
    <row r="25" spans="1:10" x14ac:dyDescent="0.25">
      <c r="B25" s="13">
        <v>-0.41859645802345785</v>
      </c>
      <c r="C25" s="13">
        <v>-0.55437215296211584</v>
      </c>
      <c r="E25" s="4" t="s">
        <v>16</v>
      </c>
      <c r="J25" s="1" t="str">
        <f ca="1">_xlfn.FORMULATEXT(J26)</f>
        <v>{=TRANSPOSE(C23:C28)}</v>
      </c>
    </row>
    <row r="26" spans="1:10" x14ac:dyDescent="0.25">
      <c r="B26" s="13">
        <v>0.28086746851103928</v>
      </c>
      <c r="C26" s="13">
        <v>0.30741944804981031</v>
      </c>
      <c r="E26" s="6">
        <f t="array" ref="E26:J26">TRANSPOSE(C23:C28)</f>
        <v>0.7202543249767609</v>
      </c>
      <c r="F26" s="6">
        <v>0.11041779198865255</v>
      </c>
      <c r="G26" s="6">
        <v>-0.55437215296211584</v>
      </c>
      <c r="H26" s="6">
        <v>0.30741944804981031</v>
      </c>
      <c r="I26" s="6">
        <v>1.3954336043489796E-2</v>
      </c>
      <c r="J26" s="6">
        <v>0.40232625190340227</v>
      </c>
    </row>
    <row r="27" spans="1:10" x14ac:dyDescent="0.25">
      <c r="B27" s="13">
        <v>0.25118309700494335</v>
      </c>
      <c r="C27" s="13">
        <v>1.3954336043489796E-2</v>
      </c>
    </row>
    <row r="28" spans="1:10" x14ac:dyDescent="0.25">
      <c r="B28" s="13">
        <v>0.30845986776194562</v>
      </c>
      <c r="C28" s="13">
        <v>0.40232625190340227</v>
      </c>
    </row>
    <row r="30" spans="1:10" x14ac:dyDescent="0.25">
      <c r="A30" s="10" t="s">
        <v>18</v>
      </c>
      <c r="B30" s="11">
        <f t="array" ref="B30">MMULT(TRANSPOSE(B23:B28),$I$3:$I$8)</f>
        <v>0.31351750872216622</v>
      </c>
      <c r="C30" s="11">
        <f t="array" ref="C30">MMULT(TRANSPOSE(C23:C28),$I$3:$I$8)</f>
        <v>0.3706684223493113</v>
      </c>
      <c r="D30" s="1" t="str">
        <f ca="1">[1]!getformula(C30)</f>
        <v>&lt;--  {=MMULT(TRANSPOSE(C23:C28),$I$3:$I$8)}</v>
      </c>
    </row>
    <row r="31" spans="1:10" x14ac:dyDescent="0.25">
      <c r="A31" s="10" t="s">
        <v>19</v>
      </c>
      <c r="B31" s="11">
        <f t="array" ref="B31">MMULT(MMULT(TRANSPOSE(B23:B28),$B$3:$G$8),B23:B28)</f>
        <v>4.1023437284749192E-2</v>
      </c>
      <c r="C31" s="11">
        <f t="array" ref="C31">MMULT(MMULT(TRANSPOSE(C23:C28),$B$3:$G$8),C23:C28)</f>
        <v>6.1483691455547204E-2</v>
      </c>
      <c r="D31" s="1" t="str">
        <f ca="1">[1]!getformula(C31)</f>
        <v>&lt;--  {=MMULT(MMULT(TRANSPOSE(C23:C28),$B$3:$G$8),C23:C28)}</v>
      </c>
    </row>
    <row r="32" spans="1:10" x14ac:dyDescent="0.25">
      <c r="A32" s="10" t="s">
        <v>20</v>
      </c>
      <c r="B32" s="12">
        <f t="array" ref="B32">MMULT(MMULT(TRANSPOSE(B23:B28),$B$3:$G$8),C23:C28)</f>
        <v>4.8501574408589966E-2</v>
      </c>
      <c r="C32" s="1" t="str">
        <f ca="1">[1]!getformula(B32)</f>
        <v>&lt;--  {=MMULT(MMULT(TRANSPOSE(B23:B28),$B$3:$G$8),C23:C28)}</v>
      </c>
    </row>
    <row r="34" spans="1:6" x14ac:dyDescent="0.25">
      <c r="A34" s="4" t="s">
        <v>21</v>
      </c>
    </row>
    <row r="35" spans="1:6" x14ac:dyDescent="0.25">
      <c r="A35" s="1" t="s">
        <v>22</v>
      </c>
      <c r="B35" s="1">
        <v>0.3</v>
      </c>
    </row>
    <row r="36" spans="1:6" x14ac:dyDescent="0.25">
      <c r="A36" s="1" t="s">
        <v>18</v>
      </c>
      <c r="B36" s="7">
        <f>B35*B30+(1-B35)*C30</f>
        <v>0.35352314826116776</v>
      </c>
      <c r="C36" s="1" t="str">
        <f ca="1">[1]!getformula(B36)</f>
        <v>&lt;--  =B35*B30+(1-B35)*C30</v>
      </c>
    </row>
    <row r="37" spans="1:6" x14ac:dyDescent="0.25">
      <c r="A37" s="1" t="s">
        <v>19</v>
      </c>
      <c r="B37" s="7">
        <f>B35^2*B31+(1-B35)^2*C31+2*B35*(1-B35)*B32</f>
        <v>5.4189779420453332E-2</v>
      </c>
      <c r="C37" s="1" t="str">
        <f ca="1">[1]!getformula(B37)</f>
        <v>&lt;--  =B35^2*B31+(1-B35)^2*C31+2*B35*(1-B35)*B32</v>
      </c>
    </row>
    <row r="38" spans="1:6" x14ac:dyDescent="0.25">
      <c r="E38" s="1" t="s">
        <v>23</v>
      </c>
      <c r="F38" s="1" t="s">
        <v>18</v>
      </c>
    </row>
    <row r="39" spans="1:6" x14ac:dyDescent="0.25">
      <c r="E39" s="7">
        <f>SQRT(B37)</f>
        <v>0.23278698292742517</v>
      </c>
      <c r="F39" s="7">
        <f>B36</f>
        <v>0.35352314826116776</v>
      </c>
    </row>
    <row r="40" spans="1:6" x14ac:dyDescent="0.25">
      <c r="D40" s="1">
        <v>1</v>
      </c>
      <c r="E40" s="6">
        <f t="dataTable" ref="E40:F56" dt2D="0" dtr="0" r1="B35"/>
        <v>0.20254243329423391</v>
      </c>
      <c r="F40" s="6">
        <v>0.31351750872216622</v>
      </c>
    </row>
    <row r="41" spans="1:6" x14ac:dyDescent="0.25">
      <c r="D41" s="1">
        <f>$B$55+D40</f>
        <v>1.1000000000000001</v>
      </c>
      <c r="E41" s="6">
        <v>0.19895439090206629</v>
      </c>
      <c r="F41" s="6">
        <v>0.30780241735945169</v>
      </c>
    </row>
    <row r="42" spans="1:6" x14ac:dyDescent="0.25">
      <c r="D42" s="1">
        <f t="shared" ref="D42:D56" si="2">$B$55+D41</f>
        <v>1.2000000000000002</v>
      </c>
      <c r="E42" s="6">
        <v>0.19558205856401437</v>
      </c>
      <c r="F42" s="6">
        <v>0.30208732599673715</v>
      </c>
    </row>
    <row r="43" spans="1:6" x14ac:dyDescent="0.25">
      <c r="D43" s="1">
        <f t="shared" si="2"/>
        <v>1.3000000000000003</v>
      </c>
      <c r="E43" s="6">
        <v>0.19243677715947438</v>
      </c>
      <c r="F43" s="6">
        <v>0.29637223463402262</v>
      </c>
    </row>
    <row r="44" spans="1:6" x14ac:dyDescent="0.25">
      <c r="D44" s="1">
        <f t="shared" si="2"/>
        <v>1.4000000000000004</v>
      </c>
      <c r="E44" s="6">
        <v>0.18952985087678195</v>
      </c>
      <c r="F44" s="6">
        <v>0.29065714327130815</v>
      </c>
    </row>
    <row r="45" spans="1:6" x14ac:dyDescent="0.25">
      <c r="D45" s="1">
        <f t="shared" si="2"/>
        <v>1.5000000000000004</v>
      </c>
      <c r="E45" s="6">
        <v>0.18687240337109043</v>
      </c>
      <c r="F45" s="6">
        <v>0.28494205190859367</v>
      </c>
    </row>
    <row r="46" spans="1:6" x14ac:dyDescent="0.25">
      <c r="D46" s="1">
        <f t="shared" si="2"/>
        <v>1.6000000000000005</v>
      </c>
      <c r="E46" s="6">
        <v>0.18447521651555848</v>
      </c>
      <c r="F46" s="6">
        <v>0.27922696054587909</v>
      </c>
    </row>
    <row r="47" spans="1:6" x14ac:dyDescent="0.25">
      <c r="D47" s="1">
        <f t="shared" si="2"/>
        <v>1.7000000000000006</v>
      </c>
      <c r="E47" s="6">
        <v>0.18234855489885074</v>
      </c>
      <c r="F47" s="6">
        <v>0.27351186918316456</v>
      </c>
    </row>
    <row r="48" spans="1:6" x14ac:dyDescent="0.25">
      <c r="D48" s="1">
        <f t="shared" si="2"/>
        <v>1.8000000000000007</v>
      </c>
      <c r="E48" s="6">
        <v>0.1805019807021476</v>
      </c>
      <c r="F48" s="6">
        <v>0.26779677782045008</v>
      </c>
    </row>
    <row r="49" spans="1:11" x14ac:dyDescent="0.25">
      <c r="D49" s="1">
        <f t="shared" si="2"/>
        <v>1.9000000000000008</v>
      </c>
      <c r="E49" s="6">
        <v>0.17894416503356608</v>
      </c>
      <c r="F49" s="6">
        <v>0.26208168645773555</v>
      </c>
    </row>
    <row r="50" spans="1:11" x14ac:dyDescent="0.25">
      <c r="D50" s="1">
        <f t="shared" si="2"/>
        <v>2.0000000000000009</v>
      </c>
      <c r="E50" s="6">
        <v>0.17768270304164133</v>
      </c>
      <c r="F50" s="6">
        <v>0.25636659509502113</v>
      </c>
    </row>
    <row r="51" spans="1:11" x14ac:dyDescent="0.25">
      <c r="D51" s="1">
        <f t="shared" si="2"/>
        <v>2.100000000000001</v>
      </c>
      <c r="E51" s="6">
        <v>0.17672394099066027</v>
      </c>
      <c r="F51" s="6">
        <v>0.2506515037323066</v>
      </c>
    </row>
    <row r="52" spans="1:11" x14ac:dyDescent="0.25">
      <c r="D52" s="1">
        <f t="shared" si="2"/>
        <v>2.2000000000000011</v>
      </c>
      <c r="E52" s="6">
        <v>0.17607282378839456</v>
      </c>
      <c r="F52" s="6">
        <v>0.24493641236959207</v>
      </c>
    </row>
    <row r="53" spans="1:11" x14ac:dyDescent="0.25">
      <c r="D53" s="1">
        <f t="shared" si="2"/>
        <v>2.3000000000000012</v>
      </c>
      <c r="E53" s="6">
        <v>0.17573277108391036</v>
      </c>
      <c r="F53" s="6">
        <v>0.2392213210068776</v>
      </c>
    </row>
    <row r="54" spans="1:11" x14ac:dyDescent="0.25">
      <c r="D54" s="1">
        <f t="shared" si="2"/>
        <v>2.4000000000000012</v>
      </c>
      <c r="E54" s="6">
        <v>0.17570558894725932</v>
      </c>
      <c r="F54" s="6">
        <v>0.23350622964416301</v>
      </c>
    </row>
    <row r="55" spans="1:11" x14ac:dyDescent="0.25">
      <c r="A55" s="1" t="s">
        <v>31</v>
      </c>
      <c r="B55" s="14">
        <v>0.1</v>
      </c>
      <c r="D55" s="1">
        <f t="shared" si="2"/>
        <v>2.5000000000000013</v>
      </c>
      <c r="E55" s="6">
        <v>0.17599142234847404</v>
      </c>
      <c r="F55" s="6">
        <v>0.22779113828144859</v>
      </c>
    </row>
    <row r="56" spans="1:11" x14ac:dyDescent="0.25">
      <c r="D56" s="1">
        <f t="shared" si="2"/>
        <v>2.6000000000000014</v>
      </c>
      <c r="E56" s="6">
        <v>0.17658875131682886</v>
      </c>
      <c r="F56" s="6">
        <v>0.22207604691873406</v>
      </c>
    </row>
    <row r="58" spans="1:11" x14ac:dyDescent="0.25">
      <c r="A58" s="1" t="s">
        <v>32</v>
      </c>
    </row>
    <row r="59" spans="1:11" x14ac:dyDescent="0.25">
      <c r="A59" s="1" t="s">
        <v>24</v>
      </c>
    </row>
    <row r="60" spans="1:11" x14ac:dyDescent="0.25">
      <c r="A60" s="1" t="s">
        <v>25</v>
      </c>
    </row>
    <row r="62" spans="1:11" x14ac:dyDescent="0.25">
      <c r="D62" s="1" t="s">
        <v>26</v>
      </c>
      <c r="K62" s="1" t="s">
        <v>27</v>
      </c>
    </row>
    <row r="63" spans="1:11" x14ac:dyDescent="0.25">
      <c r="D63" s="4" t="s">
        <v>2</v>
      </c>
      <c r="E63" s="4" t="s">
        <v>3</v>
      </c>
      <c r="F63" s="4" t="s">
        <v>4</v>
      </c>
      <c r="G63" s="4" t="s">
        <v>28</v>
      </c>
      <c r="H63" s="4" t="s">
        <v>6</v>
      </c>
      <c r="I63" s="4" t="s">
        <v>7</v>
      </c>
      <c r="K63" s="10" t="s">
        <v>29</v>
      </c>
    </row>
    <row r="64" spans="1:11" x14ac:dyDescent="0.25">
      <c r="D64" s="5">
        <f>C14</f>
        <v>0.7202543249767609</v>
      </c>
      <c r="E64" s="5">
        <f>C15</f>
        <v>0.11041779198865255</v>
      </c>
      <c r="F64" s="5">
        <f>C16</f>
        <v>-0.55437215296211584</v>
      </c>
      <c r="G64" s="5">
        <f>C17</f>
        <v>0.30741944804981031</v>
      </c>
      <c r="H64" s="5">
        <f>C18</f>
        <v>1.3954336043489796E-2</v>
      </c>
      <c r="I64" s="5">
        <f>C19</f>
        <v>0.40232625190340227</v>
      </c>
    </row>
    <row r="65" spans="3:12" x14ac:dyDescent="0.25">
      <c r="C65" s="9">
        <v>-0.1</v>
      </c>
      <c r="D65" s="1">
        <f t="dataTable" ref="D65:I83" dt2D="0" dtr="0" r1="C10"/>
        <v>0.29880528481357654</v>
      </c>
      <c r="E65" s="1">
        <v>0.17710268491832903</v>
      </c>
      <c r="F65" s="1">
        <v>-0.3636714369938831</v>
      </c>
      <c r="G65" s="1">
        <v>0.27012645897171977</v>
      </c>
      <c r="H65" s="1">
        <v>0.34714868709464641</v>
      </c>
      <c r="I65" s="1">
        <v>0.27048832119561139</v>
      </c>
      <c r="K65" s="1">
        <f>COUNTIF(D65:I65,"&gt;=0")</f>
        <v>5</v>
      </c>
      <c r="L65" s="1" t="s">
        <v>30</v>
      </c>
    </row>
    <row r="66" spans="3:12" x14ac:dyDescent="0.25">
      <c r="C66" s="9">
        <v>-0.09</v>
      </c>
      <c r="D66" s="1">
        <v>0.30759126443154133</v>
      </c>
      <c r="E66" s="1">
        <v>0.17571249997478389</v>
      </c>
      <c r="F66" s="1">
        <v>-0.36764698906295251</v>
      </c>
      <c r="G66" s="1">
        <v>0.27090390870041342</v>
      </c>
      <c r="H66" s="1">
        <v>0.34020255957227036</v>
      </c>
      <c r="I66" s="1">
        <v>0.2732367563839434</v>
      </c>
      <c r="K66" s="1">
        <f t="shared" ref="K66:K83" si="3">COUNTIF(D66:I66,"&gt;=0")</f>
        <v>5</v>
      </c>
    </row>
    <row r="67" spans="3:12" x14ac:dyDescent="0.25">
      <c r="C67" s="9">
        <v>-0.08</v>
      </c>
      <c r="D67" s="1">
        <v>0.31693355142045909</v>
      </c>
      <c r="E67" s="1">
        <v>0.17423429182099853</v>
      </c>
      <c r="F67" s="1">
        <v>-0.37187426365082993</v>
      </c>
      <c r="G67" s="1">
        <v>0.27173058470021427</v>
      </c>
      <c r="H67" s="1">
        <v>0.33281661974571181</v>
      </c>
      <c r="I67" s="1">
        <v>0.27615921596344623</v>
      </c>
      <c r="K67" s="1">
        <f t="shared" si="3"/>
        <v>5</v>
      </c>
    </row>
    <row r="68" spans="3:12" x14ac:dyDescent="0.25">
      <c r="C68" s="9">
        <v>-7.0000000000000007E-2</v>
      </c>
      <c r="D68" s="1">
        <v>0.32688670928928537</v>
      </c>
      <c r="E68" s="1">
        <v>0.17265942700095321</v>
      </c>
      <c r="F68" s="1">
        <v>-0.37637795010126102</v>
      </c>
      <c r="G68" s="1">
        <v>0.27261131516184012</v>
      </c>
      <c r="H68" s="1">
        <v>0.32494773012686479</v>
      </c>
      <c r="I68" s="1">
        <v>0.27927276852231753</v>
      </c>
      <c r="K68" s="1">
        <f t="shared" si="3"/>
        <v>5</v>
      </c>
    </row>
    <row r="69" spans="3:12" x14ac:dyDescent="0.25">
      <c r="C69" s="9">
        <v>-0.06</v>
      </c>
      <c r="D69" s="1">
        <v>0.33751267828843218</v>
      </c>
      <c r="E69" s="1">
        <v>0.1709781048541337</v>
      </c>
      <c r="F69" s="1">
        <v>-0.38118607564642554</v>
      </c>
      <c r="G69" s="1">
        <v>0.27355158102571764</v>
      </c>
      <c r="H69" s="1">
        <v>0.31654692123288869</v>
      </c>
      <c r="I69" s="1">
        <v>0.28259679024525336</v>
      </c>
      <c r="K69" s="1">
        <f t="shared" si="3"/>
        <v>5</v>
      </c>
    </row>
    <row r="70" spans="3:12" x14ac:dyDescent="0.25">
      <c r="C70" s="9">
        <v>-0.05</v>
      </c>
      <c r="D70" s="1">
        <v>0.34888206564622293</v>
      </c>
      <c r="E70" s="1">
        <v>0.16917915336444309</v>
      </c>
      <c r="F70" s="1">
        <v>-0.38633058922370506</v>
      </c>
      <c r="G70" s="1">
        <v>0.27455763015183371</v>
      </c>
      <c r="H70" s="1">
        <v>0.30755837153525095</v>
      </c>
      <c r="I70" s="1">
        <v>0.28615336852595419</v>
      </c>
      <c r="K70" s="1">
        <f t="shared" si="3"/>
        <v>5</v>
      </c>
    </row>
    <row r="71" spans="3:12" x14ac:dyDescent="0.25">
      <c r="C71" s="9">
        <v>-0.04</v>
      </c>
      <c r="D71" s="1">
        <v>0.36107571642593078</v>
      </c>
      <c r="E71" s="1">
        <v>0.16724978060717724</v>
      </c>
      <c r="F71" s="1">
        <v>-0.39184807226995066</v>
      </c>
      <c r="G71" s="1">
        <v>0.27563661632101244</v>
      </c>
      <c r="H71" s="1">
        <v>0.29791816555230249</v>
      </c>
      <c r="I71" s="1">
        <v>0.28996779336352763</v>
      </c>
      <c r="K71" s="1">
        <f t="shared" si="3"/>
        <v>5</v>
      </c>
    </row>
    <row r="72" spans="3:12" x14ac:dyDescent="0.25">
      <c r="C72" s="9">
        <v>-2.9999999999999943E-2</v>
      </c>
      <c r="D72" s="1">
        <v>0.37418663888764475</v>
      </c>
      <c r="E72" s="1">
        <v>0.16517527010353442</v>
      </c>
      <c r="F72" s="1">
        <v>-0.39778060992500092</v>
      </c>
      <c r="G72" s="1">
        <v>0.27679676960545008</v>
      </c>
      <c r="H72" s="1">
        <v>0.28755277167307752</v>
      </c>
      <c r="I72" s="1">
        <v>0.29406915965529418</v>
      </c>
      <c r="K72" s="1">
        <f t="shared" si="3"/>
        <v>5</v>
      </c>
    </row>
    <row r="73" spans="3:12" x14ac:dyDescent="0.25">
      <c r="C73" s="9">
        <v>-1.9999999999999934E-2</v>
      </c>
      <c r="D73" s="1">
        <v>0.38832238133995228</v>
      </c>
      <c r="E73" s="1">
        <v>0.16293860473694921</v>
      </c>
      <c r="F73" s="1">
        <v>-0.40417686652901169</v>
      </c>
      <c r="G73" s="1">
        <v>0.2780476066904759</v>
      </c>
      <c r="H73" s="1">
        <v>0.27637716303674253</v>
      </c>
      <c r="I73" s="1">
        <v>0.29849111072489187</v>
      </c>
      <c r="K73" s="1">
        <f t="shared" si="3"/>
        <v>5</v>
      </c>
    </row>
    <row r="74" spans="3:12" x14ac:dyDescent="0.25">
      <c r="C74" s="9">
        <v>-9.9999999999999256E-3</v>
      </c>
      <c r="D74" s="1">
        <v>0.40360798902322575</v>
      </c>
      <c r="E74" s="1">
        <v>0.16051999889238608</v>
      </c>
      <c r="F74" s="1">
        <v>-0.41109342357723866</v>
      </c>
      <c r="G74" s="1">
        <v>0.27940019252188125</v>
      </c>
      <c r="H74" s="1">
        <v>0.26429247984354093</v>
      </c>
      <c r="I74" s="1">
        <v>0.30327276329620467</v>
      </c>
      <c r="K74" s="1">
        <f t="shared" si="3"/>
        <v>5</v>
      </c>
    </row>
    <row r="75" spans="3:12" x14ac:dyDescent="0.25">
      <c r="C75" s="9">
        <v>8.3266726846886741E-17</v>
      </c>
      <c r="D75" s="1">
        <v>0.42018971316419279</v>
      </c>
      <c r="E75" s="1">
        <v>0.15789631158133749</v>
      </c>
      <c r="F75" s="1">
        <v>-0.41859645802345763</v>
      </c>
      <c r="G75" s="1">
        <v>0.28086746851103905</v>
      </c>
      <c r="H75" s="1">
        <v>0.25118309700494285</v>
      </c>
      <c r="I75" s="1">
        <v>0.30845986776194539</v>
      </c>
      <c r="K75" s="1">
        <f t="shared" si="3"/>
        <v>5</v>
      </c>
    </row>
    <row r="76" spans="3:12" x14ac:dyDescent="0.25">
      <c r="C76" s="9">
        <v>1.0000000000000092E-2</v>
      </c>
      <c r="D76" s="1">
        <v>0.43823970531156103</v>
      </c>
      <c r="E76" s="1">
        <v>0.15504030366810867</v>
      </c>
      <c r="F76" s="1">
        <v>-0.42676386641141217</v>
      </c>
      <c r="G76" s="1">
        <v>0.28246466792511488</v>
      </c>
      <c r="H76" s="1">
        <v>0.23691291283821159</v>
      </c>
      <c r="I76" s="1">
        <v>0.31410627666841601</v>
      </c>
      <c r="K76" s="1">
        <f t="shared" si="3"/>
        <v>5</v>
      </c>
    </row>
    <row r="77" spans="3:12" x14ac:dyDescent="0.25">
      <c r="C77" s="9">
        <v>2.0000000000000101E-2</v>
      </c>
      <c r="D77" s="1">
        <v>0.4579620164522521</v>
      </c>
      <c r="E77" s="1">
        <v>0.15191968864373104</v>
      </c>
      <c r="F77" s="1">
        <v>-0.43568797940410492</v>
      </c>
      <c r="G77" s="1">
        <v>0.28420984673411104</v>
      </c>
      <c r="H77" s="1">
        <v>0.22132060621151442</v>
      </c>
      <c r="I77" s="1">
        <v>0.32027582136249627</v>
      </c>
      <c r="K77" s="1">
        <f t="shared" si="3"/>
        <v>5</v>
      </c>
    </row>
    <row r="78" spans="3:12" x14ac:dyDescent="0.25">
      <c r="C78" s="9">
        <v>3.000000000000011E-2</v>
      </c>
      <c r="D78" s="1">
        <v>0.47960034456499434</v>
      </c>
      <c r="E78" s="1">
        <v>0.14849590674873223</v>
      </c>
      <c r="F78" s="1">
        <v>-0.44547906746034471</v>
      </c>
      <c r="G78" s="1">
        <v>0.28612456917282902</v>
      </c>
      <c r="H78" s="1">
        <v>0.20421351138798485</v>
      </c>
      <c r="I78" s="1">
        <v>0.32704473558580427</v>
      </c>
      <c r="K78" s="1">
        <f t="shared" si="3"/>
        <v>5</v>
      </c>
    </row>
    <row r="79" spans="3:12" x14ac:dyDescent="0.25">
      <c r="C79" s="9">
        <v>4.0000000000000119E-2</v>
      </c>
      <c r="D79" s="1">
        <v>0.50344815547461008</v>
      </c>
      <c r="E79" s="1">
        <v>0.1447225235741042</v>
      </c>
      <c r="F79" s="1">
        <v>-0.45626992040184844</v>
      </c>
      <c r="G79" s="1">
        <v>0.28823480331037588</v>
      </c>
      <c r="H79" s="1">
        <v>0.18535961655661093</v>
      </c>
      <c r="I79" s="1">
        <v>0.33450482148614741</v>
      </c>
      <c r="K79" s="1">
        <f t="shared" si="3"/>
        <v>5</v>
      </c>
    </row>
    <row r="80" spans="3:12" x14ac:dyDescent="0.25">
      <c r="C80" s="9">
        <v>5.0000000000000128E-2</v>
      </c>
      <c r="D80" s="1">
        <v>0.52986207081989978</v>
      </c>
      <c r="E80" s="1">
        <v>0.14054311171455372</v>
      </c>
      <c r="F80" s="1">
        <v>-0.46822190531067814</v>
      </c>
      <c r="G80" s="1">
        <v>0.29057210571851555</v>
      </c>
      <c r="H80" s="1">
        <v>0.1644769794083891</v>
      </c>
      <c r="I80" s="1">
        <v>0.34276763764932006</v>
      </c>
      <c r="K80" s="1">
        <f t="shared" si="3"/>
        <v>5</v>
      </c>
    </row>
    <row r="81" spans="3:11" x14ac:dyDescent="0.25">
      <c r="C81" s="9">
        <v>6.0000000000000137E-2</v>
      </c>
      <c r="D81" s="1">
        <v>0.55927982353198613</v>
      </c>
      <c r="E81" s="1">
        <v>0.13588840971528574</v>
      </c>
      <c r="F81" s="1">
        <v>-0.48153309117124893</v>
      </c>
      <c r="G81" s="1">
        <v>0.29317521030778937</v>
      </c>
      <c r="H81" s="1">
        <v>0.14121953167403969</v>
      </c>
      <c r="I81" s="1">
        <v>0.35197011594214805</v>
      </c>
      <c r="K81" s="1">
        <f t="shared" si="3"/>
        <v>5</v>
      </c>
    </row>
    <row r="82" spans="3:11" x14ac:dyDescent="0.25">
      <c r="C82" s="9">
        <v>7.0000000000000145E-2</v>
      </c>
      <c r="D82" s="1">
        <v>0.59224470841669785</v>
      </c>
      <c r="E82" s="1">
        <v>0.13067245331371241</v>
      </c>
      <c r="F82" s="1">
        <v>-0.49644931247024793</v>
      </c>
      <c r="G82" s="1">
        <v>0.29609219189941888</v>
      </c>
      <c r="H82" s="1">
        <v>0.11515774868270912</v>
      </c>
      <c r="I82" s="1">
        <v>0.36228221015770973</v>
      </c>
      <c r="K82" s="1">
        <f t="shared" si="3"/>
        <v>5</v>
      </c>
    </row>
    <row r="83" spans="3:11" x14ac:dyDescent="0.25">
      <c r="C83" s="9">
        <v>8.0000000000000154E-2</v>
      </c>
      <c r="D83" s="1">
        <v>0.62943944478245761</v>
      </c>
      <c r="E83" s="1">
        <v>0.1247872174352824</v>
      </c>
      <c r="F83" s="1">
        <v>-0.51327949163604603</v>
      </c>
      <c r="G83" s="1">
        <v>0.2993834626459691</v>
      </c>
      <c r="H83" s="1">
        <v>8.5751877830304954E-2</v>
      </c>
      <c r="I83" s="1">
        <v>0.37391748894203208</v>
      </c>
      <c r="K83" s="1">
        <f t="shared" si="3"/>
        <v>5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2024-10-30T05:08:51Z</dcterms:modified>
</cp:coreProperties>
</file>