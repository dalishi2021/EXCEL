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practice\"/>
    </mc:Choice>
  </mc:AlternateContent>
  <xr:revisionPtr revIDLastSave="0" documentId="13_ncr:1_{00454D42-AB6C-4AF3-A492-B6CD6523261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1" l="1"/>
  <c r="B54" i="1"/>
  <c r="D53" i="1"/>
  <c r="B53" i="1"/>
  <c r="D52" i="1"/>
  <c r="D51" i="1"/>
  <c r="D50" i="1"/>
  <c r="D49" i="1"/>
  <c r="A32" i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12" i="1" a="1"/>
  <c r="A13" i="1" s="1"/>
  <c r="I6" i="1"/>
  <c r="G6" i="1"/>
  <c r="B52" i="1" s="1"/>
  <c r="C6" i="1"/>
  <c r="B6" i="1"/>
  <c r="A6" i="1"/>
  <c r="I5" i="1"/>
  <c r="G5" i="1"/>
  <c r="B51" i="1" s="1"/>
  <c r="B5" i="1"/>
  <c r="A5" i="1"/>
  <c r="I4" i="1"/>
  <c r="G4" i="1"/>
  <c r="B50" i="1" s="1"/>
  <c r="A4" i="1"/>
  <c r="D12" i="1" s="1" a="1"/>
  <c r="I3" i="1"/>
  <c r="G3" i="1"/>
  <c r="B49" i="1" s="1"/>
  <c r="F19" i="1"/>
  <c r="F18" i="1"/>
  <c r="F17" i="1"/>
  <c r="D15" i="1" l="1"/>
  <c r="E15" i="1" s="1"/>
  <c r="D14" i="1"/>
  <c r="D13" i="1"/>
  <c r="D12" i="1"/>
  <c r="A14" i="1"/>
  <c r="A15" i="1"/>
  <c r="B15" i="1" s="1"/>
  <c r="A12" i="1"/>
  <c r="B12" i="1" s="1"/>
  <c r="B19" i="1" l="1" a="1"/>
  <c r="B19" i="1" s="1"/>
  <c r="F25" i="1" s="1"/>
  <c r="B14" i="1"/>
  <c r="E12" i="1"/>
  <c r="E13" i="1"/>
  <c r="E14" i="1"/>
  <c r="B13" i="1"/>
  <c r="B17" i="1" s="1" a="1"/>
  <c r="B17" i="1" s="1"/>
  <c r="D18" i="1" l="1" a="1"/>
  <c r="D18" i="1" s="1"/>
  <c r="E25" i="1" s="1"/>
  <c r="D17" i="1" a="1"/>
  <c r="D17" i="1" s="1"/>
  <c r="B24" i="1" s="1"/>
  <c r="C30" i="1" s="1"/>
  <c r="B18" i="1" a="1"/>
  <c r="B18" i="1" s="1"/>
  <c r="B25" i="1" l="1"/>
  <c r="B26" i="1" s="1"/>
  <c r="B30" i="1" s="1"/>
  <c r="D25" i="1"/>
  <c r="D26" i="1" s="1"/>
</calcChain>
</file>

<file path=xl/sharedStrings.xml><?xml version="1.0" encoding="utf-8"?>
<sst xmlns="http://schemas.openxmlformats.org/spreadsheetml/2006/main" count="28" uniqueCount="26">
  <si>
    <t>A FOUR-ASSET PORTFOLIO PROBLEM</t>
  </si>
  <si>
    <t>Variance-covariance</t>
  </si>
  <si>
    <t>Mean returns</t>
  </si>
  <si>
    <t>St. dev.</t>
  </si>
  <si>
    <t>constant</t>
  </si>
  <si>
    <t>Constant</t>
  </si>
  <si>
    <t>Portfolio 1</t>
  </si>
  <si>
    <t>Portfolio 2</t>
  </si>
  <si>
    <t>Both these portfolios are efficient</t>
  </si>
  <si>
    <t>z</t>
  </si>
  <si>
    <t>x</t>
  </si>
  <si>
    <t>y</t>
  </si>
  <si>
    <t>Mean</t>
  </si>
  <si>
    <t>Variance</t>
  </si>
  <si>
    <t>Covariance</t>
  </si>
  <si>
    <t>Proportion of 1</t>
  </si>
  <si>
    <t>Portfolio mean</t>
  </si>
  <si>
    <t>Portfolio var.</t>
  </si>
  <si>
    <t>Portfolio st. dev.</t>
  </si>
  <si>
    <t>Data table of portfolios</t>
  </si>
  <si>
    <t>Stock A</t>
  </si>
  <si>
    <t>Stock B</t>
  </si>
  <si>
    <t>Stock C</t>
  </si>
  <si>
    <t>Stock D</t>
  </si>
  <si>
    <t>x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</si>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</sst>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Continuous"/>
    </xf>
    <xf numFmtId="0" fontId="0" fillId="0" borderId="0" xfId="0" applyAlignment="1"/>
    <xf numFmtId="0" fontId="4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10" fontId="0" fillId="0" borderId="0" xfId="1" applyNumberFormat="1" applyFont="1" applyAlignment="1"/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/>
    <xf numFmtId="0" fontId="0" fillId="0" borderId="0" xfId="0" applyAlignment="1">
      <alignment horizontal="left"/>
    </xf>
    <xf numFmtId="176" fontId="0" fillId="0" borderId="0" xfId="0" applyNumberFormat="1" applyAlignment="1"/>
    <xf numFmtId="10" fontId="0" fillId="0" borderId="0" xfId="1" applyNumberFormat="1" applyFont="1" applyAlignment="1">
      <alignment horizontal="right"/>
    </xf>
    <xf numFmtId="10" fontId="0" fillId="0" borderId="0" xfId="0" applyNumberFormat="1" applyAlignment="1">
      <alignment horizontal="right"/>
    </xf>
    <xf numFmtId="176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177" fontId="0" fillId="0" borderId="0" xfId="0" applyNumberFormat="1" applyAlignment="1">
      <alignment horizontal="right"/>
    </xf>
    <xf numFmtId="10" fontId="0" fillId="0" borderId="0" xfId="1" quotePrefix="1" applyNumberFormat="1" applyFont="1" applyAlignment="1"/>
    <xf numFmtId="176" fontId="0" fillId="0" borderId="0" xfId="0" quotePrefix="1" applyNumberFormat="1" applyAlignment="1"/>
    <xf numFmtId="10" fontId="0" fillId="0" borderId="0" xfId="0" applyNumberFormat="1" applyAlignment="1"/>
    <xf numFmtId="0" fontId="4" fillId="0" borderId="0" xfId="0" applyFont="1" applyAlignment="1"/>
    <xf numFmtId="0" fontId="0" fillId="0" borderId="0" xfId="0" quotePrefix="1" applyAlignment="1"/>
    <xf numFmtId="0" fontId="0" fillId="0" borderId="0" xfId="0" applyAlignment="1">
      <alignment horizontal="right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Efficient Frontier Showing the Individual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Sheet1!$B$31:$B$52</c:f>
              <c:numCache>
                <c:formatCode>0.00%</c:formatCode>
                <c:ptCount val="22"/>
                <c:pt idx="0">
                  <c:v>0.75520991031190621</c:v>
                </c:pt>
                <c:pt idx="1">
                  <c:v>0.6989151352546501</c:v>
                </c:pt>
                <c:pt idx="2">
                  <c:v>0.64337591753521428</c:v>
                </c:pt>
                <c:pt idx="3">
                  <c:v>0.58880610014000079</c:v>
                </c:pt>
                <c:pt idx="4">
                  <c:v>0.535502122480779</c:v>
                </c:pt>
                <c:pt idx="5">
                  <c:v>0.48388249619334917</c:v>
                </c:pt>
                <c:pt idx="6">
                  <c:v>0.434547885030797</c:v>
                </c:pt>
                <c:pt idx="7">
                  <c:v>0.38837006317263406</c:v>
                </c:pt>
                <c:pt idx="8">
                  <c:v>0.34661303333001997</c:v>
                </c:pt>
                <c:pt idx="9">
                  <c:v>0.31106226241912421</c:v>
                </c:pt>
                <c:pt idx="10">
                  <c:v>0.28405759037546491</c:v>
                </c:pt>
                <c:pt idx="11">
                  <c:v>0.26819311236508575</c:v>
                </c:pt>
                <c:pt idx="12">
                  <c:v>0.26547358383043013</c:v>
                </c:pt>
                <c:pt idx="13">
                  <c:v>0.27628743949918916</c:v>
                </c:pt>
                <c:pt idx="14">
                  <c:v>0.29917072393502758</c:v>
                </c:pt>
                <c:pt idx="15">
                  <c:v>0.33163435017522497</c:v>
                </c:pt>
                <c:pt idx="16">
                  <c:v>0.37117301854259838</c:v>
                </c:pt>
                <c:pt idx="17">
                  <c:v>0.41577316471057679</c:v>
                </c:pt>
                <c:pt idx="18">
                  <c:v>0.31622776601683794</c:v>
                </c:pt>
                <c:pt idx="19">
                  <c:v>0.54772255750516607</c:v>
                </c:pt>
                <c:pt idx="20">
                  <c:v>0.63245553203367588</c:v>
                </c:pt>
                <c:pt idx="21">
                  <c:v>0.70710678118654757</c:v>
                </c:pt>
              </c:numCache>
            </c:numRef>
          </c:xVal>
          <c:yVal>
            <c:numRef>
              <c:f>Sheet1!$C$31:$C$52</c:f>
              <c:numCache>
                <c:formatCode>0.00%</c:formatCode>
                <c:ptCount val="22"/>
                <c:pt idx="0">
                  <c:v>0.17374718362614466</c:v>
                </c:pt>
                <c:pt idx="1">
                  <c:v>0.16541149702232899</c:v>
                </c:pt>
                <c:pt idx="2">
                  <c:v>0.15707581041851337</c:v>
                </c:pt>
                <c:pt idx="3">
                  <c:v>0.14874012381469776</c:v>
                </c:pt>
                <c:pt idx="4">
                  <c:v>0.14040443721088211</c:v>
                </c:pt>
                <c:pt idx="5">
                  <c:v>0.13206875060706647</c:v>
                </c:pt>
                <c:pt idx="6">
                  <c:v>0.12373306400325083</c:v>
                </c:pt>
                <c:pt idx="7">
                  <c:v>0.1153973773994352</c:v>
                </c:pt>
                <c:pt idx="8">
                  <c:v>0.10706169079561956</c:v>
                </c:pt>
                <c:pt idx="9">
                  <c:v>9.8726004191803926E-2</c:v>
                </c:pt>
                <c:pt idx="10">
                  <c:v>9.0390317587988295E-2</c:v>
                </c:pt>
                <c:pt idx="11">
                  <c:v>8.205463098417265E-2</c:v>
                </c:pt>
                <c:pt idx="12">
                  <c:v>7.3718944380357018E-2</c:v>
                </c:pt>
                <c:pt idx="13">
                  <c:v>6.5383257776541387E-2</c:v>
                </c:pt>
                <c:pt idx="14">
                  <c:v>5.7047571172725769E-2</c:v>
                </c:pt>
                <c:pt idx="15">
                  <c:v>4.8711884568910124E-2</c:v>
                </c:pt>
                <c:pt idx="16">
                  <c:v>4.0376197965094507E-2</c:v>
                </c:pt>
                <c:pt idx="17">
                  <c:v>3.2040511361278834E-2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68-4DAF-B9AE-BE25F0894C5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Sheet1!$B$49:$B$52</c:f>
              <c:numCache>
                <c:formatCode>0.00%</c:formatCode>
                <c:ptCount val="4"/>
                <c:pt idx="0">
                  <c:v>0.31622776601683794</c:v>
                </c:pt>
                <c:pt idx="1">
                  <c:v>0.54772255750516607</c:v>
                </c:pt>
                <c:pt idx="2">
                  <c:v>0.63245553203367588</c:v>
                </c:pt>
                <c:pt idx="3">
                  <c:v>0.70710678118654757</c:v>
                </c:pt>
              </c:numCache>
            </c:numRef>
          </c:xVal>
          <c:yVal>
            <c:numRef>
              <c:f>Sheet1!$D$49:$D$52</c:f>
              <c:numCache>
                <c:formatCode>0.00%</c:formatCode>
                <c:ptCount val="4"/>
                <c:pt idx="0">
                  <c:v>0.06</c:v>
                </c:pt>
                <c:pt idx="1">
                  <c:v>0.08</c:v>
                </c:pt>
                <c:pt idx="2">
                  <c:v>0.1</c:v>
                </c:pt>
                <c:pt idx="3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68-4DAF-B9AE-BE25F0894C55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Sheet1!$B$53:$B$54</c:f>
              <c:numCache>
                <c:formatCode>0.00%</c:formatCode>
                <c:ptCount val="2"/>
                <c:pt idx="0">
                  <c:v>0.29366637456795341</c:v>
                </c:pt>
                <c:pt idx="1">
                  <c:v>0.45395907855354162</c:v>
                </c:pt>
              </c:numCache>
            </c:numRef>
          </c:xVal>
          <c:yVal>
            <c:numRef>
              <c:f>Sheet1!$D$53:$D$54</c:f>
              <c:numCache>
                <c:formatCode>0.00%</c:formatCode>
                <c:ptCount val="2"/>
                <c:pt idx="0">
                  <c:v>9.3724592229514556E-2</c:v>
                </c:pt>
                <c:pt idx="1">
                  <c:v>0.12706733864477709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68-4DAF-B9AE-BE25F0894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710072"/>
        <c:axId val="1048711512"/>
      </c:scatterChart>
      <c:valAx>
        <c:axId val="1048710072"/>
        <c:scaling>
          <c:orientation val="minMax"/>
          <c:min val="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Standard deviation of portfolio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8711512"/>
        <c:crosses val="autoZero"/>
        <c:crossBetween val="midCat"/>
      </c:valAx>
      <c:valAx>
        <c:axId val="1048711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Expected 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8710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554831</xdr:colOff>
      <xdr:row>0</xdr:row>
      <xdr:rowOff>201216</xdr:rowOff>
    </xdr:from>
    <xdr:to>
      <xdr:col>22</xdr:col>
      <xdr:colOff>98107</xdr:colOff>
      <xdr:row>53</xdr:row>
      <xdr:rowOff>1003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8122EB5-524E-2992-F510-6E2492827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383065" y="201216"/>
          <a:ext cx="6822281" cy="897731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3</xdr:col>
      <xdr:colOff>220579</xdr:colOff>
      <xdr:row>29</xdr:row>
      <xdr:rowOff>35793</xdr:rowOff>
    </xdr:from>
    <xdr:to>
      <xdr:col>10</xdr:col>
      <xdr:colOff>98358</xdr:colOff>
      <xdr:row>45</xdr:row>
      <xdr:rowOff>55645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705C933-9CE7-9197-2DB9-9F68714F0E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446172</xdr:colOff>
      <xdr:row>37</xdr:row>
      <xdr:rowOff>135355</xdr:rowOff>
    </xdr:from>
    <xdr:to>
      <xdr:col>6</xdr:col>
      <xdr:colOff>297140</xdr:colOff>
      <xdr:row>39</xdr:row>
      <xdr:rowOff>116401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1F6BDD8F-7229-7137-6DDB-06A612CB9F9D}"/>
            </a:ext>
          </a:extLst>
        </xdr:cNvPr>
        <xdr:cNvSpPr txBox="1">
          <a:spLocks noChangeArrowheads="1"/>
        </xdr:cNvSpPr>
      </xdr:nvSpPr>
      <xdr:spPr bwMode="auto">
        <a:xfrm>
          <a:off x="3890211" y="6471987"/>
          <a:ext cx="708218" cy="321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A</a:t>
          </a:r>
        </a:p>
      </xdr:txBody>
    </xdr:sp>
    <xdr:clientData/>
  </xdr:twoCellAnchor>
  <xdr:twoCellAnchor>
    <xdr:from>
      <xdr:col>5</xdr:col>
      <xdr:colOff>446172</xdr:colOff>
      <xdr:row>37</xdr:row>
      <xdr:rowOff>135355</xdr:rowOff>
    </xdr:from>
    <xdr:to>
      <xdr:col>6</xdr:col>
      <xdr:colOff>299045</xdr:colOff>
      <xdr:row>39</xdr:row>
      <xdr:rowOff>116401</xdr:rowOff>
    </xdr:to>
    <xdr:sp macro="" textlink="">
      <xdr:nvSpPr>
        <xdr:cNvPr id="5" name="Text Box 3">
          <a:extLst>
            <a:ext uri="{FF2B5EF4-FFF2-40B4-BE49-F238E27FC236}">
              <a16:creationId xmlns:a16="http://schemas.microsoft.com/office/drawing/2014/main" id="{6A37404D-B299-4A50-A632-4A17E94BAF2C}"/>
            </a:ext>
          </a:extLst>
        </xdr:cNvPr>
        <xdr:cNvSpPr txBox="1">
          <a:spLocks noChangeArrowheads="1"/>
        </xdr:cNvSpPr>
      </xdr:nvSpPr>
      <xdr:spPr bwMode="auto">
        <a:xfrm>
          <a:off x="3890211" y="6471987"/>
          <a:ext cx="710123" cy="321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A</a:t>
          </a:r>
        </a:p>
      </xdr:txBody>
    </xdr:sp>
    <xdr:clientData/>
  </xdr:twoCellAnchor>
  <xdr:twoCellAnchor>
    <xdr:from>
      <xdr:col>6</xdr:col>
      <xdr:colOff>604688</xdr:colOff>
      <xdr:row>38</xdr:row>
      <xdr:rowOff>91440</xdr:rowOff>
    </xdr:from>
    <xdr:to>
      <xdr:col>7</xdr:col>
      <xdr:colOff>703205</xdr:colOff>
      <xdr:row>40</xdr:row>
      <xdr:rowOff>76295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id="{7FABC47B-2343-3091-BD9D-052877DD1B11}"/>
            </a:ext>
          </a:extLst>
        </xdr:cNvPr>
        <xdr:cNvSpPr txBox="1">
          <a:spLocks noChangeArrowheads="1"/>
        </xdr:cNvSpPr>
      </xdr:nvSpPr>
      <xdr:spPr bwMode="auto">
        <a:xfrm>
          <a:off x="4905977" y="6598519"/>
          <a:ext cx="710123" cy="32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</a:t>
          </a:r>
          <a:r>
            <a:rPr lang="en-US" altLang="zh-CN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endParaRPr lang="zh-CN" altLang="en-US" sz="925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604688</xdr:colOff>
      <xdr:row>38</xdr:row>
      <xdr:rowOff>91440</xdr:rowOff>
    </xdr:from>
    <xdr:to>
      <xdr:col>7</xdr:col>
      <xdr:colOff>707015</xdr:colOff>
      <xdr:row>40</xdr:row>
      <xdr:rowOff>76295</xdr:rowOff>
    </xdr:to>
    <xdr:sp macro="" textlink="">
      <xdr:nvSpPr>
        <xdr:cNvPr id="7" name="Text Box 3">
          <a:extLst>
            <a:ext uri="{FF2B5EF4-FFF2-40B4-BE49-F238E27FC236}">
              <a16:creationId xmlns:a16="http://schemas.microsoft.com/office/drawing/2014/main" id="{2F1AB9B5-A030-422D-BA39-7FA7C5173465}"/>
            </a:ext>
          </a:extLst>
        </xdr:cNvPr>
        <xdr:cNvSpPr txBox="1">
          <a:spLocks noChangeArrowheads="1"/>
        </xdr:cNvSpPr>
      </xdr:nvSpPr>
      <xdr:spPr bwMode="auto">
        <a:xfrm>
          <a:off x="4905977" y="6598519"/>
          <a:ext cx="713933" cy="32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</a:t>
          </a:r>
          <a:r>
            <a:rPr lang="en-US" altLang="zh-CN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endParaRPr lang="zh-CN" altLang="en-US" sz="925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56348</xdr:colOff>
      <xdr:row>37</xdr:row>
      <xdr:rowOff>75197</xdr:rowOff>
    </xdr:from>
    <xdr:to>
      <xdr:col>9</xdr:col>
      <xdr:colOff>111653</xdr:colOff>
      <xdr:row>39</xdr:row>
      <xdr:rowOff>56243</xdr:rowOff>
    </xdr:to>
    <xdr:sp macro="" textlink="">
      <xdr:nvSpPr>
        <xdr:cNvPr id="8" name="Text Box 3">
          <a:extLst>
            <a:ext uri="{FF2B5EF4-FFF2-40B4-BE49-F238E27FC236}">
              <a16:creationId xmlns:a16="http://schemas.microsoft.com/office/drawing/2014/main" id="{521A2915-C8D7-D4C2-90A7-EE873C8B39C9}"/>
            </a:ext>
          </a:extLst>
        </xdr:cNvPr>
        <xdr:cNvSpPr txBox="1">
          <a:spLocks noChangeArrowheads="1"/>
        </xdr:cNvSpPr>
      </xdr:nvSpPr>
      <xdr:spPr bwMode="auto">
        <a:xfrm>
          <a:off x="5701164" y="6411829"/>
          <a:ext cx="712028" cy="321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</a:t>
          </a:r>
          <a:r>
            <a:rPr lang="en-US" altLang="zh-CN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endParaRPr lang="zh-CN" altLang="en-US" sz="925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56348</xdr:colOff>
      <xdr:row>37</xdr:row>
      <xdr:rowOff>75197</xdr:rowOff>
    </xdr:from>
    <xdr:to>
      <xdr:col>9</xdr:col>
      <xdr:colOff>111653</xdr:colOff>
      <xdr:row>39</xdr:row>
      <xdr:rowOff>56243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id="{6CF92D9B-DF62-42CB-92F3-903B020B8BBD}"/>
            </a:ext>
          </a:extLst>
        </xdr:cNvPr>
        <xdr:cNvSpPr txBox="1">
          <a:spLocks noChangeArrowheads="1"/>
        </xdr:cNvSpPr>
      </xdr:nvSpPr>
      <xdr:spPr bwMode="auto">
        <a:xfrm>
          <a:off x="5701164" y="6411829"/>
          <a:ext cx="712028" cy="321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</a:t>
          </a:r>
          <a:r>
            <a:rPr lang="en-US" altLang="zh-CN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endParaRPr lang="zh-CN" altLang="en-US" sz="925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481264</xdr:colOff>
      <xdr:row>34</xdr:row>
      <xdr:rowOff>150395</xdr:rowOff>
    </xdr:from>
    <xdr:to>
      <xdr:col>9</xdr:col>
      <xdr:colOff>532759</xdr:colOff>
      <xdr:row>36</xdr:row>
      <xdr:rowOff>135250</xdr:rowOff>
    </xdr:to>
    <xdr:sp macro="" textlink="">
      <xdr:nvSpPr>
        <xdr:cNvPr id="10" name="Text Box 3">
          <a:extLst>
            <a:ext uri="{FF2B5EF4-FFF2-40B4-BE49-F238E27FC236}">
              <a16:creationId xmlns:a16="http://schemas.microsoft.com/office/drawing/2014/main" id="{C8695872-8FA1-0F05-C0D9-2F871C5010E9}"/>
            </a:ext>
          </a:extLst>
        </xdr:cNvPr>
        <xdr:cNvSpPr txBox="1">
          <a:spLocks noChangeArrowheads="1"/>
        </xdr:cNvSpPr>
      </xdr:nvSpPr>
      <xdr:spPr bwMode="auto">
        <a:xfrm>
          <a:off x="6126080" y="5975684"/>
          <a:ext cx="708218" cy="32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</a:t>
          </a:r>
          <a:r>
            <a:rPr lang="en-US" altLang="zh-CN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D</a:t>
          </a:r>
          <a:endParaRPr lang="zh-CN" altLang="en-US" sz="925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446172</xdr:colOff>
      <xdr:row>37</xdr:row>
      <xdr:rowOff>135355</xdr:rowOff>
    </xdr:from>
    <xdr:to>
      <xdr:col>6</xdr:col>
      <xdr:colOff>300950</xdr:colOff>
      <xdr:row>39</xdr:row>
      <xdr:rowOff>116401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A962A95A-1A38-4F94-AD57-40D292F98E42}"/>
            </a:ext>
          </a:extLst>
        </xdr:cNvPr>
        <xdr:cNvSpPr txBox="1">
          <a:spLocks noChangeArrowheads="1"/>
        </xdr:cNvSpPr>
      </xdr:nvSpPr>
      <xdr:spPr bwMode="auto">
        <a:xfrm>
          <a:off x="3890211" y="6471987"/>
          <a:ext cx="712028" cy="321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zh-CN" altLang="en-US" sz="925" b="0" i="0" u="none" strike="noStrike" baseline="0">
              <a:solidFill>
                <a:srgbClr val="000000"/>
              </a:solidFill>
              <a:latin typeface="Arial"/>
              <a:cs typeface="Arial"/>
            </a:rPr>
            <a:t>Stock A</a:t>
          </a:r>
        </a:p>
      </xdr:txBody>
    </xdr:sp>
    <xdr:clientData/>
  </xdr:twoCellAnchor>
  <xdr:twoCellAnchor>
    <xdr:from>
      <xdr:col>5</xdr:col>
      <xdr:colOff>28175</xdr:colOff>
      <xdr:row>34</xdr:row>
      <xdr:rowOff>168543</xdr:rowOff>
    </xdr:from>
    <xdr:to>
      <xdr:col>5</xdr:col>
      <xdr:colOff>738298</xdr:colOff>
      <xdr:row>36</xdr:row>
      <xdr:rowOff>157208</xdr:rowOff>
    </xdr:to>
    <xdr:sp macro="" textlink="">
      <xdr:nvSpPr>
        <xdr:cNvPr id="13" name="Text Box 3">
          <a:extLst>
            <a:ext uri="{FF2B5EF4-FFF2-40B4-BE49-F238E27FC236}">
              <a16:creationId xmlns:a16="http://schemas.microsoft.com/office/drawing/2014/main" id="{391F11EE-E368-484B-BDFC-2D49188316CC}"/>
            </a:ext>
          </a:extLst>
        </xdr:cNvPr>
        <xdr:cNvSpPr txBox="1">
          <a:spLocks noChangeArrowheads="1"/>
        </xdr:cNvSpPr>
      </xdr:nvSpPr>
      <xdr:spPr bwMode="auto">
        <a:xfrm>
          <a:off x="3472214" y="5993832"/>
          <a:ext cx="710123" cy="32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n-US" altLang="zh-CN" sz="2400" b="0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zh-CN" altLang="en-US" sz="24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158518</xdr:colOff>
      <xdr:row>33</xdr:row>
      <xdr:rowOff>93346</xdr:rowOff>
    </xdr:from>
    <xdr:to>
      <xdr:col>7</xdr:col>
      <xdr:colOff>260845</xdr:colOff>
      <xdr:row>35</xdr:row>
      <xdr:rowOff>83916</xdr:rowOff>
    </xdr:to>
    <xdr:sp macro="" textlink="">
      <xdr:nvSpPr>
        <xdr:cNvPr id="14" name="Text Box 3">
          <a:extLst>
            <a:ext uri="{FF2B5EF4-FFF2-40B4-BE49-F238E27FC236}">
              <a16:creationId xmlns:a16="http://schemas.microsoft.com/office/drawing/2014/main" id="{663C8A08-C295-A69A-3557-2D7105BDDB63}"/>
            </a:ext>
          </a:extLst>
        </xdr:cNvPr>
        <xdr:cNvSpPr txBox="1">
          <a:spLocks noChangeArrowheads="1"/>
        </xdr:cNvSpPr>
      </xdr:nvSpPr>
      <xdr:spPr bwMode="auto">
        <a:xfrm>
          <a:off x="4459807" y="5748188"/>
          <a:ext cx="713933" cy="331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n-US" altLang="zh-CN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Y</a:t>
          </a:r>
          <a:endParaRPr lang="zh-CN" altLang="en-US" sz="1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（中文）"/>
      <sheetName val="Exercise 2"/>
      <sheetName val="Exercise 2（中文）"/>
      <sheetName val="Exercise 3"/>
      <sheetName val="Exercise 3（中文）"/>
      <sheetName val="Exercise 4"/>
      <sheetName val="Exercise 4（中文）"/>
      <sheetName val="Page 285 chart"/>
      <sheetName val="Page 285 chart（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56"/>
  <sheetViews>
    <sheetView tabSelected="1" topLeftCell="A37" zoomScale="190" zoomScaleNormal="190" workbookViewId="0">
      <selection activeCell="G50" sqref="G50"/>
    </sheetView>
  </sheetViews>
  <sheetFormatPr defaultRowHeight="13.8" x14ac:dyDescent="0.25"/>
  <cols>
    <col min="1" max="1" width="13.6640625" style="3" customWidth="1"/>
    <col min="2" max="2" width="9.88671875" style="3" customWidth="1"/>
    <col min="3" max="5" width="8.88671875" style="3"/>
    <col min="6" max="6" width="12.5546875" style="3" customWidth="1"/>
    <col min="7" max="7" width="8.88671875" style="3"/>
    <col min="8" max="8" width="10.6640625" style="3" customWidth="1"/>
    <col min="9" max="9" width="9.5546875" style="3" customWidth="1"/>
    <col min="10" max="10" width="8.88671875" style="3"/>
  </cols>
  <sheetData>
    <row r="1" spans="1:9" ht="15.6" x14ac:dyDescent="0.3">
      <c r="A1" s="1" t="s">
        <v>0</v>
      </c>
      <c r="B1" s="1"/>
      <c r="C1" s="1"/>
      <c r="D1" s="1"/>
      <c r="E1" s="1"/>
      <c r="F1" s="1"/>
      <c r="G1" s="2"/>
      <c r="H1" s="2"/>
      <c r="I1" s="2"/>
    </row>
    <row r="2" spans="1:9" x14ac:dyDescent="0.25">
      <c r="A2" s="4" t="s">
        <v>1</v>
      </c>
      <c r="B2" s="4"/>
      <c r="C2" s="4"/>
      <c r="D2" s="4"/>
      <c r="F2" s="3" t="s">
        <v>2</v>
      </c>
      <c r="G2" s="3" t="s">
        <v>3</v>
      </c>
      <c r="I2" s="3" t="s">
        <v>4</v>
      </c>
    </row>
    <row r="3" spans="1:9" x14ac:dyDescent="0.25">
      <c r="A3" s="5">
        <v>0.1</v>
      </c>
      <c r="B3" s="5">
        <v>0.01</v>
      </c>
      <c r="C3" s="5">
        <v>0.03</v>
      </c>
      <c r="D3" s="5">
        <v>0.05</v>
      </c>
      <c r="F3" s="6">
        <v>0.06</v>
      </c>
      <c r="G3" s="7">
        <f>SQRT(A3)</f>
        <v>0.31622776601683794</v>
      </c>
      <c r="I3" s="6">
        <f>F3-$B$8</f>
        <v>9.999999999999995E-3</v>
      </c>
    </row>
    <row r="4" spans="1:9" x14ac:dyDescent="0.25">
      <c r="A4" s="5">
        <f>B3</f>
        <v>0.01</v>
      </c>
      <c r="B4" s="5">
        <v>0.3</v>
      </c>
      <c r="C4" s="5">
        <v>0.06</v>
      </c>
      <c r="D4" s="5">
        <v>-0.04</v>
      </c>
      <c r="F4" s="6">
        <v>0.08</v>
      </c>
      <c r="G4" s="7">
        <f>SQRT(B4)</f>
        <v>0.54772255750516607</v>
      </c>
      <c r="I4" s="6">
        <f>F4-$B$8</f>
        <v>0.03</v>
      </c>
    </row>
    <row r="5" spans="1:9" x14ac:dyDescent="0.25">
      <c r="A5" s="5">
        <f>C3</f>
        <v>0.03</v>
      </c>
      <c r="B5" s="5">
        <f>C4</f>
        <v>0.06</v>
      </c>
      <c r="C5" s="5">
        <v>0.4</v>
      </c>
      <c r="D5" s="5">
        <v>0.02</v>
      </c>
      <c r="F5" s="6">
        <v>0.1</v>
      </c>
      <c r="G5" s="7">
        <f>SQRT(C5)</f>
        <v>0.63245553203367588</v>
      </c>
      <c r="I5" s="6">
        <f>F5-$B$8</f>
        <v>0.05</v>
      </c>
    </row>
    <row r="6" spans="1:9" x14ac:dyDescent="0.25">
      <c r="A6" s="5">
        <f>D3</f>
        <v>0.05</v>
      </c>
      <c r="B6" s="5">
        <f>D4</f>
        <v>-0.04</v>
      </c>
      <c r="C6" s="5">
        <f>D5</f>
        <v>0.02</v>
      </c>
      <c r="D6" s="5">
        <v>0.5</v>
      </c>
      <c r="F6" s="6">
        <v>0.15</v>
      </c>
      <c r="G6" s="7">
        <f>SQRT(D6)</f>
        <v>0.70710678118654757</v>
      </c>
      <c r="I6" s="6">
        <f>F6-$B$8</f>
        <v>9.9999999999999992E-2</v>
      </c>
    </row>
    <row r="8" spans="1:9" x14ac:dyDescent="0.25">
      <c r="A8" s="3" t="s">
        <v>5</v>
      </c>
      <c r="B8" s="3">
        <v>0.05</v>
      </c>
    </row>
    <row r="9" spans="1:9" x14ac:dyDescent="0.25">
      <c r="F9" s="8"/>
      <c r="G9" s="9"/>
    </row>
    <row r="10" spans="1:9" x14ac:dyDescent="0.25">
      <c r="A10" s="10" t="s">
        <v>6</v>
      </c>
      <c r="D10" s="10" t="s">
        <v>7</v>
      </c>
      <c r="F10" s="3" t="s">
        <v>8</v>
      </c>
      <c r="H10" s="11"/>
      <c r="I10" s="9"/>
    </row>
    <row r="11" spans="1:9" x14ac:dyDescent="0.25">
      <c r="A11" s="9" t="s">
        <v>9</v>
      </c>
      <c r="B11" s="8" t="s">
        <v>10</v>
      </c>
      <c r="C11" s="9"/>
      <c r="D11" s="9" t="s">
        <v>9</v>
      </c>
      <c r="E11" s="8" t="s">
        <v>11</v>
      </c>
    </row>
    <row r="12" spans="1:9" x14ac:dyDescent="0.25">
      <c r="A12" s="12">
        <f t="array" ref="A12:A15">MMULT(MINVERSE(A3:D6),F3:F6)</f>
        <v>0.38610628324643165</v>
      </c>
      <c r="B12" s="13">
        <f>A12/SUM($A$12:$A$15)</f>
        <v>0.35527263160809713</v>
      </c>
      <c r="D12" s="12">
        <f t="array" ref="D12:D15">MMULT(MINVERSE(A3:D6),I3:I6)</f>
        <v>-4.6031495233580917E-2</v>
      </c>
      <c r="E12" s="14">
        <f>D12/SUM($D$12:$D$15)</f>
        <v>-0.12308868501529065</v>
      </c>
    </row>
    <row r="13" spans="1:9" x14ac:dyDescent="0.25">
      <c r="A13" s="12">
        <v>0.25673204974832409</v>
      </c>
      <c r="B13" s="13">
        <f>A13/SUM($A$12:$A$15)</f>
        <v>0.23622995763063889</v>
      </c>
      <c r="D13" s="12">
        <v>0.10911224973478097</v>
      </c>
      <c r="E13" s="14">
        <f>D13/SUM($D$12:$D$15)</f>
        <v>0.2917672621921778</v>
      </c>
      <c r="G13" s="15"/>
    </row>
    <row r="14" spans="1:9" x14ac:dyDescent="0.25">
      <c r="A14" s="12">
        <v>0.16877337125401595</v>
      </c>
      <c r="B14" s="13">
        <f>A14/SUM($A$12:$A$15)</f>
        <v>0.15529547783223951</v>
      </c>
      <c r="D14" s="12">
        <v>0.10162216253225893</v>
      </c>
      <c r="E14" s="14">
        <f>D14/SUM($D$12:$D$15)</f>
        <v>0.27173869306293263</v>
      </c>
      <c r="G14" s="15"/>
    </row>
    <row r="15" spans="1:9" x14ac:dyDescent="0.25">
      <c r="A15" s="12">
        <v>0.27517700080506213</v>
      </c>
      <c r="B15" s="13">
        <f>A15/SUM($A$12:$A$15)</f>
        <v>0.25320193292902443</v>
      </c>
      <c r="D15" s="12">
        <v>0.2092672430008502</v>
      </c>
      <c r="E15" s="14">
        <f>D15/SUM($D$12:$D$15)</f>
        <v>0.55958272976018031</v>
      </c>
      <c r="G15" s="15"/>
    </row>
    <row r="16" spans="1:9" x14ac:dyDescent="0.25">
      <c r="G16" s="15"/>
    </row>
    <row r="17" spans="1:7" x14ac:dyDescent="0.25">
      <c r="A17" s="16" t="s">
        <v>12</v>
      </c>
      <c r="B17" s="17">
        <f t="array" ref="B17">MMULT(TRANSPOSE(B12:B15),F3:F6)</f>
        <v>9.3724592229514556E-2</v>
      </c>
      <c r="C17" s="17"/>
      <c r="D17" s="17">
        <f t="array" ref="D17">MMULT(TRANSPOSE(E12:E15),F3:F6)</f>
        <v>0.12706733864477709</v>
      </c>
      <c r="F17" s="3" t="str">
        <f ca="1">_xlfn.FORMULATEXT(D17)</f>
        <v>{=MMULT(TRANSPOSE(E12:E15),F3:F6)}</v>
      </c>
      <c r="G17" s="15"/>
    </row>
    <row r="18" spans="1:7" x14ac:dyDescent="0.25">
      <c r="A18" s="16" t="s">
        <v>13</v>
      </c>
      <c r="B18" s="17">
        <f t="array" ref="B18">MMULT(MMULT(TRANSPOSE(B12:B15),A3:D6),B12:B15)</f>
        <v>8.6239939551885511E-2</v>
      </c>
      <c r="C18" s="17"/>
      <c r="D18" s="17">
        <f t="array" ref="D18">MMULT(MMULT(TRANSPOSE(E12:E15),A3:D6),E12:E15)</f>
        <v>0.20607884500118057</v>
      </c>
      <c r="F18" s="3" t="str">
        <f ca="1">_xlfn.FORMULATEXT(D18)</f>
        <v>{=MMULT(MMULT(TRANSPOSE(E12:E15),A3:D6),E12:E15)}</v>
      </c>
    </row>
    <row r="19" spans="1:7" x14ac:dyDescent="0.25">
      <c r="A19" s="16" t="s">
        <v>14</v>
      </c>
      <c r="B19" s="17">
        <f t="array" ref="B19">MMULT(MMULT(TRANSPOSE(B12:B15),A3:D6),E12:E15)</f>
        <v>0.11692000299035391</v>
      </c>
      <c r="C19" s="17"/>
      <c r="D19" s="17"/>
      <c r="F19" s="3" t="str">
        <f ca="1">_xlfn.FORMULATEXT(B19)</f>
        <v>{=MMULT(MMULT(TRANSPOSE(B12:B15),A3:D6),E12:E15)}</v>
      </c>
    </row>
    <row r="20" spans="1:7" x14ac:dyDescent="0.25">
      <c r="A20" s="9"/>
      <c r="B20" s="9"/>
      <c r="C20" s="9"/>
    </row>
    <row r="21" spans="1:7" x14ac:dyDescent="0.25">
      <c r="A21" s="9"/>
      <c r="B21" s="9"/>
      <c r="C21" s="9"/>
    </row>
    <row r="22" spans="1:7" x14ac:dyDescent="0.25">
      <c r="A22" s="9"/>
      <c r="B22" s="9"/>
      <c r="C22" s="9"/>
    </row>
    <row r="23" spans="1:7" x14ac:dyDescent="0.25">
      <c r="A23" s="3" t="s">
        <v>15</v>
      </c>
      <c r="B23" s="3">
        <v>-0.9</v>
      </c>
    </row>
    <row r="24" spans="1:7" x14ac:dyDescent="0.25">
      <c r="A24" s="3" t="s">
        <v>16</v>
      </c>
      <c r="B24" s="7">
        <f>B23*B17+(1-B23)*D17</f>
        <v>0.15707581041851337</v>
      </c>
    </row>
    <row r="25" spans="1:7" x14ac:dyDescent="0.25">
      <c r="A25" s="3" t="s">
        <v>17</v>
      </c>
      <c r="B25" s="7">
        <f>B23^2*B18+(1-B23)^2*D18+2*B23*(1-B23)*B19</f>
        <v>0.41393257126427879</v>
      </c>
      <c r="D25" s="3">
        <f>B18*B23^2</f>
        <v>6.9854351037027265E-2</v>
      </c>
      <c r="E25" s="3">
        <f>(1-B23)^2*D18</f>
        <v>0.74394463045426185</v>
      </c>
      <c r="F25" s="3">
        <f>2*B23*(1-B23)*B19</f>
        <v>-0.39986641022701036</v>
      </c>
    </row>
    <row r="26" spans="1:7" x14ac:dyDescent="0.25">
      <c r="A26" s="7" t="s">
        <v>18</v>
      </c>
      <c r="B26" s="18">
        <f>SQRT(B25)</f>
        <v>0.64337591753521428</v>
      </c>
      <c r="D26" s="3">
        <f>SUM(D25:F25)</f>
        <v>0.41393257126427879</v>
      </c>
    </row>
    <row r="27" spans="1:7" x14ac:dyDescent="0.25">
      <c r="A27" s="18"/>
      <c r="B27" s="19"/>
    </row>
    <row r="28" spans="1:7" x14ac:dyDescent="0.25">
      <c r="A28" s="18"/>
      <c r="B28" s="19"/>
    </row>
    <row r="29" spans="1:7" x14ac:dyDescent="0.25">
      <c r="A29" s="10" t="s">
        <v>19</v>
      </c>
      <c r="B29" s="19"/>
    </row>
    <row r="30" spans="1:7" x14ac:dyDescent="0.25">
      <c r="A30" s="3" t="s">
        <v>15</v>
      </c>
      <c r="B30" s="19">
        <f>B26</f>
        <v>0.64337591753521428</v>
      </c>
      <c r="C30" s="20">
        <f>B24</f>
        <v>0.15707581041851337</v>
      </c>
    </row>
    <row r="31" spans="1:7" x14ac:dyDescent="0.25">
      <c r="A31" s="21">
        <v>-1.4</v>
      </c>
      <c r="B31" s="7">
        <v>0.75520991031190621</v>
      </c>
      <c r="C31" s="7">
        <v>0.17374718362614466</v>
      </c>
      <c r="D31" s="7"/>
    </row>
    <row r="32" spans="1:7" x14ac:dyDescent="0.25">
      <c r="A32" s="3">
        <f>A31+0.25</f>
        <v>-1.1499999999999999</v>
      </c>
      <c r="B32" s="7">
        <v>0.6989151352546501</v>
      </c>
      <c r="C32" s="7">
        <v>0.16541149702232899</v>
      </c>
      <c r="D32" s="7"/>
    </row>
    <row r="33" spans="1:5" x14ac:dyDescent="0.25">
      <c r="A33" s="3">
        <f t="shared" ref="A33:A48" si="0">A32+0.25</f>
        <v>-0.89999999999999991</v>
      </c>
      <c r="B33" s="13">
        <v>0.64337591753521428</v>
      </c>
      <c r="C33" s="13">
        <v>0.15707581041851337</v>
      </c>
      <c r="D33" s="7"/>
    </row>
    <row r="34" spans="1:5" x14ac:dyDescent="0.25">
      <c r="A34" s="3">
        <f t="shared" si="0"/>
        <v>-0.64999999999999991</v>
      </c>
      <c r="B34" s="7">
        <v>0.58880610014000079</v>
      </c>
      <c r="C34" s="7">
        <v>0.14874012381469776</v>
      </c>
      <c r="D34" s="7"/>
    </row>
    <row r="35" spans="1:5" x14ac:dyDescent="0.25">
      <c r="A35" s="3">
        <f t="shared" si="0"/>
        <v>-0.39999999999999991</v>
      </c>
      <c r="B35" s="7">
        <v>0.535502122480779</v>
      </c>
      <c r="C35" s="7">
        <v>0.14040443721088211</v>
      </c>
      <c r="D35" s="7"/>
      <c r="E35" s="19"/>
    </row>
    <row r="36" spans="1:5" x14ac:dyDescent="0.25">
      <c r="A36" s="3">
        <f t="shared" si="0"/>
        <v>-0.14999999999999991</v>
      </c>
      <c r="B36" s="7">
        <v>0.48388249619334917</v>
      </c>
      <c r="C36" s="7">
        <v>0.13206875060706647</v>
      </c>
      <c r="D36" s="7"/>
      <c r="E36" s="22"/>
    </row>
    <row r="37" spans="1:5" x14ac:dyDescent="0.25">
      <c r="A37" s="3">
        <f t="shared" si="0"/>
        <v>0.10000000000000009</v>
      </c>
      <c r="B37" s="7">
        <v>0.434547885030797</v>
      </c>
      <c r="C37" s="7">
        <v>0.12373306400325083</v>
      </c>
      <c r="D37" s="7"/>
    </row>
    <row r="38" spans="1:5" x14ac:dyDescent="0.25">
      <c r="A38" s="3">
        <f t="shared" si="0"/>
        <v>0.35000000000000009</v>
      </c>
      <c r="B38" s="7">
        <v>0.38837006317263406</v>
      </c>
      <c r="C38" s="7">
        <v>0.1153973773994352</v>
      </c>
      <c r="D38" s="7"/>
    </row>
    <row r="39" spans="1:5" x14ac:dyDescent="0.25">
      <c r="A39" s="3">
        <f t="shared" si="0"/>
        <v>0.60000000000000009</v>
      </c>
      <c r="B39" s="7">
        <v>0.34661303333001997</v>
      </c>
      <c r="C39" s="7">
        <v>0.10706169079561956</v>
      </c>
      <c r="D39" s="7"/>
    </row>
    <row r="40" spans="1:5" x14ac:dyDescent="0.25">
      <c r="A40" s="3">
        <f t="shared" si="0"/>
        <v>0.85000000000000009</v>
      </c>
      <c r="B40" s="7">
        <v>0.31106226241912421</v>
      </c>
      <c r="C40" s="7">
        <v>9.8726004191803926E-2</v>
      </c>
      <c r="D40" s="7"/>
    </row>
    <row r="41" spans="1:5" x14ac:dyDescent="0.25">
      <c r="A41" s="3">
        <f t="shared" si="0"/>
        <v>1.1000000000000001</v>
      </c>
      <c r="B41" s="7">
        <v>0.28405759037546491</v>
      </c>
      <c r="C41" s="7">
        <v>9.0390317587988295E-2</v>
      </c>
      <c r="D41" s="7"/>
    </row>
    <row r="42" spans="1:5" x14ac:dyDescent="0.25">
      <c r="A42" s="3">
        <f t="shared" si="0"/>
        <v>1.35</v>
      </c>
      <c r="B42" s="7">
        <v>0.26819311236508575</v>
      </c>
      <c r="C42" s="7">
        <v>8.205463098417265E-2</v>
      </c>
      <c r="D42" s="7"/>
    </row>
    <row r="43" spans="1:5" x14ac:dyDescent="0.25">
      <c r="A43" s="3">
        <f t="shared" si="0"/>
        <v>1.6</v>
      </c>
      <c r="B43" s="7">
        <v>0.26547358383043013</v>
      </c>
      <c r="C43" s="7">
        <v>7.3718944380357018E-2</v>
      </c>
      <c r="D43" s="7"/>
    </row>
    <row r="44" spans="1:5" x14ac:dyDescent="0.25">
      <c r="A44" s="3">
        <f t="shared" si="0"/>
        <v>1.85</v>
      </c>
      <c r="B44" s="7">
        <v>0.27628743949918916</v>
      </c>
      <c r="C44" s="7">
        <v>6.5383257776541387E-2</v>
      </c>
      <c r="D44" s="7"/>
    </row>
    <row r="45" spans="1:5" x14ac:dyDescent="0.25">
      <c r="A45" s="3">
        <f t="shared" si="0"/>
        <v>2.1</v>
      </c>
      <c r="B45" s="7">
        <v>0.29917072393502758</v>
      </c>
      <c r="C45" s="7">
        <v>5.7047571172725769E-2</v>
      </c>
      <c r="D45" s="7"/>
    </row>
    <row r="46" spans="1:5" x14ac:dyDescent="0.25">
      <c r="A46" s="3">
        <f t="shared" si="0"/>
        <v>2.35</v>
      </c>
      <c r="B46" s="7">
        <v>0.33163435017522497</v>
      </c>
      <c r="C46" s="7">
        <v>4.8711884568910124E-2</v>
      </c>
      <c r="D46" s="7"/>
    </row>
    <row r="47" spans="1:5" x14ac:dyDescent="0.25">
      <c r="A47" s="3">
        <f t="shared" si="0"/>
        <v>2.6</v>
      </c>
      <c r="B47" s="7">
        <v>0.37117301854259838</v>
      </c>
      <c r="C47" s="7">
        <v>4.0376197965094507E-2</v>
      </c>
      <c r="D47" s="7"/>
    </row>
    <row r="48" spans="1:5" x14ac:dyDescent="0.25">
      <c r="A48" s="3">
        <f t="shared" si="0"/>
        <v>2.85</v>
      </c>
      <c r="B48" s="7">
        <v>0.41577316471057679</v>
      </c>
      <c r="C48" s="7">
        <v>3.2040511361278834E-2</v>
      </c>
      <c r="D48" s="7"/>
    </row>
    <row r="49" spans="1:4" x14ac:dyDescent="0.25">
      <c r="A49" s="23" t="s">
        <v>20</v>
      </c>
      <c r="B49" s="7">
        <f>G3</f>
        <v>0.31622776601683794</v>
      </c>
      <c r="D49" s="7">
        <f>F3</f>
        <v>0.06</v>
      </c>
    </row>
    <row r="50" spans="1:4" x14ac:dyDescent="0.25">
      <c r="A50" s="23" t="s">
        <v>21</v>
      </c>
      <c r="B50" s="7">
        <f>G4</f>
        <v>0.54772255750516607</v>
      </c>
      <c r="D50" s="7">
        <f>F4</f>
        <v>0.08</v>
      </c>
    </row>
    <row r="51" spans="1:4" x14ac:dyDescent="0.25">
      <c r="A51" s="23" t="s">
        <v>22</v>
      </c>
      <c r="B51" s="7">
        <f>G5</f>
        <v>0.63245553203367588</v>
      </c>
      <c r="D51" s="7">
        <f>F5</f>
        <v>0.1</v>
      </c>
    </row>
    <row r="52" spans="1:4" x14ac:dyDescent="0.25">
      <c r="A52" s="23" t="s">
        <v>23</v>
      </c>
      <c r="B52" s="7">
        <f>G6</f>
        <v>0.70710678118654757</v>
      </c>
      <c r="D52" s="7">
        <f>F6</f>
        <v>0.15</v>
      </c>
    </row>
    <row r="53" spans="1:4" x14ac:dyDescent="0.25">
      <c r="A53" s="23" t="s">
        <v>24</v>
      </c>
      <c r="B53" s="7">
        <f>SQRT(B18)</f>
        <v>0.29366637456795341</v>
      </c>
      <c r="C53" s="7"/>
      <c r="D53" s="7">
        <f>B17</f>
        <v>9.3724592229514556E-2</v>
      </c>
    </row>
    <row r="54" spans="1:4" x14ac:dyDescent="0.25">
      <c r="A54" s="23" t="s">
        <v>25</v>
      </c>
      <c r="B54" s="7">
        <f>SQRT(D18)</f>
        <v>0.45395907855354162</v>
      </c>
      <c r="C54" s="7"/>
      <c r="D54" s="7">
        <f>D17</f>
        <v>0.12706733864477709</v>
      </c>
    </row>
    <row r="55" spans="1:4" x14ac:dyDescent="0.25">
      <c r="A55" s="23"/>
      <c r="B55" s="20"/>
      <c r="D55" s="6"/>
    </row>
    <row r="56" spans="1:4" x14ac:dyDescent="0.25">
      <c r="A56" s="23"/>
      <c r="B56" s="20"/>
      <c r="D56" s="6"/>
    </row>
  </sheetData>
  <mergeCells count="2">
    <mergeCell ref="A1:F1"/>
    <mergeCell ref="A2:D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2024-10-30T05:10:50Z</dcterms:modified>
</cp:coreProperties>
</file>