
<file path=[Content_Types].xml><?xml version="1.0" encoding="utf-8"?>
<Types xmlns="http://schemas.openxmlformats.org/package/2006/content-types"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9\practice\"/>
    </mc:Choice>
  </mc:AlternateContent>
  <xr:revisionPtr revIDLastSave="0" documentId="13_ncr:1_{000E914A-833B-457D-BFE8-2F945CE6E744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definedNames>
    <definedName name="solver_adj" localSheetId="0" hidden="1">Sheet1!$B$29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Sheet1!$B$31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FD1048550" i="1" l="1"/>
  <c r="XFD1048551" i="1"/>
  <c r="XFD1048552" i="1"/>
  <c r="XFD1048553" i="1"/>
  <c r="XFD1048554" i="1"/>
  <c r="XFD1048555" i="1"/>
  <c r="XFD1048556" i="1"/>
  <c r="XFD1048557" i="1"/>
  <c r="XFD1048558" i="1"/>
  <c r="XFD1048559" i="1"/>
  <c r="XFD1048560" i="1"/>
  <c r="XFD1048561" i="1"/>
  <c r="XFD1048562" i="1"/>
  <c r="XFD1048563" i="1"/>
  <c r="XFD1048564" i="1"/>
  <c r="XFD1048565" i="1"/>
  <c r="XFD1048566" i="1"/>
  <c r="XFD1048567" i="1"/>
  <c r="XFD1048568" i="1"/>
  <c r="XFD1048569" i="1"/>
  <c r="XFD1048570" i="1"/>
  <c r="XFD1048571" i="1"/>
  <c r="XFD1048572" i="1"/>
  <c r="XFD1048573" i="1"/>
  <c r="XFD1048574" i="1"/>
  <c r="XFD1048575" i="1"/>
  <c r="B30" i="1"/>
  <c r="G5" i="1"/>
  <c r="C5" i="1"/>
  <c r="B5" i="1"/>
  <c r="A5" i="1"/>
  <c r="G4" i="1"/>
  <c r="B4" i="1"/>
  <c r="A4" i="1"/>
  <c r="G3" i="1"/>
  <c r="A3" i="1"/>
  <c r="B9" i="1" s="1" a="1"/>
  <c r="G2" i="1"/>
  <c r="E9" i="1" s="1" a="1"/>
  <c r="C36" i="1"/>
  <c r="C35" i="1"/>
  <c r="C31" i="1"/>
  <c r="C30" i="1"/>
  <c r="D26" i="1"/>
  <c r="D25" i="1"/>
  <c r="G23" i="1"/>
  <c r="G22" i="1"/>
  <c r="G21" i="1"/>
  <c r="E12" i="1" l="1"/>
  <c r="E11" i="1"/>
  <c r="E10" i="1"/>
  <c r="F10" i="1" s="1"/>
  <c r="E9" i="1"/>
  <c r="B12" i="1"/>
  <c r="C12" i="1" s="1"/>
  <c r="B10" i="1"/>
  <c r="B9" i="1"/>
  <c r="B11" i="1"/>
  <c r="C11" i="1" l="1"/>
  <c r="C44" i="1" s="1"/>
  <c r="C9" i="1"/>
  <c r="C10" i="1"/>
  <c r="C43" i="1" s="1"/>
  <c r="F9" i="1"/>
  <c r="B19" i="1" s="1" a="1"/>
  <c r="F11" i="1"/>
  <c r="F12" i="1"/>
  <c r="C45" i="1" s="1"/>
  <c r="C42" i="1" l="1"/>
  <c r="B16" i="1" a="1"/>
  <c r="E19" i="1"/>
  <c r="D19" i="1"/>
  <c r="C19" i="1"/>
  <c r="B19" i="1"/>
  <c r="F21" i="1" l="1"/>
  <c r="F22" i="1"/>
  <c r="F23" i="1" s="1"/>
  <c r="E16" i="1"/>
  <c r="D16" i="1"/>
  <c r="C16" i="1"/>
  <c r="B16" i="1"/>
  <c r="C25" i="1" l="1"/>
  <c r="C26" i="1" s="1"/>
  <c r="B31" i="1" s="1"/>
  <c r="C22" i="1"/>
  <c r="C23" i="1" s="1"/>
  <c r="C21" i="1"/>
</calcChain>
</file>

<file path=xl/sharedStrings.xml><?xml version="1.0" encoding="utf-8"?>
<sst xmlns="http://schemas.openxmlformats.org/spreadsheetml/2006/main" count="31" uniqueCount="27">
  <si>
    <t>Variance-covariance matrix</t>
  </si>
  <si>
    <t>Mean returns</t>
  </si>
  <si>
    <t>Mean minus constant</t>
  </si>
  <si>
    <t>Constant</t>
  </si>
  <si>
    <t>z</t>
  </si>
  <si>
    <t>x</t>
  </si>
  <si>
    <t>y</t>
  </si>
  <si>
    <t>Transpose x</t>
  </si>
  <si>
    <t>Transpose y</t>
  </si>
  <si>
    <t>Mean(x)</t>
  </si>
  <si>
    <t>Mean(y)</t>
  </si>
  <si>
    <t>Var(x)</t>
  </si>
  <si>
    <t>Var(y)</t>
  </si>
  <si>
    <t>Sigma(x)</t>
  </si>
  <si>
    <t>Sigma(y)</t>
  </si>
  <si>
    <t>Cov(x,y)</t>
  </si>
  <si>
    <t>Corr(x,y)</t>
  </si>
  <si>
    <r>
      <t xml:space="preserve">Consider a portfolio </t>
    </r>
    <r>
      <rPr>
        <i/>
        <sz val="10"/>
        <rFont val="Arial"/>
        <family val="2"/>
      </rPr>
      <t>z = lambda*x + (1-lambda)*y</t>
    </r>
  </si>
  <si>
    <t>Lambda</t>
  </si>
  <si>
    <t>Cov(z,y)</t>
  </si>
  <si>
    <t>Beta z wrt y</t>
  </si>
  <si>
    <t>Using Solver to get beta = 0:</t>
  </si>
  <si>
    <r>
      <t xml:space="preserve">Thus the portfolio </t>
    </r>
    <r>
      <rPr>
        <i/>
        <sz val="10"/>
        <rFont val="Arial"/>
        <family val="2"/>
      </rPr>
      <t>z</t>
    </r>
    <r>
      <rPr>
        <sz val="10"/>
        <rFont val="Arial"/>
        <family val="2"/>
      </rPr>
      <t xml:space="preserve"> which has beta = 0 wrt y has the following asset proportions:</t>
    </r>
  </si>
  <si>
    <t>Asset 1</t>
  </si>
  <si>
    <t>Asset 2</t>
  </si>
  <si>
    <t>Asset 3</t>
  </si>
  <si>
    <t>Asset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</si>
</sst>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2" fillId="0" borderId="0" xfId="0" applyFont="1" applyAlignment="1">
      <alignment horizontal="center"/>
    </xf>
    <xf numFmtId="177" fontId="0" fillId="0" borderId="0" xfId="0" applyNumberFormat="1" applyAlignment="1"/>
    <xf numFmtId="0" fontId="2" fillId="0" borderId="0" xfId="0" applyFont="1" applyAlignment="1"/>
    <xf numFmtId="177" fontId="2" fillId="0" borderId="0" xfId="0" applyNumberFormat="1" applyFont="1" applyAlignment="1"/>
    <xf numFmtId="0" fontId="0" fillId="2" borderId="0" xfId="0" applyFill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403334</xdr:colOff>
      <xdr:row>0</xdr:row>
      <xdr:rowOff>128752</xdr:rowOff>
    </xdr:from>
    <xdr:to>
      <xdr:col>28</xdr:col>
      <xdr:colOff>76265</xdr:colOff>
      <xdr:row>47</xdr:row>
      <xdr:rowOff>91900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BDD12F7F-F004-D0B8-5E54-24950C2710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626162" y="128752"/>
          <a:ext cx="8225724" cy="83216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5</xdr:col>
      <xdr:colOff>591207</xdr:colOff>
      <xdr:row>26</xdr:row>
      <xdr:rowOff>0</xdr:rowOff>
    </xdr:from>
    <xdr:to>
      <xdr:col>15</xdr:col>
      <xdr:colOff>77834</xdr:colOff>
      <xdr:row>56</xdr:row>
      <xdr:rowOff>134741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C8152170-6276-3639-8DA1-7D4441590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15810" y="4775638"/>
          <a:ext cx="5595765" cy="525472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0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0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（中文）"/>
      <sheetName val="Exercise 2"/>
      <sheetName val="Exercise 2（中文）"/>
      <sheetName val="Exercise 3"/>
      <sheetName val="Exercise 3（中文）"/>
      <sheetName val="Exercise 4"/>
      <sheetName val="Exercise 4（中文）"/>
      <sheetName val="Page 285 chart"/>
      <sheetName val="Page 285 chart（中文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318944F-7439-4C4E-88D0-DC7C2BC88376}">
  <we:reference id="wa104100404" version="3.0.0.1" store="zh-CN" storeType="OMEX"/>
  <we:alternateReferences>
    <we:reference id="WA104100404" version="3.0.0.1" store="" storeType="OMEX"/>
  </we:alternateReferences>
  <we:properties>
    <we:property name="UniqueID" value="&quot;20249301730257613674&quot;"/>
    <we:property name="Gi5SKCxkbjpXLA==" value="&quot;bQQTfmk=&quot;"/>
    <we:property name="Gi5SKCxkbgZaKh4NKm8IGi4=" value="&quot;DhRw&quot;"/>
    <we:property name="Gi5SKCxkbjhUPiUBNg==" value="&quot;eg==&quot;"/>
    <we:property name="Gi5SKCxkbgZaKh4NKm8bFSU=" value="&quot;eQ==&quot;"/>
    <we:property name="Gi5SKCxkbiNUNAEJOlwIBw==" value="&quot;bQQTf2E=&quot;"/>
    <we:property name="Gi5SKCxkbgZaKh4NKm8DES4=" value="&quot;eA==&quot;"/>
    <we:property name="Gi5SKCxkbgZaKh4NKm8dBiw=" value="&quot;eWgHfWhlf0Q=&quot;"/>
    <we:property name="Gi5SKCxkbgZaKh4NKm8eFyU=" value="&quot;eA==&quot;"/>
    <we:property name="Gi5SKCxkbgZaKh4NKm8fGDE=" value="&quot;eA==&quot;"/>
    <we:property name="Gi5SKCxkbgZaKh4NKm8ZGyU=" value="&quot;eWgHfWhk&quot;"/>
    <we:property name="Gi5SKCxkbgZaKh4NKm8OAi4=" value="&quot;eWgHfWhk&quot;"/>
    <we:property name="Gi5SKCxkbgZaKh4NKm8AByU=" value="&quot;eQ==&quot;"/>
    <we:property name="Gi5SKCxkbgZaKh4NKm8eBzM=" value="&quot;eHYH&quot;"/>
    <we:property name="Gi5SKCxkbgZaKh4NKm8fBy0=" value="&quot;eQ==&quot;"/>
    <we:property name="Gi5SKCxkbgZaKh4NKm8ABj0=" value="&quot;eWgHem0=&quot;"/>
    <we:property name="Gi5SKCxkbgZaKh4NKm8AGiA=" value="&quot;enY=&quot;"/>
    <we:property name="Gi5SKCxkbgZaKh4NKm8fFj8=" value="&quot;eA==&quot;"/>
    <we:property name="Gi5SKCxkbgZaKh4NKm8DADs=" value="&quot;ew==&quot;"/>
    <we:property name="Gi5SKCxkbgZaKh4NKm8MFyo=" value="&quot;eWgHfWk=&quot;"/>
    <we:property name="Gi5SKCxkbgZaKh4NKm8fETo=" value="&quot;fA==&quot;"/>
    <we:property name="Gi5SKCxkbgZaKh4NKm8MBjo=" value="&quot;eA==&quot;"/>
    <we:property name="Gi5SKCxkbgZaKh4NKm8eACg=" value="&quot;eQ==&quot;"/>
    <we:property name="Gi5SKCxkbgZaKh4NKm8AET0=" value="&quot;ew==&quot;"/>
    <we:property name="Gi5SKCxkbgZaKh4NKm8eGyo=" value="&quot;eQ==&quot;"/>
    <we:property name="Gi5SKCxkbgZaKh4NKm8BBD0=" value="&quot;eQ==&quot;"/>
    <we:property name="Gi5SKCxkbgZaKh4NKm8BBDk=" value="&quot;eQ==&quot;"/>
    <we:property name="Gi5SKCxkbgZaKh4NKm8KFTk=" value="&quot;eWgHfWhlf0Q=&quot;"/>
    <we:property name="Gi5SKCxkbgZaKh4NKm8EBDo=" value="&quot;eWgOdA==&quot;"/>
    <we:property name="Gi5SKCxkbgZaKh4NKm8LESg=" value="&quot;eWgHfWhlf0Q=&quot;"/>
    <we:property name="Gi5SKCxkbgZaKh4NKm8EBCA=" value="&quot;eA==&quot;"/>
    <we:property name="Gi5SKCxkbgZaKh4NKm8EBC0=" value="&quot;eg==&quot;"/>
  </we:properties>
  <we:bindings>
    <we:binding id="refEdit" type="matrix" appref="{8CF3D920-6AE1-4C42-9C76-ECBC8AEB3B63}"/>
    <we:binding id="Worker" type="matrix" appref="{A58F2BF4-A13A-489E-907A-7D9D47A7D9C0}"/>
    <we:binding id="Obj" type="matrix" appref="{3C5F02B2-8C1F-46C0-A5F9-A84D716DF20C}"/>
    <we:binding id="Var0" type="matrix" appref="{B5299C10-C2A0-451D-A624-CE929D22D0EC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XFD1048575"/>
  <sheetViews>
    <sheetView tabSelected="1" zoomScale="145" zoomScaleNormal="145" workbookViewId="0">
      <selection activeCell="J24" sqref="J24"/>
    </sheetView>
  </sheetViews>
  <sheetFormatPr defaultRowHeight="13.8" x14ac:dyDescent="0.25"/>
  <cols>
    <col min="1" max="1" width="13.109375" style="6" customWidth="1"/>
    <col min="2" max="2" width="14.5546875" style="6" bestFit="1" customWidth="1"/>
    <col min="3" max="13" width="8.88671875" style="6"/>
  </cols>
  <sheetData>
    <row r="1" spans="1:13" ht="39.6" x14ac:dyDescent="0.25">
      <c r="A1" s="1" t="s">
        <v>0</v>
      </c>
      <c r="B1" s="1"/>
      <c r="C1" s="1"/>
      <c r="D1" s="1"/>
      <c r="E1" s="2"/>
      <c r="F1" s="3" t="s">
        <v>1</v>
      </c>
      <c r="G1" s="3" t="s">
        <v>2</v>
      </c>
      <c r="H1" s="2"/>
      <c r="I1" s="2"/>
      <c r="J1" s="2"/>
      <c r="K1" s="2"/>
      <c r="L1" s="2"/>
      <c r="M1" s="2"/>
    </row>
    <row r="2" spans="1:13" x14ac:dyDescent="0.25">
      <c r="A2" s="4">
        <v>0.4</v>
      </c>
      <c r="B2" s="4">
        <v>0.03</v>
      </c>
      <c r="C2" s="4">
        <v>0.02</v>
      </c>
      <c r="D2" s="4">
        <v>0</v>
      </c>
      <c r="E2" s="5"/>
      <c r="F2" s="5">
        <v>0.06</v>
      </c>
      <c r="G2" s="5">
        <f>F2-$E$7</f>
        <v>-5.0000000000000044E-3</v>
      </c>
    </row>
    <row r="3" spans="1:13" x14ac:dyDescent="0.25">
      <c r="A3" s="4">
        <f>B2</f>
        <v>0.03</v>
      </c>
      <c r="B3" s="4">
        <v>0.2</v>
      </c>
      <c r="C3" s="4">
        <v>1E-3</v>
      </c>
      <c r="D3" s="4">
        <v>-0.06</v>
      </c>
      <c r="E3" s="5"/>
      <c r="F3" s="5">
        <v>0.05</v>
      </c>
      <c r="G3" s="5">
        <f>F3-$E$7</f>
        <v>-1.4999999999999999E-2</v>
      </c>
    </row>
    <row r="4" spans="1:13" x14ac:dyDescent="0.25">
      <c r="A4" s="4">
        <f>C2</f>
        <v>0.02</v>
      </c>
      <c r="B4" s="4">
        <f>C3</f>
        <v>1E-3</v>
      </c>
      <c r="C4" s="4">
        <v>0.3</v>
      </c>
      <c r="D4" s="4">
        <v>0.03</v>
      </c>
      <c r="E4" s="5"/>
      <c r="F4" s="5">
        <v>7.0000000000000007E-2</v>
      </c>
      <c r="G4" s="5">
        <f>F4-$E$7</f>
        <v>5.0000000000000044E-3</v>
      </c>
    </row>
    <row r="5" spans="1:13" x14ac:dyDescent="0.25">
      <c r="A5" s="4">
        <f>D2</f>
        <v>0</v>
      </c>
      <c r="B5" s="4">
        <f>D3</f>
        <v>-0.06</v>
      </c>
      <c r="C5" s="4">
        <f>D4</f>
        <v>0.03</v>
      </c>
      <c r="D5" s="4">
        <v>0.1</v>
      </c>
      <c r="E5" s="5"/>
      <c r="F5" s="5">
        <v>0.08</v>
      </c>
      <c r="G5" s="5">
        <f>F5-$E$7</f>
        <v>1.4999999999999999E-2</v>
      </c>
    </row>
    <row r="7" spans="1:13" x14ac:dyDescent="0.25">
      <c r="D7" s="6" t="s">
        <v>3</v>
      </c>
      <c r="E7" s="6">
        <v>6.5000000000000002E-2</v>
      </c>
    </row>
    <row r="8" spans="1:13" x14ac:dyDescent="0.25">
      <c r="A8" s="7"/>
      <c r="B8" s="7" t="s">
        <v>4</v>
      </c>
      <c r="C8" s="7" t="s">
        <v>5</v>
      </c>
      <c r="D8" s="7"/>
      <c r="E8" s="7" t="s">
        <v>4</v>
      </c>
      <c r="F8" s="7" t="s">
        <v>6</v>
      </c>
      <c r="G8" s="7"/>
      <c r="H8" s="7"/>
      <c r="I8" s="7"/>
      <c r="J8" s="7"/>
      <c r="K8" s="7"/>
      <c r="L8" s="7"/>
      <c r="M8" s="7"/>
    </row>
    <row r="9" spans="1:13" x14ac:dyDescent="0.25">
      <c r="B9" s="8">
        <f t="array" ref="B9:B12">MMULT(MINVERSE(A2:D5),F2:F5)</f>
        <v>0.10186529331294758</v>
      </c>
      <c r="C9" s="8">
        <f>B9/SUM($B$9:$B$12)</f>
        <v>5.3985865109542834E-2</v>
      </c>
      <c r="D9" s="8"/>
      <c r="E9" s="8">
        <f t="array" ref="E9:E12">MMULT(MINVERSE(A2:D5),G2:G5)</f>
        <v>-1.0089321638368079E-2</v>
      </c>
      <c r="F9" s="8">
        <f>E9/SUM($E$9:$E$12)</f>
        <v>-0.11629826823363552</v>
      </c>
    </row>
    <row r="10" spans="1:13" x14ac:dyDescent="0.25">
      <c r="B10" s="8">
        <v>0.56570370966444017</v>
      </c>
      <c r="C10" s="8">
        <f>B10/SUM($B$9:$B$12)</f>
        <v>0.29980774774866981</v>
      </c>
      <c r="D10" s="8"/>
      <c r="E10" s="8">
        <v>-3.5286070652611266E-2</v>
      </c>
      <c r="F10" s="8">
        <f>E10/SUM($E$9:$E$12)</f>
        <v>-0.40673784192414386</v>
      </c>
    </row>
    <row r="11" spans="1:13" x14ac:dyDescent="0.25">
      <c r="B11" s="8">
        <v>0.11413856924438728</v>
      </c>
      <c r="C11" s="8">
        <f>B11/SUM($B$9:$B$12)</f>
        <v>6.0490371181609333E-2</v>
      </c>
      <c r="D11" s="8"/>
      <c r="E11" s="8">
        <v>4.715538746278284E-3</v>
      </c>
      <c r="F11" s="8">
        <f>E11/SUM($E$9:$E$12)</f>
        <v>5.4355387769110405E-2</v>
      </c>
    </row>
    <row r="12" spans="1:13" x14ac:dyDescent="0.25">
      <c r="B12" s="8">
        <v>1.1051806550253478</v>
      </c>
      <c r="C12" s="8">
        <f>B12/SUM($B$9:$B$12)</f>
        <v>0.58571601596017797</v>
      </c>
      <c r="D12" s="8"/>
      <c r="E12" s="8">
        <v>0.12741369598454977</v>
      </c>
      <c r="F12" s="8">
        <f>E12/SUM($E$9:$E$12)</f>
        <v>1.4686807223886689</v>
      </c>
    </row>
    <row r="13" spans="1:13" x14ac:dyDescent="0.25">
      <c r="B13" s="8"/>
      <c r="C13" s="8"/>
      <c r="D13" s="8"/>
      <c r="E13" s="8"/>
      <c r="F13" s="8"/>
    </row>
    <row r="14" spans="1:13" x14ac:dyDescent="0.25">
      <c r="B14" s="8"/>
      <c r="C14" s="8"/>
      <c r="D14" s="8"/>
      <c r="E14" s="8"/>
      <c r="F14" s="8"/>
    </row>
    <row r="15" spans="1:13" x14ac:dyDescent="0.25">
      <c r="B15" s="9" t="s">
        <v>7</v>
      </c>
      <c r="F15" s="8"/>
    </row>
    <row r="16" spans="1:13" x14ac:dyDescent="0.25">
      <c r="B16" s="8">
        <f t="array" ref="B16:E16">TRANSPOSE(C9:C22)</f>
        <v>5.3985865109542834E-2</v>
      </c>
      <c r="C16" s="8">
        <v>0.29980774774866981</v>
      </c>
      <c r="D16" s="8">
        <v>6.0490371181609333E-2</v>
      </c>
      <c r="E16" s="8">
        <v>0.58571601596017797</v>
      </c>
      <c r="F16" s="8"/>
    </row>
    <row r="17" spans="1:7" x14ac:dyDescent="0.25">
      <c r="B17" s="8"/>
      <c r="C17" s="8"/>
      <c r="D17" s="8"/>
      <c r="E17" s="8"/>
      <c r="F17" s="8"/>
    </row>
    <row r="18" spans="1:7" x14ac:dyDescent="0.25">
      <c r="B18" s="10" t="s">
        <v>8</v>
      </c>
      <c r="C18" s="8"/>
      <c r="D18" s="8"/>
      <c r="E18" s="8"/>
      <c r="F18" s="8"/>
    </row>
    <row r="19" spans="1:7" x14ac:dyDescent="0.25">
      <c r="B19" s="8">
        <f t="array" ref="B19:E19">TRANSPOSE(F9:F12)</f>
        <v>-0.11629826823363552</v>
      </c>
      <c r="C19" s="8">
        <v>-0.40673784192414386</v>
      </c>
      <c r="D19" s="8">
        <v>5.4355387769110405E-2</v>
      </c>
      <c r="E19" s="8">
        <v>1.4686807223886689</v>
      </c>
      <c r="F19" s="8"/>
    </row>
    <row r="20" spans="1:7" x14ac:dyDescent="0.25">
      <c r="F20" s="8"/>
    </row>
    <row r="21" spans="1:7" x14ac:dyDescent="0.25">
      <c r="B21" s="10" t="s">
        <v>9</v>
      </c>
      <c r="C21" s="8">
        <f>MMULT(B16:E16,F2:F5)</f>
        <v>6.9321146553532956E-2</v>
      </c>
      <c r="D21" s="8"/>
      <c r="E21" s="10" t="s">
        <v>10</v>
      </c>
      <c r="F21" s="8">
        <f>MMULT(B19:E19,F2:F5)</f>
        <v>9.398454674470591E-2</v>
      </c>
      <c r="G21" s="6" t="str">
        <f ca="1">[2]!getformula(F21)</f>
        <v>&lt;--  =MMULT(B19:E19,F2:F5)</v>
      </c>
    </row>
    <row r="22" spans="1:7" x14ac:dyDescent="0.25">
      <c r="B22" s="10" t="s">
        <v>11</v>
      </c>
      <c r="C22" s="8">
        <f>MMULT(MMULT(B16:E16,A2:D5),C9:C12)</f>
        <v>3.6738342818890282E-2</v>
      </c>
      <c r="D22" s="8"/>
      <c r="E22" s="10" t="s">
        <v>12</v>
      </c>
      <c r="F22" s="8">
        <f>MMULT(MMULT(B19:E19,A2:D5),F9:F12)</f>
        <v>0.33410101419775762</v>
      </c>
      <c r="G22" s="6" t="str">
        <f ca="1">[2]!getformula(F22)</f>
        <v>&lt;--  =MMULT(MMULT(B19:E19,A2:D5),F9:F12)</v>
      </c>
    </row>
    <row r="23" spans="1:7" x14ac:dyDescent="0.25">
      <c r="B23" s="10" t="s">
        <v>13</v>
      </c>
      <c r="C23" s="8">
        <f>SQRT(C22)</f>
        <v>0.19167248842463094</v>
      </c>
      <c r="D23" s="8"/>
      <c r="E23" s="10" t="s">
        <v>14</v>
      </c>
      <c r="F23" s="8">
        <f>SQRT(F22)</f>
        <v>0.57801471797676363</v>
      </c>
      <c r="G23" s="6" t="str">
        <f ca="1">[2]!getformula(F23)</f>
        <v>&lt;--  =SQRT(F22)</v>
      </c>
    </row>
    <row r="25" spans="1:7" x14ac:dyDescent="0.25">
      <c r="B25" s="9" t="s">
        <v>15</v>
      </c>
      <c r="C25" s="8">
        <f>MMULT(MMULT(B16:E16,A2:D5),F9:F12)</f>
        <v>4.9809281433603907E-2</v>
      </c>
      <c r="D25" s="6" t="str">
        <f ca="1">[2]!getformula(C25)</f>
        <v>&lt;--  =MMULT(MMULT(B16:E16,A2:D5),F9:F12)</v>
      </c>
    </row>
    <row r="26" spans="1:7" x14ac:dyDescent="0.25">
      <c r="B26" s="9" t="s">
        <v>16</v>
      </c>
      <c r="C26" s="8">
        <f>C25/(C23*F23)</f>
        <v>0.44958477778430439</v>
      </c>
      <c r="D26" s="6" t="str">
        <f ca="1">[2]!getformula(C26)</f>
        <v>&lt;--  =C25/(C23*F23)</v>
      </c>
    </row>
    <row r="27" spans="1:7" x14ac:dyDescent="0.25">
      <c r="B27" s="9"/>
      <c r="C27" s="8"/>
    </row>
    <row r="28" spans="1:7" x14ac:dyDescent="0.25">
      <c r="A28" s="6" t="s">
        <v>17</v>
      </c>
    </row>
    <row r="29" spans="1:7" x14ac:dyDescent="0.25">
      <c r="A29" s="6" t="s">
        <v>18</v>
      </c>
      <c r="B29" s="6">
        <v>-2.8930600000000002</v>
      </c>
    </row>
    <row r="30" spans="1:7" x14ac:dyDescent="0.25">
      <c r="A30" s="6" t="s">
        <v>19</v>
      </c>
      <c r="B30" s="6">
        <f>B29*C25+(1-B29)*F22</f>
        <v>1.1565740545884202</v>
      </c>
      <c r="C30" s="6" t="str">
        <f ca="1">[2]!getformula(B30)</f>
        <v>&lt;--  =B29*C25+(1-B29)*F22</v>
      </c>
    </row>
    <row r="31" spans="1:7" x14ac:dyDescent="0.25">
      <c r="A31" s="6" t="s">
        <v>20</v>
      </c>
      <c r="B31" s="11">
        <f>B30/F22</f>
        <v>3.4617496069731559</v>
      </c>
      <c r="C31" s="6" t="str">
        <f ca="1">[2]!getformula(B31)</f>
        <v>&lt;--  =B30/F22</v>
      </c>
    </row>
    <row r="33" spans="1:3" x14ac:dyDescent="0.25">
      <c r="A33" s="9" t="s">
        <v>21</v>
      </c>
    </row>
    <row r="34" spans="1:3" x14ac:dyDescent="0.25">
      <c r="A34" s="6" t="s">
        <v>18</v>
      </c>
      <c r="B34" s="6">
        <v>1.175208886738506</v>
      </c>
    </row>
    <row r="35" spans="1:3" x14ac:dyDescent="0.25">
      <c r="A35" s="6" t="s">
        <v>19</v>
      </c>
      <c r="B35" s="6">
        <v>-1.1565729643100986E-6</v>
      </c>
      <c r="C35" s="6" t="str">
        <f ca="1">[2]!getformula(B35)</f>
        <v>&lt;--  -0.0000011565729643101</v>
      </c>
    </row>
    <row r="36" spans="1:3" x14ac:dyDescent="0.25">
      <c r="A36" s="6" t="s">
        <v>20</v>
      </c>
      <c r="B36" s="6">
        <v>-3.4617463436537548E-6</v>
      </c>
      <c r="C36" s="6" t="str">
        <f ca="1">[2]!getformula(B36)</f>
        <v>&lt;--  -3.46174634365375E-06</v>
      </c>
    </row>
    <row r="40" spans="1:3" x14ac:dyDescent="0.25">
      <c r="A40" s="6" t="s">
        <v>22</v>
      </c>
    </row>
    <row r="42" spans="1:3" x14ac:dyDescent="0.25">
      <c r="B42" s="9" t="s">
        <v>23</v>
      </c>
      <c r="C42" s="8">
        <f>$B$34*C9+(1-$B$34)*F9</f>
        <v>8.3821158541832419E-2</v>
      </c>
    </row>
    <row r="43" spans="1:3" x14ac:dyDescent="0.25">
      <c r="B43" s="9" t="s">
        <v>24</v>
      </c>
      <c r="C43" s="8">
        <f>$B$34*C10+(1-$B$34)*F10</f>
        <v>0.42360081394524474</v>
      </c>
    </row>
    <row r="44" spans="1:3" x14ac:dyDescent="0.25">
      <c r="B44" s="9" t="s">
        <v>25</v>
      </c>
      <c r="C44" s="8">
        <f>$B$34*C11+(1-$B$34)*F11</f>
        <v>6.1565274795472469E-2</v>
      </c>
    </row>
    <row r="45" spans="1:3" x14ac:dyDescent="0.25">
      <c r="B45" s="9" t="s">
        <v>26</v>
      </c>
      <c r="C45" s="8">
        <f>$B$34*C12+(1-$B$34)*F12</f>
        <v>0.43101275271745026</v>
      </c>
    </row>
    <row r="1048550" spans="16384:16384" x14ac:dyDescent="0.25">
      <c r="XFD1048550">
        <f>solver_pre</f>
        <v>9.9999999999999995E-7</v>
      </c>
    </row>
    <row r="1048551" spans="16384:16384" x14ac:dyDescent="0.25">
      <c r="XFD1048551">
        <f>solver_scl</f>
        <v>1</v>
      </c>
    </row>
    <row r="1048552" spans="16384:16384" x14ac:dyDescent="0.25">
      <c r="XFD1048552">
        <f>solver_rlx</f>
        <v>2</v>
      </c>
    </row>
    <row r="1048553" spans="16384:16384" x14ac:dyDescent="0.25">
      <c r="XFD1048553">
        <f>solver_tol</f>
        <v>0.01</v>
      </c>
    </row>
    <row r="1048554" spans="16384:16384" x14ac:dyDescent="0.25">
      <c r="XFD1048554">
        <f>solver_cvg</f>
        <v>1E-4</v>
      </c>
    </row>
    <row r="1048555" spans="16384:16384" x14ac:dyDescent="0.25">
      <c r="XFD1048555" t="e">
        <f>AREAS(solver_adj1)</f>
        <v>#NAME?</v>
      </c>
    </row>
    <row r="1048556" spans="16384:16384" x14ac:dyDescent="0.25">
      <c r="XFD1048556">
        <f>solver_ssz</f>
        <v>100</v>
      </c>
    </row>
    <row r="1048557" spans="16384:16384" x14ac:dyDescent="0.25">
      <c r="XFD1048557">
        <f>solver_rsd</f>
        <v>0</v>
      </c>
    </row>
    <row r="1048558" spans="16384:16384" x14ac:dyDescent="0.25">
      <c r="XFD1048558">
        <f>solver_mrt</f>
        <v>7.4999999999999997E-2</v>
      </c>
    </row>
    <row r="1048559" spans="16384:16384" x14ac:dyDescent="0.25">
      <c r="XFD1048559">
        <f>solver_mni</f>
        <v>30</v>
      </c>
    </row>
    <row r="1048560" spans="16384:16384" x14ac:dyDescent="0.25">
      <c r="XFD1048560">
        <f>solver_rbv</f>
        <v>1</v>
      </c>
    </row>
    <row r="1048561" spans="16384:16384" x14ac:dyDescent="0.25">
      <c r="XFD1048561">
        <f>solver_neg</f>
        <v>1</v>
      </c>
    </row>
    <row r="1048562" spans="16384:16384" x14ac:dyDescent="0.25">
      <c r="XFD1048562" t="e">
        <f>solver_ntr</f>
        <v>#NAME?</v>
      </c>
    </row>
    <row r="1048563" spans="16384:16384" x14ac:dyDescent="0.25">
      <c r="XFD1048563" t="e">
        <f>solver_acc</f>
        <v>#NAME?</v>
      </c>
    </row>
    <row r="1048564" spans="16384:16384" x14ac:dyDescent="0.25">
      <c r="XFD1048564" t="e">
        <f>solver_res</f>
        <v>#NAME?</v>
      </c>
    </row>
    <row r="1048565" spans="16384:16384" x14ac:dyDescent="0.25">
      <c r="XFD1048565" t="e">
        <f>solver_ars</f>
        <v>#NAME?</v>
      </c>
    </row>
    <row r="1048566" spans="16384:16384" x14ac:dyDescent="0.25">
      <c r="XFD1048566" t="e">
        <f>solver_sta</f>
        <v>#NAME?</v>
      </c>
    </row>
    <row r="1048567" spans="16384:16384" x14ac:dyDescent="0.25">
      <c r="XFD1048567" t="e">
        <f>solver_met</f>
        <v>#NAME?</v>
      </c>
    </row>
    <row r="1048568" spans="16384:16384" x14ac:dyDescent="0.25">
      <c r="XFD1048568" t="e">
        <f>solver_soc</f>
        <v>#NAME?</v>
      </c>
    </row>
    <row r="1048569" spans="16384:16384" x14ac:dyDescent="0.25">
      <c r="XFD1048569" t="e">
        <f>solver_lpt</f>
        <v>#NAME?</v>
      </c>
    </row>
    <row r="1048570" spans="16384:16384" x14ac:dyDescent="0.25">
      <c r="XFD1048570" t="e">
        <f>solver_lpp</f>
        <v>#NAME?</v>
      </c>
    </row>
    <row r="1048571" spans="16384:16384" x14ac:dyDescent="0.25">
      <c r="XFD1048571" t="e">
        <f>solver_gap</f>
        <v>#NAME?</v>
      </c>
    </row>
    <row r="1048572" spans="16384:16384" x14ac:dyDescent="0.25">
      <c r="XFD1048572" t="e">
        <f>solver_ips</f>
        <v>#NAME?</v>
      </c>
    </row>
    <row r="1048573" spans="16384:16384" x14ac:dyDescent="0.25">
      <c r="XFD1048573" t="e">
        <f>solver_fea</f>
        <v>#NAME?</v>
      </c>
    </row>
    <row r="1048574" spans="16384:16384" x14ac:dyDescent="0.25">
      <c r="XFD1048574" t="e">
        <f>solver_ipi</f>
        <v>#NAME?</v>
      </c>
    </row>
    <row r="1048575" spans="16384:16384" x14ac:dyDescent="0.25">
      <c r="XFD1048575" t="e">
        <f>solver_ipd</f>
        <v>#NAME?</v>
      </c>
    </row>
  </sheetData>
  <mergeCells count="1">
    <mergeCell ref="A1:D1"/>
  </mergeCells>
  <phoneticPr fontId="1" type="noConversion"/>
  <pageMargins left="0.7" right="0.7" top="0.75" bottom="0.75" header="0.3" footer="0.3"/>
  <drawing r:id="rId1"/>
  <extLst>
    <ext xmlns:x15="http://schemas.microsoft.com/office/spreadsheetml/2010/11/main" uri="{F7C9EE02-42E1-4005-9D12-6889AFFD525C}">
      <x15:webExtensions xmlns:xm="http://schemas.microsoft.com/office/excel/2006/main">
        <x15:webExtension appRef="{8CF3D920-6AE1-4C42-9C76-ECBC8AEB3B63}">
          <xm:f>Sheet1!1:1048576</xm:f>
        </x15:webExtension>
        <x15:webExtension appRef="{A58F2BF4-A13A-489E-907A-7D9D47A7D9C0}">
          <xm:f>Sheet1!XFD1048550:XFD1048575</xm:f>
        </x15:webExtension>
        <x15:webExtension appRef="{3C5F02B2-8C1F-46C0-A5F9-A84D716DF20C}">
          <xm:f>Sheet1!$B$31</xm:f>
        </x15:webExtension>
        <x15:webExtension appRef="{B5299C10-C2A0-451D-A624-CE929D22D0EC}">
          <xm:f>Sheet1!$B$29</xm:f>
        </x15:webExtension>
      </x15:webExtens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2024-10-30T03:09:04Z</dcterms:modified>
</cp:coreProperties>
</file>