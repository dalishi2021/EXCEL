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0\"/>
    </mc:Choice>
  </mc:AlternateContent>
  <xr:revisionPtr revIDLastSave="0" documentId="13_ncr:1_{7E014BDB-FA77-4490-A1C5-BC519AD14C12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concurrentManualCount="32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9" i="1" l="1"/>
  <c r="A18" i="1"/>
  <c r="A17" i="1"/>
  <c r="A16" i="1"/>
  <c r="C8" i="1"/>
  <c r="D8" i="1" s="1"/>
  <c r="C7" i="1"/>
  <c r="D7" i="1" s="1"/>
  <c r="C5" i="1"/>
  <c r="D5" i="1" s="1"/>
  <c r="C3" i="1"/>
  <c r="D3" i="1" s="1"/>
  <c r="C28" i="1"/>
  <c r="C26" i="1"/>
  <c r="C25" i="1"/>
  <c r="C22" i="1"/>
  <c r="C21" i="1"/>
  <c r="D13" i="1"/>
  <c r="C13" i="1"/>
  <c r="B13" i="1"/>
  <c r="E13" i="1"/>
  <c r="E12" i="1"/>
  <c r="D12" i="1"/>
  <c r="C12" i="1"/>
  <c r="B12" i="1"/>
  <c r="D10" i="1"/>
  <c r="C10" i="1"/>
  <c r="B10" i="1"/>
  <c r="B28" i="1" l="1"/>
  <c r="B19" i="1"/>
  <c r="B26" i="1" s="1"/>
  <c r="B25" i="1"/>
  <c r="B21" i="1" l="1" a="1"/>
  <c r="B21" i="1" s="1"/>
  <c r="B22" i="1" a="1"/>
  <c r="B22" i="1" s="1"/>
</calcChain>
</file>

<file path=xl/sharedStrings.xml><?xml version="1.0" encoding="utf-8"?>
<sst xmlns="http://schemas.openxmlformats.org/spreadsheetml/2006/main" count="19" uniqueCount="19">
  <si>
    <t>COLLAR HEDGE:  DELTA AND GAMMA
in this example we costlessly neutralize a large call gamma</t>
  </si>
  <si>
    <t>Call</t>
  </si>
  <si>
    <t>Put</t>
  </si>
  <si>
    <t>Another put</t>
  </si>
  <si>
    <t>S</t>
  </si>
  <si>
    <t>X</t>
  </si>
  <si>
    <t>r</t>
  </si>
  <si>
    <t>k, dividend yiel</t>
  </si>
  <si>
    <t>T</t>
  </si>
  <si>
    <t>Sigma</t>
  </si>
  <si>
    <t>Option prices</t>
  </si>
  <si>
    <t>Delta</t>
  </si>
  <si>
    <t>Gamma</t>
  </si>
  <si>
    <t>Position delta</t>
  </si>
  <si>
    <t>Position gamma</t>
  </si>
  <si>
    <t>Position cost</t>
  </si>
  <si>
    <t xml:space="preserve">   Without second put</t>
  </si>
  <si>
    <t xml:space="preserve">   With second put</t>
  </si>
  <si>
    <t>Traditional collar delta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</si>
</sst>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0"/>
    <numFmt numFmtId="177" formatCode="0.000"/>
    <numFmt numFmtId="178" formatCode="#,##0.0000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22">
    <xf numFmtId="0" fontId="0" fillId="0" borderId="0" xfId="0">
      <alignment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/>
    <xf numFmtId="9" fontId="5" fillId="0" borderId="0" xfId="1" applyFont="1" applyAlignment="1"/>
    <xf numFmtId="2" fontId="2" fillId="0" borderId="0" xfId="1" applyNumberFormat="1" applyAlignment="1"/>
    <xf numFmtId="2" fontId="5" fillId="0" borderId="0" xfId="1" applyNumberFormat="1" applyFont="1" applyAlignment="1"/>
    <xf numFmtId="9" fontId="2" fillId="0" borderId="0" xfId="1" applyAlignment="1"/>
    <xf numFmtId="10" fontId="2" fillId="0" borderId="0" xfId="1" applyNumberFormat="1" applyAlignment="1"/>
    <xf numFmtId="10" fontId="5" fillId="0" borderId="0" xfId="1" applyNumberFormat="1" applyFont="1" applyAlignment="1"/>
    <xf numFmtId="176" fontId="5" fillId="0" borderId="0" xfId="1" applyNumberFormat="1" applyFont="1" applyAlignment="1"/>
    <xf numFmtId="176" fontId="2" fillId="0" borderId="0" xfId="1" applyNumberFormat="1" applyAlignment="1"/>
    <xf numFmtId="2" fontId="5" fillId="0" borderId="0" xfId="1" quotePrefix="1" applyNumberFormat="1" applyFont="1" applyAlignment="1"/>
    <xf numFmtId="176" fontId="0" fillId="0" borderId="0" xfId="0" applyNumberFormat="1" applyAlignment="1"/>
    <xf numFmtId="3" fontId="0" fillId="0" borderId="0" xfId="0" applyNumberFormat="1" applyAlignment="1"/>
    <xf numFmtId="0" fontId="4" fillId="0" borderId="0" xfId="0" applyFont="1" applyAlignment="1"/>
    <xf numFmtId="0" fontId="5" fillId="0" borderId="0" xfId="0" applyFont="1" applyAlignment="1"/>
    <xf numFmtId="177" fontId="5" fillId="0" borderId="0" xfId="0" applyNumberFormat="1" applyFont="1" applyAlignment="1"/>
    <xf numFmtId="0" fontId="0" fillId="2" borderId="0" xfId="0" applyFill="1" applyAlignment="1"/>
    <xf numFmtId="178" fontId="0" fillId="2" borderId="0" xfId="0" applyNumberFormat="1" applyFill="1" applyAlignment="1"/>
    <xf numFmtId="178" fontId="0" fillId="0" borderId="0" xfId="0" applyNumberFormat="1" applyAlignment="1"/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69303</xdr:colOff>
      <xdr:row>5</xdr:row>
      <xdr:rowOff>30808</xdr:rowOff>
    </xdr:from>
    <xdr:to>
      <xdr:col>18</xdr:col>
      <xdr:colOff>586872</xdr:colOff>
      <xdr:row>36</xdr:row>
      <xdr:rowOff>140642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464D8D3B-2397-C472-6AB8-D6807480A5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8503855" y="976739"/>
          <a:ext cx="7237620" cy="540442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20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20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555"/>
      <sheetName val="Page 555 中文"/>
      <sheetName val="Page 556"/>
      <sheetName val="Page 556 中文"/>
      <sheetName val="Page 557"/>
      <sheetName val="Page 557  中文"/>
      <sheetName val="Page 558"/>
      <sheetName val="Page 558  中文"/>
      <sheetName val="Page 559-60"/>
      <sheetName val="Page 559-60  中文"/>
      <sheetName val="Page 565-67"/>
      <sheetName val="Page 565-67  中文"/>
      <sheetName val="Page 568"/>
      <sheetName val="Page 568  中文"/>
      <sheetName val="Page 570"/>
      <sheetName val="Page 570 中文"/>
      <sheetName val="Page 571"/>
      <sheetName val="Page 571  中文"/>
      <sheetName val="Page 572"/>
      <sheetName val="Page 572  中文"/>
      <sheetName val="Page 573"/>
      <sheetName val="Page 573  中文"/>
      <sheetName val="Page 574"/>
      <sheetName val="Page 574  中文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BSMertonCall"/>
      <definedName name="bsmertonput"/>
      <definedName name="deltacall"/>
      <definedName name="deltaput"/>
      <definedName name="getformula"/>
      <definedName name="ggamm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:E28"/>
  <sheetViews>
    <sheetView tabSelected="1" zoomScale="145" zoomScaleNormal="145" workbookViewId="0">
      <selection activeCell="E31" sqref="E31"/>
    </sheetView>
  </sheetViews>
  <sheetFormatPr defaultRowHeight="13.8" x14ac:dyDescent="0.25"/>
  <cols>
    <col min="1" max="1" width="20.33203125" style="4" customWidth="1"/>
    <col min="2" max="2" width="18.109375" style="4" customWidth="1"/>
    <col min="3" max="3" width="16.6640625" style="4" customWidth="1"/>
    <col min="4" max="4" width="19.5546875" style="4" customWidth="1"/>
    <col min="5" max="5" width="30.5546875" style="4" bestFit="1" customWidth="1"/>
  </cols>
  <sheetData>
    <row r="1" spans="1:5" ht="17.399999999999999" x14ac:dyDescent="0.25">
      <c r="A1" s="1" t="s">
        <v>0</v>
      </c>
      <c r="B1" s="1"/>
      <c r="C1" s="1"/>
      <c r="D1" s="1"/>
      <c r="E1" s="1"/>
    </row>
    <row r="2" spans="1:5" ht="17.399999999999999" x14ac:dyDescent="0.3">
      <c r="A2" s="2"/>
      <c r="B2" s="3" t="s">
        <v>1</v>
      </c>
      <c r="C2" s="3" t="s">
        <v>2</v>
      </c>
      <c r="D2" s="3" t="s">
        <v>3</v>
      </c>
    </row>
    <row r="3" spans="1:5" x14ac:dyDescent="0.25">
      <c r="A3" s="5" t="s">
        <v>4</v>
      </c>
      <c r="B3" s="6">
        <v>48</v>
      </c>
      <c r="C3" s="7">
        <f>B3</f>
        <v>48</v>
      </c>
      <c r="D3" s="6">
        <f>C3</f>
        <v>48</v>
      </c>
      <c r="E3" s="8"/>
    </row>
    <row r="4" spans="1:5" x14ac:dyDescent="0.25">
      <c r="A4" s="8" t="s">
        <v>5</v>
      </c>
      <c r="B4" s="6">
        <v>70</v>
      </c>
      <c r="C4" s="7">
        <v>49.04</v>
      </c>
      <c r="D4" s="6">
        <v>35</v>
      </c>
      <c r="E4" s="8"/>
    </row>
    <row r="5" spans="1:5" x14ac:dyDescent="0.25">
      <c r="A5" s="8" t="s">
        <v>6</v>
      </c>
      <c r="B5" s="9">
        <v>0.05</v>
      </c>
      <c r="C5" s="10">
        <f t="shared" ref="C5:D8" si="0">B5</f>
        <v>0.05</v>
      </c>
      <c r="D5" s="9">
        <f t="shared" si="0"/>
        <v>0.05</v>
      </c>
      <c r="E5" s="8"/>
    </row>
    <row r="6" spans="1:5" x14ac:dyDescent="0.25">
      <c r="A6" s="5" t="s">
        <v>7</v>
      </c>
      <c r="B6" s="9">
        <v>0</v>
      </c>
      <c r="C6" s="10">
        <v>0</v>
      </c>
      <c r="D6" s="9">
        <v>0</v>
      </c>
      <c r="E6" s="8"/>
    </row>
    <row r="7" spans="1:5" x14ac:dyDescent="0.25">
      <c r="A7" s="8" t="s">
        <v>8</v>
      </c>
      <c r="B7" s="11">
        <v>0.02</v>
      </c>
      <c r="C7" s="11">
        <f t="shared" si="0"/>
        <v>0.02</v>
      </c>
      <c r="D7" s="12">
        <f t="shared" si="0"/>
        <v>0.02</v>
      </c>
      <c r="E7" s="8"/>
    </row>
    <row r="8" spans="1:5" x14ac:dyDescent="0.25">
      <c r="A8" s="5" t="s">
        <v>9</v>
      </c>
      <c r="B8" s="10">
        <v>0.4</v>
      </c>
      <c r="C8" s="10">
        <f t="shared" si="0"/>
        <v>0.4</v>
      </c>
      <c r="D8" s="9">
        <f t="shared" si="0"/>
        <v>0.4</v>
      </c>
      <c r="E8" s="8"/>
    </row>
    <row r="9" spans="1:5" x14ac:dyDescent="0.25">
      <c r="A9" s="8"/>
      <c r="B9" s="5"/>
      <c r="C9" s="5"/>
      <c r="D9" s="6"/>
      <c r="E9" s="8"/>
    </row>
    <row r="10" spans="1:5" x14ac:dyDescent="0.25">
      <c r="A10" s="5" t="s">
        <v>10</v>
      </c>
      <c r="B10" s="6">
        <f>[2]!BSMertonCall(B3,B4,B7,B5,B6,B8)</f>
        <v>6.8293001312282238E-12</v>
      </c>
      <c r="C10" s="13">
        <f>[2]!bsmertonput(C3,C4,C7,C5,C6,C8)</f>
        <v>1.6603859304103139</v>
      </c>
      <c r="D10" s="13">
        <f>[2]!bsmertonput(D3,D4,D7,D5,D6,D8)</f>
        <v>4.1574637066332798E-9</v>
      </c>
      <c r="E10" s="8"/>
    </row>
    <row r="12" spans="1:5" x14ac:dyDescent="0.25">
      <c r="A12" s="4" t="s">
        <v>11</v>
      </c>
      <c r="B12" s="14">
        <f>[2]!deltacall(B3,B4,B7,B5,B6,B8)</f>
        <v>1.75134045530924E-11</v>
      </c>
      <c r="C12" s="14">
        <f>[2]!deltaput(C3,C4,C7,C5,C6,C8)</f>
        <v>-0.63041922124085548</v>
      </c>
      <c r="D12" s="14">
        <f>[2]!deltaput(D3,D4,D7,D5,D6,D8)</f>
        <v>-9.0363242748801144E-9</v>
      </c>
      <c r="E12" s="4" t="str">
        <f ca="1">[2]!getformula(D12)</f>
        <v>&lt;--  =deltaput(D3,D4,D7,D5,D6,D8)</v>
      </c>
    </row>
    <row r="13" spans="1:5" x14ac:dyDescent="0.25">
      <c r="A13" s="4" t="s">
        <v>12</v>
      </c>
      <c r="B13" s="15">
        <f>[2]!ggamma(B3,B4,B7,B5,B6,B8)</f>
        <v>494472087.18746299</v>
      </c>
      <c r="C13" s="15">
        <f>[2]!ggamma(C3,C4,C7,C5,C6,C8)</f>
        <v>0.15529871226123024</v>
      </c>
      <c r="D13" s="15">
        <f>[2]!ggamma(D3,D4,D7,D5,D6,D8)</f>
        <v>1118872.0031082949</v>
      </c>
      <c r="E13" s="4" t="str">
        <f ca="1">[2]!getformula(D13)</f>
        <v>&lt;--  =ggamma(D3,D4,D7,D5,D6,D8)</v>
      </c>
    </row>
    <row r="16" spans="1:5" x14ac:dyDescent="0.25">
      <c r="A16" s="16" t="str">
        <f>"Bank position:  short call with X = "&amp;TEXT(B4,"0.00")&amp;" + long put with X = "&amp;TEXT(C4,"0.00")&amp;" + put with X = "&amp;TEXT(D4,"0.00")</f>
        <v>Bank position:  short call with X = 70.00 + long put with X = 49.04 + put with X = 35.00</v>
      </c>
      <c r="B16" s="16"/>
    </row>
    <row r="17" spans="1:3" x14ac:dyDescent="0.25">
      <c r="A17" s="17" t="str">
        <f>"Call, X = "&amp;TEXT(B4,"0.00")</f>
        <v>Call, X = 70.00</v>
      </c>
      <c r="B17" s="17">
        <v>-1</v>
      </c>
    </row>
    <row r="18" spans="1:3" x14ac:dyDescent="0.25">
      <c r="A18" s="17" t="str">
        <f>"Put, X = "&amp;TEXT(C4,"0.00")</f>
        <v>Put, X = 49.04</v>
      </c>
      <c r="B18" s="17">
        <v>1</v>
      </c>
    </row>
    <row r="19" spans="1:3" x14ac:dyDescent="0.25">
      <c r="A19" s="17" t="str">
        <f>"Put, X = "&amp;TEXT(D4,"0.00")</f>
        <v>Put, X = 35.00</v>
      </c>
      <c r="B19" s="18">
        <f>B13/D13</f>
        <v>441.93802849100638</v>
      </c>
    </row>
    <row r="20" spans="1:3" x14ac:dyDescent="0.25">
      <c r="A20" s="16"/>
      <c r="B20" s="16"/>
    </row>
    <row r="21" spans="1:3" x14ac:dyDescent="0.25">
      <c r="A21" s="19" t="s">
        <v>13</v>
      </c>
      <c r="B21" s="20">
        <f t="array" ref="B21">SUMPRODUCT(TRANSPOSE(B17:B19),B12:D12)</f>
        <v>-0.63042321475370378</v>
      </c>
      <c r="C21" s="4" t="str">
        <f ca="1">[2]!getformula(B21)</f>
        <v>&lt;--  {=SUMPRODUCT(TRANSPOSE(B17:B19),B12:D12)}</v>
      </c>
    </row>
    <row r="22" spans="1:3" x14ac:dyDescent="0.25">
      <c r="A22" s="19" t="s">
        <v>14</v>
      </c>
      <c r="B22" s="20">
        <f t="array" ref="B22">SUMPRODUCT(TRANSPOSE(B17:B19),B13:D13)</f>
        <v>0.15529870986938477</v>
      </c>
      <c r="C22" s="4" t="str">
        <f ca="1">[2]!getformula(B22)</f>
        <v>&lt;--  {=SUMPRODUCT(TRANSPOSE(B17:B19),B13:D13)}</v>
      </c>
    </row>
    <row r="23" spans="1:3" x14ac:dyDescent="0.25">
      <c r="B23" s="21"/>
    </row>
    <row r="24" spans="1:3" x14ac:dyDescent="0.25">
      <c r="A24" s="4" t="s">
        <v>15</v>
      </c>
      <c r="B24" s="21"/>
    </row>
    <row r="25" spans="1:3" x14ac:dyDescent="0.25">
      <c r="A25" s="4" t="s">
        <v>16</v>
      </c>
      <c r="B25" s="21">
        <f>B17*B10+B18*C10</f>
        <v>1.6603859304034847</v>
      </c>
      <c r="C25" s="4" t="str">
        <f ca="1">[2]!getformula(B25)</f>
        <v>&lt;--  =B17*B10+B18*C10</v>
      </c>
    </row>
    <row r="26" spans="1:3" x14ac:dyDescent="0.25">
      <c r="A26" s="4" t="s">
        <v>17</v>
      </c>
      <c r="B26" s="21">
        <f>B17*B10+B18*C10+B19*D10</f>
        <v>1.6603877677447987</v>
      </c>
      <c r="C26" s="4" t="str">
        <f ca="1">[2]!getformula(B26)</f>
        <v>&lt;--  =B17*B10+B18*C10+B19*D10</v>
      </c>
    </row>
    <row r="28" spans="1:3" x14ac:dyDescent="0.25">
      <c r="A28" s="4" t="s">
        <v>18</v>
      </c>
      <c r="B28" s="14">
        <f>-B12+C12</f>
        <v>-0.63041922125836891</v>
      </c>
      <c r="C28" s="4" t="str">
        <f ca="1">[2]!getformula(B28)</f>
        <v>&lt;--  =-B12+C12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2024-12-04T09:50:10Z</dcterms:modified>
</cp:coreProperties>
</file>