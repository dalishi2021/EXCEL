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0\"/>
    </mc:Choice>
  </mc:AlternateContent>
  <xr:revisionPtr revIDLastSave="0" documentId="13_ncr:1_{5E85C317-9CD3-42F4-BC66-368946061B1B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definedNames>
    <definedName name="_xlnm.Print_Area" localSheetId="0">Sheet1!$A$1:$V$57</definedName>
    <definedName name="solver_adj" localSheetId="0" hidden="1">Sheet1!$C$4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Sheet1!$B$12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7" i="1" l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H18" i="1"/>
  <c r="G18" i="1"/>
  <c r="I18" i="1" s="1"/>
  <c r="C6" i="1"/>
  <c r="C3" i="1"/>
  <c r="D15" i="1"/>
  <c r="C12" i="1"/>
  <c r="D10" i="1"/>
  <c r="C10" i="1"/>
  <c r="B10" i="1"/>
  <c r="B12" i="1" l="1"/>
</calcChain>
</file>

<file path=xl/sharedStrings.xml><?xml version="1.0" encoding="utf-8"?>
<sst xmlns="http://schemas.openxmlformats.org/spreadsheetml/2006/main" count="17" uniqueCount="17">
  <si>
    <t>COLLAR:  THE PURCHASER OWNS A WRITTEN CALL AND A BOUGHT PUT</t>
  </si>
  <si>
    <t>Call</t>
  </si>
  <si>
    <t>Put</t>
  </si>
  <si>
    <t>S</t>
  </si>
  <si>
    <t>X</t>
  </si>
  <si>
    <t>T</t>
  </si>
  <si>
    <t>r, interest</t>
  </si>
  <si>
    <t>k, dividend yield</t>
  </si>
  <si>
    <t>Sigma</t>
  </si>
  <si>
    <t>BS option value</t>
  </si>
  <si>
    <t>Call minus put</t>
  </si>
  <si>
    <t>Data table:  Collar payoff to purchases</t>
  </si>
  <si>
    <r>
      <t>Terminal stock price, S</t>
    </r>
    <r>
      <rPr>
        <vertAlign val="subscript"/>
        <sz val="10"/>
        <rFont val="Arial"/>
        <family val="2"/>
      </rPr>
      <t>T</t>
    </r>
  </si>
  <si>
    <t>Put payoff</t>
  </si>
  <si>
    <t>Call payoff</t>
  </si>
  <si>
    <t>Collar payoff</t>
  </si>
  <si>
    <t>Collar + Stock 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</si>
</sst>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/>
    <xf numFmtId="0" fontId="4" fillId="0" borderId="0" xfId="0" applyFont="1" applyAlignment="1">
      <alignment horizontal="center"/>
    </xf>
    <xf numFmtId="2" fontId="0" fillId="0" borderId="0" xfId="0" applyNumberFormat="1" applyAlignment="1"/>
    <xf numFmtId="10" fontId="0" fillId="0" borderId="0" xfId="0" applyNumberFormat="1" applyAlignment="1"/>
    <xf numFmtId="9" fontId="0" fillId="0" borderId="0" xfId="0" applyNumberFormat="1" applyAlignment="1"/>
    <xf numFmtId="0" fontId="0" fillId="0" borderId="0" xfId="0" applyAlignment="1">
      <alignment vertical="center" wrapText="1"/>
    </xf>
  </cellXfs>
  <cellStyles count="2">
    <cellStyle name="常规" xfId="0" builtinId="0"/>
    <cellStyle name="常规 2" xfId="1" xr:uid="{5322CCBA-F7FC-44B1-A5BC-F7E612E9C18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Collar Payoff to Holder
Written Call + Bought Put</a:t>
            </a:r>
          </a:p>
        </c:rich>
      </c:tx>
      <c:layout>
        <c:manualLayout>
          <c:xMode val="edge"/>
          <c:yMode val="edge"/>
          <c:x val="0.3781767276842401"/>
          <c:y val="3.76884768892775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43714057421999E-2"/>
          <c:y val="9.0452344534266052E-2"/>
          <c:w val="0.84006055714839123"/>
          <c:h val="0.78643288442292436"/>
        </c:manualLayout>
      </c:layout>
      <c:scatterChart>
        <c:scatterStyle val="lineMarker"/>
        <c:varyColors val="0"/>
        <c:ser>
          <c:idx val="0"/>
          <c:order val="0"/>
          <c:tx>
            <c:v>Written call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'[1]Page 565-67'!$F$19:$F$37</c:f>
              <c:numCache>
                <c:formatCode>General</c:formatCode>
                <c:ptCount val="19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49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</c:numCache>
            </c:numRef>
          </c:xVal>
          <c:yVal>
            <c:numRef>
              <c:f>'[1]Page 565-67'!$G$19:$G$37</c:f>
              <c:numCache>
                <c:formatCode>General</c:formatCode>
                <c:ptCount val="19"/>
                <c:pt idx="0">
                  <c:v>49.04191755349671</c:v>
                </c:pt>
                <c:pt idx="1">
                  <c:v>44.04191755349671</c:v>
                </c:pt>
                <c:pt idx="2">
                  <c:v>39.04191755349671</c:v>
                </c:pt>
                <c:pt idx="3">
                  <c:v>34.04191755349671</c:v>
                </c:pt>
                <c:pt idx="4">
                  <c:v>29.04191755349671</c:v>
                </c:pt>
                <c:pt idx="5">
                  <c:v>24.04191755349671</c:v>
                </c:pt>
                <c:pt idx="6">
                  <c:v>19.04191755349671</c:v>
                </c:pt>
                <c:pt idx="7">
                  <c:v>14.04191755349671</c:v>
                </c:pt>
                <c:pt idx="8">
                  <c:v>9.0419175534967096</c:v>
                </c:pt>
                <c:pt idx="9">
                  <c:v>4.0419175534967096</c:v>
                </c:pt>
                <c:pt idx="10">
                  <c:v>4.1917553496709559E-2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17-4AC5-8E1A-6FA4663D770D}"/>
            </c:ext>
          </c:extLst>
        </c:ser>
        <c:ser>
          <c:idx val="1"/>
          <c:order val="1"/>
          <c:tx>
            <c:v>Bought put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'[1]Page 565-67'!$F$19:$F$37</c:f>
              <c:numCache>
                <c:formatCode>General</c:formatCode>
                <c:ptCount val="19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49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</c:numCache>
            </c:numRef>
          </c:xVal>
          <c:yVal>
            <c:numRef>
              <c:f>'[1]Page 565-67'!$H$19:$H$37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</c:v>
                </c:pt>
                <c:pt idx="16">
                  <c:v>10</c:v>
                </c:pt>
                <c:pt idx="17">
                  <c:v>15</c:v>
                </c:pt>
                <c:pt idx="18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17-4AC5-8E1A-6FA4663D7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7541064"/>
        <c:axId val="1"/>
      </c:scatterChart>
      <c:valAx>
        <c:axId val="1017541064"/>
        <c:scaling>
          <c:orientation val="minMax"/>
          <c:max val="9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zh-CN" alt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Terminal stock price, S</a:t>
                </a:r>
                <a:r>
                  <a:rPr lang="zh-CN" altLang="en-US" sz="8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T</a:t>
                </a:r>
              </a:p>
            </c:rich>
          </c:tx>
          <c:layout>
            <c:manualLayout>
              <c:xMode val="edge"/>
              <c:yMode val="edge"/>
              <c:x val="0.39312442443065276"/>
              <c:y val="0.90452344534266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50"/>
          <c:min val="-2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1754106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8983574867944072"/>
          <c:y val="0.75628210291150222"/>
          <c:w val="0.16591943388518049"/>
          <c:h val="0.108040300415928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en-US" sz="95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Collar Payoff + Stock Value to Holder</a:t>
            </a:r>
          </a:p>
          <a:p>
            <a:pPr>
              <a:defRPr sz="9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en-US" sz="95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Holder Never Gets less than Collar X</a:t>
            </a:r>
            <a:r>
              <a:rPr lang="zh-CN" altLang="en-US" sz="95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put</a:t>
            </a:r>
          </a:p>
        </c:rich>
      </c:tx>
      <c:layout>
        <c:manualLayout>
          <c:xMode val="edge"/>
          <c:yMode val="edge"/>
          <c:x val="0.31539640134930697"/>
          <c:y val="3.76884768892775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170489502399729E-2"/>
          <c:y val="0.13316595167544726"/>
          <c:w val="0.83856578747374977"/>
          <c:h val="0.78894544954887613"/>
        </c:manualLayout>
      </c:layout>
      <c:scatterChart>
        <c:scatterStyle val="lineMarker"/>
        <c:varyColors val="0"/>
        <c:ser>
          <c:idx val="0"/>
          <c:order val="0"/>
          <c:tx>
            <c:v>Collar payoff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'[1]Page 565-67'!$F$19:$F$37</c:f>
              <c:numCache>
                <c:formatCode>General</c:formatCode>
                <c:ptCount val="19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49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</c:numCache>
            </c:numRef>
          </c:xVal>
          <c:yVal>
            <c:numRef>
              <c:f>'[1]Page 565-67'!$I$19:$I$37</c:f>
              <c:numCache>
                <c:formatCode>General</c:formatCode>
                <c:ptCount val="19"/>
                <c:pt idx="0">
                  <c:v>49.04191755349671</c:v>
                </c:pt>
                <c:pt idx="1">
                  <c:v>44.04191755349671</c:v>
                </c:pt>
                <c:pt idx="2">
                  <c:v>39.04191755349671</c:v>
                </c:pt>
                <c:pt idx="3">
                  <c:v>34.04191755349671</c:v>
                </c:pt>
                <c:pt idx="4">
                  <c:v>29.04191755349671</c:v>
                </c:pt>
                <c:pt idx="5">
                  <c:v>24.04191755349671</c:v>
                </c:pt>
                <c:pt idx="6">
                  <c:v>19.04191755349671</c:v>
                </c:pt>
                <c:pt idx="7">
                  <c:v>14.04191755349671</c:v>
                </c:pt>
                <c:pt idx="8">
                  <c:v>9.0419175534967096</c:v>
                </c:pt>
                <c:pt idx="9">
                  <c:v>4.0419175534967096</c:v>
                </c:pt>
                <c:pt idx="10">
                  <c:v>4.1917553496709559E-2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-5</c:v>
                </c:pt>
                <c:pt idx="16">
                  <c:v>-10</c:v>
                </c:pt>
                <c:pt idx="17">
                  <c:v>-15</c:v>
                </c:pt>
                <c:pt idx="18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9-4389-B729-404BFE41DF57}"/>
            </c:ext>
          </c:extLst>
        </c:ser>
        <c:ser>
          <c:idx val="1"/>
          <c:order val="1"/>
          <c:tx>
            <c:v>Collar + stock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'[1]Page 565-67'!$F$19:$F$37</c:f>
              <c:numCache>
                <c:formatCode>General</c:formatCode>
                <c:ptCount val="19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49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</c:numCache>
            </c:numRef>
          </c:xVal>
          <c:yVal>
            <c:numRef>
              <c:f>'[1]Page 565-67'!$J$19:$J$37</c:f>
              <c:numCache>
                <c:formatCode>General</c:formatCode>
                <c:ptCount val="19"/>
                <c:pt idx="0">
                  <c:v>49.04191755349671</c:v>
                </c:pt>
                <c:pt idx="1">
                  <c:v>49.04191755349671</c:v>
                </c:pt>
                <c:pt idx="2">
                  <c:v>49.04191755349671</c:v>
                </c:pt>
                <c:pt idx="3">
                  <c:v>49.04191755349671</c:v>
                </c:pt>
                <c:pt idx="4">
                  <c:v>49.04191755349671</c:v>
                </c:pt>
                <c:pt idx="5">
                  <c:v>49.04191755349671</c:v>
                </c:pt>
                <c:pt idx="6">
                  <c:v>49.04191755349671</c:v>
                </c:pt>
                <c:pt idx="7">
                  <c:v>49.04191755349671</c:v>
                </c:pt>
                <c:pt idx="8">
                  <c:v>49.04191755349671</c:v>
                </c:pt>
                <c:pt idx="9">
                  <c:v>49.04191755349671</c:v>
                </c:pt>
                <c:pt idx="10">
                  <c:v>49.04191755349671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19-4389-B729-404BFE41D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7543944"/>
        <c:axId val="1"/>
      </c:scatterChart>
      <c:valAx>
        <c:axId val="1017543944"/>
        <c:scaling>
          <c:orientation val="minMax"/>
          <c:max val="90"/>
        </c:scaling>
        <c:delete val="0"/>
        <c:axPos val="b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zh-CN" altLang="en-US" sz="92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Terminal stock price, S</a:t>
                </a:r>
                <a:r>
                  <a:rPr lang="zh-CN" altLang="en-US" sz="925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T</a:t>
                </a:r>
              </a:p>
            </c:rich>
          </c:tx>
          <c:layout>
            <c:manualLayout>
              <c:xMode val="edge"/>
              <c:yMode val="edge"/>
              <c:x val="0.40807212117706548"/>
              <c:y val="0.924623966350275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70"/>
          <c:min val="-2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1754394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4125619042110282"/>
          <c:y val="0.49748789493846329"/>
          <c:w val="0.18834097900479946"/>
          <c:h val="0.108040300415928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190500</xdr:colOff>
      <xdr:row>11</xdr:row>
      <xdr:rowOff>60960</xdr:rowOff>
    </xdr:from>
    <xdr:to>
      <xdr:col>21</xdr:col>
      <xdr:colOff>464820</xdr:colOff>
      <xdr:row>31</xdr:row>
      <xdr:rowOff>53340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EEE9884-6CED-4DE6-8881-76FBEFD564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76200</xdr:colOff>
      <xdr:row>33</xdr:row>
      <xdr:rowOff>0</xdr:rowOff>
    </xdr:from>
    <xdr:to>
      <xdr:col>21</xdr:col>
      <xdr:colOff>350520</xdr:colOff>
      <xdr:row>55</xdr:row>
      <xdr:rowOff>22860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6EACCB1D-9BDF-42B3-BDBA-75E05DEB2A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457200</xdr:colOff>
      <xdr:row>9</xdr:row>
      <xdr:rowOff>114300</xdr:rowOff>
    </xdr:from>
    <xdr:to>
      <xdr:col>2</xdr:col>
      <xdr:colOff>472440</xdr:colOff>
      <xdr:row>14</xdr:row>
      <xdr:rowOff>45720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280CC573-B76B-44D2-9C1F-09989FF80925}"/>
            </a:ext>
          </a:extLst>
        </xdr:cNvPr>
        <xdr:cNvSpPr>
          <a:spLocks noChangeShapeType="1"/>
        </xdr:cNvSpPr>
      </xdr:nvSpPr>
      <xdr:spPr bwMode="auto">
        <a:xfrm flipH="1" flipV="1">
          <a:off x="1543050" y="2019300"/>
          <a:ext cx="628650" cy="7905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23</xdr:col>
      <xdr:colOff>99060</xdr:colOff>
      <xdr:row>2</xdr:row>
      <xdr:rowOff>76200</xdr:rowOff>
    </xdr:from>
    <xdr:to>
      <xdr:col>48</xdr:col>
      <xdr:colOff>514350</xdr:colOff>
      <xdr:row>59</xdr:row>
      <xdr:rowOff>57150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39A5BF4A-9AEF-3773-65AA-B7BE1B347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16352520" y="472440"/>
          <a:ext cx="15643860" cy="103327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18</xdr:row>
      <xdr:rowOff>161465</xdr:rowOff>
    </xdr:from>
    <xdr:to>
      <xdr:col>3</xdr:col>
      <xdr:colOff>2146236</xdr:colOff>
      <xdr:row>42</xdr:row>
      <xdr:rowOff>129937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B4AC5FB0-9A32-34AD-B207-5000FF385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662724"/>
          <a:ext cx="4451943" cy="406750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0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0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555"/>
      <sheetName val="Page 555 中文"/>
      <sheetName val="Page 556"/>
      <sheetName val="Page 556 中文"/>
      <sheetName val="Page 557"/>
      <sheetName val="Page 557  中文"/>
      <sheetName val="Page 558"/>
      <sheetName val="Page 558  中文"/>
      <sheetName val="Page 559-60"/>
      <sheetName val="Page 559-60  中文"/>
      <sheetName val="Page 565-67"/>
      <sheetName val="Page 565-67  中文"/>
      <sheetName val="Page 568"/>
      <sheetName val="Page 568  中文"/>
      <sheetName val="Page 570"/>
      <sheetName val="Page 570 中文"/>
      <sheetName val="Page 571"/>
      <sheetName val="Page 571  中文"/>
      <sheetName val="Page 572"/>
      <sheetName val="Page 572  中文"/>
      <sheetName val="Page 573"/>
      <sheetName val="Page 573  中文"/>
      <sheetName val="Page 574"/>
      <sheetName val="Page 574  中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19">
          <cell r="F19">
            <v>0</v>
          </cell>
          <cell r="G19">
            <v>49.04191755349671</v>
          </cell>
          <cell r="H19">
            <v>0</v>
          </cell>
          <cell r="I19">
            <v>49.04191755349671</v>
          </cell>
          <cell r="J19">
            <v>49.04191755349671</v>
          </cell>
        </row>
        <row r="20">
          <cell r="F20">
            <v>5</v>
          </cell>
          <cell r="G20">
            <v>44.04191755349671</v>
          </cell>
          <cell r="H20">
            <v>0</v>
          </cell>
          <cell r="I20">
            <v>44.04191755349671</v>
          </cell>
          <cell r="J20">
            <v>49.04191755349671</v>
          </cell>
        </row>
        <row r="21">
          <cell r="F21">
            <v>10</v>
          </cell>
          <cell r="G21">
            <v>39.04191755349671</v>
          </cell>
          <cell r="H21">
            <v>0</v>
          </cell>
          <cell r="I21">
            <v>39.04191755349671</v>
          </cell>
          <cell r="J21">
            <v>49.04191755349671</v>
          </cell>
        </row>
        <row r="22">
          <cell r="F22">
            <v>15</v>
          </cell>
          <cell r="G22">
            <v>34.04191755349671</v>
          </cell>
          <cell r="H22">
            <v>0</v>
          </cell>
          <cell r="I22">
            <v>34.04191755349671</v>
          </cell>
          <cell r="J22">
            <v>49.04191755349671</v>
          </cell>
        </row>
        <row r="23">
          <cell r="F23">
            <v>20</v>
          </cell>
          <cell r="G23">
            <v>29.04191755349671</v>
          </cell>
          <cell r="H23">
            <v>0</v>
          </cell>
          <cell r="I23">
            <v>29.04191755349671</v>
          </cell>
          <cell r="J23">
            <v>49.04191755349671</v>
          </cell>
        </row>
        <row r="24">
          <cell r="F24">
            <v>25</v>
          </cell>
          <cell r="G24">
            <v>24.04191755349671</v>
          </cell>
          <cell r="H24">
            <v>0</v>
          </cell>
          <cell r="I24">
            <v>24.04191755349671</v>
          </cell>
          <cell r="J24">
            <v>49.04191755349671</v>
          </cell>
        </row>
        <row r="25">
          <cell r="F25">
            <v>30</v>
          </cell>
          <cell r="G25">
            <v>19.04191755349671</v>
          </cell>
          <cell r="H25">
            <v>0</v>
          </cell>
          <cell r="I25">
            <v>19.04191755349671</v>
          </cell>
          <cell r="J25">
            <v>49.04191755349671</v>
          </cell>
        </row>
        <row r="26">
          <cell r="F26">
            <v>35</v>
          </cell>
          <cell r="G26">
            <v>14.04191755349671</v>
          </cell>
          <cell r="H26">
            <v>0</v>
          </cell>
          <cell r="I26">
            <v>14.04191755349671</v>
          </cell>
          <cell r="J26">
            <v>49.04191755349671</v>
          </cell>
        </row>
        <row r="27">
          <cell r="F27">
            <v>40</v>
          </cell>
          <cell r="G27">
            <v>9.0419175534967096</v>
          </cell>
          <cell r="H27">
            <v>0</v>
          </cell>
          <cell r="I27">
            <v>9.0419175534967096</v>
          </cell>
          <cell r="J27">
            <v>49.04191755349671</v>
          </cell>
        </row>
        <row r="28">
          <cell r="F28">
            <v>45</v>
          </cell>
          <cell r="G28">
            <v>4.0419175534967096</v>
          </cell>
          <cell r="H28">
            <v>0</v>
          </cell>
          <cell r="I28">
            <v>4.0419175534967096</v>
          </cell>
          <cell r="J28">
            <v>49.04191755349671</v>
          </cell>
        </row>
        <row r="29">
          <cell r="F29">
            <v>49</v>
          </cell>
          <cell r="G29">
            <v>4.1917553496709559E-2</v>
          </cell>
          <cell r="H29">
            <v>0</v>
          </cell>
          <cell r="I29">
            <v>4.1917553496709559E-2</v>
          </cell>
          <cell r="J29">
            <v>49.04191755349671</v>
          </cell>
        </row>
        <row r="30">
          <cell r="F30">
            <v>55</v>
          </cell>
          <cell r="G30">
            <v>0</v>
          </cell>
          <cell r="H30">
            <v>0</v>
          </cell>
          <cell r="I30">
            <v>0</v>
          </cell>
          <cell r="J30">
            <v>55</v>
          </cell>
        </row>
        <row r="31">
          <cell r="F31">
            <v>60</v>
          </cell>
          <cell r="G31">
            <v>0</v>
          </cell>
          <cell r="H31">
            <v>0</v>
          </cell>
          <cell r="I31">
            <v>0</v>
          </cell>
          <cell r="J31">
            <v>60</v>
          </cell>
        </row>
        <row r="32">
          <cell r="F32">
            <v>65</v>
          </cell>
          <cell r="G32">
            <v>0</v>
          </cell>
          <cell r="H32">
            <v>0</v>
          </cell>
          <cell r="I32">
            <v>0</v>
          </cell>
          <cell r="J32">
            <v>65</v>
          </cell>
        </row>
        <row r="33">
          <cell r="F33">
            <v>70</v>
          </cell>
          <cell r="G33">
            <v>0</v>
          </cell>
          <cell r="H33">
            <v>0</v>
          </cell>
          <cell r="I33">
            <v>0</v>
          </cell>
          <cell r="J33">
            <v>70</v>
          </cell>
        </row>
        <row r="34">
          <cell r="F34">
            <v>75</v>
          </cell>
          <cell r="G34">
            <v>0</v>
          </cell>
          <cell r="H34">
            <v>5</v>
          </cell>
          <cell r="I34">
            <v>-5</v>
          </cell>
          <cell r="J34">
            <v>70</v>
          </cell>
        </row>
        <row r="35">
          <cell r="F35">
            <v>80</v>
          </cell>
          <cell r="G35">
            <v>0</v>
          </cell>
          <cell r="H35">
            <v>10</v>
          </cell>
          <cell r="I35">
            <v>-10</v>
          </cell>
          <cell r="J35">
            <v>70</v>
          </cell>
        </row>
        <row r="36">
          <cell r="F36">
            <v>85</v>
          </cell>
          <cell r="G36">
            <v>0</v>
          </cell>
          <cell r="H36">
            <v>15</v>
          </cell>
          <cell r="I36">
            <v>-15</v>
          </cell>
          <cell r="J36">
            <v>70</v>
          </cell>
        </row>
        <row r="37">
          <cell r="F37">
            <v>90</v>
          </cell>
          <cell r="G37">
            <v>0</v>
          </cell>
          <cell r="H37">
            <v>20</v>
          </cell>
          <cell r="I37">
            <v>-20</v>
          </cell>
          <cell r="J37">
            <v>70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MertonCall"/>
      <definedName name="bsmerto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>
    <pageSetUpPr fitToPage="1"/>
  </sheetPr>
  <dimension ref="A1:V37"/>
  <sheetViews>
    <sheetView tabSelected="1" topLeftCell="A32" zoomScale="115" zoomScaleNormal="115" workbookViewId="0">
      <selection activeCell="G56" sqref="G56"/>
    </sheetView>
  </sheetViews>
  <sheetFormatPr defaultRowHeight="13.8" x14ac:dyDescent="0.25"/>
  <cols>
    <col min="1" max="1" width="15.88671875" style="2" customWidth="1"/>
    <col min="2" max="3" width="8.88671875" style="2"/>
    <col min="4" max="4" width="34.44140625" style="2" bestFit="1" customWidth="1"/>
    <col min="5" max="22" width="8.88671875" style="2"/>
  </cols>
  <sheetData>
    <row r="1" spans="1:6" ht="17.399999999999999" x14ac:dyDescent="0.25">
      <c r="A1" s="1" t="s">
        <v>0</v>
      </c>
      <c r="B1" s="1"/>
      <c r="C1" s="1"/>
      <c r="D1" s="1"/>
    </row>
    <row r="2" spans="1:6" x14ac:dyDescent="0.25">
      <c r="B2" s="3" t="s">
        <v>1</v>
      </c>
      <c r="C2" s="3" t="s">
        <v>2</v>
      </c>
    </row>
    <row r="3" spans="1:6" x14ac:dyDescent="0.25">
      <c r="A3" s="2" t="s">
        <v>3</v>
      </c>
      <c r="B3" s="4">
        <v>55</v>
      </c>
      <c r="C3" s="4">
        <f>B3</f>
        <v>55</v>
      </c>
    </row>
    <row r="4" spans="1:6" x14ac:dyDescent="0.25">
      <c r="A4" s="2" t="s">
        <v>4</v>
      </c>
      <c r="B4" s="4">
        <v>70</v>
      </c>
      <c r="C4" s="4">
        <v>49.041906030236824</v>
      </c>
    </row>
    <row r="5" spans="1:6" x14ac:dyDescent="0.25">
      <c r="A5" s="2" t="s">
        <v>5</v>
      </c>
      <c r="B5" s="2">
        <v>1</v>
      </c>
      <c r="C5" s="2">
        <v>1</v>
      </c>
    </row>
    <row r="6" spans="1:6" x14ac:dyDescent="0.25">
      <c r="A6" s="2" t="s">
        <v>6</v>
      </c>
      <c r="B6" s="5">
        <v>0.04</v>
      </c>
      <c r="C6" s="5">
        <f>B6</f>
        <v>0.04</v>
      </c>
    </row>
    <row r="7" spans="1:6" x14ac:dyDescent="0.25">
      <c r="A7" s="2" t="s">
        <v>7</v>
      </c>
      <c r="B7" s="5">
        <v>0</v>
      </c>
      <c r="C7" s="5">
        <v>0</v>
      </c>
    </row>
    <row r="8" spans="1:6" x14ac:dyDescent="0.25">
      <c r="A8" s="2" t="s">
        <v>8</v>
      </c>
      <c r="B8" s="6">
        <v>0.4</v>
      </c>
      <c r="C8" s="6">
        <v>0.4</v>
      </c>
    </row>
    <row r="10" spans="1:6" x14ac:dyDescent="0.25">
      <c r="A10" s="2" t="s">
        <v>9</v>
      </c>
      <c r="B10" s="4">
        <f>[2]!BSMertonCall(B3,B4,B5,B6,B7,B8)</f>
        <v>4.7415786704056408</v>
      </c>
      <c r="C10" s="4">
        <f>[2]!bsmertonput(C3,C4,C5,C6,C7,C8)</f>
        <v>4.7415739578867999</v>
      </c>
      <c r="D10" s="2" t="str">
        <f ca="1">_xlfn.FORMULATEXT(C10)</f>
        <v>=bsmertonput(C3,C4,C5,C6,C7,C8)</v>
      </c>
    </row>
    <row r="12" spans="1:6" x14ac:dyDescent="0.25">
      <c r="A12" s="2" t="s">
        <v>10</v>
      </c>
      <c r="B12" s="4">
        <f>B10-C10</f>
        <v>4.7125188409324892E-6</v>
      </c>
      <c r="C12" s="2" t="str">
        <f ca="1">_xlfn.FORMULATEXT(B12)</f>
        <v>=B10-C10</v>
      </c>
    </row>
    <row r="15" spans="1:6" x14ac:dyDescent="0.25">
      <c r="D15" s="2" t="str">
        <f ca="1">_xlfn.FORMULATEXT(B10)</f>
        <v>=BSMertonCall(B3,B4,B5,B6,B7,B8)</v>
      </c>
    </row>
    <row r="16" spans="1:6" x14ac:dyDescent="0.25">
      <c r="F16" s="2" t="s">
        <v>11</v>
      </c>
    </row>
    <row r="17" spans="6:10" ht="43.2" x14ac:dyDescent="0.25">
      <c r="F17" s="7" t="s">
        <v>12</v>
      </c>
      <c r="G17" s="7" t="s">
        <v>13</v>
      </c>
      <c r="H17" s="7" t="s">
        <v>14</v>
      </c>
      <c r="I17" s="7" t="s">
        <v>15</v>
      </c>
      <c r="J17" s="7" t="s">
        <v>16</v>
      </c>
    </row>
    <row r="18" spans="6:10" x14ac:dyDescent="0.25">
      <c r="G18" s="4">
        <f>MAX(C4-F18,0)</f>
        <v>49.041906030236824</v>
      </c>
      <c r="H18" s="4">
        <f>MAX(F18-B4,0)</f>
        <v>0</v>
      </c>
      <c r="I18" s="4">
        <f>G18-H18</f>
        <v>49.041906030236824</v>
      </c>
    </row>
    <row r="19" spans="6:10" x14ac:dyDescent="0.25">
      <c r="F19" s="2">
        <v>0</v>
      </c>
      <c r="G19" s="2">
        <v>49.04191755349671</v>
      </c>
      <c r="H19" s="2">
        <v>0</v>
      </c>
      <c r="I19" s="2">
        <v>49.04191755349671</v>
      </c>
      <c r="J19" s="4">
        <f t="shared" ref="J19:J37" si="0">I19+F19</f>
        <v>49.04191755349671</v>
      </c>
    </row>
    <row r="20" spans="6:10" x14ac:dyDescent="0.25">
      <c r="F20" s="2">
        <v>5</v>
      </c>
      <c r="G20" s="2">
        <v>44.04191755349671</v>
      </c>
      <c r="H20" s="2">
        <v>0</v>
      </c>
      <c r="I20" s="2">
        <v>44.04191755349671</v>
      </c>
      <c r="J20" s="4">
        <f t="shared" si="0"/>
        <v>49.04191755349671</v>
      </c>
    </row>
    <row r="21" spans="6:10" x14ac:dyDescent="0.25">
      <c r="F21" s="2">
        <v>10</v>
      </c>
      <c r="G21" s="2">
        <v>39.04191755349671</v>
      </c>
      <c r="H21" s="2">
        <v>0</v>
      </c>
      <c r="I21" s="2">
        <v>39.04191755349671</v>
      </c>
      <c r="J21" s="4">
        <f t="shared" si="0"/>
        <v>49.04191755349671</v>
      </c>
    </row>
    <row r="22" spans="6:10" x14ac:dyDescent="0.25">
      <c r="F22" s="2">
        <v>15</v>
      </c>
      <c r="G22" s="2">
        <v>34.04191755349671</v>
      </c>
      <c r="H22" s="2">
        <v>0</v>
      </c>
      <c r="I22" s="2">
        <v>34.04191755349671</v>
      </c>
      <c r="J22" s="4">
        <f t="shared" si="0"/>
        <v>49.04191755349671</v>
      </c>
    </row>
    <row r="23" spans="6:10" x14ac:dyDescent="0.25">
      <c r="F23" s="2">
        <v>20</v>
      </c>
      <c r="G23" s="2">
        <v>29.04191755349671</v>
      </c>
      <c r="H23" s="2">
        <v>0</v>
      </c>
      <c r="I23" s="2">
        <v>29.04191755349671</v>
      </c>
      <c r="J23" s="4">
        <f t="shared" si="0"/>
        <v>49.04191755349671</v>
      </c>
    </row>
    <row r="24" spans="6:10" x14ac:dyDescent="0.25">
      <c r="F24" s="2">
        <v>25</v>
      </c>
      <c r="G24" s="2">
        <v>24.04191755349671</v>
      </c>
      <c r="H24" s="2">
        <v>0</v>
      </c>
      <c r="I24" s="2">
        <v>24.04191755349671</v>
      </c>
      <c r="J24" s="4">
        <f t="shared" si="0"/>
        <v>49.04191755349671</v>
      </c>
    </row>
    <row r="25" spans="6:10" x14ac:dyDescent="0.25">
      <c r="F25" s="2">
        <v>30</v>
      </c>
      <c r="G25" s="2">
        <v>19.04191755349671</v>
      </c>
      <c r="H25" s="2">
        <v>0</v>
      </c>
      <c r="I25" s="2">
        <v>19.04191755349671</v>
      </c>
      <c r="J25" s="4">
        <f t="shared" si="0"/>
        <v>49.04191755349671</v>
      </c>
    </row>
    <row r="26" spans="6:10" x14ac:dyDescent="0.25">
      <c r="F26" s="2">
        <v>35</v>
      </c>
      <c r="G26" s="2">
        <v>14.04191755349671</v>
      </c>
      <c r="H26" s="2">
        <v>0</v>
      </c>
      <c r="I26" s="2">
        <v>14.04191755349671</v>
      </c>
      <c r="J26" s="4">
        <f t="shared" si="0"/>
        <v>49.04191755349671</v>
      </c>
    </row>
    <row r="27" spans="6:10" x14ac:dyDescent="0.25">
      <c r="F27" s="2">
        <v>40</v>
      </c>
      <c r="G27" s="2">
        <v>9.0419175534967096</v>
      </c>
      <c r="H27" s="2">
        <v>0</v>
      </c>
      <c r="I27" s="2">
        <v>9.0419175534967096</v>
      </c>
      <c r="J27" s="4">
        <f t="shared" si="0"/>
        <v>49.04191755349671</v>
      </c>
    </row>
    <row r="28" spans="6:10" x14ac:dyDescent="0.25">
      <c r="F28" s="2">
        <v>45</v>
      </c>
      <c r="G28" s="2">
        <v>4.0419175534967096</v>
      </c>
      <c r="H28" s="2">
        <v>0</v>
      </c>
      <c r="I28" s="2">
        <v>4.0419175534967096</v>
      </c>
      <c r="J28" s="4">
        <f t="shared" si="0"/>
        <v>49.04191755349671</v>
      </c>
    </row>
    <row r="29" spans="6:10" x14ac:dyDescent="0.25">
      <c r="F29" s="2">
        <v>49</v>
      </c>
      <c r="G29" s="2">
        <v>4.1917553496709559E-2</v>
      </c>
      <c r="H29" s="2">
        <v>0</v>
      </c>
      <c r="I29" s="2">
        <v>4.1917553496709559E-2</v>
      </c>
      <c r="J29" s="4">
        <f t="shared" si="0"/>
        <v>49.04191755349671</v>
      </c>
    </row>
    <row r="30" spans="6:10" x14ac:dyDescent="0.25">
      <c r="F30" s="2">
        <v>55</v>
      </c>
      <c r="G30" s="2">
        <v>0</v>
      </c>
      <c r="H30" s="2">
        <v>0</v>
      </c>
      <c r="I30" s="2">
        <v>0</v>
      </c>
      <c r="J30" s="4">
        <f t="shared" si="0"/>
        <v>55</v>
      </c>
    </row>
    <row r="31" spans="6:10" x14ac:dyDescent="0.25">
      <c r="F31" s="2">
        <v>60</v>
      </c>
      <c r="G31" s="2">
        <v>0</v>
      </c>
      <c r="H31" s="2">
        <v>0</v>
      </c>
      <c r="I31" s="2">
        <v>0</v>
      </c>
      <c r="J31" s="4">
        <f t="shared" si="0"/>
        <v>60</v>
      </c>
    </row>
    <row r="32" spans="6:10" x14ac:dyDescent="0.25">
      <c r="F32" s="2">
        <v>65</v>
      </c>
      <c r="G32" s="2">
        <v>0</v>
      </c>
      <c r="H32" s="2">
        <v>0</v>
      </c>
      <c r="I32" s="2">
        <v>0</v>
      </c>
      <c r="J32" s="4">
        <f t="shared" si="0"/>
        <v>65</v>
      </c>
    </row>
    <row r="33" spans="6:10" x14ac:dyDescent="0.25">
      <c r="F33" s="2">
        <v>70</v>
      </c>
      <c r="G33" s="2">
        <v>0</v>
      </c>
      <c r="H33" s="2">
        <v>0</v>
      </c>
      <c r="I33" s="2">
        <v>0</v>
      </c>
      <c r="J33" s="4">
        <f t="shared" si="0"/>
        <v>70</v>
      </c>
    </row>
    <row r="34" spans="6:10" x14ac:dyDescent="0.25">
      <c r="F34" s="2">
        <v>75</v>
      </c>
      <c r="G34" s="2">
        <v>0</v>
      </c>
      <c r="H34" s="2">
        <v>5</v>
      </c>
      <c r="I34" s="2">
        <v>-5</v>
      </c>
      <c r="J34" s="4">
        <f t="shared" si="0"/>
        <v>70</v>
      </c>
    </row>
    <row r="35" spans="6:10" x14ac:dyDescent="0.25">
      <c r="F35" s="2">
        <v>80</v>
      </c>
      <c r="G35" s="2">
        <v>0</v>
      </c>
      <c r="H35" s="2">
        <v>10</v>
      </c>
      <c r="I35" s="2">
        <v>-10</v>
      </c>
      <c r="J35" s="4">
        <f t="shared" si="0"/>
        <v>70</v>
      </c>
    </row>
    <row r="36" spans="6:10" x14ac:dyDescent="0.25">
      <c r="F36" s="2">
        <v>85</v>
      </c>
      <c r="G36" s="2">
        <v>0</v>
      </c>
      <c r="H36" s="2">
        <v>15</v>
      </c>
      <c r="I36" s="2">
        <v>-15</v>
      </c>
      <c r="J36" s="4">
        <f t="shared" si="0"/>
        <v>70</v>
      </c>
    </row>
    <row r="37" spans="6:10" x14ac:dyDescent="0.25">
      <c r="F37" s="2">
        <v>90</v>
      </c>
      <c r="G37" s="2">
        <v>0</v>
      </c>
      <c r="H37" s="2">
        <v>20</v>
      </c>
      <c r="I37" s="2">
        <v>-20</v>
      </c>
      <c r="J37" s="4">
        <f t="shared" si="0"/>
        <v>70</v>
      </c>
    </row>
  </sheetData>
  <mergeCells count="1">
    <mergeCell ref="A1:D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56" orientation="landscape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2024-12-03T09:05:06Z</cp:lastPrinted>
  <dcterms:created xsi:type="dcterms:W3CDTF">2024-10-05T13:27:14Z</dcterms:created>
  <dcterms:modified xsi:type="dcterms:W3CDTF">2024-12-03T09:05:07Z</dcterms:modified>
</cp:coreProperties>
</file>