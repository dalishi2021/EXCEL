
<file path=[Content_Types].xml><?xml version="1.0" encoding="utf-8"?>
<Types xmlns="http://schemas.openxmlformats.org/package/2006/content-types">
  <Default Extension="emf" ContentType="image/x-emf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129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lizhengdong\交易框架\5_工具箱\_书库\编程\Excel\CH20\"/>
    </mc:Choice>
  </mc:AlternateContent>
  <xr:revisionPtr revIDLastSave="0" documentId="13_ncr:1_{9F15985D-EF8D-4830-B96A-7D7046743890}" xr6:coauthVersionLast="47" xr6:coauthVersionMax="47" xr10:uidLastSave="{00000000-0000-0000-0000-000000000000}"/>
  <bookViews>
    <workbookView xWindow="-38520" yWindow="-120" windowWidth="38640" windowHeight="21120" xr2:uid="{EA6F33A8-FE0E-48B1-8C74-8B2321C6BA8B}"/>
  </bookViews>
  <sheets>
    <sheet name="Sheet1" sheetId="1" r:id="rId1"/>
  </sheets>
  <externalReferences>
    <externalReference r:id="rId2"/>
  </externalReferences>
  <calcPr calcId="191029" iterate="1" concurrentManualCount="32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V12" i="1" l="1"/>
  <c r="A11" i="1"/>
  <c r="A12" i="1" s="1"/>
  <c r="A13" i="1" s="1"/>
  <c r="A14" i="1" s="1"/>
  <c r="A15" i="1" s="1"/>
  <c r="A16" i="1" s="1"/>
  <c r="A17" i="1" s="1"/>
  <c r="A18" i="1" s="1"/>
  <c r="A19" i="1" s="1"/>
  <c r="A20" i="1" s="1"/>
  <c r="A21" i="1" s="1"/>
  <c r="A22" i="1" s="1"/>
  <c r="A23" i="1" s="1"/>
  <c r="A24" i="1" s="1"/>
  <c r="A25" i="1" s="1"/>
  <c r="A26" i="1" s="1"/>
  <c r="A27" i="1" s="1"/>
  <c r="A28" i="1" s="1"/>
  <c r="A29" i="1" s="1"/>
  <c r="A30" i="1" s="1"/>
  <c r="B10" i="1"/>
  <c r="A1" i="1"/>
  <c r="C40" i="1"/>
  <c r="C38" i="1"/>
  <c r="C35" i="1"/>
  <c r="C33" i="1"/>
  <c r="C34" i="1"/>
  <c r="F30" i="1"/>
  <c r="G29" i="1"/>
  <c r="G11" i="1"/>
  <c r="G12" i="1"/>
  <c r="G13" i="1"/>
  <c r="C10" i="1"/>
  <c r="C11" i="1"/>
  <c r="C13" i="1"/>
  <c r="C14" i="1"/>
  <c r="C12" i="1"/>
  <c r="C15" i="1"/>
  <c r="C16" i="1"/>
  <c r="C22" i="1"/>
  <c r="C17" i="1"/>
  <c r="C21" i="1"/>
  <c r="C24" i="1"/>
  <c r="C27" i="1"/>
  <c r="C29" i="1"/>
  <c r="C18" i="1"/>
  <c r="C20" i="1"/>
  <c r="C23" i="1"/>
  <c r="C26" i="1"/>
  <c r="C28" i="1"/>
  <c r="C19" i="1"/>
  <c r="C25" i="1"/>
  <c r="C9" i="1"/>
  <c r="D10" i="1" l="1"/>
  <c r="J11" i="1" s="1"/>
  <c r="B11" i="1"/>
  <c r="B12" i="1" l="1"/>
  <c r="D11" i="1"/>
  <c r="J12" i="1" s="1"/>
  <c r="H11" i="1"/>
  <c r="F10" i="1"/>
  <c r="E10" i="1"/>
  <c r="F11" i="1" l="1"/>
  <c r="H12" i="1"/>
  <c r="I11" i="1"/>
  <c r="K11" i="1" s="1"/>
  <c r="E11" i="1"/>
  <c r="B13" i="1"/>
  <c r="B14" i="1" l="1"/>
  <c r="I12" i="1"/>
  <c r="K12" i="1" s="1"/>
  <c r="H13" i="1"/>
  <c r="D12" i="1"/>
  <c r="J13" i="1" s="1"/>
  <c r="D13" i="1" l="1"/>
  <c r="J14" i="1" s="1"/>
  <c r="E12" i="1"/>
  <c r="F12" i="1"/>
  <c r="B15" i="1"/>
  <c r="H14" i="1"/>
  <c r="I13" i="1"/>
  <c r="K13" i="1" s="1"/>
  <c r="E13" i="1" l="1"/>
  <c r="D14" i="1"/>
  <c r="J15" i="1" s="1"/>
  <c r="H15" i="1"/>
  <c r="I14" i="1"/>
  <c r="K14" i="1" s="1"/>
  <c r="E14" i="1"/>
  <c r="D15" i="1"/>
  <c r="J16" i="1" s="1"/>
  <c r="B16" i="1"/>
  <c r="F13" i="1"/>
  <c r="F14" i="1" l="1"/>
  <c r="E15" i="1"/>
  <c r="I15" i="1"/>
  <c r="K15" i="1" s="1"/>
  <c r="H16" i="1"/>
  <c r="F15" i="1"/>
  <c r="B17" i="1"/>
  <c r="I16" i="1" l="1"/>
  <c r="K16" i="1" s="1"/>
  <c r="H17" i="1"/>
  <c r="D16" i="1"/>
  <c r="J17" i="1" s="1"/>
  <c r="B18" i="1"/>
  <c r="H18" i="1" l="1"/>
  <c r="I17" i="1"/>
  <c r="F16" i="1"/>
  <c r="B19" i="1"/>
  <c r="K17" i="1"/>
  <c r="E16" i="1"/>
  <c r="D17" i="1"/>
  <c r="J18" i="1" s="1"/>
  <c r="F17" i="1" l="1"/>
  <c r="H19" i="1"/>
  <c r="I18" i="1"/>
  <c r="K18" i="1" s="1"/>
  <c r="B20" i="1"/>
  <c r="E17" i="1"/>
  <c r="D18" i="1"/>
  <c r="J19" i="1" s="1"/>
  <c r="F18" i="1" l="1"/>
  <c r="B21" i="1"/>
  <c r="I19" i="1"/>
  <c r="K19" i="1" s="1"/>
  <c r="H20" i="1"/>
  <c r="D19" i="1"/>
  <c r="J20" i="1" s="1"/>
  <c r="E18" i="1"/>
  <c r="D20" i="1" l="1"/>
  <c r="J21" i="1" s="1"/>
  <c r="E19" i="1"/>
  <c r="B22" i="1"/>
  <c r="H21" i="1"/>
  <c r="I20" i="1"/>
  <c r="K20" i="1" s="1"/>
  <c r="F19" i="1"/>
  <c r="F20" i="1" l="1"/>
  <c r="E20" i="1"/>
  <c r="I21" i="1"/>
  <c r="K21" i="1" s="1"/>
  <c r="H22" i="1"/>
  <c r="D21" i="1"/>
  <c r="J22" i="1" s="1"/>
  <c r="B23" i="1"/>
  <c r="B24" i="1" l="1"/>
  <c r="E21" i="1"/>
  <c r="I22" i="1"/>
  <c r="K22" i="1" s="1"/>
  <c r="H23" i="1"/>
  <c r="D22" i="1"/>
  <c r="J23" i="1" s="1"/>
  <c r="F21" i="1"/>
  <c r="D23" i="1" l="1"/>
  <c r="E23" i="1" s="1"/>
  <c r="H24" i="1"/>
  <c r="I23" i="1"/>
  <c r="K23" i="1" s="1"/>
  <c r="E22" i="1"/>
  <c r="B25" i="1"/>
  <c r="F22" i="1"/>
  <c r="I24" i="1" l="1"/>
  <c r="H25" i="1"/>
  <c r="B26" i="1"/>
  <c r="D24" i="1"/>
  <c r="J25" i="1" s="1"/>
  <c r="J24" i="1"/>
  <c r="F23" i="1"/>
  <c r="K24" i="1" l="1"/>
  <c r="F24" i="1"/>
  <c r="H26" i="1"/>
  <c r="I25" i="1"/>
  <c r="B27" i="1"/>
  <c r="K25" i="1"/>
  <c r="D25" i="1"/>
  <c r="J26" i="1" s="1"/>
  <c r="E24" i="1"/>
  <c r="I26" i="1" l="1"/>
  <c r="K26" i="1" s="1"/>
  <c r="H27" i="1"/>
  <c r="B28" i="1"/>
  <c r="F25" i="1"/>
  <c r="D26" i="1"/>
  <c r="J27" i="1" s="1"/>
  <c r="E25" i="1"/>
  <c r="F26" i="1" l="1"/>
  <c r="I27" i="1"/>
  <c r="K27" i="1" s="1"/>
  <c r="H28" i="1"/>
  <c r="B29" i="1"/>
  <c r="E26" i="1"/>
  <c r="D27" i="1"/>
  <c r="J28" i="1" s="1"/>
  <c r="F27" i="1" l="1"/>
  <c r="I28" i="1"/>
  <c r="K28" i="1" s="1"/>
  <c r="H29" i="1"/>
  <c r="E27" i="1"/>
  <c r="D28" i="1"/>
  <c r="J29" i="1" s="1"/>
  <c r="B30" i="1"/>
  <c r="D29" i="1" l="1"/>
  <c r="B34" i="1"/>
  <c r="B33" i="1"/>
  <c r="B35" i="1" s="1"/>
  <c r="F28" i="1"/>
  <c r="E28" i="1"/>
  <c r="I29" i="1"/>
  <c r="K29" i="1" s="1"/>
  <c r="E29" i="1"/>
  <c r="E30" i="1"/>
  <c r="B38" i="1" s="1"/>
  <c r="F29" i="1"/>
  <c r="B40" i="1" l="1"/>
</calcChain>
</file>

<file path=xl/sharedStrings.xml><?xml version="1.0" encoding="utf-8"?>
<sst xmlns="http://schemas.openxmlformats.org/spreadsheetml/2006/main" count="25" uniqueCount="25">
  <si>
    <t>S</t>
  </si>
  <si>
    <r>
      <t>X</t>
    </r>
    <r>
      <rPr>
        <vertAlign val="subscript"/>
        <sz val="10"/>
        <rFont val="Arial"/>
        <family val="2"/>
      </rPr>
      <t>call</t>
    </r>
  </si>
  <si>
    <r>
      <t>X</t>
    </r>
    <r>
      <rPr>
        <vertAlign val="subscript"/>
        <sz val="10"/>
        <rFont val="Arial"/>
        <family val="2"/>
      </rPr>
      <t>put</t>
    </r>
  </si>
  <si>
    <t>r</t>
  </si>
  <si>
    <t>k, dividend yield</t>
  </si>
  <si>
    <t>Sigma</t>
  </si>
  <si>
    <t>Confirming the calculations</t>
  </si>
  <si>
    <t>Time until expiration</t>
  </si>
  <si>
    <t>Stock price</t>
  </si>
  <si>
    <t>Bond</t>
  </si>
  <si>
    <t>Porfolio value</t>
  </si>
  <si>
    <t>Portfolio cash flow</t>
  </si>
  <si>
    <t>Value of previous stock portfolio before changes</t>
  </si>
  <si>
    <t>Investment in stock</t>
  </si>
  <si>
    <t>Value of previous bonds before changes</t>
  </si>
  <si>
    <t>New bond position</t>
  </si>
  <si>
    <t>Random numbers</t>
  </si>
  <si>
    <t>mu</t>
  </si>
  <si>
    <t>sigma</t>
  </si>
  <si>
    <t>Check:  Collar payoff to client at time 0</t>
  </si>
  <si>
    <t>Short call payoff</t>
  </si>
  <si>
    <t>Long put payoff</t>
  </si>
  <si>
    <t>Total</t>
  </si>
  <si>
    <t>Payoff to bank from delta hedge</t>
  </si>
  <si>
    <t>Terminal cash flow to bank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</si>
</sst>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76" formatCode="0.0000"/>
  </numFmts>
  <fonts count="8" x14ac:knownFonts="1">
    <font>
      <sz val="11"/>
      <color theme="1"/>
      <name val="等线"/>
      <family val="2"/>
      <charset val="134"/>
      <scheme val="minor"/>
    </font>
    <font>
      <sz val="9"/>
      <name val="等线"/>
      <family val="2"/>
      <charset val="134"/>
      <scheme val="minor"/>
    </font>
    <font>
      <sz val="11"/>
      <color theme="1"/>
      <name val="等线"/>
      <family val="2"/>
      <charset val="134"/>
      <scheme val="minor"/>
    </font>
    <font>
      <b/>
      <sz val="14"/>
      <name val="Arial"/>
      <family val="2"/>
    </font>
    <font>
      <sz val="10"/>
      <name val="Arial"/>
      <family val="2"/>
    </font>
    <font>
      <vertAlign val="subscript"/>
      <sz val="10"/>
      <name val="Arial"/>
      <family val="2"/>
    </font>
    <font>
      <b/>
      <sz val="10"/>
      <name val="Arial"/>
      <family val="2"/>
    </font>
    <font>
      <sz val="10"/>
      <name val="Symbol"/>
      <family val="1"/>
      <charset val="2"/>
    </font>
  </fonts>
  <fills count="3">
    <fill>
      <patternFill patternType="none"/>
    </fill>
    <fill>
      <patternFill patternType="gray125"/>
    </fill>
    <fill>
      <patternFill patternType="solid">
        <fgColor indexed="13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>
      <alignment vertical="center"/>
    </xf>
    <xf numFmtId="9" fontId="2" fillId="0" borderId="0" applyFont="0" applyFill="0" applyBorder="0" applyAlignment="0" applyProtection="0">
      <alignment vertical="center"/>
    </xf>
  </cellStyleXfs>
  <cellXfs count="18">
    <xf numFmtId="0" fontId="0" fillId="0" borderId="0" xfId="0">
      <alignment vertical="center"/>
    </xf>
    <xf numFmtId="0" fontId="3" fillId="0" borderId="0" xfId="0" applyFont="1" applyAlignment="1">
      <alignment horizontal="center" vertical="center" wrapText="1"/>
    </xf>
    <xf numFmtId="0" fontId="0" fillId="0" borderId="0" xfId="0" applyAlignment="1"/>
    <xf numFmtId="9" fontId="4" fillId="0" borderId="0" xfId="1" applyFont="1" applyAlignment="1"/>
    <xf numFmtId="2" fontId="2" fillId="0" borderId="0" xfId="1" applyNumberFormat="1" applyAlignment="1"/>
    <xf numFmtId="2" fontId="0" fillId="0" borderId="0" xfId="0" applyNumberFormat="1" applyAlignment="1"/>
    <xf numFmtId="9" fontId="2" fillId="0" borderId="0" xfId="1" applyAlignment="1"/>
    <xf numFmtId="10" fontId="2" fillId="0" borderId="0" xfId="1" applyNumberFormat="1" applyAlignment="1"/>
    <xf numFmtId="0" fontId="0" fillId="2" borderId="0" xfId="0" applyFill="1" applyAlignment="1">
      <alignment horizontal="center"/>
    </xf>
    <xf numFmtId="0" fontId="6" fillId="0" borderId="0" xfId="0" applyFont="1" applyAlignment="1">
      <alignment horizontal="center" wrapText="1"/>
    </xf>
    <xf numFmtId="0" fontId="6" fillId="0" borderId="0" xfId="0" applyFont="1" applyAlignment="1">
      <alignment horizontal="center"/>
    </xf>
    <xf numFmtId="2" fontId="0" fillId="0" borderId="0" xfId="0" applyNumberFormat="1" applyAlignment="1">
      <alignment horizontal="center"/>
    </xf>
    <xf numFmtId="9" fontId="0" fillId="0" borderId="0" xfId="0" applyNumberFormat="1" applyAlignment="1"/>
    <xf numFmtId="2" fontId="0" fillId="2" borderId="0" xfId="0" applyNumberFormat="1" applyFill="1" applyAlignment="1"/>
    <xf numFmtId="176" fontId="0" fillId="0" borderId="0" xfId="0" applyNumberFormat="1" applyAlignment="1"/>
    <xf numFmtId="176" fontId="6" fillId="0" borderId="0" xfId="0" applyNumberFormat="1" applyFont="1" applyAlignment="1"/>
    <xf numFmtId="176" fontId="6" fillId="0" borderId="0" xfId="0" applyNumberFormat="1" applyFont="1" applyAlignment="1">
      <alignment wrapText="1"/>
    </xf>
    <xf numFmtId="0" fontId="7" fillId="0" borderId="0" xfId="0" applyFont="1" applyAlignment="1"/>
  </cellXfs>
  <cellStyles count="2">
    <cellStyle name="百分比" xfId="1" builtinId="5"/>
    <cellStyle name="常规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externalLink" Target="externalLinks/externalLink1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22</xdr:col>
      <xdr:colOff>0</xdr:colOff>
      <xdr:row>2</xdr:row>
      <xdr:rowOff>0</xdr:rowOff>
    </xdr:from>
    <xdr:to>
      <xdr:col>53</xdr:col>
      <xdr:colOff>57150</xdr:colOff>
      <xdr:row>51</xdr:row>
      <xdr:rowOff>53340</xdr:rowOff>
    </xdr:to>
    <xdr:pic>
      <xdr:nvPicPr>
        <xdr:cNvPr id="2" name="图片 1">
          <a:extLst>
            <a:ext uri="{FF2B5EF4-FFF2-40B4-BE49-F238E27FC236}">
              <a16:creationId xmlns:a16="http://schemas.microsoft.com/office/drawing/2014/main" id="{3F56D532-019C-439C-8F62-CA72F75C2CD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18935700" y="390525"/>
          <a:ext cx="18954750" cy="95021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C:\Users\li'zheng'dong\AppData\Roaming\Microsoft\AddIns\&#33258;&#23450;&#20041;&#20989;&#25968;.xla" TargetMode="External"/><Relationship Id="rId1" Type="http://schemas.openxmlformats.org/officeDocument/2006/relationships/externalLinkPath" Target="file:///C:\Users\li'zheng'dong\AppData\Roaming\Microsoft\AddIns\&#33258;&#23450;&#20041;&#20989;&#25968;.xla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Sheet1"/>
    </sheetNames>
    <definedNames>
      <definedName name="deltacall"/>
      <definedName name="deltaput"/>
      <definedName name="getformula"/>
    </definedNames>
    <sheetDataSet>
      <sheetData sheetId="0"/>
    </sheetDataSet>
  </externalBook>
</externalLink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74BB0C1-0DD8-4FB5-B5BC-87C496726FA1}">
  <sheetPr codeName="Sheet1"/>
  <dimension ref="A1:V62"/>
  <sheetViews>
    <sheetView tabSelected="1" zoomScale="130" zoomScaleNormal="130" workbookViewId="0">
      <selection activeCell="H8" sqref="H8:K8"/>
    </sheetView>
  </sheetViews>
  <sheetFormatPr defaultRowHeight="13.8" x14ac:dyDescent="0.25"/>
  <cols>
    <col min="1" max="1" width="16" style="2" customWidth="1"/>
    <col min="2" max="2" width="12.5546875" style="2" bestFit="1" customWidth="1"/>
    <col min="3" max="3" width="38.88671875" style="2" customWidth="1"/>
    <col min="4" max="4" width="11.5546875" style="2" customWidth="1"/>
    <col min="5" max="6" width="8.88671875" style="2"/>
    <col min="7" max="7" width="49.44140625" style="2" customWidth="1"/>
    <col min="8" max="8" width="8.88671875" style="2"/>
    <col min="9" max="9" width="10.88671875" style="2" customWidth="1"/>
    <col min="10" max="22" width="8.88671875" style="2"/>
  </cols>
  <sheetData>
    <row r="1" spans="1:22" ht="17.399999999999999" x14ac:dyDescent="0.25">
      <c r="A1" s="1" t="str">
        <f>"MODERATING THE COLLAR GAMMA"&amp;CHAR(10)&amp;"This example starts with T ="&amp;TEXT(A10,"0.00")&amp;" and hedges every Delta_t = "&amp;TEXT(A10-A11,"0.00")</f>
        <v>MODERATING THE COLLAR GAMMA
This example starts with T =0.20 and hedges every Delta_t = 0.01</v>
      </c>
      <c r="B1" s="1"/>
      <c r="C1" s="1"/>
      <c r="D1" s="1"/>
      <c r="E1" s="1"/>
      <c r="F1" s="1"/>
    </row>
    <row r="2" spans="1:22" x14ac:dyDescent="0.25">
      <c r="A2" s="3" t="s">
        <v>0</v>
      </c>
      <c r="B2" s="4">
        <v>55</v>
      </c>
      <c r="C2" s="5"/>
    </row>
    <row r="3" spans="1:22" ht="15.6" x14ac:dyDescent="0.35">
      <c r="A3" s="3" t="s">
        <v>1</v>
      </c>
      <c r="B3" s="4">
        <v>70</v>
      </c>
      <c r="C3" s="5"/>
    </row>
    <row r="4" spans="1:22" ht="15.6" x14ac:dyDescent="0.35">
      <c r="A4" s="3" t="s">
        <v>2</v>
      </c>
      <c r="B4" s="4">
        <v>49.04</v>
      </c>
      <c r="C4" s="5"/>
    </row>
    <row r="5" spans="1:22" x14ac:dyDescent="0.25">
      <c r="A5" s="6" t="s">
        <v>3</v>
      </c>
      <c r="B5" s="7">
        <v>0.04</v>
      </c>
    </row>
    <row r="6" spans="1:22" x14ac:dyDescent="0.25">
      <c r="A6" s="3" t="s">
        <v>4</v>
      </c>
      <c r="B6" s="7">
        <v>0.02</v>
      </c>
    </row>
    <row r="7" spans="1:22" x14ac:dyDescent="0.25">
      <c r="A7" s="3" t="s">
        <v>5</v>
      </c>
      <c r="B7" s="3">
        <v>0.4</v>
      </c>
    </row>
    <row r="8" spans="1:22" x14ac:dyDescent="0.25">
      <c r="H8" s="8" t="s">
        <v>6</v>
      </c>
      <c r="I8" s="8"/>
      <c r="J8" s="8"/>
      <c r="K8" s="8"/>
    </row>
    <row r="9" spans="1:22" ht="79.2" x14ac:dyDescent="0.25">
      <c r="A9" s="9" t="s">
        <v>7</v>
      </c>
      <c r="B9" s="10" t="s">
        <v>8</v>
      </c>
      <c r="C9" s="9" t="str">
        <f ca="1">"Stock "&amp;_xlfn.FORMULATEXT(C10)</f>
        <v>Stock =-B10*(deltacall(B10,$B$3,A10,$B$5,$B$6,$B$7)-deltaput(B10,$B$4,A10,$B$5,$B$6,$B$7))</v>
      </c>
      <c r="D9" s="9" t="s">
        <v>9</v>
      </c>
      <c r="E9" s="9" t="s">
        <v>10</v>
      </c>
      <c r="F9" s="9" t="s">
        <v>11</v>
      </c>
      <c r="G9" s="9"/>
      <c r="H9" s="9" t="s">
        <v>12</v>
      </c>
      <c r="I9" s="9" t="s">
        <v>13</v>
      </c>
      <c r="J9" s="9" t="s">
        <v>14</v>
      </c>
      <c r="K9" s="9" t="s">
        <v>15</v>
      </c>
      <c r="S9" s="2" t="s">
        <v>16</v>
      </c>
    </row>
    <row r="10" spans="1:22" x14ac:dyDescent="0.25">
      <c r="A10" s="11">
        <v>0.2</v>
      </c>
      <c r="B10" s="11">
        <f>B2</f>
        <v>55</v>
      </c>
      <c r="C10" s="11">
        <f>-B10*([1]!deltacall(B10,$B$3,A10,$B$5,$B$6,$B$7)-[1]!deltaput(B10,$B$4,A10,$B$5,$B$6,$B$7))</f>
        <v>-18.291118827973957</v>
      </c>
      <c r="D10" s="11">
        <f>-C10</f>
        <v>18.291118827973957</v>
      </c>
      <c r="E10" s="5">
        <f t="shared" ref="E10:E29" si="0">C10+D10</f>
        <v>0</v>
      </c>
      <c r="F10" s="5">
        <f>C10+D10</f>
        <v>0</v>
      </c>
      <c r="G10" s="5"/>
    </row>
    <row r="11" spans="1:22" x14ac:dyDescent="0.25">
      <c r="A11" s="11">
        <f t="shared" ref="A11:A30" si="1">A10-0.01</f>
        <v>0.19</v>
      </c>
      <c r="B11" s="11">
        <f t="shared" ref="B11:B30" si="2">B10*EXP($V$11*(A10-A11)+$V$12*SQRT(A10-A11)*R11)</f>
        <v>53.621071466473225</v>
      </c>
      <c r="C11" s="11">
        <f>-B11*([1]!deltacall(B11,$B$3,A11,$B$5,$B$6,$B$7)-[1]!deltaput(B11,$B$4,A11,$B$5,$B$6,$B$7))</f>
        <v>-18.432983302294989</v>
      </c>
      <c r="D11" s="11">
        <f t="shared" ref="D11:D29" si="3">(C10*B11/B10-C11)+D10*EXP($B$5*(A10-A11))</f>
        <v>18.898885679893031</v>
      </c>
      <c r="E11" s="5">
        <f t="shared" si="0"/>
        <v>0.46590237759804154</v>
      </c>
      <c r="F11" s="5">
        <f t="shared" ref="F11:F29" si="4">(C10*B11/B10-C11)-(D11-D10*EXP($B$5*(A10-A11)))</f>
        <v>0</v>
      </c>
      <c r="G11" s="5" t="str">
        <f ca="1">[1]!getformula(F11)</f>
        <v>&lt;--  =(C10*B11/B10-C11)-(D11-D10*EXP($B$5*(A10-A11)))</v>
      </c>
      <c r="H11" s="5">
        <f t="shared" ref="H11:H29" si="5">C10*B11/B10</f>
        <v>-17.832534361391737</v>
      </c>
      <c r="I11" s="5">
        <f t="shared" ref="I11:I29" si="6">C11-H11</f>
        <v>-0.60044894090325229</v>
      </c>
      <c r="J11" s="5">
        <f t="shared" ref="J11:J29" si="7">D10*EXP($B$5*(A10-A11))</f>
        <v>18.298436738989778</v>
      </c>
      <c r="K11" s="5">
        <f t="shared" ref="K11:K29" si="8">J11-I11</f>
        <v>18.898885679893031</v>
      </c>
      <c r="R11" s="2">
        <v>-0.68477675085887313</v>
      </c>
      <c r="U11" s="2" t="s">
        <v>17</v>
      </c>
      <c r="V11" s="12">
        <v>0.2</v>
      </c>
    </row>
    <row r="12" spans="1:22" x14ac:dyDescent="0.25">
      <c r="A12" s="11">
        <f t="shared" si="1"/>
        <v>0.18</v>
      </c>
      <c r="B12" s="11">
        <f t="shared" si="2"/>
        <v>54.118540074511898</v>
      </c>
      <c r="C12" s="11">
        <f>-B12*([1]!deltacall(B12,$B$3,A12,$B$5,$B$6,$B$7)-[1]!deltaput(B12,$B$4,A12,$B$5,$B$6,$B$7))</f>
        <v>-17.545260783758078</v>
      </c>
      <c r="D12" s="11">
        <f t="shared" si="3"/>
        <v>17.847712528522145</v>
      </c>
      <c r="E12" s="5">
        <f t="shared" si="0"/>
        <v>0.30245174476406689</v>
      </c>
      <c r="F12" s="5">
        <f t="shared" si="4"/>
        <v>0</v>
      </c>
      <c r="G12" s="5" t="str">
        <f ca="1">[1]!getformula(F12)</f>
        <v>&lt;--  =(C11*B12/B11-C12)-(D12-D11*EXP($B$5*(A11-A12)))</v>
      </c>
      <c r="H12" s="5">
        <f t="shared" si="5"/>
        <v>-18.603995001513386</v>
      </c>
      <c r="I12" s="5">
        <f t="shared" si="6"/>
        <v>1.0587342177553083</v>
      </c>
      <c r="J12" s="5">
        <f t="shared" si="7"/>
        <v>18.906446746277453</v>
      </c>
      <c r="K12" s="5">
        <f t="shared" si="8"/>
        <v>17.847712528522145</v>
      </c>
      <c r="R12" s="2">
        <v>0.18086780073645059</v>
      </c>
      <c r="U12" s="2" t="s">
        <v>18</v>
      </c>
      <c r="V12" s="12">
        <f>B7</f>
        <v>0.4</v>
      </c>
    </row>
    <row r="13" spans="1:22" x14ac:dyDescent="0.25">
      <c r="A13" s="11">
        <f t="shared" si="1"/>
        <v>0.16999999999999998</v>
      </c>
      <c r="B13" s="11">
        <f t="shared" si="2"/>
        <v>54.645970141830546</v>
      </c>
      <c r="C13" s="11">
        <f>-B13*([1]!deltacall(B13,$B$3,A13,$B$5,$B$6,$B$7)-[1]!deltaput(B13,$B$4,A13,$B$5,$B$6,$B$7))</f>
        <v>-16.600659547493585</v>
      </c>
      <c r="D13" s="11">
        <f t="shared" si="3"/>
        <v>16.739258684184136</v>
      </c>
      <c r="E13" s="5">
        <f t="shared" si="0"/>
        <v>0.13859913669055146</v>
      </c>
      <c r="F13" s="5">
        <f t="shared" si="4"/>
        <v>0</v>
      </c>
      <c r="G13" s="5" t="str">
        <f ca="1">[1]!getformula(F13)</f>
        <v>&lt;--  =(C12*B13/B12-C13)-(D13-D12*EXP($B$5*(A12-A13)))</v>
      </c>
      <c r="H13" s="5">
        <f t="shared" si="5"/>
        <v>-17.716253904850401</v>
      </c>
      <c r="I13" s="5">
        <f t="shared" si="6"/>
        <v>1.1155943573568159</v>
      </c>
      <c r="J13" s="5">
        <f t="shared" si="7"/>
        <v>17.854853041540952</v>
      </c>
      <c r="K13" s="5">
        <f t="shared" si="8"/>
        <v>16.739258684184136</v>
      </c>
      <c r="R13" s="2">
        <v>0.19246613192080986</v>
      </c>
    </row>
    <row r="14" spans="1:22" x14ac:dyDescent="0.25">
      <c r="A14" s="11">
        <f t="shared" si="1"/>
        <v>0.15999999999999998</v>
      </c>
      <c r="B14" s="11">
        <f t="shared" si="2"/>
        <v>50.145281611086453</v>
      </c>
      <c r="C14" s="11">
        <f>-B14*([1]!deltacall(B14,$B$3,A14,$B$5,$B$6,$B$7)-[1]!deltaput(B14,$B$4,A14,$B$5,$B$6,$B$7))</f>
        <v>-21.444523347938492</v>
      </c>
      <c r="D14" s="11">
        <f t="shared" si="3"/>
        <v>22.957063952477935</v>
      </c>
      <c r="E14" s="5">
        <f t="shared" si="0"/>
        <v>1.5125406045394421</v>
      </c>
      <c r="F14" s="5">
        <f t="shared" si="4"/>
        <v>0</v>
      </c>
      <c r="G14" s="5"/>
      <c r="H14" s="5">
        <f t="shared" si="5"/>
        <v>-15.233415122437634</v>
      </c>
      <c r="I14" s="5">
        <f t="shared" si="6"/>
        <v>-6.2111082255008583</v>
      </c>
      <c r="J14" s="5">
        <f t="shared" si="7"/>
        <v>16.745955726977076</v>
      </c>
      <c r="K14" s="5">
        <f t="shared" si="8"/>
        <v>22.957063952477935</v>
      </c>
      <c r="R14" s="2">
        <v>-2.1987762011121958</v>
      </c>
    </row>
    <row r="15" spans="1:22" x14ac:dyDescent="0.25">
      <c r="A15" s="11">
        <f t="shared" si="1"/>
        <v>0.14999999999999997</v>
      </c>
      <c r="B15" s="11">
        <f t="shared" si="2"/>
        <v>51.175238417147035</v>
      </c>
      <c r="C15" s="11">
        <f>-B15*([1]!deltacall(B15,$B$3,A15,$B$5,$B$6,$B$7)-[1]!deltaput(B15,$B$4,A15,$B$5,$B$6,$B$7))</f>
        <v>-19.494379845115837</v>
      </c>
      <c r="D15" s="11">
        <f t="shared" si="3"/>
        <v>20.575646267957332</v>
      </c>
      <c r="E15" s="5">
        <f t="shared" si="0"/>
        <v>1.0812664228414945</v>
      </c>
      <c r="F15" s="5">
        <f t="shared" si="4"/>
        <v>0</v>
      </c>
      <c r="G15" s="5"/>
      <c r="H15" s="5">
        <f t="shared" si="5"/>
        <v>-21.884982192027451</v>
      </c>
      <c r="I15" s="5">
        <f t="shared" si="6"/>
        <v>2.3906023469116136</v>
      </c>
      <c r="J15" s="5">
        <f t="shared" si="7"/>
        <v>22.966248614868945</v>
      </c>
      <c r="K15" s="5">
        <f t="shared" si="8"/>
        <v>20.575646267957332</v>
      </c>
      <c r="R15" s="2">
        <v>0.45828414840798359</v>
      </c>
    </row>
    <row r="16" spans="1:22" x14ac:dyDescent="0.25">
      <c r="A16" s="11">
        <f t="shared" si="1"/>
        <v>0.13999999999999996</v>
      </c>
      <c r="B16" s="11">
        <f t="shared" si="2"/>
        <v>50.053882033712185</v>
      </c>
      <c r="C16" s="11">
        <f>-B16*([1]!deltacall(B16,$B$3,A16,$B$5,$B$6,$B$7)-[1]!deltaput(B16,$B$4,A16,$B$5,$B$6,$B$7))</f>
        <v>-21.204481339730627</v>
      </c>
      <c r="D16" s="11">
        <f t="shared" si="3"/>
        <v>22.721142255284821</v>
      </c>
      <c r="E16" s="5">
        <f t="shared" si="0"/>
        <v>1.5166609155541941</v>
      </c>
      <c r="F16" s="5">
        <f t="shared" si="4"/>
        <v>0</v>
      </c>
      <c r="G16" s="5"/>
      <c r="H16" s="5">
        <f t="shared" si="5"/>
        <v>-19.067217257181518</v>
      </c>
      <c r="I16" s="5">
        <f t="shared" si="6"/>
        <v>-2.1372640825491089</v>
      </c>
      <c r="J16" s="5">
        <f t="shared" si="7"/>
        <v>20.583878172735712</v>
      </c>
      <c r="K16" s="5">
        <f t="shared" si="8"/>
        <v>22.721142255284821</v>
      </c>
      <c r="R16" s="2">
        <v>-0.60389311329345219</v>
      </c>
    </row>
    <row r="17" spans="1:18" x14ac:dyDescent="0.25">
      <c r="A17" s="11">
        <f t="shared" si="1"/>
        <v>0.12999999999999995</v>
      </c>
      <c r="B17" s="11">
        <f t="shared" si="2"/>
        <v>51.201104418129496</v>
      </c>
      <c r="C17" s="11">
        <f>-B17*([1]!deltacall(B17,$B$3,A17,$B$5,$B$6,$B$7)-[1]!deltaput(B17,$B$4,A17,$B$5,$B$6,$B$7))</f>
        <v>-18.763574935051039</v>
      </c>
      <c r="D17" s="11">
        <f t="shared" si="3"/>
        <v>19.803324747435827</v>
      </c>
      <c r="E17" s="5">
        <f t="shared" si="0"/>
        <v>1.0397498123847875</v>
      </c>
      <c r="F17" s="5">
        <f t="shared" si="4"/>
        <v>0</v>
      </c>
      <c r="G17" s="5"/>
      <c r="H17" s="5">
        <f t="shared" si="5"/>
        <v>-21.690482717735915</v>
      </c>
      <c r="I17" s="5">
        <f t="shared" si="6"/>
        <v>2.9269077826848751</v>
      </c>
      <c r="J17" s="5">
        <f t="shared" si="7"/>
        <v>22.730232530120702</v>
      </c>
      <c r="K17" s="5">
        <f t="shared" si="8"/>
        <v>19.803324747435827</v>
      </c>
      <c r="R17" s="2">
        <v>0.51652591537276749</v>
      </c>
    </row>
    <row r="18" spans="1:18" x14ac:dyDescent="0.25">
      <c r="A18" s="11">
        <f t="shared" si="1"/>
        <v>0.11999999999999995</v>
      </c>
      <c r="B18" s="11">
        <f t="shared" si="2"/>
        <v>50.709651158698485</v>
      </c>
      <c r="C18" s="11">
        <f>-B18*([1]!deltacall(B18,$B$3,A18,$B$5,$B$6,$B$7)-[1]!deltaput(B18,$B$4,A18,$B$5,$B$6,$B$7))</f>
        <v>-19.421675925556009</v>
      </c>
      <c r="D18" s="11">
        <f t="shared" si="3"/>
        <v>20.649450627952202</v>
      </c>
      <c r="E18" s="5">
        <f t="shared" si="0"/>
        <v>1.2277747023961929</v>
      </c>
      <c r="F18" s="5">
        <f t="shared" si="4"/>
        <v>0</v>
      </c>
      <c r="G18" s="5"/>
      <c r="H18" s="5">
        <f t="shared" si="5"/>
        <v>-18.583472959415847</v>
      </c>
      <c r="I18" s="5">
        <f t="shared" si="6"/>
        <v>-0.83820296614016243</v>
      </c>
      <c r="J18" s="5">
        <f t="shared" si="7"/>
        <v>19.81124766181204</v>
      </c>
      <c r="K18" s="5">
        <f t="shared" si="8"/>
        <v>20.649450627952202</v>
      </c>
      <c r="R18" s="2">
        <v>-0.29112129595887382</v>
      </c>
    </row>
    <row r="19" spans="1:18" x14ac:dyDescent="0.25">
      <c r="A19" s="11">
        <f t="shared" si="1"/>
        <v>0.10999999999999996</v>
      </c>
      <c r="B19" s="11">
        <f t="shared" si="2"/>
        <v>48.612371909491884</v>
      </c>
      <c r="C19" s="11">
        <f>-B19*([1]!deltacall(B19,$B$3,A19,$B$5,$B$6,$B$7)-[1]!deltaput(B19,$B$4,A19,$B$5,$B$6,$B$7))</f>
        <v>-24.112241256939065</v>
      </c>
      <c r="D19" s="11">
        <f t="shared" si="3"/>
        <v>26.151530361813958</v>
      </c>
      <c r="E19" s="5">
        <f t="shared" si="0"/>
        <v>2.0392891048748929</v>
      </c>
      <c r="F19" s="5">
        <f t="shared" si="4"/>
        <v>0</v>
      </c>
      <c r="G19" s="5"/>
      <c r="H19" s="5">
        <f t="shared" si="5"/>
        <v>-18.618422955504826</v>
      </c>
      <c r="I19" s="5">
        <f t="shared" si="6"/>
        <v>-5.4938183014342385</v>
      </c>
      <c r="J19" s="5">
        <f t="shared" si="7"/>
        <v>20.657712060379719</v>
      </c>
      <c r="K19" s="5">
        <f t="shared" si="8"/>
        <v>26.151530361813958</v>
      </c>
      <c r="R19" s="2">
        <v>-1.1059546523028985</v>
      </c>
    </row>
    <row r="20" spans="1:18" x14ac:dyDescent="0.25">
      <c r="A20" s="11">
        <f t="shared" si="1"/>
        <v>9.9999999999999964E-2</v>
      </c>
      <c r="B20" s="11">
        <f t="shared" si="2"/>
        <v>50.830941950487521</v>
      </c>
      <c r="C20" s="11">
        <f>-B20*([1]!deltacall(B20,$B$3,A20,$B$5,$B$6,$B$7)-[1]!deltaput(B20,$B$4,A20,$B$5,$B$6,$B$7))</f>
        <v>-18.545207832164781</v>
      </c>
      <c r="D20" s="11">
        <f t="shared" si="3"/>
        <v>19.49452586366808</v>
      </c>
      <c r="E20" s="5">
        <f t="shared" si="0"/>
        <v>0.94931803150329941</v>
      </c>
      <c r="F20" s="5">
        <f t="shared" si="4"/>
        <v>0</v>
      </c>
      <c r="G20" s="5"/>
      <c r="H20" s="5">
        <f t="shared" si="5"/>
        <v>-25.212675034856794</v>
      </c>
      <c r="I20" s="5">
        <f t="shared" si="6"/>
        <v>6.6674672026920128</v>
      </c>
      <c r="J20" s="5">
        <f t="shared" si="7"/>
        <v>26.161993066360093</v>
      </c>
      <c r="K20" s="5">
        <f t="shared" si="8"/>
        <v>19.49452586366808</v>
      </c>
      <c r="R20" s="2">
        <v>1.0656799531716388</v>
      </c>
    </row>
    <row r="21" spans="1:18" x14ac:dyDescent="0.25">
      <c r="A21" s="11">
        <f t="shared" si="1"/>
        <v>8.9999999999999969E-2</v>
      </c>
      <c r="B21" s="11">
        <f t="shared" si="2"/>
        <v>47.754130326339464</v>
      </c>
      <c r="C21" s="11">
        <f>-B21*([1]!deltacall(B21,$B$3,A21,$B$5,$B$6,$B$7)-[1]!deltaput(B21,$B$4,A21,$B$5,$B$6,$B$7))</f>
        <v>-26.653013628536897</v>
      </c>
      <c r="D21" s="11">
        <f t="shared" si="3"/>
        <v>28.732677826275001</v>
      </c>
      <c r="E21" s="5">
        <f t="shared" si="0"/>
        <v>2.0796641977381043</v>
      </c>
      <c r="F21" s="5">
        <f t="shared" si="4"/>
        <v>0</v>
      </c>
      <c r="G21" s="5"/>
      <c r="H21" s="5">
        <f t="shared" si="5"/>
        <v>-17.422661036045476</v>
      </c>
      <c r="I21" s="5">
        <f t="shared" si="6"/>
        <v>-9.2303525924914211</v>
      </c>
      <c r="J21" s="5">
        <f t="shared" si="7"/>
        <v>19.50232523378358</v>
      </c>
      <c r="K21" s="5">
        <f t="shared" si="8"/>
        <v>28.732677826275001</v>
      </c>
      <c r="R21" s="2">
        <v>-1.6109925127238967</v>
      </c>
    </row>
    <row r="22" spans="1:18" x14ac:dyDescent="0.25">
      <c r="A22" s="11">
        <f t="shared" si="1"/>
        <v>7.9999999999999974E-2</v>
      </c>
      <c r="B22" s="11">
        <f t="shared" si="2"/>
        <v>44.9361003339314</v>
      </c>
      <c r="C22" s="11">
        <f>-B22*([1]!deltacall(B22,$B$3,A22,$B$5,$B$6,$B$7)-[1]!deltaput(B22,$B$4,A22,$B$5,$B$6,$B$7))</f>
        <v>-34.036027070227057</v>
      </c>
      <c r="D22" s="11">
        <f t="shared" si="3"/>
        <v>37.700013768989216</v>
      </c>
      <c r="E22" s="5">
        <f t="shared" si="0"/>
        <v>3.6639866987621588</v>
      </c>
      <c r="F22" s="5">
        <f t="shared" si="4"/>
        <v>0</v>
      </c>
      <c r="G22" s="5"/>
      <c r="H22" s="5">
        <f t="shared" si="5"/>
        <v>-25.080186497564092</v>
      </c>
      <c r="I22" s="5">
        <f t="shared" si="6"/>
        <v>-8.9558405726629644</v>
      </c>
      <c r="J22" s="5">
        <f t="shared" si="7"/>
        <v>28.744173196326251</v>
      </c>
      <c r="K22" s="5">
        <f t="shared" si="8"/>
        <v>37.700013768989216</v>
      </c>
      <c r="R22" s="2">
        <v>-1.5706018530181609</v>
      </c>
    </row>
    <row r="23" spans="1:18" x14ac:dyDescent="0.25">
      <c r="A23" s="11">
        <f t="shared" si="1"/>
        <v>6.9999999999999979E-2</v>
      </c>
      <c r="B23" s="11">
        <f t="shared" si="2"/>
        <v>45.969078468453503</v>
      </c>
      <c r="C23" s="11">
        <f>-B23*([1]!deltacall(B23,$B$3,A23,$B$5,$B$6,$B$7)-[1]!deltaput(B23,$B$4,A23,$B$5,$B$6,$B$7))</f>
        <v>-32.460969158922261</v>
      </c>
      <c r="D23" s="11">
        <f t="shared" si="3"/>
        <v>35.357628490436568</v>
      </c>
      <c r="E23" s="5">
        <f t="shared" si="0"/>
        <v>2.8966593315143072</v>
      </c>
      <c r="F23" s="5">
        <f t="shared" si="4"/>
        <v>0</v>
      </c>
      <c r="H23" s="5">
        <f t="shared" si="5"/>
        <v>-34.818437459385784</v>
      </c>
      <c r="I23" s="5">
        <f t="shared" si="6"/>
        <v>2.3574683004635233</v>
      </c>
      <c r="J23" s="5">
        <f t="shared" si="7"/>
        <v>37.715096790900091</v>
      </c>
      <c r="K23" s="5">
        <f t="shared" si="8"/>
        <v>35.357628490436568</v>
      </c>
      <c r="R23" s="2">
        <v>0.5181868800718803</v>
      </c>
    </row>
    <row r="24" spans="1:18" x14ac:dyDescent="0.25">
      <c r="A24" s="11">
        <f t="shared" si="1"/>
        <v>5.9999999999999977E-2</v>
      </c>
      <c r="B24" s="11">
        <f t="shared" si="2"/>
        <v>41.055842942727288</v>
      </c>
      <c r="C24" s="11">
        <f>-B24*([1]!deltacall(B24,$B$3,A24,$B$5,$B$6,$B$7)-[1]!deltaput(B24,$B$4,A24,$B$5,$B$6,$B$7))</f>
        <v>-39.372523051329715</v>
      </c>
      <c r="D24" s="11">
        <f t="shared" si="3"/>
        <v>45.752799311697117</v>
      </c>
      <c r="E24" s="5">
        <f t="shared" si="0"/>
        <v>6.3802762603674026</v>
      </c>
      <c r="F24" s="5">
        <f t="shared" si="4"/>
        <v>0</v>
      </c>
      <c r="H24" s="5">
        <f t="shared" si="5"/>
        <v>-28.99149811045281</v>
      </c>
      <c r="I24" s="5">
        <f t="shared" si="6"/>
        <v>-10.381024940876905</v>
      </c>
      <c r="J24" s="5">
        <f t="shared" si="7"/>
        <v>35.371774370820212</v>
      </c>
      <c r="K24" s="5">
        <f t="shared" si="8"/>
        <v>45.752799311697117</v>
      </c>
      <c r="R24" s="2">
        <v>-2.8758950065821409</v>
      </c>
    </row>
    <row r="25" spans="1:18" x14ac:dyDescent="0.25">
      <c r="A25" s="11">
        <f t="shared" si="1"/>
        <v>4.9999999999999975E-2</v>
      </c>
      <c r="B25" s="11">
        <f t="shared" si="2"/>
        <v>40.597307355484581</v>
      </c>
      <c r="C25" s="11">
        <f>-B25*([1]!deltacall(B25,$B$3,A25,$B$5,$B$6,$B$7)-[1]!deltaput(B25,$B$4,A25,$B$5,$B$6,$B$7))</f>
        <v>-39.750886655546068</v>
      </c>
      <c r="D25" s="11">
        <f t="shared" si="3"/>
        <v>46.589202985764487</v>
      </c>
      <c r="E25" s="5">
        <f t="shared" si="0"/>
        <v>6.8383163302184187</v>
      </c>
      <c r="F25" s="5">
        <f t="shared" si="4"/>
        <v>0</v>
      </c>
      <c r="H25" s="5">
        <f t="shared" si="5"/>
        <v>-38.932787761915407</v>
      </c>
      <c r="I25" s="5">
        <f t="shared" si="6"/>
        <v>-0.81809889363066191</v>
      </c>
      <c r="J25" s="5">
        <f t="shared" si="7"/>
        <v>45.771104092133825</v>
      </c>
      <c r="K25" s="5">
        <f t="shared" si="8"/>
        <v>46.589202985764487</v>
      </c>
      <c r="R25" s="2">
        <v>-0.33078549677156843</v>
      </c>
    </row>
    <row r="26" spans="1:18" x14ac:dyDescent="0.25">
      <c r="A26" s="11">
        <f t="shared" si="1"/>
        <v>3.9999999999999973E-2</v>
      </c>
      <c r="B26" s="11">
        <f t="shared" si="2"/>
        <v>38.348958825229758</v>
      </c>
      <c r="C26" s="11">
        <f>-B26*([1]!deltacall(B26,$B$3,A26,$B$5,$B$6,$B$7)-[1]!deltaput(B26,$B$4,A26,$B$5,$B$6,$B$7))</f>
        <v>-38.270476305920006</v>
      </c>
      <c r="D26" s="11">
        <f t="shared" si="3"/>
        <v>47.328904344735363</v>
      </c>
      <c r="E26" s="5">
        <f t="shared" si="0"/>
        <v>9.0584280388153573</v>
      </c>
      <c r="F26" s="5">
        <f t="shared" si="4"/>
        <v>0</v>
      </c>
      <c r="H26" s="5">
        <f t="shared" si="5"/>
        <v>-37.549414355776683</v>
      </c>
      <c r="I26" s="5">
        <f t="shared" si="6"/>
        <v>-0.72106195014332286</v>
      </c>
      <c r="J26" s="5">
        <f t="shared" si="7"/>
        <v>46.607842394592041</v>
      </c>
      <c r="K26" s="5">
        <f t="shared" si="8"/>
        <v>47.328904344735363</v>
      </c>
      <c r="R26" s="2">
        <v>-1.4743591236765496</v>
      </c>
    </row>
    <row r="27" spans="1:18" x14ac:dyDescent="0.25">
      <c r="A27" s="11">
        <f t="shared" si="1"/>
        <v>2.9999999999999971E-2</v>
      </c>
      <c r="B27" s="11">
        <f t="shared" si="2"/>
        <v>36.602918698254243</v>
      </c>
      <c r="C27" s="11">
        <f>-B27*([1]!deltacall(B27,$B$3,A27,$B$5,$B$6,$B$7)-[1]!deltaput(B27,$B$4,A27,$B$5,$B$6,$B$7))</f>
        <v>-36.580427276007335</v>
      </c>
      <c r="D27" s="11">
        <f t="shared" si="3"/>
        <v>47.400257456625944</v>
      </c>
      <c r="E27" s="5">
        <f t="shared" si="0"/>
        <v>10.819830180618609</v>
      </c>
      <c r="F27" s="5">
        <f t="shared" si="4"/>
        <v>0</v>
      </c>
      <c r="H27" s="5">
        <f t="shared" si="5"/>
        <v>-36.528009512671893</v>
      </c>
      <c r="I27" s="5">
        <f t="shared" si="6"/>
        <v>-5.2417763335441236E-2</v>
      </c>
      <c r="J27" s="5">
        <f t="shared" si="7"/>
        <v>47.347839693290503</v>
      </c>
      <c r="K27" s="5">
        <f t="shared" si="8"/>
        <v>47.400257456625944</v>
      </c>
      <c r="R27" s="2">
        <v>-1.2149848771514371</v>
      </c>
    </row>
    <row r="28" spans="1:18" x14ac:dyDescent="0.25">
      <c r="A28" s="11">
        <f t="shared" si="1"/>
        <v>1.9999999999999969E-2</v>
      </c>
      <c r="B28" s="11">
        <f t="shared" si="2"/>
        <v>36.282636158264751</v>
      </c>
      <c r="C28" s="11">
        <f>-B28*([1]!deltacall(B28,$B$3,A28,$B$5,$B$6,$B$7)-[1]!deltaput(B28,$B$4,A28,$B$5,$B$6,$B$7))</f>
        <v>-36.268123798502657</v>
      </c>
      <c r="D28" s="11">
        <f t="shared" si="3"/>
        <v>47.427003610372857</v>
      </c>
      <c r="E28" s="5">
        <f t="shared" si="0"/>
        <v>11.1588798118702</v>
      </c>
      <c r="F28" s="5">
        <f t="shared" si="4"/>
        <v>0</v>
      </c>
      <c r="H28" s="5">
        <f t="shared" si="5"/>
        <v>-36.260341540264648</v>
      </c>
      <c r="I28" s="5">
        <f t="shared" si="6"/>
        <v>-7.7822582380093763E-3</v>
      </c>
      <c r="J28" s="5">
        <f t="shared" si="7"/>
        <v>47.419221352134848</v>
      </c>
      <c r="K28" s="5">
        <f t="shared" si="8"/>
        <v>47.427003610372857</v>
      </c>
      <c r="R28" s="2">
        <v>-0.26971747502102517</v>
      </c>
    </row>
    <row r="29" spans="1:18" x14ac:dyDescent="0.25">
      <c r="A29" s="11">
        <f t="shared" si="1"/>
        <v>9.999999999999969E-3</v>
      </c>
      <c r="B29" s="11">
        <f t="shared" si="2"/>
        <v>35.729548326808306</v>
      </c>
      <c r="C29" s="11">
        <f>-B29*([1]!deltacall(B29,$B$3,A29,$B$5,$B$6,$B$7)-[1]!deltaput(B29,$B$4,A29,$B$5,$B$6,$B$7))</f>
        <v>-35.722403131686221</v>
      </c>
      <c r="D29" s="11">
        <f t="shared" si="3"/>
        <v>47.453124146580599</v>
      </c>
      <c r="E29" s="5">
        <f t="shared" si="0"/>
        <v>11.730721014894378</v>
      </c>
      <c r="F29" s="5">
        <f t="shared" si="4"/>
        <v>0</v>
      </c>
      <c r="G29" s="5" t="str">
        <f ca="1">[1]!getformula(F29)</f>
        <v>&lt;--  =(C28*B29/B28-C29)-(D29-D28*EXP($B$5*(A28-A29)))</v>
      </c>
      <c r="H29" s="5">
        <f t="shared" si="5"/>
        <v>-35.715257191588861</v>
      </c>
      <c r="I29" s="5">
        <f t="shared" si="6"/>
        <v>-7.1459400973594711E-3</v>
      </c>
      <c r="J29" s="5">
        <f t="shared" si="7"/>
        <v>47.44597820648324</v>
      </c>
      <c r="K29" s="5">
        <f t="shared" si="8"/>
        <v>47.453124146580599</v>
      </c>
      <c r="R29" s="2">
        <v>-0.43403133531683125</v>
      </c>
    </row>
    <row r="30" spans="1:18" x14ac:dyDescent="0.25">
      <c r="A30" s="11">
        <f t="shared" si="1"/>
        <v>-3.1225022567582528E-17</v>
      </c>
      <c r="B30" s="11">
        <f t="shared" si="2"/>
        <v>36.364640007363619</v>
      </c>
      <c r="C30" s="11"/>
      <c r="D30" s="11"/>
      <c r="E30" s="13">
        <f>C29*B30/B29+D29*EXP($B$5*(A29-A30))</f>
        <v>11.114741386388978</v>
      </c>
      <c r="F30" s="2" t="str">
        <f ca="1">[1]!getformula(E30)</f>
        <v>&lt;--  =C29*B30/B29+D29*EXP($B$5*(A29-A30))</v>
      </c>
      <c r="R30" s="2">
        <v>0.39047108657541685</v>
      </c>
    </row>
    <row r="31" spans="1:18" x14ac:dyDescent="0.25">
      <c r="A31" s="14"/>
      <c r="B31" s="5"/>
      <c r="D31" s="5"/>
    </row>
    <row r="32" spans="1:18" x14ac:dyDescent="0.25">
      <c r="A32" s="15" t="s">
        <v>19</v>
      </c>
      <c r="B32" s="5"/>
      <c r="D32" s="5"/>
    </row>
    <row r="33" spans="1:4" x14ac:dyDescent="0.25">
      <c r="A33" s="14" t="s">
        <v>20</v>
      </c>
      <c r="B33" s="5">
        <f>-MAX(B30-B3,0)</f>
        <v>0</v>
      </c>
      <c r="C33" s="2" t="str">
        <f ca="1">[1]!getformula(B33)</f>
        <v>&lt;--  =-MAX(B30-B3,0)</v>
      </c>
      <c r="D33" s="5"/>
    </row>
    <row r="34" spans="1:4" x14ac:dyDescent="0.25">
      <c r="A34" s="14" t="s">
        <v>21</v>
      </c>
      <c r="B34" s="5">
        <f>MAX(B4-B30,0)</f>
        <v>12.67535999263638</v>
      </c>
      <c r="C34" s="2" t="str">
        <f ca="1">[1]!getformula(B34)</f>
        <v>&lt;--  =MAX(B4-B30,0)</v>
      </c>
      <c r="D34" s="5"/>
    </row>
    <row r="35" spans="1:4" x14ac:dyDescent="0.25">
      <c r="A35" s="14" t="s">
        <v>22</v>
      </c>
      <c r="B35" s="13">
        <f>SUM(B33:B34)</f>
        <v>12.67535999263638</v>
      </c>
      <c r="C35" s="2" t="str">
        <f ca="1">[1]!getformula(B35)</f>
        <v>&lt;--  =SUM(B33:B34)</v>
      </c>
      <c r="D35" s="5"/>
    </row>
    <row r="36" spans="1:4" x14ac:dyDescent="0.25">
      <c r="A36" s="14"/>
      <c r="B36" s="5"/>
      <c r="D36" s="5"/>
    </row>
    <row r="37" spans="1:4" x14ac:dyDescent="0.25">
      <c r="A37" s="15" t="s">
        <v>23</v>
      </c>
      <c r="B37" s="5"/>
      <c r="D37" s="5"/>
    </row>
    <row r="38" spans="1:4" x14ac:dyDescent="0.25">
      <c r="A38" s="14"/>
      <c r="B38" s="13">
        <f>E30</f>
        <v>11.114741386388978</v>
      </c>
      <c r="C38" s="2" t="str">
        <f ca="1">[1]!getformula(B38)</f>
        <v>&lt;--  =E30</v>
      </c>
      <c r="D38" s="5"/>
    </row>
    <row r="39" spans="1:4" x14ac:dyDescent="0.25">
      <c r="A39" s="14"/>
      <c r="B39" s="5"/>
      <c r="D39" s="5"/>
    </row>
    <row r="40" spans="1:4" ht="26.4" x14ac:dyDescent="0.25">
      <c r="A40" s="16" t="s">
        <v>24</v>
      </c>
      <c r="B40" s="13">
        <f>-B35+B38</f>
        <v>-1.5606186062474023</v>
      </c>
      <c r="C40" s="2" t="str">
        <f ca="1">[1]!getformula(B40)</f>
        <v>&lt;--  =-B35+B38</v>
      </c>
      <c r="D40" s="5"/>
    </row>
    <row r="41" spans="1:4" x14ac:dyDescent="0.25">
      <c r="A41" s="14"/>
      <c r="B41" s="5"/>
      <c r="D41" s="5"/>
    </row>
    <row r="42" spans="1:4" x14ac:dyDescent="0.25">
      <c r="A42" s="14"/>
      <c r="B42" s="5"/>
      <c r="D42" s="5"/>
    </row>
    <row r="43" spans="1:4" x14ac:dyDescent="0.25">
      <c r="A43" s="14"/>
      <c r="B43" s="5"/>
      <c r="D43" s="5"/>
    </row>
    <row r="44" spans="1:4" x14ac:dyDescent="0.25">
      <c r="A44" s="14"/>
      <c r="B44" s="5"/>
      <c r="D44" s="5"/>
    </row>
    <row r="45" spans="1:4" x14ac:dyDescent="0.25">
      <c r="A45" s="14"/>
      <c r="B45" s="5"/>
      <c r="D45" s="5"/>
    </row>
    <row r="46" spans="1:4" x14ac:dyDescent="0.25">
      <c r="A46" s="14"/>
      <c r="B46" s="5"/>
      <c r="D46" s="5"/>
    </row>
    <row r="47" spans="1:4" x14ac:dyDescent="0.25">
      <c r="A47" s="14"/>
      <c r="B47" s="5"/>
      <c r="D47" s="5"/>
    </row>
    <row r="48" spans="1:4" x14ac:dyDescent="0.25">
      <c r="A48" s="14"/>
      <c r="B48" s="5"/>
      <c r="C48" s="17"/>
      <c r="D48" s="5"/>
    </row>
    <row r="49" spans="1:4" x14ac:dyDescent="0.25">
      <c r="A49" s="14"/>
      <c r="B49" s="5"/>
      <c r="D49" s="5"/>
    </row>
    <row r="50" spans="1:4" x14ac:dyDescent="0.25">
      <c r="A50" s="14"/>
      <c r="B50" s="5"/>
      <c r="D50" s="5"/>
    </row>
    <row r="51" spans="1:4" x14ac:dyDescent="0.25">
      <c r="A51" s="14"/>
      <c r="B51" s="5"/>
      <c r="D51" s="5"/>
    </row>
    <row r="52" spans="1:4" x14ac:dyDescent="0.25">
      <c r="A52" s="14"/>
      <c r="B52" s="5"/>
      <c r="D52" s="5"/>
    </row>
    <row r="53" spans="1:4" x14ac:dyDescent="0.25">
      <c r="A53" s="14"/>
      <c r="B53" s="5"/>
      <c r="D53" s="5"/>
    </row>
    <row r="54" spans="1:4" x14ac:dyDescent="0.25">
      <c r="A54" s="14"/>
      <c r="B54" s="5"/>
      <c r="D54" s="5"/>
    </row>
    <row r="55" spans="1:4" x14ac:dyDescent="0.25">
      <c r="A55" s="14"/>
      <c r="B55" s="5"/>
      <c r="D55" s="5"/>
    </row>
    <row r="56" spans="1:4" x14ac:dyDescent="0.25">
      <c r="A56" s="14"/>
      <c r="B56" s="5"/>
      <c r="D56" s="5"/>
    </row>
    <row r="57" spans="1:4" x14ac:dyDescent="0.25">
      <c r="A57" s="14"/>
      <c r="B57" s="5"/>
      <c r="D57" s="5"/>
    </row>
    <row r="58" spans="1:4" x14ac:dyDescent="0.25">
      <c r="A58" s="14"/>
      <c r="B58" s="5"/>
      <c r="D58" s="5"/>
    </row>
    <row r="59" spans="1:4" x14ac:dyDescent="0.25">
      <c r="A59" s="14"/>
      <c r="B59" s="5"/>
      <c r="D59" s="5"/>
    </row>
    <row r="60" spans="1:4" x14ac:dyDescent="0.25">
      <c r="A60" s="14"/>
      <c r="B60" s="5"/>
      <c r="D60" s="5"/>
    </row>
    <row r="61" spans="1:4" x14ac:dyDescent="0.25">
      <c r="A61" s="14"/>
      <c r="B61" s="5"/>
      <c r="D61" s="5"/>
    </row>
    <row r="62" spans="1:4" x14ac:dyDescent="0.25">
      <c r="A62" s="14"/>
      <c r="B62" s="5"/>
      <c r="D62" s="5"/>
    </row>
  </sheetData>
  <mergeCells count="2">
    <mergeCell ref="A1:F1"/>
    <mergeCell ref="H8:K8"/>
  </mergeCells>
  <phoneticPr fontId="1" type="noConversion"/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正东 李</dc:creator>
  <cp:lastModifiedBy>正东 李</cp:lastModifiedBy>
  <dcterms:created xsi:type="dcterms:W3CDTF">2024-10-05T13:27:14Z</dcterms:created>
  <dcterms:modified xsi:type="dcterms:W3CDTF">2024-12-04T09:41:11Z</dcterms:modified>
</cp:coreProperties>
</file>