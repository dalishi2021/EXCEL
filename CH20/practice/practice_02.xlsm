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practice\"/>
    </mc:Choice>
  </mc:AlternateContent>
  <xr:revisionPtr revIDLastSave="0" documentId="13_ncr:1_{7F52FC46-27C8-4D9D-81A4-441DA000770D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2" l="1"/>
  <c r="C9" i="2"/>
  <c r="B18" i="2"/>
  <c r="B14" i="2"/>
  <c r="C16" i="2"/>
  <c r="B61" i="2"/>
  <c r="D18" i="2"/>
  <c r="B16" i="2"/>
  <c r="E17" i="2"/>
  <c r="E16" i="2"/>
  <c r="E15" i="2"/>
  <c r="B60" i="2"/>
  <c r="D16" i="2"/>
  <c r="B17" i="2"/>
  <c r="C17" i="2"/>
  <c r="B9" i="2"/>
  <c r="C61" i="2"/>
  <c r="D17" i="2"/>
  <c r="C15" i="2"/>
  <c r="C10" i="2"/>
  <c r="D14" i="2"/>
  <c r="B15" i="2"/>
  <c r="C60" i="2"/>
  <c r="D15" i="2"/>
  <c r="E18" i="2"/>
  <c r="B10" i="2"/>
  <c r="C18" i="2"/>
  <c r="E14" i="2"/>
  <c r="C14" i="2"/>
  <c r="A25" i="2" l="1"/>
</calcChain>
</file>

<file path=xl/sharedStrings.xml><?xml version="1.0" encoding="utf-8"?>
<sst xmlns="http://schemas.openxmlformats.org/spreadsheetml/2006/main" count="41" uniqueCount="26">
  <si>
    <t>Black-Scholes Greeks
Theta graphs</t>
  </si>
  <si>
    <t>S</t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</si>
  <si>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</si>
  <si>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</si>
  <si>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</si>
  <si>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</si>
  <si>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</si>
  <si>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</si>
  <si>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</si>
  <si>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k</t>
  </si>
  <si>
    <t>Dividend yield</t>
  </si>
  <si>
    <t>Sigma</t>
  </si>
  <si>
    <t>Stock volatility</t>
  </si>
  <si>
    <t>Call price</t>
  </si>
  <si>
    <t>Put price</t>
  </si>
  <si>
    <t>Greeks</t>
  </si>
  <si>
    <t>Call</t>
  </si>
  <si>
    <t>Put</t>
  </si>
  <si>
    <t>Delta</t>
  </si>
  <si>
    <t>Vega</t>
  </si>
  <si>
    <t>Theta</t>
  </si>
  <si>
    <t>Rho</t>
  </si>
  <si>
    <t>Theta wrt time to expiration:  Below is a two-sided data table.</t>
  </si>
  <si>
    <t>What does a positive theta mean?  In general, as time to maturity gets shorter, options lose value if they are out of the money and gain value if they are in the money.</t>
  </si>
  <si>
    <t>Put theta</t>
  </si>
  <si>
    <t>ggamma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</si>
</sst>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2" fillId="0" borderId="0" xfId="1"/>
    <xf numFmtId="9" fontId="2" fillId="0" borderId="0" xfId="2" applyFont="1"/>
    <xf numFmtId="0" fontId="2" fillId="0" borderId="0" xfId="2" applyNumberFormat="1"/>
    <xf numFmtId="9" fontId="2" fillId="0" borderId="0" xfId="2"/>
    <xf numFmtId="9" fontId="2" fillId="0" borderId="0" xfId="2" quotePrefix="1"/>
    <xf numFmtId="0" fontId="2" fillId="0" borderId="0" xfId="2" applyNumberFormat="1" applyFont="1"/>
    <xf numFmtId="10" fontId="2" fillId="0" borderId="0" xfId="2" applyNumberFormat="1"/>
    <xf numFmtId="176" fontId="2" fillId="0" borderId="0" xfId="3"/>
    <xf numFmtId="177" fontId="2" fillId="0" borderId="0" xfId="2" applyNumberFormat="1"/>
    <xf numFmtId="0" fontId="4" fillId="0" borderId="0" xfId="1" applyFont="1"/>
    <xf numFmtId="0" fontId="5" fillId="0" borderId="0" xfId="1" applyFont="1" applyAlignment="1">
      <alignment horizontal="center"/>
    </xf>
    <xf numFmtId="9" fontId="5" fillId="0" borderId="0" xfId="2" applyFont="1" applyAlignment="1">
      <alignment horizontal="center"/>
    </xf>
    <xf numFmtId="177" fontId="2" fillId="0" borderId="0" xfId="1" applyNumberFormat="1"/>
    <xf numFmtId="0" fontId="2" fillId="0" borderId="0" xfId="1" applyAlignment="1">
      <alignment vertical="center" wrapText="1"/>
    </xf>
    <xf numFmtId="0" fontId="5" fillId="0" borderId="0" xfId="1" applyFont="1"/>
    <xf numFmtId="2" fontId="2" fillId="0" borderId="0" xfId="1" applyNumberFormat="1"/>
    <xf numFmtId="0" fontId="3" fillId="0" borderId="0" xfId="1" applyFont="1" applyAlignment="1">
      <alignment horizontal="center" vertical="center" wrapText="1"/>
    </xf>
    <xf numFmtId="0" fontId="2" fillId="2" borderId="0" xfId="1" applyFill="1" applyAlignment="1">
      <alignment horizontal="center"/>
    </xf>
    <xf numFmtId="0" fontId="2" fillId="0" borderId="0" xfId="1" applyAlignment="1">
      <alignment vertical="center" wrapText="1"/>
    </xf>
  </cellXfs>
  <cellStyles count="4">
    <cellStyle name="百分比 2" xfId="2" xr:uid="{32F9BF2C-016E-48EE-8CCC-2CCEE13B4A8E}"/>
    <cellStyle name="常规" xfId="0" builtinId="0"/>
    <cellStyle name="常规 2" xfId="1" xr:uid="{A8925787-6442-42C3-B47D-6A05482CD24E}"/>
    <cellStyle name="千位分隔 2" xfId="3" xr:uid="{CBDA52E3-4531-433A-926A-1B1A8A7B067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Put Theta, Time to Maturity, and Moneyness</a:t>
            </a:r>
          </a:p>
        </c:rich>
      </c:tx>
      <c:layout>
        <c:manualLayout>
          <c:xMode val="edge"/>
          <c:yMode val="edge"/>
          <c:x val="0.33190946677950944"/>
          <c:y val="0.8467344474457683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20537343414529"/>
          <c:y val="0.12814082142354358"/>
          <c:w val="0.76068521570926217"/>
          <c:h val="0.82412136131220193"/>
        </c:manualLayout>
      </c:layout>
      <c:scatterChart>
        <c:scatterStyle val="lineMarker"/>
        <c:varyColors val="0"/>
        <c:ser>
          <c:idx val="0"/>
          <c:order val="0"/>
          <c:tx>
            <c:v>In the money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2'!$A$26:$A$46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'Exercise 2'!$B$26:$B$46</c:f>
              <c:numCache>
                <c:formatCode>0.0000</c:formatCode>
                <c:ptCount val="21"/>
                <c:pt idx="0">
                  <c:v>6.4593440482456366</c:v>
                </c:pt>
                <c:pt idx="1">
                  <c:v>6.2273234454414652</c:v>
                </c:pt>
                <c:pt idx="2">
                  <c:v>5.9021720411663079</c:v>
                </c:pt>
                <c:pt idx="3">
                  <c:v>5.5196283057489088</c:v>
                </c:pt>
                <c:pt idx="4">
                  <c:v>5.112044000617205</c:v>
                </c:pt>
                <c:pt idx="5">
                  <c:v>4.3065534276154995</c:v>
                </c:pt>
                <c:pt idx="6">
                  <c:v>3.5833883964936533</c:v>
                </c:pt>
                <c:pt idx="7">
                  <c:v>2.9682555016137542</c:v>
                </c:pt>
                <c:pt idx="8">
                  <c:v>2.4573949987389696</c:v>
                </c:pt>
                <c:pt idx="9">
                  <c:v>2.0375326001553677</c:v>
                </c:pt>
                <c:pt idx="10">
                  <c:v>1.6938605817511982</c:v>
                </c:pt>
                <c:pt idx="11">
                  <c:v>1.4128650519030952</c:v>
                </c:pt>
                <c:pt idx="12">
                  <c:v>1.183090043890453</c:v>
                </c:pt>
                <c:pt idx="13">
                  <c:v>0.9951285615489347</c:v>
                </c:pt>
                <c:pt idx="14">
                  <c:v>0.84136168765090158</c:v>
                </c:pt>
                <c:pt idx="15">
                  <c:v>0.7156487341939437</c:v>
                </c:pt>
                <c:pt idx="16">
                  <c:v>0.61304143174659309</c:v>
                </c:pt>
                <c:pt idx="17">
                  <c:v>0.52954304037999744</c:v>
                </c:pt>
                <c:pt idx="18">
                  <c:v>0.46191334282765251</c:v>
                </c:pt>
                <c:pt idx="19">
                  <c:v>0.40751376046803589</c:v>
                </c:pt>
                <c:pt idx="20">
                  <c:v>0.36418537407526319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B-4B94-9BC3-DD5E2ED45578}"/>
            </c:ext>
          </c:extLst>
        </c:ser>
        <c:ser>
          <c:idx val="1"/>
          <c:order val="1"/>
          <c:tx>
            <c:v>At the money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2'!$A$26:$A$46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'Exercise 2'!$C$26:$C$46</c:f>
              <c:numCache>
                <c:formatCode>0.0000</c:formatCode>
                <c:ptCount val="21"/>
                <c:pt idx="0">
                  <c:v>-19.838822773314838</c:v>
                </c:pt>
                <c:pt idx="1">
                  <c:v>-17.482239460709412</c:v>
                </c:pt>
                <c:pt idx="2">
                  <c:v>-15.738849984366752</c:v>
                </c:pt>
                <c:pt idx="3">
                  <c:v>-14.38101137799914</c:v>
                </c:pt>
                <c:pt idx="4">
                  <c:v>-13.284244326552781</c:v>
                </c:pt>
                <c:pt idx="5">
                  <c:v>-11.602432998152235</c:v>
                </c:pt>
                <c:pt idx="6">
                  <c:v>-10.356321459868601</c:v>
                </c:pt>
                <c:pt idx="7">
                  <c:v>-9.3844386754690277</c:v>
                </c:pt>
                <c:pt idx="8">
                  <c:v>-8.5984356868657343</c:v>
                </c:pt>
                <c:pt idx="9">
                  <c:v>-7.9453509813473211</c:v>
                </c:pt>
                <c:pt idx="10">
                  <c:v>-7.391240954344978</c:v>
                </c:pt>
                <c:pt idx="11">
                  <c:v>-6.9132077922652808</c:v>
                </c:pt>
                <c:pt idx="12">
                  <c:v>-6.4951660795980652</c:v>
                </c:pt>
                <c:pt idx="13">
                  <c:v>-6.1254379752602395</c:v>
                </c:pt>
                <c:pt idx="14">
                  <c:v>-5.7953111289674144</c:v>
                </c:pt>
                <c:pt idx="15">
                  <c:v>-5.4981345662829995</c:v>
                </c:pt>
                <c:pt idx="16">
                  <c:v>-5.2287303331859665</c:v>
                </c:pt>
                <c:pt idx="17">
                  <c:v>-4.9829982980016112</c:v>
                </c:pt>
                <c:pt idx="18">
                  <c:v>-4.7576433555727773</c:v>
                </c:pt>
                <c:pt idx="19">
                  <c:v>-4.5499825976236128</c:v>
                </c:pt>
                <c:pt idx="20">
                  <c:v>-4.3578061346204642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2B-4B94-9BC3-DD5E2ED45578}"/>
            </c:ext>
          </c:extLst>
        </c:ser>
        <c:ser>
          <c:idx val="2"/>
          <c:order val="2"/>
          <c:tx>
            <c:v>Out of the money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'Exercise 2'!$A$26:$A$46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'Exercise 2'!$D$26:$D$46</c:f>
              <c:numCache>
                <c:formatCode>General</c:formatCode>
                <c:ptCount val="21"/>
                <c:pt idx="0">
                  <c:v>-2.3163050594720902</c:v>
                </c:pt>
                <c:pt idx="1">
                  <c:v>-3.084108293155905</c:v>
                </c:pt>
                <c:pt idx="2">
                  <c:v>-3.6608068768827837</c:v>
                </c:pt>
                <c:pt idx="3">
                  <c:v>-4.0793876759769798</c:v>
                </c:pt>
                <c:pt idx="4">
                  <c:v>-4.3766613441582694</c:v>
                </c:pt>
                <c:pt idx="5">
                  <c:v>-4.7219276971691366</c:v>
                </c:pt>
                <c:pt idx="6">
                  <c:v>-4.861014068501512</c:v>
                </c:pt>
                <c:pt idx="7">
                  <c:v>-4.884185078149855</c:v>
                </c:pt>
                <c:pt idx="8">
                  <c:v>-4.8412069298399665</c:v>
                </c:pt>
                <c:pt idx="9">
                  <c:v>-4.760321593109059</c:v>
                </c:pt>
                <c:pt idx="10">
                  <c:v>-4.6580442997395455</c:v>
                </c:pt>
                <c:pt idx="11">
                  <c:v>-4.5442803768328091</c:v>
                </c:pt>
                <c:pt idx="12">
                  <c:v>-4.4250845743489453</c:v>
                </c:pt>
                <c:pt idx="13">
                  <c:v>-4.3042020975744641</c:v>
                </c:pt>
                <c:pt idx="14">
                  <c:v>-4.1839581312876817</c:v>
                </c:pt>
                <c:pt idx="15">
                  <c:v>-4.0657867426819161</c:v>
                </c:pt>
                <c:pt idx="16">
                  <c:v>-3.950553661838736</c:v>
                </c:pt>
                <c:pt idx="17">
                  <c:v>-3.8387577746838142</c:v>
                </c:pt>
                <c:pt idx="18">
                  <c:v>-3.7306593706853839</c:v>
                </c:pt>
                <c:pt idx="19">
                  <c:v>-3.6263631267057774</c:v>
                </c:pt>
                <c:pt idx="20">
                  <c:v>-3.5258725429172406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2B-4B94-9BC3-DD5E2ED45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297424"/>
        <c:axId val="1"/>
      </c:scatterChart>
      <c:valAx>
        <c:axId val="756297424"/>
        <c:scaling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Time to option maturity</a:t>
                </a:r>
              </a:p>
            </c:rich>
          </c:tx>
          <c:layout>
            <c:manualLayout>
              <c:xMode val="edge"/>
              <c:yMode val="edge"/>
              <c:x val="0.76210971985853038"/>
              <c:y val="5.7788997896892208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Theta</a:t>
                </a:r>
              </a:p>
            </c:rich>
          </c:tx>
          <c:layout>
            <c:manualLayout>
              <c:xMode val="edge"/>
              <c:yMode val="edge"/>
              <c:x val="4.4159628627316719E-2"/>
              <c:y val="0.49748789493846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562974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282149373658115"/>
          <c:y val="0.65075436762152528"/>
          <c:w val="0.22079814313658355"/>
          <c:h val="0.168341863438772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944880</xdr:colOff>
      <xdr:row>23</xdr:row>
      <xdr:rowOff>76200</xdr:rowOff>
    </xdr:from>
    <xdr:to>
      <xdr:col>14</xdr:col>
      <xdr:colOff>83820</xdr:colOff>
      <xdr:row>45</xdr:row>
      <xdr:rowOff>99060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C6E9DD2E-0694-40EF-8987-036A12F12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137160</xdr:colOff>
      <xdr:row>2</xdr:row>
      <xdr:rowOff>76200</xdr:rowOff>
    </xdr:from>
    <xdr:to>
      <xdr:col>38</xdr:col>
      <xdr:colOff>434340</xdr:colOff>
      <xdr:row>66</xdr:row>
      <xdr:rowOff>95250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836D9737-C4F9-67E8-59C7-4B7912F6B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845540" y="822960"/>
          <a:ext cx="13716000" cy="115671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  <definedName name="deltacall"/>
      <definedName name="deltaput"/>
      <definedName name="ggamma"/>
      <definedName name="rhocall"/>
      <definedName name="rhoput"/>
      <definedName name="Thetacall"/>
      <definedName name="Thetaput"/>
      <definedName name="veg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F16CE-CF1E-483E-BBAF-55024B2C25F9}">
  <sheetPr codeName="Sheet5">
    <pageSetUpPr fitToPage="1"/>
  </sheetPr>
  <dimension ref="A1:G63"/>
  <sheetViews>
    <sheetView tabSelected="1" zoomScale="145" zoomScaleNormal="145" workbookViewId="0">
      <selection activeCell="H14" sqref="H14"/>
    </sheetView>
  </sheetViews>
  <sheetFormatPr defaultRowHeight="13.2" x14ac:dyDescent="0.25"/>
  <cols>
    <col min="1" max="1" width="15" style="1" customWidth="1"/>
    <col min="2" max="2" width="8.88671875" style="1"/>
    <col min="3" max="3" width="34.5546875" style="1" customWidth="1"/>
    <col min="4" max="4" width="13.6640625" style="1" customWidth="1"/>
    <col min="5" max="5" width="30" style="1" customWidth="1"/>
    <col min="6" max="256" width="8.88671875" style="1"/>
    <col min="257" max="257" width="15" style="1" customWidth="1"/>
    <col min="258" max="258" width="8.88671875" style="1"/>
    <col min="259" max="259" width="34.5546875" style="1" customWidth="1"/>
    <col min="260" max="260" width="13.6640625" style="1" customWidth="1"/>
    <col min="261" max="261" width="30" style="1" customWidth="1"/>
    <col min="262" max="512" width="8.88671875" style="1"/>
    <col min="513" max="513" width="15" style="1" customWidth="1"/>
    <col min="514" max="514" width="8.88671875" style="1"/>
    <col min="515" max="515" width="34.5546875" style="1" customWidth="1"/>
    <col min="516" max="516" width="13.6640625" style="1" customWidth="1"/>
    <col min="517" max="517" width="30" style="1" customWidth="1"/>
    <col min="518" max="768" width="8.88671875" style="1"/>
    <col min="769" max="769" width="15" style="1" customWidth="1"/>
    <col min="770" max="770" width="8.88671875" style="1"/>
    <col min="771" max="771" width="34.5546875" style="1" customWidth="1"/>
    <col min="772" max="772" width="13.6640625" style="1" customWidth="1"/>
    <col min="773" max="773" width="30" style="1" customWidth="1"/>
    <col min="774" max="1024" width="8.88671875" style="1"/>
    <col min="1025" max="1025" width="15" style="1" customWidth="1"/>
    <col min="1026" max="1026" width="8.88671875" style="1"/>
    <col min="1027" max="1027" width="34.5546875" style="1" customWidth="1"/>
    <col min="1028" max="1028" width="13.6640625" style="1" customWidth="1"/>
    <col min="1029" max="1029" width="30" style="1" customWidth="1"/>
    <col min="1030" max="1280" width="8.88671875" style="1"/>
    <col min="1281" max="1281" width="15" style="1" customWidth="1"/>
    <col min="1282" max="1282" width="8.88671875" style="1"/>
    <col min="1283" max="1283" width="34.5546875" style="1" customWidth="1"/>
    <col min="1284" max="1284" width="13.6640625" style="1" customWidth="1"/>
    <col min="1285" max="1285" width="30" style="1" customWidth="1"/>
    <col min="1286" max="1536" width="8.88671875" style="1"/>
    <col min="1537" max="1537" width="15" style="1" customWidth="1"/>
    <col min="1538" max="1538" width="8.88671875" style="1"/>
    <col min="1539" max="1539" width="34.5546875" style="1" customWidth="1"/>
    <col min="1540" max="1540" width="13.6640625" style="1" customWidth="1"/>
    <col min="1541" max="1541" width="30" style="1" customWidth="1"/>
    <col min="1542" max="1792" width="8.88671875" style="1"/>
    <col min="1793" max="1793" width="15" style="1" customWidth="1"/>
    <col min="1794" max="1794" width="8.88671875" style="1"/>
    <col min="1795" max="1795" width="34.5546875" style="1" customWidth="1"/>
    <col min="1796" max="1796" width="13.6640625" style="1" customWidth="1"/>
    <col min="1797" max="1797" width="30" style="1" customWidth="1"/>
    <col min="1798" max="2048" width="8.88671875" style="1"/>
    <col min="2049" max="2049" width="15" style="1" customWidth="1"/>
    <col min="2050" max="2050" width="8.88671875" style="1"/>
    <col min="2051" max="2051" width="34.5546875" style="1" customWidth="1"/>
    <col min="2052" max="2052" width="13.6640625" style="1" customWidth="1"/>
    <col min="2053" max="2053" width="30" style="1" customWidth="1"/>
    <col min="2054" max="2304" width="8.88671875" style="1"/>
    <col min="2305" max="2305" width="15" style="1" customWidth="1"/>
    <col min="2306" max="2306" width="8.88671875" style="1"/>
    <col min="2307" max="2307" width="34.5546875" style="1" customWidth="1"/>
    <col min="2308" max="2308" width="13.6640625" style="1" customWidth="1"/>
    <col min="2309" max="2309" width="30" style="1" customWidth="1"/>
    <col min="2310" max="2560" width="8.88671875" style="1"/>
    <col min="2561" max="2561" width="15" style="1" customWidth="1"/>
    <col min="2562" max="2562" width="8.88671875" style="1"/>
    <col min="2563" max="2563" width="34.5546875" style="1" customWidth="1"/>
    <col min="2564" max="2564" width="13.6640625" style="1" customWidth="1"/>
    <col min="2565" max="2565" width="30" style="1" customWidth="1"/>
    <col min="2566" max="2816" width="8.88671875" style="1"/>
    <col min="2817" max="2817" width="15" style="1" customWidth="1"/>
    <col min="2818" max="2818" width="8.88671875" style="1"/>
    <col min="2819" max="2819" width="34.5546875" style="1" customWidth="1"/>
    <col min="2820" max="2820" width="13.6640625" style="1" customWidth="1"/>
    <col min="2821" max="2821" width="30" style="1" customWidth="1"/>
    <col min="2822" max="3072" width="8.88671875" style="1"/>
    <col min="3073" max="3073" width="15" style="1" customWidth="1"/>
    <col min="3074" max="3074" width="8.88671875" style="1"/>
    <col min="3075" max="3075" width="34.5546875" style="1" customWidth="1"/>
    <col min="3076" max="3076" width="13.6640625" style="1" customWidth="1"/>
    <col min="3077" max="3077" width="30" style="1" customWidth="1"/>
    <col min="3078" max="3328" width="8.88671875" style="1"/>
    <col min="3329" max="3329" width="15" style="1" customWidth="1"/>
    <col min="3330" max="3330" width="8.88671875" style="1"/>
    <col min="3331" max="3331" width="34.5546875" style="1" customWidth="1"/>
    <col min="3332" max="3332" width="13.6640625" style="1" customWidth="1"/>
    <col min="3333" max="3333" width="30" style="1" customWidth="1"/>
    <col min="3334" max="3584" width="8.88671875" style="1"/>
    <col min="3585" max="3585" width="15" style="1" customWidth="1"/>
    <col min="3586" max="3586" width="8.88671875" style="1"/>
    <col min="3587" max="3587" width="34.5546875" style="1" customWidth="1"/>
    <col min="3588" max="3588" width="13.6640625" style="1" customWidth="1"/>
    <col min="3589" max="3589" width="30" style="1" customWidth="1"/>
    <col min="3590" max="3840" width="8.88671875" style="1"/>
    <col min="3841" max="3841" width="15" style="1" customWidth="1"/>
    <col min="3842" max="3842" width="8.88671875" style="1"/>
    <col min="3843" max="3843" width="34.5546875" style="1" customWidth="1"/>
    <col min="3844" max="3844" width="13.6640625" style="1" customWidth="1"/>
    <col min="3845" max="3845" width="30" style="1" customWidth="1"/>
    <col min="3846" max="4096" width="8.88671875" style="1"/>
    <col min="4097" max="4097" width="15" style="1" customWidth="1"/>
    <col min="4098" max="4098" width="8.88671875" style="1"/>
    <col min="4099" max="4099" width="34.5546875" style="1" customWidth="1"/>
    <col min="4100" max="4100" width="13.6640625" style="1" customWidth="1"/>
    <col min="4101" max="4101" width="30" style="1" customWidth="1"/>
    <col min="4102" max="4352" width="8.88671875" style="1"/>
    <col min="4353" max="4353" width="15" style="1" customWidth="1"/>
    <col min="4354" max="4354" width="8.88671875" style="1"/>
    <col min="4355" max="4355" width="34.5546875" style="1" customWidth="1"/>
    <col min="4356" max="4356" width="13.6640625" style="1" customWidth="1"/>
    <col min="4357" max="4357" width="30" style="1" customWidth="1"/>
    <col min="4358" max="4608" width="8.88671875" style="1"/>
    <col min="4609" max="4609" width="15" style="1" customWidth="1"/>
    <col min="4610" max="4610" width="8.88671875" style="1"/>
    <col min="4611" max="4611" width="34.5546875" style="1" customWidth="1"/>
    <col min="4612" max="4612" width="13.6640625" style="1" customWidth="1"/>
    <col min="4613" max="4613" width="30" style="1" customWidth="1"/>
    <col min="4614" max="4864" width="8.88671875" style="1"/>
    <col min="4865" max="4865" width="15" style="1" customWidth="1"/>
    <col min="4866" max="4866" width="8.88671875" style="1"/>
    <col min="4867" max="4867" width="34.5546875" style="1" customWidth="1"/>
    <col min="4868" max="4868" width="13.6640625" style="1" customWidth="1"/>
    <col min="4869" max="4869" width="30" style="1" customWidth="1"/>
    <col min="4870" max="5120" width="8.88671875" style="1"/>
    <col min="5121" max="5121" width="15" style="1" customWidth="1"/>
    <col min="5122" max="5122" width="8.88671875" style="1"/>
    <col min="5123" max="5123" width="34.5546875" style="1" customWidth="1"/>
    <col min="5124" max="5124" width="13.6640625" style="1" customWidth="1"/>
    <col min="5125" max="5125" width="30" style="1" customWidth="1"/>
    <col min="5126" max="5376" width="8.88671875" style="1"/>
    <col min="5377" max="5377" width="15" style="1" customWidth="1"/>
    <col min="5378" max="5378" width="8.88671875" style="1"/>
    <col min="5379" max="5379" width="34.5546875" style="1" customWidth="1"/>
    <col min="5380" max="5380" width="13.6640625" style="1" customWidth="1"/>
    <col min="5381" max="5381" width="30" style="1" customWidth="1"/>
    <col min="5382" max="5632" width="8.88671875" style="1"/>
    <col min="5633" max="5633" width="15" style="1" customWidth="1"/>
    <col min="5634" max="5634" width="8.88671875" style="1"/>
    <col min="5635" max="5635" width="34.5546875" style="1" customWidth="1"/>
    <col min="5636" max="5636" width="13.6640625" style="1" customWidth="1"/>
    <col min="5637" max="5637" width="30" style="1" customWidth="1"/>
    <col min="5638" max="5888" width="8.88671875" style="1"/>
    <col min="5889" max="5889" width="15" style="1" customWidth="1"/>
    <col min="5890" max="5890" width="8.88671875" style="1"/>
    <col min="5891" max="5891" width="34.5546875" style="1" customWidth="1"/>
    <col min="5892" max="5892" width="13.6640625" style="1" customWidth="1"/>
    <col min="5893" max="5893" width="30" style="1" customWidth="1"/>
    <col min="5894" max="6144" width="8.88671875" style="1"/>
    <col min="6145" max="6145" width="15" style="1" customWidth="1"/>
    <col min="6146" max="6146" width="8.88671875" style="1"/>
    <col min="6147" max="6147" width="34.5546875" style="1" customWidth="1"/>
    <col min="6148" max="6148" width="13.6640625" style="1" customWidth="1"/>
    <col min="6149" max="6149" width="30" style="1" customWidth="1"/>
    <col min="6150" max="6400" width="8.88671875" style="1"/>
    <col min="6401" max="6401" width="15" style="1" customWidth="1"/>
    <col min="6402" max="6402" width="8.88671875" style="1"/>
    <col min="6403" max="6403" width="34.5546875" style="1" customWidth="1"/>
    <col min="6404" max="6404" width="13.6640625" style="1" customWidth="1"/>
    <col min="6405" max="6405" width="30" style="1" customWidth="1"/>
    <col min="6406" max="6656" width="8.88671875" style="1"/>
    <col min="6657" max="6657" width="15" style="1" customWidth="1"/>
    <col min="6658" max="6658" width="8.88671875" style="1"/>
    <col min="6659" max="6659" width="34.5546875" style="1" customWidth="1"/>
    <col min="6660" max="6660" width="13.6640625" style="1" customWidth="1"/>
    <col min="6661" max="6661" width="30" style="1" customWidth="1"/>
    <col min="6662" max="6912" width="8.88671875" style="1"/>
    <col min="6913" max="6913" width="15" style="1" customWidth="1"/>
    <col min="6914" max="6914" width="8.88671875" style="1"/>
    <col min="6915" max="6915" width="34.5546875" style="1" customWidth="1"/>
    <col min="6916" max="6916" width="13.6640625" style="1" customWidth="1"/>
    <col min="6917" max="6917" width="30" style="1" customWidth="1"/>
    <col min="6918" max="7168" width="8.88671875" style="1"/>
    <col min="7169" max="7169" width="15" style="1" customWidth="1"/>
    <col min="7170" max="7170" width="8.88671875" style="1"/>
    <col min="7171" max="7171" width="34.5546875" style="1" customWidth="1"/>
    <col min="7172" max="7172" width="13.6640625" style="1" customWidth="1"/>
    <col min="7173" max="7173" width="30" style="1" customWidth="1"/>
    <col min="7174" max="7424" width="8.88671875" style="1"/>
    <col min="7425" max="7425" width="15" style="1" customWidth="1"/>
    <col min="7426" max="7426" width="8.88671875" style="1"/>
    <col min="7427" max="7427" width="34.5546875" style="1" customWidth="1"/>
    <col min="7428" max="7428" width="13.6640625" style="1" customWidth="1"/>
    <col min="7429" max="7429" width="30" style="1" customWidth="1"/>
    <col min="7430" max="7680" width="8.88671875" style="1"/>
    <col min="7681" max="7681" width="15" style="1" customWidth="1"/>
    <col min="7682" max="7682" width="8.88671875" style="1"/>
    <col min="7683" max="7683" width="34.5546875" style="1" customWidth="1"/>
    <col min="7684" max="7684" width="13.6640625" style="1" customWidth="1"/>
    <col min="7685" max="7685" width="30" style="1" customWidth="1"/>
    <col min="7686" max="7936" width="8.88671875" style="1"/>
    <col min="7937" max="7937" width="15" style="1" customWidth="1"/>
    <col min="7938" max="7938" width="8.88671875" style="1"/>
    <col min="7939" max="7939" width="34.5546875" style="1" customWidth="1"/>
    <col min="7940" max="7940" width="13.6640625" style="1" customWidth="1"/>
    <col min="7941" max="7941" width="30" style="1" customWidth="1"/>
    <col min="7942" max="8192" width="8.88671875" style="1"/>
    <col min="8193" max="8193" width="15" style="1" customWidth="1"/>
    <col min="8194" max="8194" width="8.88671875" style="1"/>
    <col min="8195" max="8195" width="34.5546875" style="1" customWidth="1"/>
    <col min="8196" max="8196" width="13.6640625" style="1" customWidth="1"/>
    <col min="8197" max="8197" width="30" style="1" customWidth="1"/>
    <col min="8198" max="8448" width="8.88671875" style="1"/>
    <col min="8449" max="8449" width="15" style="1" customWidth="1"/>
    <col min="8450" max="8450" width="8.88671875" style="1"/>
    <col min="8451" max="8451" width="34.5546875" style="1" customWidth="1"/>
    <col min="8452" max="8452" width="13.6640625" style="1" customWidth="1"/>
    <col min="8453" max="8453" width="30" style="1" customWidth="1"/>
    <col min="8454" max="8704" width="8.88671875" style="1"/>
    <col min="8705" max="8705" width="15" style="1" customWidth="1"/>
    <col min="8706" max="8706" width="8.88671875" style="1"/>
    <col min="8707" max="8707" width="34.5546875" style="1" customWidth="1"/>
    <col min="8708" max="8708" width="13.6640625" style="1" customWidth="1"/>
    <col min="8709" max="8709" width="30" style="1" customWidth="1"/>
    <col min="8710" max="8960" width="8.88671875" style="1"/>
    <col min="8961" max="8961" width="15" style="1" customWidth="1"/>
    <col min="8962" max="8962" width="8.88671875" style="1"/>
    <col min="8963" max="8963" width="34.5546875" style="1" customWidth="1"/>
    <col min="8964" max="8964" width="13.6640625" style="1" customWidth="1"/>
    <col min="8965" max="8965" width="30" style="1" customWidth="1"/>
    <col min="8966" max="9216" width="8.88671875" style="1"/>
    <col min="9217" max="9217" width="15" style="1" customWidth="1"/>
    <col min="9218" max="9218" width="8.88671875" style="1"/>
    <col min="9219" max="9219" width="34.5546875" style="1" customWidth="1"/>
    <col min="9220" max="9220" width="13.6640625" style="1" customWidth="1"/>
    <col min="9221" max="9221" width="30" style="1" customWidth="1"/>
    <col min="9222" max="9472" width="8.88671875" style="1"/>
    <col min="9473" max="9473" width="15" style="1" customWidth="1"/>
    <col min="9474" max="9474" width="8.88671875" style="1"/>
    <col min="9475" max="9475" width="34.5546875" style="1" customWidth="1"/>
    <col min="9476" max="9476" width="13.6640625" style="1" customWidth="1"/>
    <col min="9477" max="9477" width="30" style="1" customWidth="1"/>
    <col min="9478" max="9728" width="8.88671875" style="1"/>
    <col min="9729" max="9729" width="15" style="1" customWidth="1"/>
    <col min="9730" max="9730" width="8.88671875" style="1"/>
    <col min="9731" max="9731" width="34.5546875" style="1" customWidth="1"/>
    <col min="9732" max="9732" width="13.6640625" style="1" customWidth="1"/>
    <col min="9733" max="9733" width="30" style="1" customWidth="1"/>
    <col min="9734" max="9984" width="8.88671875" style="1"/>
    <col min="9985" max="9985" width="15" style="1" customWidth="1"/>
    <col min="9986" max="9986" width="8.88671875" style="1"/>
    <col min="9987" max="9987" width="34.5546875" style="1" customWidth="1"/>
    <col min="9988" max="9988" width="13.6640625" style="1" customWidth="1"/>
    <col min="9989" max="9989" width="30" style="1" customWidth="1"/>
    <col min="9990" max="10240" width="8.88671875" style="1"/>
    <col min="10241" max="10241" width="15" style="1" customWidth="1"/>
    <col min="10242" max="10242" width="8.88671875" style="1"/>
    <col min="10243" max="10243" width="34.5546875" style="1" customWidth="1"/>
    <col min="10244" max="10244" width="13.6640625" style="1" customWidth="1"/>
    <col min="10245" max="10245" width="30" style="1" customWidth="1"/>
    <col min="10246" max="10496" width="8.88671875" style="1"/>
    <col min="10497" max="10497" width="15" style="1" customWidth="1"/>
    <col min="10498" max="10498" width="8.88671875" style="1"/>
    <col min="10499" max="10499" width="34.5546875" style="1" customWidth="1"/>
    <col min="10500" max="10500" width="13.6640625" style="1" customWidth="1"/>
    <col min="10501" max="10501" width="30" style="1" customWidth="1"/>
    <col min="10502" max="10752" width="8.88671875" style="1"/>
    <col min="10753" max="10753" width="15" style="1" customWidth="1"/>
    <col min="10754" max="10754" width="8.88671875" style="1"/>
    <col min="10755" max="10755" width="34.5546875" style="1" customWidth="1"/>
    <col min="10756" max="10756" width="13.6640625" style="1" customWidth="1"/>
    <col min="10757" max="10757" width="30" style="1" customWidth="1"/>
    <col min="10758" max="11008" width="8.88671875" style="1"/>
    <col min="11009" max="11009" width="15" style="1" customWidth="1"/>
    <col min="11010" max="11010" width="8.88671875" style="1"/>
    <col min="11011" max="11011" width="34.5546875" style="1" customWidth="1"/>
    <col min="11012" max="11012" width="13.6640625" style="1" customWidth="1"/>
    <col min="11013" max="11013" width="30" style="1" customWidth="1"/>
    <col min="11014" max="11264" width="8.88671875" style="1"/>
    <col min="11265" max="11265" width="15" style="1" customWidth="1"/>
    <col min="11266" max="11266" width="8.88671875" style="1"/>
    <col min="11267" max="11267" width="34.5546875" style="1" customWidth="1"/>
    <col min="11268" max="11268" width="13.6640625" style="1" customWidth="1"/>
    <col min="11269" max="11269" width="30" style="1" customWidth="1"/>
    <col min="11270" max="11520" width="8.88671875" style="1"/>
    <col min="11521" max="11521" width="15" style="1" customWidth="1"/>
    <col min="11522" max="11522" width="8.88671875" style="1"/>
    <col min="11523" max="11523" width="34.5546875" style="1" customWidth="1"/>
    <col min="11524" max="11524" width="13.6640625" style="1" customWidth="1"/>
    <col min="11525" max="11525" width="30" style="1" customWidth="1"/>
    <col min="11526" max="11776" width="8.88671875" style="1"/>
    <col min="11777" max="11777" width="15" style="1" customWidth="1"/>
    <col min="11778" max="11778" width="8.88671875" style="1"/>
    <col min="11779" max="11779" width="34.5546875" style="1" customWidth="1"/>
    <col min="11780" max="11780" width="13.6640625" style="1" customWidth="1"/>
    <col min="11781" max="11781" width="30" style="1" customWidth="1"/>
    <col min="11782" max="12032" width="8.88671875" style="1"/>
    <col min="12033" max="12033" width="15" style="1" customWidth="1"/>
    <col min="12034" max="12034" width="8.88671875" style="1"/>
    <col min="12035" max="12035" width="34.5546875" style="1" customWidth="1"/>
    <col min="12036" max="12036" width="13.6640625" style="1" customWidth="1"/>
    <col min="12037" max="12037" width="30" style="1" customWidth="1"/>
    <col min="12038" max="12288" width="8.88671875" style="1"/>
    <col min="12289" max="12289" width="15" style="1" customWidth="1"/>
    <col min="12290" max="12290" width="8.88671875" style="1"/>
    <col min="12291" max="12291" width="34.5546875" style="1" customWidth="1"/>
    <col min="12292" max="12292" width="13.6640625" style="1" customWidth="1"/>
    <col min="12293" max="12293" width="30" style="1" customWidth="1"/>
    <col min="12294" max="12544" width="8.88671875" style="1"/>
    <col min="12545" max="12545" width="15" style="1" customWidth="1"/>
    <col min="12546" max="12546" width="8.88671875" style="1"/>
    <col min="12547" max="12547" width="34.5546875" style="1" customWidth="1"/>
    <col min="12548" max="12548" width="13.6640625" style="1" customWidth="1"/>
    <col min="12549" max="12549" width="30" style="1" customWidth="1"/>
    <col min="12550" max="12800" width="8.88671875" style="1"/>
    <col min="12801" max="12801" width="15" style="1" customWidth="1"/>
    <col min="12802" max="12802" width="8.88671875" style="1"/>
    <col min="12803" max="12803" width="34.5546875" style="1" customWidth="1"/>
    <col min="12804" max="12804" width="13.6640625" style="1" customWidth="1"/>
    <col min="12805" max="12805" width="30" style="1" customWidth="1"/>
    <col min="12806" max="13056" width="8.88671875" style="1"/>
    <col min="13057" max="13057" width="15" style="1" customWidth="1"/>
    <col min="13058" max="13058" width="8.88671875" style="1"/>
    <col min="13059" max="13059" width="34.5546875" style="1" customWidth="1"/>
    <col min="13060" max="13060" width="13.6640625" style="1" customWidth="1"/>
    <col min="13061" max="13061" width="30" style="1" customWidth="1"/>
    <col min="13062" max="13312" width="8.88671875" style="1"/>
    <col min="13313" max="13313" width="15" style="1" customWidth="1"/>
    <col min="13314" max="13314" width="8.88671875" style="1"/>
    <col min="13315" max="13315" width="34.5546875" style="1" customWidth="1"/>
    <col min="13316" max="13316" width="13.6640625" style="1" customWidth="1"/>
    <col min="13317" max="13317" width="30" style="1" customWidth="1"/>
    <col min="13318" max="13568" width="8.88671875" style="1"/>
    <col min="13569" max="13569" width="15" style="1" customWidth="1"/>
    <col min="13570" max="13570" width="8.88671875" style="1"/>
    <col min="13571" max="13571" width="34.5546875" style="1" customWidth="1"/>
    <col min="13572" max="13572" width="13.6640625" style="1" customWidth="1"/>
    <col min="13573" max="13573" width="30" style="1" customWidth="1"/>
    <col min="13574" max="13824" width="8.88671875" style="1"/>
    <col min="13825" max="13825" width="15" style="1" customWidth="1"/>
    <col min="13826" max="13826" width="8.88671875" style="1"/>
    <col min="13827" max="13827" width="34.5546875" style="1" customWidth="1"/>
    <col min="13828" max="13828" width="13.6640625" style="1" customWidth="1"/>
    <col min="13829" max="13829" width="30" style="1" customWidth="1"/>
    <col min="13830" max="14080" width="8.88671875" style="1"/>
    <col min="14081" max="14081" width="15" style="1" customWidth="1"/>
    <col min="14082" max="14082" width="8.88671875" style="1"/>
    <col min="14083" max="14083" width="34.5546875" style="1" customWidth="1"/>
    <col min="14084" max="14084" width="13.6640625" style="1" customWidth="1"/>
    <col min="14085" max="14085" width="30" style="1" customWidth="1"/>
    <col min="14086" max="14336" width="8.88671875" style="1"/>
    <col min="14337" max="14337" width="15" style="1" customWidth="1"/>
    <col min="14338" max="14338" width="8.88671875" style="1"/>
    <col min="14339" max="14339" width="34.5546875" style="1" customWidth="1"/>
    <col min="14340" max="14340" width="13.6640625" style="1" customWidth="1"/>
    <col min="14341" max="14341" width="30" style="1" customWidth="1"/>
    <col min="14342" max="14592" width="8.88671875" style="1"/>
    <col min="14593" max="14593" width="15" style="1" customWidth="1"/>
    <col min="14594" max="14594" width="8.88671875" style="1"/>
    <col min="14595" max="14595" width="34.5546875" style="1" customWidth="1"/>
    <col min="14596" max="14596" width="13.6640625" style="1" customWidth="1"/>
    <col min="14597" max="14597" width="30" style="1" customWidth="1"/>
    <col min="14598" max="14848" width="8.88671875" style="1"/>
    <col min="14849" max="14849" width="15" style="1" customWidth="1"/>
    <col min="14850" max="14850" width="8.88671875" style="1"/>
    <col min="14851" max="14851" width="34.5546875" style="1" customWidth="1"/>
    <col min="14852" max="14852" width="13.6640625" style="1" customWidth="1"/>
    <col min="14853" max="14853" width="30" style="1" customWidth="1"/>
    <col min="14854" max="15104" width="8.88671875" style="1"/>
    <col min="15105" max="15105" width="15" style="1" customWidth="1"/>
    <col min="15106" max="15106" width="8.88671875" style="1"/>
    <col min="15107" max="15107" width="34.5546875" style="1" customWidth="1"/>
    <col min="15108" max="15108" width="13.6640625" style="1" customWidth="1"/>
    <col min="15109" max="15109" width="30" style="1" customWidth="1"/>
    <col min="15110" max="15360" width="8.88671875" style="1"/>
    <col min="15361" max="15361" width="15" style="1" customWidth="1"/>
    <col min="15362" max="15362" width="8.88671875" style="1"/>
    <col min="15363" max="15363" width="34.5546875" style="1" customWidth="1"/>
    <col min="15364" max="15364" width="13.6640625" style="1" customWidth="1"/>
    <col min="15365" max="15365" width="30" style="1" customWidth="1"/>
    <col min="15366" max="15616" width="8.88671875" style="1"/>
    <col min="15617" max="15617" width="15" style="1" customWidth="1"/>
    <col min="15618" max="15618" width="8.88671875" style="1"/>
    <col min="15619" max="15619" width="34.5546875" style="1" customWidth="1"/>
    <col min="15620" max="15620" width="13.6640625" style="1" customWidth="1"/>
    <col min="15621" max="15621" width="30" style="1" customWidth="1"/>
    <col min="15622" max="15872" width="8.88671875" style="1"/>
    <col min="15873" max="15873" width="15" style="1" customWidth="1"/>
    <col min="15874" max="15874" width="8.88671875" style="1"/>
    <col min="15875" max="15875" width="34.5546875" style="1" customWidth="1"/>
    <col min="15876" max="15876" width="13.6640625" style="1" customWidth="1"/>
    <col min="15877" max="15877" width="30" style="1" customWidth="1"/>
    <col min="15878" max="16128" width="8.88671875" style="1"/>
    <col min="16129" max="16129" width="15" style="1" customWidth="1"/>
    <col min="16130" max="16130" width="8.88671875" style="1"/>
    <col min="16131" max="16131" width="34.5546875" style="1" customWidth="1"/>
    <col min="16132" max="16132" width="13.6640625" style="1" customWidth="1"/>
    <col min="16133" max="16133" width="30" style="1" customWidth="1"/>
    <col min="16134" max="16384" width="8.88671875" style="1"/>
  </cols>
  <sheetData>
    <row r="1" spans="1:7" ht="45.75" customHeight="1" x14ac:dyDescent="0.25">
      <c r="A1" s="17" t="s">
        <v>0</v>
      </c>
      <c r="B1" s="17"/>
      <c r="C1" s="17"/>
      <c r="D1" s="17"/>
      <c r="E1" s="17"/>
    </row>
    <row r="2" spans="1:7" x14ac:dyDescent="0.25">
      <c r="A2" s="2" t="s">
        <v>1</v>
      </c>
      <c r="B2" s="3">
        <v>100</v>
      </c>
      <c r="C2" s="2" t="s">
        <v>2</v>
      </c>
      <c r="D2" s="4"/>
      <c r="E2" s="4"/>
      <c r="F2" s="4"/>
      <c r="G2" s="4"/>
    </row>
    <row r="3" spans="1:7" x14ac:dyDescent="0.25">
      <c r="A3" s="4" t="s">
        <v>3</v>
      </c>
      <c r="B3" s="3">
        <v>100</v>
      </c>
      <c r="C3" s="2" t="s">
        <v>4</v>
      </c>
      <c r="D3" s="5"/>
      <c r="E3" s="4"/>
      <c r="F3" s="4"/>
      <c r="G3" s="4"/>
    </row>
    <row r="4" spans="1:7" x14ac:dyDescent="0.25">
      <c r="A4" s="4" t="s">
        <v>5</v>
      </c>
      <c r="B4" s="6">
        <v>0.6</v>
      </c>
      <c r="C4" s="2" t="s">
        <v>6</v>
      </c>
      <c r="D4" s="4"/>
      <c r="E4" s="4"/>
      <c r="F4" s="4"/>
      <c r="G4" s="4"/>
    </row>
    <row r="5" spans="1:7" x14ac:dyDescent="0.25">
      <c r="A5" s="4" t="s">
        <v>7</v>
      </c>
      <c r="B5" s="7">
        <v>0.06</v>
      </c>
      <c r="C5" s="2" t="s">
        <v>8</v>
      </c>
      <c r="D5" s="4"/>
      <c r="E5" s="8"/>
      <c r="F5" s="4"/>
      <c r="G5" s="4"/>
    </row>
    <row r="6" spans="1:7" x14ac:dyDescent="0.25">
      <c r="A6" s="2" t="s">
        <v>9</v>
      </c>
      <c r="B6" s="7">
        <v>0.02</v>
      </c>
      <c r="C6" s="2" t="s">
        <v>10</v>
      </c>
      <c r="D6" s="4"/>
      <c r="E6" s="4"/>
      <c r="F6" s="4"/>
      <c r="G6" s="4"/>
    </row>
    <row r="7" spans="1:7" x14ac:dyDescent="0.25">
      <c r="A7" s="2" t="s">
        <v>11</v>
      </c>
      <c r="B7" s="2">
        <v>0.35</v>
      </c>
      <c r="C7" s="2" t="s">
        <v>12</v>
      </c>
      <c r="D7" s="4"/>
      <c r="E7" s="4"/>
      <c r="F7" s="4"/>
      <c r="G7" s="4"/>
    </row>
    <row r="8" spans="1:7" x14ac:dyDescent="0.25">
      <c r="A8" s="4"/>
      <c r="B8" s="2"/>
      <c r="C8" s="2"/>
      <c r="D8" s="4"/>
      <c r="E8" s="4"/>
      <c r="F8" s="4"/>
      <c r="G8" s="4"/>
    </row>
    <row r="9" spans="1:7" x14ac:dyDescent="0.25">
      <c r="A9" s="2" t="s">
        <v>13</v>
      </c>
      <c r="B9" s="9">
        <f>[1]!bsmertoncall(B2,B3,B4,B5,B6,B7)</f>
        <v>11.740242008018527</v>
      </c>
      <c r="C9" s="2" t="str">
        <f ca="1">_xlfn.FORMULATEXT(B9)</f>
        <v>=bsmertoncall(B2,B3,B4,B5,B6,B7)</v>
      </c>
      <c r="D9" s="4"/>
      <c r="E9" s="4"/>
      <c r="F9" s="4"/>
      <c r="G9" s="4"/>
    </row>
    <row r="10" spans="1:7" x14ac:dyDescent="0.25">
      <c r="A10" s="2" t="s">
        <v>14</v>
      </c>
      <c r="B10" s="9">
        <f>[1]!bsmertonput(B2,B3,B4,B5,B6,B7)</f>
        <v>9.3971000701377818</v>
      </c>
      <c r="C10" s="2" t="str">
        <f ca="1">_xlfn.FORMULATEXT(B10)</f>
        <v>=bsmertonput(B2,B3,B4,B5,B6,B7)</v>
      </c>
      <c r="D10" s="4"/>
      <c r="E10" s="4"/>
      <c r="F10" s="4"/>
      <c r="G10" s="4"/>
    </row>
    <row r="12" spans="1:7" ht="15.6" x14ac:dyDescent="0.3">
      <c r="A12" s="10" t="s">
        <v>15</v>
      </c>
    </row>
    <row r="13" spans="1:7" x14ac:dyDescent="0.25">
      <c r="B13" s="11" t="s">
        <v>16</v>
      </c>
      <c r="C13" s="11"/>
      <c r="D13" s="12" t="s">
        <v>17</v>
      </c>
    </row>
    <row r="14" spans="1:7" x14ac:dyDescent="0.25">
      <c r="A14" s="1" t="s">
        <v>18</v>
      </c>
      <c r="B14" s="13">
        <f>[1]!deltacall(B2,B3,B4,B5,B6,B7)</f>
        <v>0.58163076121804747</v>
      </c>
      <c r="C14" s="1" t="str">
        <f ca="1">_xlfn.FORMULATEXT(B14)</f>
        <v>=deltacall(B2,B3,B4,B5,B6,B7)</v>
      </c>
      <c r="D14" s="13">
        <f>[1]!deltaput(B2,B3,B4,B5,B6,B7)</f>
        <v>-0.406440951643883</v>
      </c>
      <c r="E14" s="1" t="str">
        <f ca="1">_xlfn.FORMULATEXT(D14)</f>
        <v>=deltaput(B2,B3,B4,B5,B6,B7)</v>
      </c>
    </row>
    <row r="15" spans="1:7" x14ac:dyDescent="0.25">
      <c r="A15" s="1" t="s">
        <v>25</v>
      </c>
      <c r="B15" s="13">
        <f>[1]!ggamma(B2,B3,B4,B5,B6,B7)</f>
        <v>1.4909332564932409E-2</v>
      </c>
      <c r="C15" s="1" t="str">
        <f ca="1">_xlfn.FORMULATEXT(B15)</f>
        <v>=ggamma(B2,B3,B4,B5,B6,B7)</v>
      </c>
      <c r="D15" s="13">
        <f>[1]!ggamma(B2,B3,B4,B5,B6,B7)</f>
        <v>1.4909332564932409E-2</v>
      </c>
      <c r="E15" s="1" t="str">
        <f ca="1">_xlfn.FORMULATEXT(D15)</f>
        <v>=ggamma(B2,B3,B4,B5,B6,B7)</v>
      </c>
    </row>
    <row r="16" spans="1:7" x14ac:dyDescent="0.25">
      <c r="A16" s="1" t="s">
        <v>19</v>
      </c>
      <c r="B16" s="13">
        <f>[1]!vega(B2,B3,B4,B5,B6,B7)</f>
        <v>29.776305909880687</v>
      </c>
      <c r="C16" s="1" t="str">
        <f ca="1">_xlfn.FORMULATEXT(B16)</f>
        <v>=vega(B2,B3,B4,B5,B6,B7)</v>
      </c>
      <c r="D16" s="13">
        <f>[1]!vega(B2,B3,B4,B5,B6,B7)</f>
        <v>29.776305909880687</v>
      </c>
      <c r="E16" s="1" t="str">
        <f ca="1">_xlfn.FORMULATEXT(D16)</f>
        <v>=vega(B2,B3,B4,B5,B6,B7)</v>
      </c>
    </row>
    <row r="17" spans="1:5" x14ac:dyDescent="0.25">
      <c r="A17" s="1" t="s">
        <v>20</v>
      </c>
      <c r="B17" s="13">
        <f>[1]!Thetacall(B2,B3,B4,B5,B6,B7)</f>
        <v>-10.306864414772944</v>
      </c>
      <c r="C17" s="14" t="str">
        <f ca="1">_xlfn.FORMULATEXT(B17)</f>
        <v>=Thetacall(B2,B3,B4,B5,B6,B7)</v>
      </c>
      <c r="D17" s="13">
        <f>[1]!Thetaput(B2,B3,B4,B5,B6,B7)</f>
        <v>-6.4951660795980652</v>
      </c>
      <c r="E17" s="14" t="str">
        <f ca="1">_xlfn.FORMULATEXT(D17)</f>
        <v>=Thetaput(B2,B3,B4,B5,B6,B7)</v>
      </c>
    </row>
    <row r="18" spans="1:5" x14ac:dyDescent="0.25">
      <c r="A18" s="1" t="s">
        <v>21</v>
      </c>
      <c r="B18" s="13">
        <f>[1]!rhocall(B2,B3,B4,B5,B6,B7)</f>
        <v>27.853700468271732</v>
      </c>
      <c r="C18" s="1" t="str">
        <f ca="1">_xlfn.FORMULATEXT(B18)</f>
        <v>=rhocall(B2,B3,B4,B5,B6,B7)</v>
      </c>
      <c r="D18" s="13">
        <f>[1]!rhoput(B2,B3,B4,B5,B6,B7)</f>
        <v>-30.024717140715655</v>
      </c>
      <c r="E18" s="1" t="str">
        <f ca="1">_xlfn.FORMULATEXT(D18)</f>
        <v>=rhoput(B2,B3,B4,B5,B6,B7)</v>
      </c>
    </row>
    <row r="22" spans="1:5" x14ac:dyDescent="0.25">
      <c r="A22" s="15" t="s">
        <v>22</v>
      </c>
    </row>
    <row r="23" spans="1:5" x14ac:dyDescent="0.25">
      <c r="A23" s="15"/>
    </row>
    <row r="24" spans="1:5" x14ac:dyDescent="0.25">
      <c r="A24" s="15"/>
      <c r="B24" s="18" t="s">
        <v>4</v>
      </c>
      <c r="C24" s="18"/>
      <c r="D24" s="18"/>
    </row>
    <row r="25" spans="1:5" x14ac:dyDescent="0.25">
      <c r="A25" s="13">
        <f>D17</f>
        <v>-6.4951660795980652</v>
      </c>
      <c r="B25" s="1">
        <v>144</v>
      </c>
      <c r="C25" s="1">
        <v>100</v>
      </c>
      <c r="D25" s="1">
        <v>80</v>
      </c>
    </row>
    <row r="26" spans="1:5" x14ac:dyDescent="0.25">
      <c r="A26" s="16">
        <v>0.1</v>
      </c>
      <c r="B26" s="13">
        <f t="dataTable" ref="B26:D46" dt2D="1" dtr="0" r1="B3" r2="B4"/>
        <v>6.4593440482456366</v>
      </c>
      <c r="C26" s="13">
        <v>-19.838822773314838</v>
      </c>
      <c r="D26" s="1">
        <v>-2.3163050594720902</v>
      </c>
    </row>
    <row r="27" spans="1:5" x14ac:dyDescent="0.25">
      <c r="A27" s="1">
        <v>0.125</v>
      </c>
      <c r="B27" s="13">
        <v>6.2273234454414652</v>
      </c>
      <c r="C27" s="13">
        <v>-17.482239460709412</v>
      </c>
      <c r="D27" s="1">
        <v>-3.084108293155905</v>
      </c>
    </row>
    <row r="28" spans="1:5" x14ac:dyDescent="0.25">
      <c r="A28" s="16">
        <v>0.15</v>
      </c>
      <c r="B28" s="13">
        <v>5.9021720411663079</v>
      </c>
      <c r="C28" s="13">
        <v>-15.738849984366752</v>
      </c>
      <c r="D28" s="1">
        <v>-3.6608068768827837</v>
      </c>
    </row>
    <row r="29" spans="1:5" x14ac:dyDescent="0.25">
      <c r="A29" s="1">
        <v>0.17499999999999999</v>
      </c>
      <c r="B29" s="13">
        <v>5.5196283057489088</v>
      </c>
      <c r="C29" s="13">
        <v>-14.38101137799914</v>
      </c>
      <c r="D29" s="1">
        <v>-4.0793876759769798</v>
      </c>
    </row>
    <row r="30" spans="1:5" x14ac:dyDescent="0.25">
      <c r="A30" s="16">
        <v>0.2</v>
      </c>
      <c r="B30" s="13">
        <v>5.112044000617205</v>
      </c>
      <c r="C30" s="13">
        <v>-13.284244326552781</v>
      </c>
      <c r="D30" s="1">
        <v>-4.3766613441582694</v>
      </c>
    </row>
    <row r="31" spans="1:5" x14ac:dyDescent="0.25">
      <c r="A31" s="1">
        <v>0.25</v>
      </c>
      <c r="B31" s="13">
        <v>4.3065534276154995</v>
      </c>
      <c r="C31" s="13">
        <v>-11.602432998152235</v>
      </c>
      <c r="D31" s="1">
        <v>-4.7219276971691366</v>
      </c>
    </row>
    <row r="32" spans="1:5" x14ac:dyDescent="0.25">
      <c r="A32" s="16">
        <v>0.3</v>
      </c>
      <c r="B32" s="13">
        <v>3.5833883964936533</v>
      </c>
      <c r="C32" s="13">
        <v>-10.356321459868601</v>
      </c>
      <c r="D32" s="1">
        <v>-4.861014068501512</v>
      </c>
    </row>
    <row r="33" spans="1:4" x14ac:dyDescent="0.25">
      <c r="A33" s="1">
        <v>0.35</v>
      </c>
      <c r="B33" s="13">
        <v>2.9682555016137542</v>
      </c>
      <c r="C33" s="13">
        <v>-9.3844386754690277</v>
      </c>
      <c r="D33" s="1">
        <v>-4.884185078149855</v>
      </c>
    </row>
    <row r="34" spans="1:4" x14ac:dyDescent="0.25">
      <c r="A34" s="16">
        <v>0.4</v>
      </c>
      <c r="B34" s="13">
        <v>2.4573949987389696</v>
      </c>
      <c r="C34" s="13">
        <v>-8.5984356868657343</v>
      </c>
      <c r="D34" s="1">
        <v>-4.8412069298399665</v>
      </c>
    </row>
    <row r="35" spans="1:4" x14ac:dyDescent="0.25">
      <c r="A35" s="1">
        <v>0.45</v>
      </c>
      <c r="B35" s="13">
        <v>2.0375326001553677</v>
      </c>
      <c r="C35" s="13">
        <v>-7.9453509813473211</v>
      </c>
      <c r="D35" s="1">
        <v>-4.760321593109059</v>
      </c>
    </row>
    <row r="36" spans="1:4" x14ac:dyDescent="0.25">
      <c r="A36" s="16">
        <v>0.5</v>
      </c>
      <c r="B36" s="13">
        <v>1.6938605817511982</v>
      </c>
      <c r="C36" s="13">
        <v>-7.391240954344978</v>
      </c>
      <c r="D36" s="1">
        <v>-4.6580442997395455</v>
      </c>
    </row>
    <row r="37" spans="1:4" x14ac:dyDescent="0.25">
      <c r="A37" s="1">
        <v>0.55000000000000004</v>
      </c>
      <c r="B37" s="13">
        <v>1.4128650519030952</v>
      </c>
      <c r="C37" s="13">
        <v>-6.9132077922652808</v>
      </c>
      <c r="D37" s="1">
        <v>-4.5442803768328091</v>
      </c>
    </row>
    <row r="38" spans="1:4" x14ac:dyDescent="0.25">
      <c r="A38" s="16">
        <v>0.6</v>
      </c>
      <c r="B38" s="13">
        <v>1.183090043890453</v>
      </c>
      <c r="C38" s="13">
        <v>-6.4951660795980652</v>
      </c>
      <c r="D38" s="1">
        <v>-4.4250845743489453</v>
      </c>
    </row>
    <row r="39" spans="1:4" x14ac:dyDescent="0.25">
      <c r="A39" s="1">
        <v>0.65</v>
      </c>
      <c r="B39" s="13">
        <v>0.9951285615489347</v>
      </c>
      <c r="C39" s="13">
        <v>-6.1254379752602395</v>
      </c>
      <c r="D39" s="1">
        <v>-4.3042020975744641</v>
      </c>
    </row>
    <row r="40" spans="1:4" x14ac:dyDescent="0.25">
      <c r="A40" s="16">
        <v>0.7</v>
      </c>
      <c r="B40" s="13">
        <v>0.84136168765090158</v>
      </c>
      <c r="C40" s="13">
        <v>-5.7953111289674144</v>
      </c>
      <c r="D40" s="1">
        <v>-4.1839581312876817</v>
      </c>
    </row>
    <row r="41" spans="1:4" x14ac:dyDescent="0.25">
      <c r="A41" s="1">
        <v>0.75</v>
      </c>
      <c r="B41" s="13">
        <v>0.7156487341939437</v>
      </c>
      <c r="C41" s="13">
        <v>-5.4981345662829995</v>
      </c>
      <c r="D41" s="1">
        <v>-4.0657867426819161</v>
      </c>
    </row>
    <row r="42" spans="1:4" x14ac:dyDescent="0.25">
      <c r="A42" s="16">
        <v>0.8</v>
      </c>
      <c r="B42" s="13">
        <v>0.61304143174659309</v>
      </c>
      <c r="C42" s="13">
        <v>-5.2287303331859665</v>
      </c>
      <c r="D42" s="1">
        <v>-3.950553661838736</v>
      </c>
    </row>
    <row r="43" spans="1:4" x14ac:dyDescent="0.25">
      <c r="A43" s="1">
        <v>0.85</v>
      </c>
      <c r="B43" s="13">
        <v>0.52954304037999744</v>
      </c>
      <c r="C43" s="13">
        <v>-4.9829982980016112</v>
      </c>
      <c r="D43" s="1">
        <v>-3.8387577746838142</v>
      </c>
    </row>
    <row r="44" spans="1:4" x14ac:dyDescent="0.25">
      <c r="A44" s="16">
        <v>0.9</v>
      </c>
      <c r="B44" s="13">
        <v>0.46191334282765251</v>
      </c>
      <c r="C44" s="13">
        <v>-4.7576433555727773</v>
      </c>
      <c r="D44" s="1">
        <v>-3.7306593706853839</v>
      </c>
    </row>
    <row r="45" spans="1:4" x14ac:dyDescent="0.25">
      <c r="A45" s="1">
        <v>0.95</v>
      </c>
      <c r="B45" s="13">
        <v>0.40751376046803589</v>
      </c>
      <c r="C45" s="13">
        <v>-4.5499825976236128</v>
      </c>
      <c r="D45" s="1">
        <v>-3.6263631267057774</v>
      </c>
    </row>
    <row r="46" spans="1:4" x14ac:dyDescent="0.25">
      <c r="A46" s="16">
        <v>1</v>
      </c>
      <c r="B46" s="13">
        <v>0.36418537407526319</v>
      </c>
      <c r="C46" s="13">
        <v>-4.3578061346204642</v>
      </c>
      <c r="D46" s="1">
        <v>-3.5258725429172406</v>
      </c>
    </row>
    <row r="52" spans="1:4" ht="76.5" customHeight="1" x14ac:dyDescent="0.25">
      <c r="A52" s="19" t="s">
        <v>23</v>
      </c>
      <c r="B52" s="19"/>
      <c r="C52" s="19"/>
      <c r="D52" s="19"/>
    </row>
    <row r="53" spans="1:4" x14ac:dyDescent="0.25">
      <c r="A53" s="2" t="s">
        <v>1</v>
      </c>
      <c r="B53" s="3">
        <v>60</v>
      </c>
      <c r="C53" s="2" t="s">
        <v>2</v>
      </c>
    </row>
    <row r="54" spans="1:4" x14ac:dyDescent="0.25">
      <c r="A54" s="4" t="s">
        <v>3</v>
      </c>
      <c r="B54" s="3">
        <v>100</v>
      </c>
      <c r="C54" s="2" t="s">
        <v>4</v>
      </c>
    </row>
    <row r="55" spans="1:4" x14ac:dyDescent="0.25">
      <c r="A55" s="4" t="s">
        <v>5</v>
      </c>
      <c r="B55" s="6">
        <v>0.3</v>
      </c>
      <c r="C55" s="2" t="s">
        <v>6</v>
      </c>
    </row>
    <row r="56" spans="1:4" x14ac:dyDescent="0.25">
      <c r="A56" s="4" t="s">
        <v>7</v>
      </c>
      <c r="B56" s="7">
        <v>0.06</v>
      </c>
      <c r="C56" s="2" t="s">
        <v>8</v>
      </c>
    </row>
    <row r="57" spans="1:4" x14ac:dyDescent="0.25">
      <c r="A57" s="2" t="s">
        <v>9</v>
      </c>
      <c r="B57" s="7">
        <v>0.02</v>
      </c>
      <c r="C57" s="2" t="s">
        <v>10</v>
      </c>
    </row>
    <row r="58" spans="1:4" x14ac:dyDescent="0.25">
      <c r="A58" s="2" t="s">
        <v>11</v>
      </c>
      <c r="B58" s="2">
        <v>0.35</v>
      </c>
      <c r="C58" s="2" t="s">
        <v>12</v>
      </c>
    </row>
    <row r="59" spans="1:4" x14ac:dyDescent="0.25">
      <c r="A59" s="4"/>
      <c r="B59" s="2"/>
      <c r="C59" s="2"/>
    </row>
    <row r="60" spans="1:4" x14ac:dyDescent="0.25">
      <c r="A60" s="2" t="s">
        <v>13</v>
      </c>
      <c r="B60" s="9">
        <f>[1]!bsmertoncall(B53,B54,B55,B56,B57,B58)</f>
        <v>2.125448778867739E-2</v>
      </c>
      <c r="C60" s="2" t="str">
        <f ca="1">_xlfn.FORMULATEXT(B60)</f>
        <v>=bsmertoncall(B53,B54,B55,B56,B57,B58)</v>
      </c>
    </row>
    <row r="61" spans="1:4" x14ac:dyDescent="0.25">
      <c r="A61" s="2" t="s">
        <v>14</v>
      </c>
      <c r="B61" s="9">
        <f>[1]!bsmertonput(B53,B54,B55,B56,B57,B58)</f>
        <v>38.596279880382639</v>
      </c>
      <c r="C61" s="2" t="str">
        <f ca="1">_xlfn.FORMULATEXT(B61)</f>
        <v>=bsmertonput(B53,B54,B55,B56,B57,B58)</v>
      </c>
    </row>
    <row r="63" spans="1:4" x14ac:dyDescent="0.25">
      <c r="A63" s="2" t="s">
        <v>24</v>
      </c>
      <c r="B63" s="1">
        <f>[1]!Thetaput(B53,B54,B55,B56,B57,B58)</f>
        <v>4.3580160174303444</v>
      </c>
    </row>
  </sheetData>
  <mergeCells count="3">
    <mergeCell ref="A1:E1"/>
    <mergeCell ref="B24:D24"/>
    <mergeCell ref="A52:D52"/>
  </mergeCells>
  <phoneticPr fontId="1" type="noConversion"/>
  <printOptions headings="1" gridLines="1"/>
  <pageMargins left="0.75" right="0.75" top="1" bottom="1" header="0.5" footer="0.5"/>
  <pageSetup scale="86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2024-12-06T03:08:31Z</dcterms:modified>
</cp:coreProperties>
</file>