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practice\"/>
    </mc:Choice>
  </mc:AlternateContent>
  <xr:revisionPtr revIDLastSave="0" documentId="13_ncr:1_{96EB9D1B-6B32-4744-87E9-10DF0C8FF3D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8" i="1"/>
  <c r="E15" i="1"/>
  <c r="E16" i="1"/>
  <c r="E17" i="1"/>
  <c r="C14" i="1"/>
  <c r="C15" i="1"/>
  <c r="C16" i="1"/>
  <c r="C17" i="1"/>
  <c r="C18" i="1"/>
  <c r="D18" i="1"/>
  <c r="D17" i="1"/>
  <c r="B18" i="1"/>
  <c r="B17" i="1"/>
  <c r="D16" i="1"/>
  <c r="D14" i="1"/>
  <c r="B16" i="1"/>
  <c r="D15" i="1"/>
  <c r="B15" i="1"/>
  <c r="B14" i="1"/>
  <c r="C9" i="1"/>
  <c r="C10" i="1"/>
  <c r="B10" i="1"/>
  <c r="B9" i="1"/>
  <c r="A25" i="1" l="1"/>
</calcChain>
</file>

<file path=xl/sharedStrings.xml><?xml version="1.0" encoding="utf-8"?>
<sst xmlns="http://schemas.openxmlformats.org/spreadsheetml/2006/main" count="25" uniqueCount="24">
  <si>
    <t>Black-Scholes Greeks
Delta graphs</t>
  </si>
  <si>
    <t>S</t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</si>
  <si>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</si>
  <si>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</si>
  <si>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</si>
  <si>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</si>
  <si>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</si>
  <si>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</si>
  <si>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</si>
  <si>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k</t>
  </si>
  <si>
    <t>Dividend yield</t>
  </si>
  <si>
    <t>Sigma</t>
  </si>
  <si>
    <t>Stock volatility</t>
  </si>
  <si>
    <t>Call price</t>
  </si>
  <si>
    <t>Put price</t>
  </si>
  <si>
    <t>Greeks</t>
  </si>
  <si>
    <t>Call</t>
  </si>
  <si>
    <t>Put</t>
  </si>
  <si>
    <t>Delta</t>
  </si>
  <si>
    <t>Vega</t>
  </si>
  <si>
    <t>Theta</t>
  </si>
  <si>
    <t>Rho</t>
  </si>
  <si>
    <t>Put delta wrt time to expiration:  Below is a two-dimensional data table.
The table header is in cell A25</t>
  </si>
  <si>
    <t>ggamma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</si>
</sst>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9" fontId="4" fillId="0" borderId="0" xfId="2" applyFont="1" applyAlignment="1"/>
    <xf numFmtId="0" fontId="2" fillId="0" borderId="0" xfId="2" applyNumberFormat="1" applyAlignment="1"/>
    <xf numFmtId="9" fontId="2" fillId="0" borderId="0" xfId="2" applyAlignment="1"/>
    <xf numFmtId="9" fontId="2" fillId="0" borderId="0" xfId="2" quotePrefix="1" applyAlignment="1"/>
    <xf numFmtId="0" fontId="4" fillId="0" borderId="0" xfId="2" applyNumberFormat="1" applyFont="1" applyAlignment="1"/>
    <xf numFmtId="10" fontId="2" fillId="0" borderId="0" xfId="2" applyNumberFormat="1" applyAlignment="1"/>
    <xf numFmtId="43" fontId="2" fillId="0" borderId="0" xfId="1" applyAlignment="1"/>
    <xf numFmtId="177" fontId="2" fillId="0" borderId="0" xfId="2" applyNumberFormat="1" applyAlignment="1"/>
    <xf numFmtId="0" fontId="5" fillId="0" borderId="0" xfId="0" applyFont="1" applyAlignment="1"/>
    <xf numFmtId="0" fontId="6" fillId="0" borderId="0" xfId="0" applyFont="1" applyAlignment="1">
      <alignment horizontal="center"/>
    </xf>
    <xf numFmtId="9" fontId="6" fillId="0" borderId="0" xfId="2" applyFont="1" applyAlignment="1">
      <alignment horizontal="center"/>
    </xf>
    <xf numFmtId="177" fontId="0" fillId="0" borderId="0" xfId="0" applyNumberFormat="1" applyAlignme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6" fillId="0" borderId="0" xfId="0" applyFont="1" applyAlignment="1"/>
    <xf numFmtId="0" fontId="0" fillId="2" borderId="0" xfId="0" applyFill="1" applyAlignment="1">
      <alignment horizontal="center"/>
    </xf>
    <xf numFmtId="2" fontId="0" fillId="0" borderId="0" xfId="0" applyNumberForma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Put Delta, Time to Maturity, and Moneyness</a:t>
            </a:r>
          </a:p>
        </c:rich>
      </c:tx>
      <c:layout>
        <c:manualLayout>
          <c:xMode val="edge"/>
          <c:yMode val="edge"/>
          <c:x val="0.2463130391446568"/>
          <c:y val="0.8912550126861070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56948511460224"/>
          <c:y val="4.2553289730371167E-2"/>
          <c:w val="0.78023711202109836"/>
          <c:h val="0.86997836782092164"/>
        </c:manualLayout>
      </c:layout>
      <c:scatterChart>
        <c:scatterStyle val="lineMarker"/>
        <c:varyColors val="0"/>
        <c:ser>
          <c:idx val="0"/>
          <c:order val="0"/>
          <c:tx>
            <c:v> In the money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Sheet1!$A$25:$A$46</c:f>
              <c:numCache>
                <c:formatCode>0.00</c:formatCode>
                <c:ptCount val="22"/>
                <c:pt idx="0" formatCode="0.0000">
                  <c:v>-0.29963872885683945</c:v>
                </c:pt>
                <c:pt idx="1">
                  <c:v>0.1</c:v>
                </c:pt>
                <c:pt idx="2" formatCode="General">
                  <c:v>0.125</c:v>
                </c:pt>
                <c:pt idx="3">
                  <c:v>0.15</c:v>
                </c:pt>
                <c:pt idx="4" formatCode="General">
                  <c:v>0.17499999999999999</c:v>
                </c:pt>
                <c:pt idx="5">
                  <c:v>0.2</c:v>
                </c:pt>
                <c:pt idx="6" formatCode="General">
                  <c:v>0.25</c:v>
                </c:pt>
                <c:pt idx="7">
                  <c:v>0.3</c:v>
                </c:pt>
                <c:pt idx="8" formatCode="General">
                  <c:v>0.35</c:v>
                </c:pt>
                <c:pt idx="9">
                  <c:v>0.4</c:v>
                </c:pt>
                <c:pt idx="10" formatCode="General">
                  <c:v>0.45</c:v>
                </c:pt>
                <c:pt idx="11">
                  <c:v>0.5</c:v>
                </c:pt>
                <c:pt idx="12" formatCode="General">
                  <c:v>0.55000000000000004</c:v>
                </c:pt>
                <c:pt idx="13">
                  <c:v>0.6</c:v>
                </c:pt>
                <c:pt idx="14" formatCode="General">
                  <c:v>0.65</c:v>
                </c:pt>
                <c:pt idx="15">
                  <c:v>0.7</c:v>
                </c:pt>
                <c:pt idx="16" formatCode="General">
                  <c:v>0.75</c:v>
                </c:pt>
                <c:pt idx="17">
                  <c:v>0.8</c:v>
                </c:pt>
                <c:pt idx="18" formatCode="General">
                  <c:v>0.85</c:v>
                </c:pt>
                <c:pt idx="19">
                  <c:v>0.9</c:v>
                </c:pt>
                <c:pt idx="20" formatCode="General">
                  <c:v>0.95</c:v>
                </c:pt>
                <c:pt idx="21">
                  <c:v>1</c:v>
                </c:pt>
              </c:numCache>
            </c:numRef>
          </c:xVal>
          <c:yVal>
            <c:numRef>
              <c:f>Sheet1!$B$25:$B$46</c:f>
              <c:numCache>
                <c:formatCode>0.0000</c:formatCode>
                <c:ptCount val="22"/>
                <c:pt idx="0" formatCode="General">
                  <c:v>120</c:v>
                </c:pt>
                <c:pt idx="1">
                  <c:v>-0.82430825893717996</c:v>
                </c:pt>
                <c:pt idx="2">
                  <c:v>-0.79038971584593931</c:v>
                </c:pt>
                <c:pt idx="3">
                  <c:v>-0.76232832906470438</c:v>
                </c:pt>
                <c:pt idx="4">
                  <c:v>-0.73858050324440494</c:v>
                </c:pt>
                <c:pt idx="5">
                  <c:v>-0.71809478518024528</c:v>
                </c:pt>
                <c:pt idx="6">
                  <c:v>-0.6841934548801587</c:v>
                </c:pt>
                <c:pt idx="7">
                  <c:v>-0.65688945026377976</c:v>
                </c:pt>
                <c:pt idx="8">
                  <c:v>-0.63410422987120474</c:v>
                </c:pt>
                <c:pt idx="9">
                  <c:v>-0.61458180090847014</c:v>
                </c:pt>
                <c:pt idx="10">
                  <c:v>-0.59751296905182127</c:v>
                </c:pt>
                <c:pt idx="11">
                  <c:v>-0.5823494292181296</c:v>
                </c:pt>
                <c:pt idx="12">
                  <c:v>-0.56870430916592307</c:v>
                </c:pt>
                <c:pt idx="13">
                  <c:v>-0.55629545285265991</c:v>
                </c:pt>
                <c:pt idx="14">
                  <c:v>-0.54491132991933722</c:v>
                </c:pt>
                <c:pt idx="15">
                  <c:v>-0.53438962622764286</c:v>
                </c:pt>
                <c:pt idx="16">
                  <c:v>-0.52460329077947387</c:v>
                </c:pt>
                <c:pt idx="17">
                  <c:v>-0.51545114943847592</c:v>
                </c:pt>
                <c:pt idx="18">
                  <c:v>-0.50685141546857182</c:v>
                </c:pt>
                <c:pt idx="19">
                  <c:v>-0.49873709437033981</c:v>
                </c:pt>
                <c:pt idx="20">
                  <c:v>-0.49105266091573341</c:v>
                </c:pt>
                <c:pt idx="21">
                  <c:v>-0.48375161093784569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6-40E1-B24C-7B55EF25340B}"/>
            </c:ext>
          </c:extLst>
        </c:ser>
        <c:ser>
          <c:idx val="1"/>
          <c:order val="1"/>
          <c:tx>
            <c:v> At the money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Sheet1!$A$25:$A$46</c:f>
              <c:numCache>
                <c:formatCode>0.00</c:formatCode>
                <c:ptCount val="22"/>
                <c:pt idx="0" formatCode="0.0000">
                  <c:v>-0.29963872885683945</c:v>
                </c:pt>
                <c:pt idx="1">
                  <c:v>0.1</c:v>
                </c:pt>
                <c:pt idx="2" formatCode="General">
                  <c:v>0.125</c:v>
                </c:pt>
                <c:pt idx="3">
                  <c:v>0.15</c:v>
                </c:pt>
                <c:pt idx="4" formatCode="General">
                  <c:v>0.17499999999999999</c:v>
                </c:pt>
                <c:pt idx="5">
                  <c:v>0.2</c:v>
                </c:pt>
                <c:pt idx="6" formatCode="General">
                  <c:v>0.25</c:v>
                </c:pt>
                <c:pt idx="7">
                  <c:v>0.3</c:v>
                </c:pt>
                <c:pt idx="8" formatCode="General">
                  <c:v>0.35</c:v>
                </c:pt>
                <c:pt idx="9">
                  <c:v>0.4</c:v>
                </c:pt>
                <c:pt idx="10" formatCode="General">
                  <c:v>0.45</c:v>
                </c:pt>
                <c:pt idx="11">
                  <c:v>0.5</c:v>
                </c:pt>
                <c:pt idx="12" formatCode="General">
                  <c:v>0.55000000000000004</c:v>
                </c:pt>
                <c:pt idx="13">
                  <c:v>0.6</c:v>
                </c:pt>
                <c:pt idx="14" formatCode="General">
                  <c:v>0.65</c:v>
                </c:pt>
                <c:pt idx="15">
                  <c:v>0.7</c:v>
                </c:pt>
                <c:pt idx="16" formatCode="General">
                  <c:v>0.75</c:v>
                </c:pt>
                <c:pt idx="17">
                  <c:v>0.8</c:v>
                </c:pt>
                <c:pt idx="18" formatCode="General">
                  <c:v>0.85</c:v>
                </c:pt>
                <c:pt idx="19">
                  <c:v>0.9</c:v>
                </c:pt>
                <c:pt idx="20" formatCode="General">
                  <c:v>0.95</c:v>
                </c:pt>
                <c:pt idx="21">
                  <c:v>1</c:v>
                </c:pt>
              </c:numCache>
            </c:numRef>
          </c:xVal>
          <c:yVal>
            <c:numRef>
              <c:f>Sheet1!$C$25:$C$46</c:f>
              <c:numCache>
                <c:formatCode>0.0000</c:formatCode>
                <c:ptCount val="22"/>
                <c:pt idx="0" formatCode="General">
                  <c:v>100</c:v>
                </c:pt>
                <c:pt idx="1">
                  <c:v>-0.45530861654528243</c:v>
                </c:pt>
                <c:pt idx="2">
                  <c:v>-0.44995095868216267</c:v>
                </c:pt>
                <c:pt idx="3">
                  <c:v>-0.44509744162077991</c:v>
                </c:pt>
                <c:pt idx="4">
                  <c:v>-0.44062707398324996</c:v>
                </c:pt>
                <c:pt idx="5">
                  <c:v>-0.4364609402529071</c:v>
                </c:pt>
                <c:pt idx="6">
                  <c:v>-0.42883676243018781</c:v>
                </c:pt>
                <c:pt idx="7">
                  <c:v>-0.42193587278159028</c:v>
                </c:pt>
                <c:pt idx="8">
                  <c:v>-0.41558620022004605</c:v>
                </c:pt>
                <c:pt idx="9">
                  <c:v>-0.40967538883799742</c:v>
                </c:pt>
                <c:pt idx="10">
                  <c:v>-0.4041252269343632</c:v>
                </c:pt>
                <c:pt idx="11">
                  <c:v>-0.39887864515573834</c:v>
                </c:pt>
                <c:pt idx="12">
                  <c:v>-0.39389246652676274</c:v>
                </c:pt>
                <c:pt idx="13">
                  <c:v>-0.38913307306048839</c:v>
                </c:pt>
                <c:pt idx="14">
                  <c:v>-0.38457367100553813</c:v>
                </c:pt>
                <c:pt idx="15">
                  <c:v>-0.38019248776845677</c:v>
                </c:pt>
                <c:pt idx="16">
                  <c:v>-0.37597153947296985</c:v>
                </c:pt>
                <c:pt idx="17">
                  <c:v>-0.37189576270356645</c:v>
                </c:pt>
                <c:pt idx="18">
                  <c:v>-0.36795238686998011</c:v>
                </c:pt>
                <c:pt idx="19">
                  <c:v>-0.36413047033151569</c:v>
                </c:pt>
                <c:pt idx="20">
                  <c:v>-0.36042055086344321</c:v>
                </c:pt>
                <c:pt idx="21">
                  <c:v>-0.35681437776763136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46-40E1-B24C-7B55EF25340B}"/>
            </c:ext>
          </c:extLst>
        </c:ser>
        <c:ser>
          <c:idx val="2"/>
          <c:order val="2"/>
          <c:tx>
            <c:v>out of the money</c:v>
          </c:tx>
          <c:spPr>
            <a:ln w="12700">
              <a:solidFill>
                <a:schemeClr val="accent2">
                  <a:lumMod val="75000"/>
                </a:schemeClr>
              </a:solidFill>
              <a:prstDash val="solid"/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  <a:prstDash val="solid"/>
              </a:ln>
            </c:spPr>
          </c:marker>
          <c:xVal>
            <c:numRef>
              <c:f>Sheet1!$A$25:$A$46</c:f>
              <c:numCache>
                <c:formatCode>0.00</c:formatCode>
                <c:ptCount val="22"/>
                <c:pt idx="0" formatCode="0.0000">
                  <c:v>-0.29963872885683945</c:v>
                </c:pt>
                <c:pt idx="1">
                  <c:v>0.1</c:v>
                </c:pt>
                <c:pt idx="2" formatCode="General">
                  <c:v>0.125</c:v>
                </c:pt>
                <c:pt idx="3">
                  <c:v>0.15</c:v>
                </c:pt>
                <c:pt idx="4" formatCode="General">
                  <c:v>0.17499999999999999</c:v>
                </c:pt>
                <c:pt idx="5">
                  <c:v>0.2</c:v>
                </c:pt>
                <c:pt idx="6" formatCode="General">
                  <c:v>0.25</c:v>
                </c:pt>
                <c:pt idx="7">
                  <c:v>0.3</c:v>
                </c:pt>
                <c:pt idx="8" formatCode="General">
                  <c:v>0.35</c:v>
                </c:pt>
                <c:pt idx="9">
                  <c:v>0.4</c:v>
                </c:pt>
                <c:pt idx="10" formatCode="General">
                  <c:v>0.45</c:v>
                </c:pt>
                <c:pt idx="11">
                  <c:v>0.5</c:v>
                </c:pt>
                <c:pt idx="12" formatCode="General">
                  <c:v>0.55000000000000004</c:v>
                </c:pt>
                <c:pt idx="13">
                  <c:v>0.6</c:v>
                </c:pt>
                <c:pt idx="14" formatCode="General">
                  <c:v>0.65</c:v>
                </c:pt>
                <c:pt idx="15">
                  <c:v>0.7</c:v>
                </c:pt>
                <c:pt idx="16" formatCode="General">
                  <c:v>0.75</c:v>
                </c:pt>
                <c:pt idx="17">
                  <c:v>0.8</c:v>
                </c:pt>
                <c:pt idx="18" formatCode="General">
                  <c:v>0.85</c:v>
                </c:pt>
                <c:pt idx="19">
                  <c:v>0.9</c:v>
                </c:pt>
                <c:pt idx="20" formatCode="General">
                  <c:v>0.95</c:v>
                </c:pt>
                <c:pt idx="21">
                  <c:v>1</c:v>
                </c:pt>
              </c:numCache>
            </c:numRef>
          </c:xVal>
          <c:yVal>
            <c:numRef>
              <c:f>Sheet1!$D$25:$D$46</c:f>
              <c:numCache>
                <c:formatCode>General</c:formatCode>
                <c:ptCount val="22"/>
                <c:pt idx="0">
                  <c:v>80</c:v>
                </c:pt>
                <c:pt idx="1">
                  <c:v>-8.1654552756603618E-2</c:v>
                </c:pt>
                <c:pt idx="2">
                  <c:v>-0.10170280719246799</c:v>
                </c:pt>
                <c:pt idx="3">
                  <c:v>-0.11820263434376523</c:v>
                </c:pt>
                <c:pt idx="4">
                  <c:v>-0.13189626625084039</c:v>
                </c:pt>
                <c:pt idx="5">
                  <c:v>-0.14338073064626289</c:v>
                </c:pt>
                <c:pt idx="6">
                  <c:v>-0.16143048611471991</c:v>
                </c:pt>
                <c:pt idx="7">
                  <c:v>-0.17482555662371754</c:v>
                </c:pt>
                <c:pt idx="8">
                  <c:v>-0.18503002542023508</c:v>
                </c:pt>
                <c:pt idx="9">
                  <c:v>-0.19295502551495061</c:v>
                </c:pt>
                <c:pt idx="10">
                  <c:v>-0.19919552469842169</c:v>
                </c:pt>
                <c:pt idx="11">
                  <c:v>-0.20415638332058686</c:v>
                </c:pt>
                <c:pt idx="12">
                  <c:v>-0.20812280320155344</c:v>
                </c:pt>
                <c:pt idx="13">
                  <c:v>-0.21130163195602067</c:v>
                </c:pt>
                <c:pt idx="14">
                  <c:v>-0.21384664143633081</c:v>
                </c:pt>
                <c:pt idx="15">
                  <c:v>-0.21587458914737875</c:v>
                </c:pt>
                <c:pt idx="16">
                  <c:v>-0.21747576164602031</c:v>
                </c:pt>
                <c:pt idx="17">
                  <c:v>-0.21872109544231572</c:v>
                </c:pt>
                <c:pt idx="18">
                  <c:v>-0.21966710791775654</c:v>
                </c:pt>
                <c:pt idx="19">
                  <c:v>-0.22035938779756184</c:v>
                </c:pt>
                <c:pt idx="20">
                  <c:v>-0.22083511474371653</c:v>
                </c:pt>
                <c:pt idx="21">
                  <c:v>-0.22112491014503358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46-40E1-B24C-7B55EF253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295984"/>
        <c:axId val="1"/>
      </c:scatterChart>
      <c:valAx>
        <c:axId val="756295984"/>
        <c:scaling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Time to option expiration, T</a:t>
                </a:r>
              </a:p>
            </c:rich>
          </c:tx>
          <c:layout>
            <c:manualLayout>
              <c:xMode val="edge"/>
              <c:yMode val="edge"/>
              <c:x val="0.70059097960306571"/>
              <c:y val="9.692693771917874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Put delta</a:t>
                </a:r>
              </a:p>
            </c:rich>
          </c:tx>
          <c:layout>
            <c:manualLayout>
              <c:xMode val="edge"/>
              <c:yMode val="edge"/>
              <c:x val="3.39233526965695E-2"/>
              <c:y val="0.4137125390452752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56295984"/>
        <c:crosses val="autoZero"/>
        <c:crossBetween val="midCat"/>
        <c:maj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879155257817193"/>
          <c:y val="0.71631371046124792"/>
          <c:w val="0.21386461482619901"/>
          <c:h val="0.151300585707986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21</xdr:row>
      <xdr:rowOff>22860</xdr:rowOff>
    </xdr:from>
    <xdr:to>
      <xdr:col>12</xdr:col>
      <xdr:colOff>396240</xdr:colOff>
      <xdr:row>43</xdr:row>
      <xdr:rowOff>45720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C1C833CB-6F61-4A7B-88E9-37F2A7EC7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238125</xdr:colOff>
      <xdr:row>1</xdr:row>
      <xdr:rowOff>28575</xdr:rowOff>
    </xdr:from>
    <xdr:to>
      <xdr:col>32</xdr:col>
      <xdr:colOff>514101</xdr:colOff>
      <xdr:row>54</xdr:row>
      <xdr:rowOff>132758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C60D16D-0648-8880-8B0D-3C37E356E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15800" y="247650"/>
          <a:ext cx="11865996" cy="941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</sheetNames>
    <sheetDataSet>
      <sheetData sheetId="0">
        <row r="26">
          <cell r="A26">
            <v>0.1</v>
          </cell>
          <cell r="B26">
            <v>-0.82430825893717996</v>
          </cell>
          <cell r="C26">
            <v>-0.45530861654528243</v>
          </cell>
          <cell r="D26">
            <v>-8.1654552756603618E-2</v>
          </cell>
        </row>
        <row r="27">
          <cell r="A27">
            <v>0.125</v>
          </cell>
          <cell r="B27">
            <v>-0.79038971584593931</v>
          </cell>
          <cell r="C27">
            <v>-0.44995095868216267</v>
          </cell>
          <cell r="D27">
            <v>-0.10170280719246799</v>
          </cell>
        </row>
        <row r="28">
          <cell r="A28">
            <v>0.15</v>
          </cell>
          <cell r="B28">
            <v>-0.76232832906470438</v>
          </cell>
          <cell r="C28">
            <v>-0.44509744162077991</v>
          </cell>
          <cell r="D28">
            <v>-0.11820263434376523</v>
          </cell>
        </row>
        <row r="29">
          <cell r="A29">
            <v>0.17499999999999999</v>
          </cell>
          <cell r="B29">
            <v>-0.73858050324440494</v>
          </cell>
          <cell r="C29">
            <v>-0.44062707398324996</v>
          </cell>
          <cell r="D29">
            <v>-0.13189626625084039</v>
          </cell>
        </row>
        <row r="30">
          <cell r="A30">
            <v>0.2</v>
          </cell>
          <cell r="B30">
            <v>-0.71809478518024528</v>
          </cell>
          <cell r="C30">
            <v>-0.4364609402529071</v>
          </cell>
          <cell r="D30">
            <v>-0.14338073064626289</v>
          </cell>
        </row>
        <row r="31">
          <cell r="A31">
            <v>0.25</v>
          </cell>
          <cell r="B31">
            <v>-0.6841934548801587</v>
          </cell>
          <cell r="C31">
            <v>-0.42883676243018781</v>
          </cell>
          <cell r="D31">
            <v>-0.16143048611471991</v>
          </cell>
        </row>
        <row r="32">
          <cell r="A32">
            <v>0.3</v>
          </cell>
          <cell r="B32">
            <v>-0.65688945026377976</v>
          </cell>
          <cell r="C32">
            <v>-0.42193587278159028</v>
          </cell>
          <cell r="D32">
            <v>-0.17482555662371754</v>
          </cell>
        </row>
        <row r="33">
          <cell r="A33">
            <v>0.35</v>
          </cell>
          <cell r="B33">
            <v>-0.63410422987120474</v>
          </cell>
          <cell r="C33">
            <v>-0.41558620022004605</v>
          </cell>
          <cell r="D33">
            <v>-0.18503002542023508</v>
          </cell>
        </row>
        <row r="34">
          <cell r="A34">
            <v>0.4</v>
          </cell>
          <cell r="B34">
            <v>-0.61458180090847014</v>
          </cell>
          <cell r="C34">
            <v>-0.40967538883799742</v>
          </cell>
          <cell r="D34">
            <v>-0.19295502551495061</v>
          </cell>
        </row>
        <row r="35">
          <cell r="A35">
            <v>0.45</v>
          </cell>
          <cell r="B35">
            <v>-0.59751296905182127</v>
          </cell>
          <cell r="C35">
            <v>-0.4041252269343632</v>
          </cell>
          <cell r="D35">
            <v>-0.19919552469842169</v>
          </cell>
        </row>
        <row r="36">
          <cell r="A36">
            <v>0.5</v>
          </cell>
          <cell r="B36">
            <v>-0.5823494292181296</v>
          </cell>
          <cell r="C36">
            <v>-0.39887864515573834</v>
          </cell>
          <cell r="D36">
            <v>-0.20415638332058686</v>
          </cell>
        </row>
        <row r="37">
          <cell r="A37">
            <v>0.55000000000000004</v>
          </cell>
          <cell r="B37">
            <v>-0.56870430916592307</v>
          </cell>
          <cell r="C37">
            <v>-0.39389246652676274</v>
          </cell>
          <cell r="D37">
            <v>-0.20812280320155344</v>
          </cell>
        </row>
        <row r="38">
          <cell r="A38">
            <v>0.6</v>
          </cell>
          <cell r="B38">
            <v>-0.55629545285265991</v>
          </cell>
          <cell r="C38">
            <v>-0.38913307306048839</v>
          </cell>
          <cell r="D38">
            <v>-0.21130163195602067</v>
          </cell>
        </row>
        <row r="39">
          <cell r="A39">
            <v>0.65</v>
          </cell>
          <cell r="B39">
            <v>-0.54491132991933722</v>
          </cell>
          <cell r="C39">
            <v>-0.38457367100553813</v>
          </cell>
          <cell r="D39">
            <v>-0.21384664143633081</v>
          </cell>
        </row>
        <row r="40">
          <cell r="A40">
            <v>0.7</v>
          </cell>
          <cell r="B40">
            <v>-0.53438962622764286</v>
          </cell>
          <cell r="C40">
            <v>-0.38019248776845677</v>
          </cell>
          <cell r="D40">
            <v>-0.21587458914737875</v>
          </cell>
        </row>
        <row r="41">
          <cell r="A41">
            <v>0.75</v>
          </cell>
          <cell r="B41">
            <v>-0.52460329077947387</v>
          </cell>
          <cell r="C41">
            <v>-0.37597153947296985</v>
          </cell>
          <cell r="D41">
            <v>-0.21747576164602031</v>
          </cell>
        </row>
        <row r="42">
          <cell r="A42">
            <v>0.8</v>
          </cell>
          <cell r="B42">
            <v>-0.51545114943847592</v>
          </cell>
          <cell r="C42">
            <v>-0.37189576270356645</v>
          </cell>
          <cell r="D42">
            <v>-0.21872109544231572</v>
          </cell>
        </row>
        <row r="43">
          <cell r="A43">
            <v>0.85</v>
          </cell>
          <cell r="B43">
            <v>-0.50685141546857182</v>
          </cell>
          <cell r="C43">
            <v>-0.36795238686998011</v>
          </cell>
          <cell r="D43">
            <v>-0.21966710791775654</v>
          </cell>
        </row>
        <row r="44">
          <cell r="A44">
            <v>0.9</v>
          </cell>
          <cell r="B44">
            <v>-0.49873709437033981</v>
          </cell>
          <cell r="C44">
            <v>-0.36413047033151569</v>
          </cell>
          <cell r="D44">
            <v>-0.22035938779756184</v>
          </cell>
        </row>
        <row r="45">
          <cell r="A45">
            <v>0.95</v>
          </cell>
          <cell r="B45">
            <v>-0.49105266091573341</v>
          </cell>
          <cell r="C45">
            <v>-0.36042055086344321</v>
          </cell>
          <cell r="D45">
            <v>-0.22083511474371653</v>
          </cell>
        </row>
        <row r="46">
          <cell r="A46">
            <v>1</v>
          </cell>
          <cell r="B46">
            <v>-0.48375161093784569</v>
          </cell>
          <cell r="C46">
            <v>-0.35681437776763136</v>
          </cell>
          <cell r="D46">
            <v>-0.22112491014503358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bsmertonput"/>
      <definedName name="deltacall"/>
      <definedName name="deltaput"/>
      <definedName name="ggamma"/>
      <definedName name="rhocall"/>
      <definedName name="rhoput"/>
      <definedName name="Thetacall"/>
      <definedName name="Thetaput"/>
      <definedName name="veg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46"/>
  <sheetViews>
    <sheetView tabSelected="1" zoomScale="115" zoomScaleNormal="115" workbookViewId="0">
      <selection activeCell="G18" sqref="G18"/>
    </sheetView>
  </sheetViews>
  <sheetFormatPr defaultRowHeight="13.8" x14ac:dyDescent="0.25"/>
  <cols>
    <col min="1" max="1" width="15" style="2" customWidth="1"/>
    <col min="2" max="2" width="8.88671875" style="2"/>
    <col min="3" max="3" width="34.5546875" style="2" customWidth="1"/>
    <col min="4" max="4" width="13.6640625" style="2" customWidth="1"/>
    <col min="5" max="5" width="30" style="2" customWidth="1"/>
    <col min="6" max="13" width="8.88671875" style="2"/>
  </cols>
  <sheetData>
    <row r="1" spans="1:7" ht="17.399999999999999" x14ac:dyDescent="0.25">
      <c r="A1" s="1" t="s">
        <v>0</v>
      </c>
      <c r="B1" s="1"/>
      <c r="C1" s="1"/>
      <c r="D1" s="1"/>
      <c r="E1" s="1"/>
    </row>
    <row r="2" spans="1:7" x14ac:dyDescent="0.25">
      <c r="A2" s="3" t="s">
        <v>1</v>
      </c>
      <c r="B2" s="4">
        <v>100</v>
      </c>
      <c r="C2" s="3" t="s">
        <v>2</v>
      </c>
      <c r="D2" s="5"/>
      <c r="E2" s="5"/>
      <c r="F2" s="5"/>
      <c r="G2" s="5"/>
    </row>
    <row r="3" spans="1:7" x14ac:dyDescent="0.25">
      <c r="A3" s="5" t="s">
        <v>3</v>
      </c>
      <c r="B3" s="4">
        <v>90</v>
      </c>
      <c r="C3" s="3" t="s">
        <v>4</v>
      </c>
      <c r="D3" s="6"/>
      <c r="E3" s="5"/>
      <c r="F3" s="5"/>
      <c r="G3" s="5"/>
    </row>
    <row r="4" spans="1:7" x14ac:dyDescent="0.25">
      <c r="A4" s="5" t="s">
        <v>5</v>
      </c>
      <c r="B4" s="7">
        <v>0.5</v>
      </c>
      <c r="C4" s="3" t="s">
        <v>6</v>
      </c>
      <c r="D4" s="5"/>
      <c r="E4" s="5"/>
      <c r="F4" s="5"/>
      <c r="G4" s="5"/>
    </row>
    <row r="5" spans="1:7" x14ac:dyDescent="0.25">
      <c r="A5" s="5" t="s">
        <v>7</v>
      </c>
      <c r="B5" s="8">
        <v>0.06</v>
      </c>
      <c r="C5" s="3" t="s">
        <v>8</v>
      </c>
      <c r="D5" s="5"/>
      <c r="E5" s="9"/>
      <c r="F5" s="5"/>
      <c r="G5" s="5"/>
    </row>
    <row r="6" spans="1:7" x14ac:dyDescent="0.25">
      <c r="A6" s="3" t="s">
        <v>9</v>
      </c>
      <c r="B6" s="8">
        <v>0.02</v>
      </c>
      <c r="C6" s="3" t="s">
        <v>10</v>
      </c>
      <c r="D6" s="5"/>
      <c r="E6" s="5"/>
      <c r="F6" s="5"/>
      <c r="G6" s="5"/>
    </row>
    <row r="7" spans="1:7" x14ac:dyDescent="0.25">
      <c r="A7" s="3" t="s">
        <v>11</v>
      </c>
      <c r="B7" s="3">
        <v>0.55000000000000004</v>
      </c>
      <c r="C7" s="3" t="s">
        <v>12</v>
      </c>
      <c r="D7" s="5"/>
      <c r="E7" s="5"/>
      <c r="F7" s="5"/>
      <c r="G7" s="5"/>
    </row>
    <row r="8" spans="1:7" x14ac:dyDescent="0.25">
      <c r="A8" s="5"/>
      <c r="B8" s="3"/>
      <c r="C8" s="3"/>
      <c r="D8" s="5"/>
      <c r="E8" s="5"/>
      <c r="F8" s="5"/>
      <c r="G8" s="5"/>
    </row>
    <row r="9" spans="1:7" x14ac:dyDescent="0.25">
      <c r="A9" s="3" t="s">
        <v>13</v>
      </c>
      <c r="B9" s="10">
        <f>[2]!bsmertoncall(B2,B3,B4,B5,B6,B7)</f>
        <v>20.927203362337934</v>
      </c>
      <c r="C9" s="3" t="str">
        <f t="shared" ref="C9:C10" ca="1" si="0">_xlfn.FORMULATEXT(B9)</f>
        <v>=bsmertoncall(B2,B3,B4,B5,B6,B7)</v>
      </c>
      <c r="D9" s="5"/>
      <c r="E9" s="5"/>
      <c r="F9" s="5"/>
      <c r="G9" s="5"/>
    </row>
    <row r="10" spans="1:7" x14ac:dyDescent="0.25">
      <c r="A10" s="3" t="s">
        <v>14</v>
      </c>
      <c r="B10" s="10">
        <f>[2]!bsmertonput(B2,B3,B4,B5,B6,B7)</f>
        <v>9.2623180067868702</v>
      </c>
      <c r="C10" s="3" t="str">
        <f t="shared" ca="1" si="0"/>
        <v>=bsmertonput(B2,B3,B4,B5,B6,B7)</v>
      </c>
      <c r="D10" s="5"/>
      <c r="E10" s="5"/>
      <c r="F10" s="5"/>
      <c r="G10" s="5"/>
    </row>
    <row r="12" spans="1:7" ht="15.6" x14ac:dyDescent="0.3">
      <c r="A12" s="11" t="s">
        <v>15</v>
      </c>
    </row>
    <row r="13" spans="1:7" x14ac:dyDescent="0.25">
      <c r="B13" s="12" t="s">
        <v>16</v>
      </c>
      <c r="C13" s="12"/>
      <c r="D13" s="13" t="s">
        <v>17</v>
      </c>
    </row>
    <row r="14" spans="1:7" x14ac:dyDescent="0.25">
      <c r="A14" s="2" t="s">
        <v>18</v>
      </c>
      <c r="B14" s="14">
        <f>[2]!deltacall(B2,B3,B4,B5,B6,B7)</f>
        <v>0.6904111048923286</v>
      </c>
      <c r="C14" s="2" t="str">
        <f t="shared" ref="C14:C18" ca="1" si="1">_xlfn.FORMULATEXT(B14)</f>
        <v>=deltacall(B2,B3,B4,B5,B6,B7)</v>
      </c>
      <c r="D14" s="14">
        <f>[2]!deltaput(B2,B3,B4,B5,B6,B7)</f>
        <v>-0.29963872885683945</v>
      </c>
      <c r="E14" s="2" t="str">
        <f t="shared" ref="E14:E18" ca="1" si="2">_xlfn.FORMULATEXT(D14)</f>
        <v>=deltaput(B2,B3,B4,B5,B6,B7)</v>
      </c>
    </row>
    <row r="15" spans="1:7" x14ac:dyDescent="0.25">
      <c r="A15" s="2" t="s">
        <v>23</v>
      </c>
      <c r="B15" s="14">
        <f>[2]!ggamma(B2,B3,B4,B5,B6,B7)</f>
        <v>1.1606844041410273E-2</v>
      </c>
      <c r="C15" s="2" t="str">
        <f t="shared" ca="1" si="1"/>
        <v>=ggamma(B2,B3,B4,B5,B6,B7)</v>
      </c>
      <c r="D15" s="14">
        <f>[2]!ggamma(B2,B3,B4,B5,B6,B7)</f>
        <v>1.1606844041410273E-2</v>
      </c>
      <c r="E15" s="2" t="str">
        <f t="shared" ca="1" si="2"/>
        <v>=ggamma(B2,B3,B4,B5,B6,B7)</v>
      </c>
    </row>
    <row r="16" spans="1:7" x14ac:dyDescent="0.25">
      <c r="A16" s="2" t="s">
        <v>19</v>
      </c>
      <c r="B16" s="14">
        <f>[2]!vega(B2,B3,B4,B5,B6,B7)</f>
        <v>24.437535382699011</v>
      </c>
      <c r="C16" s="2" t="str">
        <f t="shared" ca="1" si="1"/>
        <v>=vega(B2,B3,B4,B5,B6,B7)</v>
      </c>
      <c r="D16" s="14">
        <f>[2]!vega(B2,B3,B4,B5,B6,B7)</f>
        <v>24.437535382699011</v>
      </c>
      <c r="E16" s="2" t="str">
        <f t="shared" ca="1" si="2"/>
        <v>=vega(B2,B3,B4,B5,B6,B7)</v>
      </c>
    </row>
    <row r="17" spans="1:5" ht="27.6" x14ac:dyDescent="0.25">
      <c r="A17" s="2" t="s">
        <v>20</v>
      </c>
      <c r="B17" s="14">
        <f>[2]!Thetacall(B2,B3,B4,B5,B6,B7)</f>
        <v>-14.946656678313492</v>
      </c>
      <c r="C17" s="15" t="str">
        <f t="shared" ca="1" si="1"/>
        <v>=Thetacall(B2,B3,B4,B5,B6,B7)</v>
      </c>
      <c r="D17" s="14">
        <f>[2]!Thetaput(B2,B3,B4,B5,B6,B7)</f>
        <v>-11.686350464649886</v>
      </c>
      <c r="E17" s="15" t="str">
        <f t="shared" ca="1" si="2"/>
        <v>=Thetaput(B2,B3,B4,B5,B6,B7)</v>
      </c>
    </row>
    <row r="18" spans="1:5" x14ac:dyDescent="0.25">
      <c r="A18" s="2" t="s">
        <v>21</v>
      </c>
      <c r="B18" s="14">
        <f>[2]!rhocall(B2,B3,B4,B5,B6,B7)</f>
        <v>24.056953563447465</v>
      </c>
      <c r="C18" s="2" t="str">
        <f t="shared" ca="1" si="1"/>
        <v>=rhocall(B2,B3,B4,B5,B6,B7)</v>
      </c>
      <c r="D18" s="14">
        <f>[2]!rhoput(B2,B3,B4,B5,B6,B7)</f>
        <v>-19.613095446235405</v>
      </c>
      <c r="E18" s="2" t="str">
        <f t="shared" ca="1" si="2"/>
        <v>=rhoput(B2,B3,B4,B5,B6,B7)</v>
      </c>
    </row>
    <row r="22" spans="1:5" x14ac:dyDescent="0.25">
      <c r="A22" s="16" t="s">
        <v>22</v>
      </c>
      <c r="B22" s="17"/>
      <c r="C22" s="17"/>
      <c r="D22" s="17"/>
    </row>
    <row r="23" spans="1:5" x14ac:dyDescent="0.25">
      <c r="A23" s="18"/>
    </row>
    <row r="24" spans="1:5" x14ac:dyDescent="0.25">
      <c r="A24" s="18"/>
      <c r="B24" s="19" t="s">
        <v>4</v>
      </c>
      <c r="C24" s="19"/>
      <c r="D24" s="19"/>
    </row>
    <row r="25" spans="1:5" x14ac:dyDescent="0.25">
      <c r="A25" s="14">
        <f>D14</f>
        <v>-0.29963872885683945</v>
      </c>
      <c r="B25" s="2">
        <v>120</v>
      </c>
      <c r="C25" s="2">
        <v>100</v>
      </c>
      <c r="D25" s="2">
        <v>80</v>
      </c>
    </row>
    <row r="26" spans="1:5" x14ac:dyDescent="0.25">
      <c r="A26" s="20">
        <v>0.1</v>
      </c>
      <c r="B26" s="14">
        <v>-0.82430825893717996</v>
      </c>
      <c r="C26" s="14">
        <v>-0.45530861654528243</v>
      </c>
      <c r="D26" s="2">
        <v>-8.1654552756603618E-2</v>
      </c>
    </row>
    <row r="27" spans="1:5" x14ac:dyDescent="0.25">
      <c r="A27" s="2">
        <v>0.125</v>
      </c>
      <c r="B27" s="14">
        <v>-0.79038971584593931</v>
      </c>
      <c r="C27" s="14">
        <v>-0.44995095868216267</v>
      </c>
      <c r="D27" s="2">
        <v>-0.10170280719246799</v>
      </c>
    </row>
    <row r="28" spans="1:5" x14ac:dyDescent="0.25">
      <c r="A28" s="20">
        <v>0.15</v>
      </c>
      <c r="B28" s="14">
        <v>-0.76232832906470438</v>
      </c>
      <c r="C28" s="14">
        <v>-0.44509744162077991</v>
      </c>
      <c r="D28" s="2">
        <v>-0.11820263434376523</v>
      </c>
    </row>
    <row r="29" spans="1:5" x14ac:dyDescent="0.25">
      <c r="A29" s="2">
        <v>0.17499999999999999</v>
      </c>
      <c r="B29" s="14">
        <v>-0.73858050324440494</v>
      </c>
      <c r="C29" s="14">
        <v>-0.44062707398324996</v>
      </c>
      <c r="D29" s="2">
        <v>-0.13189626625084039</v>
      </c>
    </row>
    <row r="30" spans="1:5" x14ac:dyDescent="0.25">
      <c r="A30" s="20">
        <v>0.2</v>
      </c>
      <c r="B30" s="14">
        <v>-0.71809478518024528</v>
      </c>
      <c r="C30" s="14">
        <v>-0.4364609402529071</v>
      </c>
      <c r="D30" s="2">
        <v>-0.14338073064626289</v>
      </c>
    </row>
    <row r="31" spans="1:5" x14ac:dyDescent="0.25">
      <c r="A31" s="2">
        <v>0.25</v>
      </c>
      <c r="B31" s="14">
        <v>-0.6841934548801587</v>
      </c>
      <c r="C31" s="14">
        <v>-0.42883676243018781</v>
      </c>
      <c r="D31" s="2">
        <v>-0.16143048611471991</v>
      </c>
    </row>
    <row r="32" spans="1:5" x14ac:dyDescent="0.25">
      <c r="A32" s="20">
        <v>0.3</v>
      </c>
      <c r="B32" s="14">
        <v>-0.65688945026377976</v>
      </c>
      <c r="C32" s="14">
        <v>-0.42193587278159028</v>
      </c>
      <c r="D32" s="2">
        <v>-0.17482555662371754</v>
      </c>
    </row>
    <row r="33" spans="1:4" x14ac:dyDescent="0.25">
      <c r="A33" s="2">
        <v>0.35</v>
      </c>
      <c r="B33" s="14">
        <v>-0.63410422987120474</v>
      </c>
      <c r="C33" s="14">
        <v>-0.41558620022004605</v>
      </c>
      <c r="D33" s="2">
        <v>-0.18503002542023508</v>
      </c>
    </row>
    <row r="34" spans="1:4" x14ac:dyDescent="0.25">
      <c r="A34" s="20">
        <v>0.4</v>
      </c>
      <c r="B34" s="14">
        <v>-0.61458180090847014</v>
      </c>
      <c r="C34" s="14">
        <v>-0.40967538883799742</v>
      </c>
      <c r="D34" s="2">
        <v>-0.19295502551495061</v>
      </c>
    </row>
    <row r="35" spans="1:4" x14ac:dyDescent="0.25">
      <c r="A35" s="2">
        <v>0.45</v>
      </c>
      <c r="B35" s="14">
        <v>-0.59751296905182127</v>
      </c>
      <c r="C35" s="14">
        <v>-0.4041252269343632</v>
      </c>
      <c r="D35" s="2">
        <v>-0.19919552469842169</v>
      </c>
    </row>
    <row r="36" spans="1:4" x14ac:dyDescent="0.25">
      <c r="A36" s="20">
        <v>0.5</v>
      </c>
      <c r="B36" s="14">
        <v>-0.5823494292181296</v>
      </c>
      <c r="C36" s="14">
        <v>-0.39887864515573834</v>
      </c>
      <c r="D36" s="2">
        <v>-0.20415638332058686</v>
      </c>
    </row>
    <row r="37" spans="1:4" x14ac:dyDescent="0.25">
      <c r="A37" s="2">
        <v>0.55000000000000004</v>
      </c>
      <c r="B37" s="14">
        <v>-0.56870430916592307</v>
      </c>
      <c r="C37" s="14">
        <v>-0.39389246652676274</v>
      </c>
      <c r="D37" s="2">
        <v>-0.20812280320155344</v>
      </c>
    </row>
    <row r="38" spans="1:4" x14ac:dyDescent="0.25">
      <c r="A38" s="20">
        <v>0.6</v>
      </c>
      <c r="B38" s="14">
        <v>-0.55629545285265991</v>
      </c>
      <c r="C38" s="14">
        <v>-0.38913307306048839</v>
      </c>
      <c r="D38" s="2">
        <v>-0.21130163195602067</v>
      </c>
    </row>
    <row r="39" spans="1:4" x14ac:dyDescent="0.25">
      <c r="A39" s="2">
        <v>0.65</v>
      </c>
      <c r="B39" s="14">
        <v>-0.54491132991933722</v>
      </c>
      <c r="C39" s="14">
        <v>-0.38457367100553813</v>
      </c>
      <c r="D39" s="2">
        <v>-0.21384664143633081</v>
      </c>
    </row>
    <row r="40" spans="1:4" x14ac:dyDescent="0.25">
      <c r="A40" s="20">
        <v>0.7</v>
      </c>
      <c r="B40" s="14">
        <v>-0.53438962622764286</v>
      </c>
      <c r="C40" s="14">
        <v>-0.38019248776845677</v>
      </c>
      <c r="D40" s="2">
        <v>-0.21587458914737875</v>
      </c>
    </row>
    <row r="41" spans="1:4" x14ac:dyDescent="0.25">
      <c r="A41" s="2">
        <v>0.75</v>
      </c>
      <c r="B41" s="14">
        <v>-0.52460329077947387</v>
      </c>
      <c r="C41" s="14">
        <v>-0.37597153947296985</v>
      </c>
      <c r="D41" s="2">
        <v>-0.21747576164602031</v>
      </c>
    </row>
    <row r="42" spans="1:4" x14ac:dyDescent="0.25">
      <c r="A42" s="20">
        <v>0.8</v>
      </c>
      <c r="B42" s="14">
        <v>-0.51545114943847592</v>
      </c>
      <c r="C42" s="14">
        <v>-0.37189576270356645</v>
      </c>
      <c r="D42" s="2">
        <v>-0.21872109544231572</v>
      </c>
    </row>
    <row r="43" spans="1:4" x14ac:dyDescent="0.25">
      <c r="A43" s="2">
        <v>0.85</v>
      </c>
      <c r="B43" s="14">
        <v>-0.50685141546857182</v>
      </c>
      <c r="C43" s="14">
        <v>-0.36795238686998011</v>
      </c>
      <c r="D43" s="2">
        <v>-0.21966710791775654</v>
      </c>
    </row>
    <row r="44" spans="1:4" x14ac:dyDescent="0.25">
      <c r="A44" s="20">
        <v>0.9</v>
      </c>
      <c r="B44" s="14">
        <v>-0.49873709437033981</v>
      </c>
      <c r="C44" s="14">
        <v>-0.36413047033151569</v>
      </c>
      <c r="D44" s="2">
        <v>-0.22035938779756184</v>
      </c>
    </row>
    <row r="45" spans="1:4" x14ac:dyDescent="0.25">
      <c r="A45" s="2">
        <v>0.95</v>
      </c>
      <c r="B45" s="14">
        <v>-0.49105266091573341</v>
      </c>
      <c r="C45" s="14">
        <v>-0.36042055086344321</v>
      </c>
      <c r="D45" s="2">
        <v>-0.22083511474371653</v>
      </c>
    </row>
    <row r="46" spans="1:4" x14ac:dyDescent="0.25">
      <c r="A46" s="20">
        <v>1</v>
      </c>
      <c r="B46" s="14">
        <v>-0.48375161093784569</v>
      </c>
      <c r="C46" s="14">
        <v>-0.35681437776763136</v>
      </c>
      <c r="D46" s="2">
        <v>-0.22112491014503358</v>
      </c>
    </row>
  </sheetData>
  <mergeCells count="3">
    <mergeCell ref="A1:E1"/>
    <mergeCell ref="A22:D22"/>
    <mergeCell ref="B24:D2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2024-12-06T02:39:36Z</dcterms:modified>
</cp:coreProperties>
</file>