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F41B81C3-9EFD-4834-BC37-CAE822251E80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Page 556" sheetId="2" r:id="rId2"/>
    <sheet name="Page 557" sheetId="3" r:id="rId3"/>
  </sheets>
  <externalReferences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6" i="3" l="1"/>
  <c r="C84" i="3"/>
  <c r="B84" i="3"/>
  <c r="C83" i="3"/>
  <c r="B83" i="3"/>
  <c r="F43" i="3"/>
  <c r="B47" i="1"/>
  <c r="D23" i="1"/>
  <c r="B23" i="1"/>
  <c r="B12" i="1"/>
  <c r="B10" i="1"/>
  <c r="D26" i="1" s="1"/>
  <c r="B9" i="1"/>
  <c r="D22" i="1" s="1"/>
  <c r="E14" i="3"/>
  <c r="E16" i="3"/>
  <c r="E18" i="3"/>
  <c r="E15" i="3"/>
  <c r="E17" i="3"/>
  <c r="C14" i="3"/>
  <c r="C15" i="3"/>
  <c r="C16" i="3"/>
  <c r="C17" i="3"/>
  <c r="C18" i="3"/>
  <c r="D15" i="3"/>
  <c r="D18" i="3"/>
  <c r="D17" i="3"/>
  <c r="D16" i="3"/>
  <c r="D14" i="3"/>
  <c r="B15" i="3"/>
  <c r="B18" i="3"/>
  <c r="B17" i="3"/>
  <c r="B16" i="3"/>
  <c r="B14" i="3"/>
  <c r="C9" i="3"/>
  <c r="C10" i="3"/>
  <c r="B10" i="3"/>
  <c r="B9" i="3"/>
  <c r="A47" i="2"/>
  <c r="E14" i="2"/>
  <c r="E15" i="2"/>
  <c r="E16" i="2"/>
  <c r="E17" i="2"/>
  <c r="E18" i="2"/>
  <c r="D18" i="2"/>
  <c r="D17" i="2"/>
  <c r="D16" i="2"/>
  <c r="D15" i="2"/>
  <c r="D14" i="2"/>
  <c r="C14" i="2"/>
  <c r="C15" i="2"/>
  <c r="C16" i="2"/>
  <c r="C17" i="2"/>
  <c r="C18" i="2"/>
  <c r="B18" i="2"/>
  <c r="B17" i="2"/>
  <c r="B16" i="2"/>
  <c r="B15" i="2"/>
  <c r="B14" i="2"/>
  <c r="C9" i="2"/>
  <c r="C10" i="2"/>
  <c r="B10" i="2"/>
  <c r="B9" i="2"/>
  <c r="C53" i="1"/>
  <c r="C52" i="1"/>
  <c r="C49" i="1"/>
  <c r="C50" i="1"/>
  <c r="D32" i="1"/>
  <c r="B31" i="1"/>
  <c r="D34" i="1"/>
  <c r="B34" i="1"/>
  <c r="D33" i="1"/>
  <c r="B32" i="1"/>
  <c r="B18" i="1"/>
  <c r="B33" i="1"/>
  <c r="B16" i="1"/>
  <c r="B30" i="1"/>
  <c r="B53" i="1"/>
  <c r="B46" i="1"/>
  <c r="D31" i="1"/>
  <c r="D30" i="1"/>
  <c r="C9" i="1"/>
  <c r="C30" i="1"/>
  <c r="C32" i="1"/>
  <c r="B49" i="1"/>
  <c r="E32" i="1"/>
  <c r="C26" i="1"/>
  <c r="C33" i="1"/>
  <c r="C24" i="1"/>
  <c r="C47" i="1"/>
  <c r="E30" i="1"/>
  <c r="C34" i="1"/>
  <c r="C46" i="1"/>
  <c r="C18" i="1"/>
  <c r="C23" i="1"/>
  <c r="C16" i="1"/>
  <c r="E31" i="1"/>
  <c r="E24" i="1"/>
  <c r="E34" i="1"/>
  <c r="C31" i="1"/>
  <c r="E26" i="1"/>
  <c r="C15" i="1"/>
  <c r="C22" i="1"/>
  <c r="E23" i="1"/>
  <c r="E25" i="1"/>
  <c r="E33" i="1"/>
  <c r="E22" i="1"/>
  <c r="C17" i="1"/>
  <c r="C25" i="1"/>
  <c r="C22" i="3" l="1"/>
  <c r="A48" i="3"/>
  <c r="C22" i="2"/>
  <c r="A48" i="2"/>
  <c r="B22" i="3"/>
  <c r="B22" i="2"/>
  <c r="B52" i="1"/>
  <c r="B13" i="1"/>
  <c r="B15" i="1" s="1"/>
  <c r="B24" i="1"/>
  <c r="D24" i="1"/>
  <c r="B17" i="1"/>
  <c r="B50" i="1"/>
  <c r="B22" i="1"/>
  <c r="B26" i="1"/>
  <c r="D25" i="1" l="1"/>
  <c r="B25" i="1"/>
</calcChain>
</file>

<file path=xl/sharedStrings.xml><?xml version="1.0" encoding="utf-8"?>
<sst xmlns="http://schemas.openxmlformats.org/spreadsheetml/2006/main" count="112" uniqueCount="44">
  <si>
    <t>Black-Scholes Greeks
This spreadsheet uses the Merton model for a continuously dividend-paying stock</t>
  </si>
  <si>
    <t>S</t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</si>
  <si>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</si>
  <si>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</si>
  <si>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</si>
  <si>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</si>
  <si>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</si>
  <si>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</si>
  <si>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</si>
  <si>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k</t>
  </si>
  <si>
    <t>Dividend yield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</si>
  <si>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</si>
  <si>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</si>
  <si>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</si>
  <si>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</si>
  <si>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</si>
  <si>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</si>
  <si>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</si>
  <si>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</si>
  <si>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</si>
  <si>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</si>
  <si>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t>Put price</t>
  </si>
  <si>
    <t>Greeks:  Brute force</t>
  </si>
  <si>
    <t>Call</t>
  </si>
  <si>
    <t>Put</t>
  </si>
  <si>
    <t>Delta</t>
  </si>
  <si>
    <t>Gamma</t>
  </si>
  <si>
    <t>Vega</t>
  </si>
  <si>
    <t>Theta</t>
  </si>
  <si>
    <t>Rho</t>
  </si>
  <si>
    <t>Greeks:  VBA functions</t>
  </si>
  <si>
    <t>Gamma denominator</t>
    <phoneticPr fontId="1" type="noConversion"/>
  </si>
  <si>
    <t>Black-Scholes Greeks
Delta graphs</t>
  </si>
  <si>
    <t>Greeks</t>
  </si>
  <si>
    <t>Delta wrt stock price</t>
  </si>
  <si>
    <t>&lt;-- Data table header</t>
  </si>
  <si>
    <t>Delta wrt time to expiration</t>
  </si>
  <si>
    <t>Black-Scholes Greeks
Theta graphs</t>
  </si>
  <si>
    <t>Graph title</t>
  </si>
  <si>
    <t>Theta wrt time to expiration</t>
  </si>
  <si>
    <t>What does a positive theta mean?  In general, as time to maturity gets shorter, options lose value if they are out of the money and gain value if they are in the money.</t>
  </si>
  <si>
    <t>Put theta</t>
  </si>
  <si>
    <t>Theta wrt stock price</t>
    <phoneticPr fontId="1" type="noConversion"/>
  </si>
  <si>
    <t>With Regard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</si>
</sst>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00"/>
    <numFmt numFmtId="177" formatCode="_(* #,##0.0000_);_(* \(#,##0.0000\);_(* &quot;-&quot;??_);_(@_)"/>
    <numFmt numFmtId="178" formatCode="_(* #,##0.00_);_(* \(#,##0.00\);_(* &quot;-&quot;??_);_(@_)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color rgb="FFFF0000"/>
      <name val="等线"/>
      <family val="2"/>
      <charset val="134"/>
      <scheme val="minor"/>
    </font>
    <font>
      <sz val="10"/>
      <name val="Arial"/>
      <family val="2"/>
    </font>
    <font>
      <sz val="8"/>
      <color rgb="FF202124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/>
    <xf numFmtId="9" fontId="8" fillId="0" borderId="0" applyFont="0" applyFill="0" applyBorder="0" applyAlignment="0" applyProtection="0"/>
    <xf numFmtId="178" fontId="8" fillId="0" borderId="0" applyFont="0" applyFill="0" applyBorder="0" applyAlignment="0" applyProtection="0"/>
  </cellStyleXfs>
  <cellXfs count="40">
    <xf numFmtId="0" fontId="0" fillId="0" borderId="0" xfId="0">
      <alignment vertical="center"/>
    </xf>
    <xf numFmtId="9" fontId="0" fillId="0" borderId="0" xfId="2" applyFont="1" applyAlignment="1"/>
    <xf numFmtId="0" fontId="0" fillId="0" borderId="0" xfId="2" applyNumberFormat="1" applyFont="1" applyAlignment="1"/>
    <xf numFmtId="9" fontId="0" fillId="0" borderId="0" xfId="2" quotePrefix="1" applyFont="1" applyAlignment="1"/>
    <xf numFmtId="10" fontId="0" fillId="0" borderId="0" xfId="2" applyNumberFormat="1" applyFont="1" applyAlignment="1"/>
    <xf numFmtId="43" fontId="0" fillId="0" borderId="0" xfId="1" applyFont="1" applyAlignment="1"/>
    <xf numFmtId="176" fontId="0" fillId="0" borderId="0" xfId="2" quotePrefix="1" applyNumberFormat="1" applyFont="1" applyAlignment="1"/>
    <xf numFmtId="176" fontId="0" fillId="0" borderId="0" xfId="2" applyNumberFormat="1" applyFont="1" applyAlignment="1"/>
    <xf numFmtId="177" fontId="0" fillId="0" borderId="0" xfId="1" applyNumberFormat="1" applyFont="1" applyAlignment="1"/>
    <xf numFmtId="0" fontId="0" fillId="0" borderId="0" xfId="0" applyAlignment="1"/>
    <xf numFmtId="0" fontId="5" fillId="0" borderId="0" xfId="0" applyFont="1" applyAlignment="1"/>
    <xf numFmtId="0" fontId="6" fillId="0" borderId="0" xfId="0" applyFont="1" applyAlignment="1">
      <alignment horizontal="center"/>
    </xf>
    <xf numFmtId="9" fontId="6" fillId="0" borderId="0" xfId="2" applyFont="1" applyAlignment="1">
      <alignment horizontal="center"/>
    </xf>
    <xf numFmtId="176" fontId="0" fillId="0" borderId="0" xfId="0" applyNumberFormat="1" applyAlignment="1"/>
    <xf numFmtId="0" fontId="0" fillId="0" borderId="0" xfId="0" applyAlignment="1">
      <alignment horizontal="left"/>
    </xf>
    <xf numFmtId="176" fontId="0" fillId="0" borderId="0" xfId="0" applyNumberFormat="1" applyAlignment="1">
      <alignment horizontal="right"/>
    </xf>
    <xf numFmtId="0" fontId="0" fillId="0" borderId="0" xfId="0" applyAlignment="1">
      <alignment vertical="center" wrapText="1"/>
    </xf>
    <xf numFmtId="0" fontId="7" fillId="0" borderId="0" xfId="0" applyFont="1" applyAlignment="1"/>
    <xf numFmtId="0" fontId="3" fillId="0" borderId="0" xfId="0" applyFont="1" applyAlignment="1">
      <alignment horizontal="center" vertical="center" wrapText="1"/>
    </xf>
    <xf numFmtId="0" fontId="3" fillId="0" borderId="0" xfId="3" applyFont="1" applyAlignment="1">
      <alignment horizontal="center" vertical="center" wrapText="1"/>
    </xf>
    <xf numFmtId="0" fontId="8" fillId="0" borderId="0" xfId="3"/>
    <xf numFmtId="9" fontId="8" fillId="0" borderId="0" xfId="4" applyFont="1"/>
    <xf numFmtId="0" fontId="8" fillId="0" borderId="0" xfId="4" applyNumberFormat="1"/>
    <xf numFmtId="9" fontId="8" fillId="0" borderId="0" xfId="4"/>
    <xf numFmtId="9" fontId="8" fillId="0" borderId="0" xfId="4" quotePrefix="1"/>
    <xf numFmtId="0" fontId="8" fillId="0" borderId="0" xfId="4" applyNumberFormat="1" applyFont="1"/>
    <xf numFmtId="10" fontId="8" fillId="0" borderId="0" xfId="4" applyNumberFormat="1"/>
    <xf numFmtId="178" fontId="8" fillId="0" borderId="0" xfId="5"/>
    <xf numFmtId="176" fontId="8" fillId="0" borderId="0" xfId="4" applyNumberFormat="1"/>
    <xf numFmtId="0" fontId="5" fillId="0" borderId="0" xfId="3" applyFont="1"/>
    <xf numFmtId="0" fontId="6" fillId="0" borderId="0" xfId="3" applyFont="1" applyAlignment="1">
      <alignment horizontal="center"/>
    </xf>
    <xf numFmtId="9" fontId="6" fillId="0" borderId="0" xfId="4" applyFont="1" applyAlignment="1">
      <alignment horizontal="center"/>
    </xf>
    <xf numFmtId="176" fontId="8" fillId="0" borderId="0" xfId="3" applyNumberFormat="1"/>
    <xf numFmtId="0" fontId="8" fillId="0" borderId="0" xfId="3" applyAlignment="1">
      <alignment vertical="center" wrapText="1"/>
    </xf>
    <xf numFmtId="0" fontId="6" fillId="0" borderId="0" xfId="3" applyFont="1"/>
    <xf numFmtId="1" fontId="8" fillId="0" borderId="0" xfId="3" applyNumberFormat="1"/>
    <xf numFmtId="0" fontId="8" fillId="2" borderId="0" xfId="3" applyFill="1" applyAlignment="1">
      <alignment horizontal="center"/>
    </xf>
    <xf numFmtId="2" fontId="8" fillId="0" borderId="0" xfId="3" applyNumberFormat="1"/>
    <xf numFmtId="0" fontId="8" fillId="0" borderId="0" xfId="3" applyAlignment="1">
      <alignment vertical="center" wrapText="1"/>
    </xf>
    <xf numFmtId="0" fontId="9" fillId="0" borderId="0" xfId="0" applyFont="1">
      <alignment vertical="center"/>
    </xf>
  </cellXfs>
  <cellStyles count="6">
    <cellStyle name="百分比" xfId="2" builtinId="5"/>
    <cellStyle name="百分比 2" xfId="4" xr:uid="{E01DD867-2808-47D4-9155-23759F12C489}"/>
    <cellStyle name="常规" xfId="0" builtinId="0"/>
    <cellStyle name="常规 2" xfId="3" xr:uid="{1906B8FC-A6AF-4DD7-8FBE-3A8351454764}"/>
    <cellStyle name="千位分隔" xfId="1" builtinId="3"/>
    <cellStyle name="千位分隔 2" xfId="5" xr:uid="{2CF4C83C-CFBE-4046-96FB-B3E97D58DF0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and Put Deltas as Functions of Stock Price</a:t>
            </a:r>
          </a:p>
        </c:rich>
      </c:tx>
      <c:layout>
        <c:manualLayout>
          <c:xMode val="edge"/>
          <c:yMode val="edge"/>
          <c:x val="0.27876146346311453"/>
          <c:y val="3.72209902394859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176229455069"/>
          <c:y val="7.4441980478971867E-2"/>
          <c:w val="0.78023711202109836"/>
          <c:h val="0.88089676900116709"/>
        </c:manualLayout>
      </c:layout>
      <c:scatterChart>
        <c:scatterStyle val="lineMarker"/>
        <c:varyColors val="0"/>
        <c:ser>
          <c:idx val="0"/>
          <c:order val="0"/>
          <c:tx>
            <c:v>Call delta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556'!$A$23:$A$37</c:f>
              <c:numCache>
                <c:formatCode>General</c:formatCode>
                <c:ptCount val="15"/>
                <c:pt idx="0" formatCode="0">
                  <c:v>2.0000000000000001E-4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xVal>
          <c:yVal>
            <c:numRef>
              <c:f>'Page 556'!$B$23:$B$37</c:f>
              <c:numCache>
                <c:formatCode>0.0000</c:formatCode>
                <c:ptCount val="15"/>
                <c:pt idx="0" formatCode="General">
                  <c:v>2.3441929767444546E-242</c:v>
                </c:pt>
                <c:pt idx="1">
                  <c:v>1.4496469515464246E-4</c:v>
                </c:pt>
                <c:pt idx="2">
                  <c:v>4.9053467980945953E-3</c:v>
                </c:pt>
                <c:pt idx="3">
                  <c:v>3.2610556331355012E-2</c:v>
                </c:pt>
                <c:pt idx="4">
                  <c:v>0.10182380225995134</c:v>
                </c:pt>
                <c:pt idx="5">
                  <c:v>0.2106976916269144</c:v>
                </c:pt>
                <c:pt idx="6">
                  <c:v>0.3410315884378366</c:v>
                </c:pt>
                <c:pt idx="7">
                  <c:v>0.47253355393870461</c:v>
                </c:pt>
                <c:pt idx="8">
                  <c:v>0.59117118859342965</c:v>
                </c:pt>
                <c:pt idx="9">
                  <c:v>0.6904111048923286</c:v>
                </c:pt>
                <c:pt idx="10">
                  <c:v>0.76919893679186568</c:v>
                </c:pt>
                <c:pt idx="11">
                  <c:v>0.82949782365396796</c:v>
                </c:pt>
                <c:pt idx="12">
                  <c:v>0.87446515988575724</c:v>
                </c:pt>
                <c:pt idx="13">
                  <c:v>0.90738916575864326</c:v>
                </c:pt>
                <c:pt idx="14">
                  <c:v>0.93118640203747527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A6F-9E3E-E8DD4D1C3ACE}"/>
            </c:ext>
          </c:extLst>
        </c:ser>
        <c:ser>
          <c:idx val="1"/>
          <c:order val="1"/>
          <c:tx>
            <c:v>Put delta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556'!$A$23:$A$37</c:f>
              <c:numCache>
                <c:formatCode>General</c:formatCode>
                <c:ptCount val="15"/>
                <c:pt idx="0" formatCode="0">
                  <c:v>2.0000000000000001E-4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xVal>
          <c:yVal>
            <c:numRef>
              <c:f>'Page 556'!$C$23:$C$37</c:f>
              <c:numCache>
                <c:formatCode>0.0000</c:formatCode>
                <c:ptCount val="15"/>
                <c:pt idx="0">
                  <c:v>-0.99004983374916811</c:v>
                </c:pt>
                <c:pt idx="1">
                  <c:v>-0.98990486905401343</c:v>
                </c:pt>
                <c:pt idx="2">
                  <c:v>-0.98514448695107348</c:v>
                </c:pt>
                <c:pt idx="3">
                  <c:v>-0.95743927741781309</c:v>
                </c:pt>
                <c:pt idx="4">
                  <c:v>-0.88822603148921675</c:v>
                </c:pt>
                <c:pt idx="5">
                  <c:v>-0.77935214212225368</c:v>
                </c:pt>
                <c:pt idx="6">
                  <c:v>-0.64901824531133157</c:v>
                </c:pt>
                <c:pt idx="7">
                  <c:v>-0.51751627981046344</c:v>
                </c:pt>
                <c:pt idx="8">
                  <c:v>-0.39887864515573834</c:v>
                </c:pt>
                <c:pt idx="9">
                  <c:v>-0.29963872885683945</c:v>
                </c:pt>
                <c:pt idx="10">
                  <c:v>-0.22085089695730242</c:v>
                </c:pt>
                <c:pt idx="11">
                  <c:v>-0.1605520100952002</c:v>
                </c:pt>
                <c:pt idx="12">
                  <c:v>-0.11558467386341087</c:v>
                </c:pt>
                <c:pt idx="13">
                  <c:v>-8.2660667990524864E-2</c:v>
                </c:pt>
                <c:pt idx="14">
                  <c:v>-5.8863431711692775E-2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A6F-9E3E-E8DD4D1C3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07656"/>
        <c:axId val="1"/>
      </c:scatterChart>
      <c:valAx>
        <c:axId val="31680765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</a:t>
                </a:r>
              </a:p>
            </c:rich>
          </c:tx>
          <c:layout>
            <c:manualLayout>
              <c:xMode val="edge"/>
              <c:yMode val="edge"/>
              <c:x val="0.79203653904599214"/>
              <c:y val="0.416875090682242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Delta</a:t>
                </a:r>
              </a:p>
            </c:rich>
          </c:tx>
          <c:layout>
            <c:manualLayout>
              <c:xMode val="edge"/>
              <c:yMode val="edge"/>
              <c:x val="6.1946991880692123E-2"/>
              <c:y val="0.473947275716120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16807656"/>
        <c:crosses val="autoZero"/>
        <c:crossBetween val="midCat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6843696481633256"/>
          <c:y val="0.62034983732476545"/>
          <c:w val="0.14601790943306001"/>
          <c:h val="0.106700172019859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Delta, Time to Maturity, and Moneyness</a:t>
            </a:r>
          </a:p>
        </c:rich>
      </c:tx>
      <c:layout>
        <c:manualLayout>
          <c:xMode val="edge"/>
          <c:yMode val="edge"/>
          <c:x val="0.23303868374165132"/>
          <c:y val="5.5137928956193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66977160215536"/>
          <c:y val="4.5112850964158083E-2"/>
          <c:w val="0.78613682553354514"/>
          <c:h val="0.81203131735484546"/>
        </c:manualLayout>
      </c:layout>
      <c:scatterChart>
        <c:scatterStyle val="lineMarker"/>
        <c:varyColors val="0"/>
        <c:ser>
          <c:idx val="0"/>
          <c:order val="0"/>
          <c:tx>
            <c:v>Out of the money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556'!$A$49:$A$69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556'!$B$49:$B$69</c:f>
              <c:numCache>
                <c:formatCode>0.0000</c:formatCode>
                <c:ptCount val="21"/>
                <c:pt idx="0">
                  <c:v>0.17369373973015315</c:v>
                </c:pt>
                <c:pt idx="1">
                  <c:v>0.2071134065515208</c:v>
                </c:pt>
                <c:pt idx="2">
                  <c:v>0.23467616643866859</c:v>
                </c:pt>
                <c:pt idx="3">
                  <c:v>0.25792561461600993</c:v>
                </c:pt>
                <c:pt idx="4">
                  <c:v>0.27791320416374621</c:v>
                </c:pt>
                <c:pt idx="5">
                  <c:v>0.31081902431252362</c:v>
                </c:pt>
                <c:pt idx="6">
                  <c:v>0.33712851379015546</c:v>
                </c:pt>
                <c:pt idx="7">
                  <c:v>0.35892021306203031</c:v>
                </c:pt>
                <c:pt idx="8">
                  <c:v>0.37745011392859057</c:v>
                </c:pt>
                <c:pt idx="9">
                  <c:v>0.39352740972106243</c:v>
                </c:pt>
                <c:pt idx="10">
                  <c:v>0.40770040453103845</c:v>
                </c:pt>
                <c:pt idx="11">
                  <c:v>0.4203559696094456</c:v>
                </c:pt>
                <c:pt idx="12">
                  <c:v>0.43177626000927061</c:v>
                </c:pt>
                <c:pt idx="13">
                  <c:v>0.44217280510095042</c:v>
                </c:pt>
                <c:pt idx="14">
                  <c:v>0.45170791803521904</c:v>
                </c:pt>
                <c:pt idx="15">
                  <c:v>0.46050864882358877</c:v>
                </c:pt>
                <c:pt idx="16">
                  <c:v>0.46867617061680927</c:v>
                </c:pt>
                <c:pt idx="17">
                  <c:v>0.47629226916633771</c:v>
                </c:pt>
                <c:pt idx="18">
                  <c:v>0.48342393798796091</c:v>
                </c:pt>
                <c:pt idx="19">
                  <c:v>0.49012670132707264</c:v>
                </c:pt>
                <c:pt idx="20">
                  <c:v>0.49644706236890962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9-4CD6-9785-42BBDD7921C5}"/>
            </c:ext>
          </c:extLst>
        </c:ser>
        <c:ser>
          <c:idx val="1"/>
          <c:order val="1"/>
          <c:tx>
            <c:v>At the money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556'!$A$49:$A$69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556'!$C$49:$C$69</c:f>
              <c:numCache>
                <c:formatCode>0.0000</c:formatCode>
                <c:ptCount val="21"/>
                <c:pt idx="0">
                  <c:v>0.54269338212205065</c:v>
                </c:pt>
                <c:pt idx="1">
                  <c:v>0.54755216371529747</c:v>
                </c:pt>
                <c:pt idx="2">
                  <c:v>0.55190705388259309</c:v>
                </c:pt>
                <c:pt idx="3">
                  <c:v>0.55587904387716502</c:v>
                </c:pt>
                <c:pt idx="4">
                  <c:v>0.55954704909108444</c:v>
                </c:pt>
                <c:pt idx="5">
                  <c:v>0.56617571676249445</c:v>
                </c:pt>
                <c:pt idx="6">
                  <c:v>0.57208209127234499</c:v>
                </c:pt>
                <c:pt idx="7">
                  <c:v>0.577438242713189</c:v>
                </c:pt>
                <c:pt idx="8">
                  <c:v>0.58235652599906318</c:v>
                </c:pt>
                <c:pt idx="9">
                  <c:v>0.5869151518385205</c:v>
                </c:pt>
                <c:pt idx="10">
                  <c:v>0.59117118859342965</c:v>
                </c:pt>
                <c:pt idx="11">
                  <c:v>0.59516781224860604</c:v>
                </c:pt>
                <c:pt idx="12">
                  <c:v>0.59893863980144213</c:v>
                </c:pt>
                <c:pt idx="13">
                  <c:v>0.6025104640147495</c:v>
                </c:pt>
                <c:pt idx="14">
                  <c:v>0.60590505649440507</c:v>
                </c:pt>
                <c:pt idx="15">
                  <c:v>0.60914040013009274</c:v>
                </c:pt>
                <c:pt idx="16">
                  <c:v>0.61223155735171864</c:v>
                </c:pt>
                <c:pt idx="17">
                  <c:v>0.61519129776492953</c:v>
                </c:pt>
                <c:pt idx="18">
                  <c:v>0.61803056202678508</c:v>
                </c:pt>
                <c:pt idx="19">
                  <c:v>0.62075881137936284</c:v>
                </c:pt>
                <c:pt idx="20">
                  <c:v>0.62338429553912389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9-4CD6-9785-42BBDD7921C5}"/>
            </c:ext>
          </c:extLst>
        </c:ser>
        <c:ser>
          <c:idx val="2"/>
          <c:order val="2"/>
          <c:tx>
            <c:v>In the money</c:v>
          </c:tx>
          <c:spPr>
            <a:ln w="12700">
              <a:solidFill>
                <a:schemeClr val="bg2">
                  <a:lumMod val="75000"/>
                </a:schemeClr>
              </a:solidFill>
              <a:prstDash val="solid"/>
            </a:ln>
          </c:spPr>
          <c:marker>
            <c:symbol val="x"/>
            <c:size val="5"/>
            <c:spPr>
              <a:solidFill>
                <a:schemeClr val="bg2">
                  <a:lumMod val="75000"/>
                </a:schemeClr>
              </a:solidFill>
              <a:ln>
                <a:solidFill>
                  <a:schemeClr val="bg2">
                    <a:lumMod val="75000"/>
                  </a:schemeClr>
                </a:solidFill>
                <a:prstDash val="solid"/>
              </a:ln>
            </c:spPr>
          </c:marker>
          <c:xVal>
            <c:numRef>
              <c:f>'Page 556'!$A$49:$A$69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556'!$D$49:$D$69</c:f>
              <c:numCache>
                <c:formatCode>General</c:formatCode>
                <c:ptCount val="21"/>
                <c:pt idx="0">
                  <c:v>0.91634744591072947</c:v>
                </c:pt>
                <c:pt idx="1">
                  <c:v>0.89580031520499204</c:v>
                </c:pt>
                <c:pt idx="2">
                  <c:v>0.87880186115960779</c:v>
                </c:pt>
                <c:pt idx="3">
                  <c:v>0.86460985160957449</c:v>
                </c:pt>
                <c:pt idx="4">
                  <c:v>0.8526272586977286</c:v>
                </c:pt>
                <c:pt idx="5">
                  <c:v>0.83358199307796232</c:v>
                </c:pt>
                <c:pt idx="6">
                  <c:v>0.81919240743021782</c:v>
                </c:pt>
                <c:pt idx="7">
                  <c:v>0.80799441751300005</c:v>
                </c:pt>
                <c:pt idx="8">
                  <c:v>0.79907688932211007</c:v>
                </c:pt>
                <c:pt idx="9">
                  <c:v>0.79184485407446192</c:v>
                </c:pt>
                <c:pt idx="10">
                  <c:v>0.78589345042858127</c:v>
                </c:pt>
                <c:pt idx="11">
                  <c:v>0.78093747557381532</c:v>
                </c:pt>
                <c:pt idx="12">
                  <c:v>0.77677008090590982</c:v>
                </c:pt>
                <c:pt idx="13">
                  <c:v>0.77323749358395677</c:v>
                </c:pt>
                <c:pt idx="14">
                  <c:v>0.77022295511548311</c:v>
                </c:pt>
                <c:pt idx="15">
                  <c:v>0.76763617795704231</c:v>
                </c:pt>
                <c:pt idx="16">
                  <c:v>0.76540622461296937</c:v>
                </c:pt>
                <c:pt idx="17">
                  <c:v>0.76347657671715308</c:v>
                </c:pt>
                <c:pt idx="18">
                  <c:v>0.76180164456073896</c:v>
                </c:pt>
                <c:pt idx="19">
                  <c:v>0.76034424749908958</c:v>
                </c:pt>
                <c:pt idx="20">
                  <c:v>0.7590737631617217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9-4CD6-9785-42BBDD792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11976"/>
        <c:axId val="1"/>
      </c:scatterChart>
      <c:valAx>
        <c:axId val="316811976"/>
        <c:scaling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Time to option expiration, T</a:t>
                </a:r>
              </a:p>
            </c:rich>
          </c:tx>
          <c:layout>
            <c:manualLayout>
              <c:xMode val="edge"/>
              <c:yMode val="edge"/>
              <c:x val="0.67109241204083137"/>
              <c:y val="0.9198009057692230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Call delta</a:t>
                </a:r>
              </a:p>
            </c:rich>
          </c:tx>
          <c:layout>
            <c:manualLayout>
              <c:xMode val="edge"/>
              <c:yMode val="edge"/>
              <c:x val="3.39233526965695E-2"/>
              <c:y val="0.383459233195343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16811976"/>
        <c:crosses val="autoZero"/>
        <c:crossBetween val="midCat"/>
        <c:maj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31662420006034"/>
          <c:y val="0.66416141697232722"/>
          <c:w val="0.21386461482619901"/>
          <c:h val="0.160401247872562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557'!$F$43</c:f>
          <c:strCache>
            <c:ptCount val="1"/>
            <c:pt idx="0">
              <c:v>Call and Put Thetas as functions of Stock Price 
Option Exercise Price = 100</c:v>
            </c:pt>
          </c:strCache>
        </c:strRef>
      </c:tx>
      <c:layout>
        <c:manualLayout>
          <c:xMode val="edge"/>
          <c:yMode val="edge"/>
          <c:x val="0.28023639184122628"/>
          <c:y val="3.722099023948593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4601790943306003"/>
          <c:y val="7.4441980478971867E-2"/>
          <c:w val="0.78613682553354514"/>
          <c:h val="0.88089676900116709"/>
        </c:manualLayout>
      </c:layout>
      <c:scatterChart>
        <c:scatterStyle val="lineMarker"/>
        <c:varyColors val="0"/>
        <c:ser>
          <c:idx val="0"/>
          <c:order val="0"/>
          <c:tx>
            <c:v>Call theta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557'!$A$23:$A$37</c:f>
              <c:numCache>
                <c:formatCode>General</c:formatCode>
                <c:ptCount val="15"/>
                <c:pt idx="0" formatCode="0">
                  <c:v>2.0000000000000001E-4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xVal>
          <c:yVal>
            <c:numRef>
              <c:f>'Page 557'!$B$23:$B$37</c:f>
              <c:numCache>
                <c:formatCode>0.0000</c:formatCode>
                <c:ptCount val="15"/>
                <c:pt idx="0" formatCode="General">
                  <c:v>0</c:v>
                </c:pt>
                <c:pt idx="1">
                  <c:v>-1.502665098576514E-7</c:v>
                </c:pt>
                <c:pt idx="2">
                  <c:v>-3.8119347813212151E-4</c:v>
                </c:pt>
                <c:pt idx="3">
                  <c:v>-2.5639791071828226E-2</c:v>
                </c:pt>
                <c:pt idx="4">
                  <c:v>-0.31012277235326802</c:v>
                </c:pt>
                <c:pt idx="5">
                  <c:v>-1.444191126873962</c:v>
                </c:pt>
                <c:pt idx="6">
                  <c:v>-3.7462904926757634</c:v>
                </c:pt>
                <c:pt idx="7">
                  <c:v>-6.6322799793915568</c:v>
                </c:pt>
                <c:pt idx="8">
                  <c:v>-9.0531020040348</c:v>
                </c:pt>
                <c:pt idx="9">
                  <c:v>-10.306864414772944</c:v>
                </c:pt>
                <c:pt idx="10">
                  <c:v>-10.326962709062364</c:v>
                </c:pt>
                <c:pt idx="11">
                  <c:v>-9.4661925333064723</c:v>
                </c:pt>
                <c:pt idx="12">
                  <c:v>-8.175463637259341</c:v>
                </c:pt>
                <c:pt idx="13">
                  <c:v>-6.8083428102693366</c:v>
                </c:pt>
                <c:pt idx="14">
                  <c:v>-5.5686640048256617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FC-41FB-8031-1FB896157EF2}"/>
            </c:ext>
          </c:extLst>
        </c:ser>
        <c:ser>
          <c:idx val="1"/>
          <c:order val="1"/>
          <c:tx>
            <c:v>Put theta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557'!$A$23:$A$37</c:f>
              <c:numCache>
                <c:formatCode>General</c:formatCode>
                <c:ptCount val="15"/>
                <c:pt idx="0" formatCode="0">
                  <c:v>2.0000000000000001E-4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xVal>
          <c:yVal>
            <c:numRef>
              <c:f>'Page 557'!$C$23:$C$37</c:f>
              <c:numCache>
                <c:formatCode>0.0000</c:formatCode>
                <c:ptCount val="15"/>
                <c:pt idx="0">
                  <c:v>5.7878378086118865</c:v>
                </c:pt>
                <c:pt idx="1">
                  <c:v>5.3926129254874562</c:v>
                </c:pt>
                <c:pt idx="2">
                  <c:v>5.1946175397034473</c:v>
                </c:pt>
                <c:pt idx="3">
                  <c:v>4.9717445995373648</c:v>
                </c:pt>
                <c:pt idx="4">
                  <c:v>4.4896472756835397</c:v>
                </c:pt>
                <c:pt idx="5">
                  <c:v>3.1579645785904589</c:v>
                </c:pt>
                <c:pt idx="6">
                  <c:v>0.65825087021627127</c:v>
                </c:pt>
                <c:pt idx="7">
                  <c:v>-2.4253529590719065</c:v>
                </c:pt>
                <c:pt idx="8">
                  <c:v>-5.0437893262875368</c:v>
                </c:pt>
                <c:pt idx="9">
                  <c:v>-6.4951660795980652</c:v>
                </c:pt>
                <c:pt idx="10">
                  <c:v>-6.7128787164598744</c:v>
                </c:pt>
                <c:pt idx="11">
                  <c:v>-6.0497228832763685</c:v>
                </c:pt>
                <c:pt idx="12">
                  <c:v>-4.9566083298016235</c:v>
                </c:pt>
                <c:pt idx="13">
                  <c:v>-3.7871018453840044</c:v>
                </c:pt>
                <c:pt idx="14">
                  <c:v>-2.7450373825127152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FC-41FB-8031-1FB896157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813776"/>
        <c:axId val="1"/>
      </c:scatterChart>
      <c:valAx>
        <c:axId val="3168137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</a:t>
                </a:r>
              </a:p>
            </c:rich>
          </c:tx>
          <c:layout>
            <c:manualLayout>
              <c:xMode val="edge"/>
              <c:yMode val="edge"/>
              <c:x val="0.79056161066788033"/>
              <c:y val="0.3076935193130837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6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Theta</a:t>
                </a:r>
              </a:p>
            </c:rich>
          </c:tx>
          <c:layout>
            <c:manualLayout>
              <c:xMode val="edge"/>
              <c:yMode val="edge"/>
              <c:x val="6.1946991880692123E-2"/>
              <c:y val="0.468984477017522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16813776"/>
        <c:crosses val="autoZero"/>
        <c:crossBetween val="midCat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6106232292577397"/>
          <c:y val="0.62034983732476545"/>
          <c:w val="0.14749283781117173"/>
          <c:h val="0.106700172019859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Theta, Time to Maturity, and Moneyness</a:t>
            </a:r>
          </a:p>
        </c:rich>
      </c:tx>
      <c:layout>
        <c:manualLayout>
          <c:xMode val="edge"/>
          <c:yMode val="edge"/>
          <c:x val="0.28205182155511965"/>
          <c:y val="2.01005210076146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20537343414529"/>
          <c:y val="0.12814082142354358"/>
          <c:w val="0.76068521570926217"/>
          <c:h val="0.82412136131220193"/>
        </c:manualLayout>
      </c:layout>
      <c:scatterChart>
        <c:scatterStyle val="lineMarker"/>
        <c:varyColors val="0"/>
        <c:ser>
          <c:idx val="0"/>
          <c:order val="0"/>
          <c:tx>
            <c:v>Out of the money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557'!$A$49:$A$69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557'!$B$49:$B$69</c:f>
              <c:numCache>
                <c:formatCode>0.0000</c:formatCode>
                <c:ptCount val="21"/>
                <c:pt idx="0">
                  <c:v>-6.7911299428533241</c:v>
                </c:pt>
                <c:pt idx="1">
                  <c:v>-8.0069115213031967</c:v>
                </c:pt>
                <c:pt idx="2">
                  <c:v>-8.7977752173670751</c:v>
                </c:pt>
                <c:pt idx="3">
                  <c:v>-9.3064676555837611</c:v>
                </c:pt>
                <c:pt idx="4">
                  <c:v>-9.6272525065224368</c:v>
                </c:pt>
                <c:pt idx="5">
                  <c:v>-9.9280286587138704</c:v>
                </c:pt>
                <c:pt idx="6">
                  <c:v>-9.9782249346843859</c:v>
                </c:pt>
                <c:pt idx="7">
                  <c:v>-9.9041385212132358</c:v>
                </c:pt>
                <c:pt idx="8">
                  <c:v>-9.7673081222541214</c:v>
                </c:pt>
                <c:pt idx="9">
                  <c:v>-9.5994824635427918</c:v>
                </c:pt>
                <c:pt idx="10">
                  <c:v>-9.4177418809311977</c:v>
                </c:pt>
                <c:pt idx="11">
                  <c:v>-9.231529886349481</c:v>
                </c:pt>
                <c:pt idx="12">
                  <c:v>-9.0461332542145314</c:v>
                </c:pt>
                <c:pt idx="13">
                  <c:v>-8.8644963684426834</c:v>
                </c:pt>
                <c:pt idx="14">
                  <c:v>-8.6882087687284031</c:v>
                </c:pt>
                <c:pt idx="15">
                  <c:v>-8.5180621123689839</c:v>
                </c:pt>
                <c:pt idx="16">
                  <c:v>-8.3543735694754666</c:v>
                </c:pt>
                <c:pt idx="17">
                  <c:v>-8.1971780603559026</c:v>
                </c:pt>
                <c:pt idx="18">
                  <c:v>-8.0463446435474211</c:v>
                </c:pt>
                <c:pt idx="19">
                  <c:v>-7.9016479320604986</c:v>
                </c:pt>
                <c:pt idx="20">
                  <c:v>-7.7628122796634651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5-4F8B-A363-67E89E99227B}"/>
            </c:ext>
          </c:extLst>
        </c:ser>
        <c:ser>
          <c:idx val="1"/>
          <c:order val="1"/>
          <c:tx>
            <c:v>At the money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557'!$A$49:$A$69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557'!$C$49:$C$69</c:f>
              <c:numCache>
                <c:formatCode>0.0000</c:formatCode>
                <c:ptCount val="21"/>
                <c:pt idx="0">
                  <c:v>-23.806926560303786</c:v>
                </c:pt>
                <c:pt idx="1">
                  <c:v>-21.442401544829323</c:v>
                </c:pt>
                <c:pt idx="2">
                  <c:v>-19.691083265997307</c:v>
                </c:pt>
                <c:pt idx="3">
                  <c:v>-18.325328737685705</c:v>
                </c:pt>
                <c:pt idx="4">
                  <c:v>-17.220658625036382</c:v>
                </c:pt>
                <c:pt idx="5">
                  <c:v>-15.523079677385244</c:v>
                </c:pt>
                <c:pt idx="6">
                  <c:v>-14.261251725910537</c:v>
                </c:pt>
                <c:pt idx="7">
                  <c:v>-13.273703577019317</c:v>
                </c:pt>
                <c:pt idx="8">
                  <c:v>-12.472086115739071</c:v>
                </c:pt>
                <c:pt idx="9">
                  <c:v>-11.803437672947576</c:v>
                </c:pt>
                <c:pt idx="10">
                  <c:v>-11.233814488137691</c:v>
                </c:pt>
                <c:pt idx="11">
                  <c:v>-10.740318592248736</c:v>
                </c:pt>
                <c:pt idx="12">
                  <c:v>-10.306864414772944</c:v>
                </c:pt>
                <c:pt idx="13">
                  <c:v>-9.9217739600978643</c:v>
                </c:pt>
                <c:pt idx="14">
                  <c:v>-9.5763347238765988</c:v>
                </c:pt>
                <c:pt idx="15">
                  <c:v>-9.2638955780754735</c:v>
                </c:pt>
                <c:pt idx="16">
                  <c:v>-8.9792784155404242</c:v>
                </c:pt>
                <c:pt idx="17">
                  <c:v>-8.7183829519263547</c:v>
                </c:pt>
                <c:pt idx="18">
                  <c:v>-8.4779139298669648</c:v>
                </c:pt>
                <c:pt idx="19">
                  <c:v>-8.2551882893371413</c:v>
                </c:pt>
                <c:pt idx="20">
                  <c:v>-8.0479959895124455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5-4F8B-A363-67E89E99227B}"/>
            </c:ext>
          </c:extLst>
        </c:ser>
        <c:ser>
          <c:idx val="2"/>
          <c:order val="2"/>
          <c:tx>
            <c:v>In the money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'Page 557'!$A$49:$A$69</c:f>
              <c:numCache>
                <c:formatCode>General</c:formatCode>
                <c:ptCount val="21"/>
                <c:pt idx="0" formatCode="0.00">
                  <c:v>0.1</c:v>
                </c:pt>
                <c:pt idx="1">
                  <c:v>0.125</c:v>
                </c:pt>
                <c:pt idx="2" formatCode="0.00">
                  <c:v>0.15</c:v>
                </c:pt>
                <c:pt idx="3">
                  <c:v>0.17499999999999999</c:v>
                </c:pt>
                <c:pt idx="4" formatCode="0.00">
                  <c:v>0.2</c:v>
                </c:pt>
                <c:pt idx="5">
                  <c:v>0.25</c:v>
                </c:pt>
                <c:pt idx="6" formatCode="0.00">
                  <c:v>0.3</c:v>
                </c:pt>
                <c:pt idx="7">
                  <c:v>0.35</c:v>
                </c:pt>
                <c:pt idx="8" formatCode="0.00">
                  <c:v>0.4</c:v>
                </c:pt>
                <c:pt idx="9">
                  <c:v>0.45</c:v>
                </c:pt>
                <c:pt idx="10" formatCode="0.00">
                  <c:v>0.5</c:v>
                </c:pt>
                <c:pt idx="11">
                  <c:v>0.55000000000000004</c:v>
                </c:pt>
                <c:pt idx="12" formatCode="0.00">
                  <c:v>0.6</c:v>
                </c:pt>
                <c:pt idx="13">
                  <c:v>0.65</c:v>
                </c:pt>
                <c:pt idx="14" formatCode="0.00">
                  <c:v>0.7</c:v>
                </c:pt>
                <c:pt idx="15">
                  <c:v>0.75</c:v>
                </c:pt>
                <c:pt idx="16" formatCode="0.00">
                  <c:v>0.8</c:v>
                </c:pt>
                <c:pt idx="17">
                  <c:v>0.85</c:v>
                </c:pt>
                <c:pt idx="18" formatCode="0.00">
                  <c:v>0.9</c:v>
                </c:pt>
                <c:pt idx="19">
                  <c:v>0.95</c:v>
                </c:pt>
                <c:pt idx="20" formatCode="0.00">
                  <c:v>1</c:v>
                </c:pt>
              </c:numCache>
            </c:numRef>
          </c:xVal>
          <c:yVal>
            <c:numRef>
              <c:f>'Page 557'!$D$49:$D$69</c:f>
              <c:numCache>
                <c:formatCode>General</c:formatCode>
                <c:ptCount val="21"/>
                <c:pt idx="0">
                  <c:v>-5.0915872895963137</c:v>
                </c:pt>
                <c:pt idx="1">
                  <c:v>-5.8532367114928485</c:v>
                </c:pt>
                <c:pt idx="2">
                  <c:v>-6.423791703985879</c:v>
                </c:pt>
                <c:pt idx="3">
                  <c:v>-6.8362391165820657</c:v>
                </c:pt>
                <c:pt idx="4">
                  <c:v>-7.1273895872075519</c:v>
                </c:pt>
                <c:pt idx="5">
                  <c:v>-7.460440048878473</c:v>
                </c:pt>
                <c:pt idx="6">
                  <c:v>-7.5873510957134851</c:v>
                </c:pt>
                <c:pt idx="7">
                  <c:v>-7.5983872222167905</c:v>
                </c:pt>
                <c:pt idx="8">
                  <c:v>-7.5433145070038092</c:v>
                </c:pt>
                <c:pt idx="9">
                  <c:v>-7.4503747948801085</c:v>
                </c:pt>
                <c:pt idx="10">
                  <c:v>-7.3360831932740478</c:v>
                </c:pt>
                <c:pt idx="11">
                  <c:v>-7.2103449053094257</c:v>
                </c:pt>
                <c:pt idx="12">
                  <c:v>-7.0792145573440752</c:v>
                </c:pt>
                <c:pt idx="13">
                  <c:v>-6.9464372314364482</c:v>
                </c:pt>
                <c:pt idx="14">
                  <c:v>-6.814337989509883</c:v>
                </c:pt>
                <c:pt idx="15">
                  <c:v>-6.6843507762746714</c:v>
                </c:pt>
                <c:pt idx="16">
                  <c:v>-6.557341199700188</c:v>
                </c:pt>
                <c:pt idx="17">
                  <c:v>-6.433808023969644</c:v>
                </c:pt>
                <c:pt idx="18">
                  <c:v>-6.3140114171774142</c:v>
                </c:pt>
                <c:pt idx="19">
                  <c:v>-6.1980559351794771</c:v>
                </c:pt>
                <c:pt idx="20">
                  <c:v>-6.0859449575081239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5-4F8B-A363-67E89E992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26288"/>
        <c:axId val="1"/>
      </c:scatterChart>
      <c:valAx>
        <c:axId val="313926288"/>
        <c:scaling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Time to option maturity</a:t>
                </a:r>
              </a:p>
            </c:rich>
          </c:tx>
          <c:layout>
            <c:manualLayout>
              <c:xMode val="edge"/>
              <c:yMode val="edge"/>
              <c:x val="0.62108380908097061"/>
              <c:y val="0.2286434264616169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Theta</a:t>
                </a:r>
              </a:p>
            </c:rich>
          </c:tx>
          <c:layout>
            <c:manualLayout>
              <c:xMode val="edge"/>
              <c:yMode val="edge"/>
              <c:x val="4.4159628627316719E-2"/>
              <c:y val="0.49748789493846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139262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282149373658115"/>
          <c:y val="0.65075436762152528"/>
          <c:w val="0.22079814313658355"/>
          <c:h val="0.168341863438772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556260</xdr:colOff>
      <xdr:row>2</xdr:row>
      <xdr:rowOff>144780</xdr:rowOff>
    </xdr:from>
    <xdr:to>
      <xdr:col>21</xdr:col>
      <xdr:colOff>171450</xdr:colOff>
      <xdr:row>60</xdr:row>
      <xdr:rowOff>129778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B071247-BAD2-3DE7-7518-8AA5C2EA0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921240" y="541020"/>
          <a:ext cx="9372600" cy="10302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18</xdr:row>
      <xdr:rowOff>114300</xdr:rowOff>
    </xdr:from>
    <xdr:to>
      <xdr:col>12</xdr:col>
      <xdr:colOff>426720</xdr:colOff>
      <xdr:row>41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5DE532-5302-4F4A-AC0C-AAB28888D7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44</xdr:row>
      <xdr:rowOff>22860</xdr:rowOff>
    </xdr:from>
    <xdr:to>
      <xdr:col>12</xdr:col>
      <xdr:colOff>396240</xdr:colOff>
      <xdr:row>66</xdr:row>
      <xdr:rowOff>45720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77905B3-9D8E-45C9-82CE-71E856241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18</xdr:row>
      <xdr:rowOff>114300</xdr:rowOff>
    </xdr:from>
    <xdr:to>
      <xdr:col>12</xdr:col>
      <xdr:colOff>426720</xdr:colOff>
      <xdr:row>41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8E83916-B621-47BC-9594-3EB70F578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944880</xdr:colOff>
      <xdr:row>46</xdr:row>
      <xdr:rowOff>76200</xdr:rowOff>
    </xdr:from>
    <xdr:to>
      <xdr:col>14</xdr:col>
      <xdr:colOff>83820</xdr:colOff>
      <xdr:row>68</xdr:row>
      <xdr:rowOff>99060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1426210-799B-475E-9041-7B5B89521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  <definedName name="deltacall"/>
      <definedName name="deltaput"/>
      <definedName name="gammadenominator"/>
      <definedName name="gammanumerator"/>
      <definedName name="ggamma"/>
      <definedName name="rhocall"/>
      <definedName name="rhoput"/>
      <definedName name="Thetacall"/>
      <definedName name="Thetaput"/>
      <definedName name="veg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55"/>
      <sheetName val="Page 555 中文"/>
      <sheetName val="Page 556"/>
      <sheetName val="Page 556 中文"/>
      <sheetName val="Page 557"/>
      <sheetName val="Page 557  中文"/>
      <sheetName val="Page 558"/>
      <sheetName val="Page 558  中文"/>
      <sheetName val="Page 559-60"/>
      <sheetName val="Page 559-60  中文"/>
      <sheetName val="Page 565-67"/>
      <sheetName val="Page 565-67  中文"/>
      <sheetName val="Page 568"/>
      <sheetName val="Page 568  中文"/>
      <sheetName val="Page 570"/>
      <sheetName val="Page 570 中文"/>
      <sheetName val="Page 571"/>
      <sheetName val="Page 571  中文"/>
      <sheetName val="Page 572"/>
      <sheetName val="Page 572  中文"/>
      <sheetName val="Page 573"/>
      <sheetName val="Page 573  中文"/>
      <sheetName val="Page 574"/>
      <sheetName val="Page 574  中文"/>
    </sheetNames>
    <sheetDataSet>
      <sheetData sheetId="0" refreshError="1"/>
      <sheetData sheetId="1" refreshError="1"/>
      <sheetData sheetId="2">
        <row r="23">
          <cell r="A23">
            <v>2.0000000000000001E-4</v>
          </cell>
          <cell r="B23" t="e">
            <v>#NAME?</v>
          </cell>
          <cell r="C23" t="e">
            <v>#NAME?</v>
          </cell>
        </row>
        <row r="24">
          <cell r="A24">
            <v>20</v>
          </cell>
          <cell r="B24" t="e">
            <v>#NAME?</v>
          </cell>
          <cell r="C24" t="e">
            <v>#NAME?</v>
          </cell>
        </row>
        <row r="25">
          <cell r="A25">
            <v>30</v>
          </cell>
          <cell r="B25" t="e">
            <v>#NAME?</v>
          </cell>
          <cell r="C25" t="e">
            <v>#NAME?</v>
          </cell>
        </row>
        <row r="26">
          <cell r="A26">
            <v>40</v>
          </cell>
          <cell r="B26" t="e">
            <v>#NAME?</v>
          </cell>
          <cell r="C26" t="e">
            <v>#NAME?</v>
          </cell>
        </row>
        <row r="27">
          <cell r="A27">
            <v>50</v>
          </cell>
          <cell r="B27" t="e">
            <v>#NAME?</v>
          </cell>
          <cell r="C27" t="e">
            <v>#NAME?</v>
          </cell>
        </row>
        <row r="28">
          <cell r="A28">
            <v>60</v>
          </cell>
          <cell r="B28" t="e">
            <v>#NAME?</v>
          </cell>
          <cell r="C28" t="e">
            <v>#NAME?</v>
          </cell>
        </row>
        <row r="29">
          <cell r="A29">
            <v>70</v>
          </cell>
          <cell r="B29" t="e">
            <v>#NAME?</v>
          </cell>
          <cell r="C29" t="e">
            <v>#NAME?</v>
          </cell>
        </row>
        <row r="30">
          <cell r="A30">
            <v>80</v>
          </cell>
          <cell r="B30" t="e">
            <v>#NAME?</v>
          </cell>
          <cell r="C30" t="e">
            <v>#NAME?</v>
          </cell>
        </row>
        <row r="31">
          <cell r="A31">
            <v>90</v>
          </cell>
          <cell r="B31" t="e">
            <v>#NAME?</v>
          </cell>
          <cell r="C31" t="e">
            <v>#NAME?</v>
          </cell>
        </row>
        <row r="32">
          <cell r="A32">
            <v>100</v>
          </cell>
          <cell r="B32" t="e">
            <v>#NAME?</v>
          </cell>
          <cell r="C32" t="e">
            <v>#NAME?</v>
          </cell>
        </row>
        <row r="33">
          <cell r="A33">
            <v>110</v>
          </cell>
          <cell r="B33" t="e">
            <v>#NAME?</v>
          </cell>
          <cell r="C33" t="e">
            <v>#NAME?</v>
          </cell>
        </row>
        <row r="34">
          <cell r="A34">
            <v>120</v>
          </cell>
          <cell r="B34" t="e">
            <v>#NAME?</v>
          </cell>
          <cell r="C34" t="e">
            <v>#NAME?</v>
          </cell>
        </row>
        <row r="35">
          <cell r="A35">
            <v>130</v>
          </cell>
          <cell r="B35" t="e">
            <v>#NAME?</v>
          </cell>
          <cell r="C35" t="e">
            <v>#NAME?</v>
          </cell>
        </row>
        <row r="36">
          <cell r="A36">
            <v>140</v>
          </cell>
          <cell r="B36" t="e">
            <v>#NAME?</v>
          </cell>
          <cell r="C36" t="e">
            <v>#NAME?</v>
          </cell>
        </row>
        <row r="37">
          <cell r="A37">
            <v>150</v>
          </cell>
          <cell r="B37" t="e">
            <v>#NAME?</v>
          </cell>
          <cell r="C37" t="e">
            <v>#NAME?</v>
          </cell>
        </row>
        <row r="49">
          <cell r="A49">
            <v>0.1</v>
          </cell>
          <cell r="B49" t="e">
            <v>#NAME?</v>
          </cell>
          <cell r="C49" t="e">
            <v>#NAME?</v>
          </cell>
          <cell r="D49" t="e">
            <v>#NAME?</v>
          </cell>
        </row>
        <row r="50">
          <cell r="A50">
            <v>0.125</v>
          </cell>
          <cell r="B50" t="e">
            <v>#NAME?</v>
          </cell>
          <cell r="C50" t="e">
            <v>#NAME?</v>
          </cell>
          <cell r="D50" t="e">
            <v>#NAME?</v>
          </cell>
        </row>
        <row r="51">
          <cell r="A51">
            <v>0.15</v>
          </cell>
          <cell r="B51" t="e">
            <v>#NAME?</v>
          </cell>
          <cell r="C51" t="e">
            <v>#NAME?</v>
          </cell>
          <cell r="D51" t="e">
            <v>#NAME?</v>
          </cell>
        </row>
        <row r="52">
          <cell r="A52">
            <v>0.17499999999999999</v>
          </cell>
          <cell r="B52" t="e">
            <v>#NAME?</v>
          </cell>
          <cell r="C52" t="e">
            <v>#NAME?</v>
          </cell>
          <cell r="D52" t="e">
            <v>#NAME?</v>
          </cell>
        </row>
        <row r="53">
          <cell r="A53">
            <v>0.2</v>
          </cell>
          <cell r="B53" t="e">
            <v>#NAME?</v>
          </cell>
          <cell r="C53" t="e">
            <v>#NAME?</v>
          </cell>
          <cell r="D53" t="e">
            <v>#NAME?</v>
          </cell>
        </row>
        <row r="54">
          <cell r="A54">
            <v>0.25</v>
          </cell>
          <cell r="B54" t="e">
            <v>#NAME?</v>
          </cell>
          <cell r="C54" t="e">
            <v>#NAME?</v>
          </cell>
          <cell r="D54" t="e">
            <v>#NAME?</v>
          </cell>
        </row>
        <row r="55">
          <cell r="A55">
            <v>0.3</v>
          </cell>
          <cell r="B55" t="e">
            <v>#NAME?</v>
          </cell>
          <cell r="C55" t="e">
            <v>#NAME?</v>
          </cell>
          <cell r="D55" t="e">
            <v>#NAME?</v>
          </cell>
        </row>
        <row r="56">
          <cell r="A56">
            <v>0.35</v>
          </cell>
          <cell r="B56" t="e">
            <v>#NAME?</v>
          </cell>
          <cell r="C56" t="e">
            <v>#NAME?</v>
          </cell>
          <cell r="D56" t="e">
            <v>#NAME?</v>
          </cell>
        </row>
        <row r="57">
          <cell r="A57">
            <v>0.4</v>
          </cell>
          <cell r="B57" t="e">
            <v>#NAME?</v>
          </cell>
          <cell r="C57" t="e">
            <v>#NAME?</v>
          </cell>
          <cell r="D57" t="e">
            <v>#NAME?</v>
          </cell>
        </row>
        <row r="58">
          <cell r="A58">
            <v>0.45</v>
          </cell>
          <cell r="B58" t="e">
            <v>#NAME?</v>
          </cell>
          <cell r="C58" t="e">
            <v>#NAME?</v>
          </cell>
          <cell r="D58" t="e">
            <v>#NAME?</v>
          </cell>
        </row>
        <row r="59">
          <cell r="A59">
            <v>0.5</v>
          </cell>
          <cell r="B59" t="e">
            <v>#NAME?</v>
          </cell>
          <cell r="C59" t="e">
            <v>#NAME?</v>
          </cell>
          <cell r="D59" t="e">
            <v>#NAME?</v>
          </cell>
        </row>
        <row r="60">
          <cell r="A60">
            <v>0.55000000000000004</v>
          </cell>
          <cell r="B60" t="e">
            <v>#NAME?</v>
          </cell>
          <cell r="C60" t="e">
            <v>#NAME?</v>
          </cell>
          <cell r="D60" t="e">
            <v>#NAME?</v>
          </cell>
        </row>
        <row r="61">
          <cell r="A61">
            <v>0.6</v>
          </cell>
          <cell r="B61" t="e">
            <v>#NAME?</v>
          </cell>
          <cell r="C61" t="e">
            <v>#NAME?</v>
          </cell>
          <cell r="D61" t="e">
            <v>#NAME?</v>
          </cell>
        </row>
        <row r="62">
          <cell r="A62">
            <v>0.65</v>
          </cell>
          <cell r="B62" t="e">
            <v>#NAME?</v>
          </cell>
          <cell r="C62" t="e">
            <v>#NAME?</v>
          </cell>
          <cell r="D62" t="e">
            <v>#NAME?</v>
          </cell>
        </row>
        <row r="63">
          <cell r="A63">
            <v>0.7</v>
          </cell>
          <cell r="B63" t="e">
            <v>#NAME?</v>
          </cell>
          <cell r="C63" t="e">
            <v>#NAME?</v>
          </cell>
          <cell r="D63" t="e">
            <v>#NAME?</v>
          </cell>
        </row>
        <row r="64">
          <cell r="A64">
            <v>0.75</v>
          </cell>
          <cell r="B64" t="e">
            <v>#NAME?</v>
          </cell>
          <cell r="C64" t="e">
            <v>#NAME?</v>
          </cell>
          <cell r="D64" t="e">
            <v>#NAME?</v>
          </cell>
        </row>
        <row r="65">
          <cell r="A65">
            <v>0.8</v>
          </cell>
          <cell r="B65" t="e">
            <v>#NAME?</v>
          </cell>
          <cell r="C65" t="e">
            <v>#NAME?</v>
          </cell>
          <cell r="D65" t="e">
            <v>#NAME?</v>
          </cell>
        </row>
        <row r="66">
          <cell r="A66">
            <v>0.85</v>
          </cell>
          <cell r="B66" t="e">
            <v>#NAME?</v>
          </cell>
          <cell r="C66" t="e">
            <v>#NAME?</v>
          </cell>
          <cell r="D66" t="e">
            <v>#NAME?</v>
          </cell>
        </row>
        <row r="67">
          <cell r="A67">
            <v>0.9</v>
          </cell>
          <cell r="B67" t="e">
            <v>#NAME?</v>
          </cell>
          <cell r="C67" t="e">
            <v>#NAME?</v>
          </cell>
          <cell r="D67" t="e">
            <v>#NAME?</v>
          </cell>
        </row>
        <row r="68">
          <cell r="A68">
            <v>0.95</v>
          </cell>
          <cell r="B68" t="e">
            <v>#NAME?</v>
          </cell>
          <cell r="C68" t="e">
            <v>#NAME?</v>
          </cell>
          <cell r="D68" t="e">
            <v>#NAME?</v>
          </cell>
        </row>
        <row r="69">
          <cell r="A69">
            <v>1</v>
          </cell>
          <cell r="B69" t="e">
            <v>#NAME?</v>
          </cell>
          <cell r="C69" t="e">
            <v>#NAME?</v>
          </cell>
          <cell r="D69" t="e">
            <v>#NAME?</v>
          </cell>
        </row>
      </sheetData>
      <sheetData sheetId="3" refreshError="1"/>
      <sheetData sheetId="4">
        <row r="23">
          <cell r="A23">
            <v>2.0000000000000001E-4</v>
          </cell>
          <cell r="B23" t="e">
            <v>#NAME?</v>
          </cell>
          <cell r="C23" t="e">
            <v>#NAME?</v>
          </cell>
        </row>
        <row r="24">
          <cell r="A24">
            <v>20</v>
          </cell>
          <cell r="B24" t="e">
            <v>#NAME?</v>
          </cell>
          <cell r="C24" t="e">
            <v>#NAME?</v>
          </cell>
        </row>
        <row r="25">
          <cell r="A25">
            <v>30</v>
          </cell>
          <cell r="B25" t="e">
            <v>#NAME?</v>
          </cell>
          <cell r="C25" t="e">
            <v>#NAME?</v>
          </cell>
        </row>
        <row r="26">
          <cell r="A26">
            <v>40</v>
          </cell>
          <cell r="B26" t="e">
            <v>#NAME?</v>
          </cell>
          <cell r="C26" t="e">
            <v>#NAME?</v>
          </cell>
        </row>
        <row r="27">
          <cell r="A27">
            <v>50</v>
          </cell>
          <cell r="B27" t="e">
            <v>#NAME?</v>
          </cell>
          <cell r="C27" t="e">
            <v>#NAME?</v>
          </cell>
        </row>
        <row r="28">
          <cell r="A28">
            <v>60</v>
          </cell>
          <cell r="B28" t="e">
            <v>#NAME?</v>
          </cell>
          <cell r="C28" t="e">
            <v>#NAME?</v>
          </cell>
        </row>
        <row r="29">
          <cell r="A29">
            <v>70</v>
          </cell>
          <cell r="B29" t="e">
            <v>#NAME?</v>
          </cell>
          <cell r="C29" t="e">
            <v>#NAME?</v>
          </cell>
        </row>
        <row r="30">
          <cell r="A30">
            <v>80</v>
          </cell>
          <cell r="B30" t="e">
            <v>#NAME?</v>
          </cell>
          <cell r="C30" t="e">
            <v>#NAME?</v>
          </cell>
        </row>
        <row r="31">
          <cell r="A31">
            <v>90</v>
          </cell>
          <cell r="B31" t="e">
            <v>#NAME?</v>
          </cell>
          <cell r="C31" t="e">
            <v>#NAME?</v>
          </cell>
        </row>
        <row r="32">
          <cell r="A32">
            <v>100</v>
          </cell>
          <cell r="B32" t="e">
            <v>#NAME?</v>
          </cell>
          <cell r="C32" t="e">
            <v>#NAME?</v>
          </cell>
        </row>
        <row r="33">
          <cell r="A33">
            <v>110</v>
          </cell>
          <cell r="B33" t="e">
            <v>#NAME?</v>
          </cell>
          <cell r="C33" t="e">
            <v>#NAME?</v>
          </cell>
        </row>
        <row r="34">
          <cell r="A34">
            <v>120</v>
          </cell>
          <cell r="B34" t="e">
            <v>#NAME?</v>
          </cell>
          <cell r="C34" t="e">
            <v>#NAME?</v>
          </cell>
        </row>
        <row r="35">
          <cell r="A35">
            <v>130</v>
          </cell>
          <cell r="B35" t="e">
            <v>#NAME?</v>
          </cell>
          <cell r="C35" t="e">
            <v>#NAME?</v>
          </cell>
        </row>
        <row r="36">
          <cell r="A36">
            <v>140</v>
          </cell>
          <cell r="B36" t="e">
            <v>#NAME?</v>
          </cell>
          <cell r="C36" t="e">
            <v>#NAME?</v>
          </cell>
        </row>
        <row r="37">
          <cell r="A37">
            <v>150</v>
          </cell>
          <cell r="B37" t="e">
            <v>#NAME?</v>
          </cell>
          <cell r="C37" t="e">
            <v>#NAME?</v>
          </cell>
        </row>
        <row r="43">
          <cell r="F43" t="str">
            <v>Call and Put Thetas as functions of Stock Price 
Option Exercise Price = 100</v>
          </cell>
        </row>
        <row r="49">
          <cell r="A49">
            <v>0.1</v>
          </cell>
          <cell r="B49" t="e">
            <v>#NAME?</v>
          </cell>
          <cell r="C49" t="e">
            <v>#NAME?</v>
          </cell>
          <cell r="D49" t="e">
            <v>#NAME?</v>
          </cell>
        </row>
        <row r="50">
          <cell r="A50">
            <v>0.125</v>
          </cell>
          <cell r="B50" t="e">
            <v>#NAME?</v>
          </cell>
          <cell r="C50" t="e">
            <v>#NAME?</v>
          </cell>
          <cell r="D50" t="e">
            <v>#NAME?</v>
          </cell>
        </row>
        <row r="51">
          <cell r="A51">
            <v>0.15</v>
          </cell>
          <cell r="B51" t="e">
            <v>#NAME?</v>
          </cell>
          <cell r="C51" t="e">
            <v>#NAME?</v>
          </cell>
          <cell r="D51" t="e">
            <v>#NAME?</v>
          </cell>
        </row>
        <row r="52">
          <cell r="A52">
            <v>0.17499999999999999</v>
          </cell>
          <cell r="B52" t="e">
            <v>#NAME?</v>
          </cell>
          <cell r="C52" t="e">
            <v>#NAME?</v>
          </cell>
          <cell r="D52" t="e">
            <v>#NAME?</v>
          </cell>
        </row>
        <row r="53">
          <cell r="A53">
            <v>0.2</v>
          </cell>
          <cell r="B53" t="e">
            <v>#NAME?</v>
          </cell>
          <cell r="C53" t="e">
            <v>#NAME?</v>
          </cell>
          <cell r="D53" t="e">
            <v>#NAME?</v>
          </cell>
        </row>
        <row r="54">
          <cell r="A54">
            <v>0.25</v>
          </cell>
          <cell r="B54" t="e">
            <v>#NAME?</v>
          </cell>
          <cell r="C54" t="e">
            <v>#NAME?</v>
          </cell>
          <cell r="D54" t="e">
            <v>#NAME?</v>
          </cell>
        </row>
        <row r="55">
          <cell r="A55">
            <v>0.3</v>
          </cell>
          <cell r="B55" t="e">
            <v>#NAME?</v>
          </cell>
          <cell r="C55" t="e">
            <v>#NAME?</v>
          </cell>
          <cell r="D55" t="e">
            <v>#NAME?</v>
          </cell>
        </row>
        <row r="56">
          <cell r="A56">
            <v>0.35</v>
          </cell>
          <cell r="B56" t="e">
            <v>#NAME?</v>
          </cell>
          <cell r="C56" t="e">
            <v>#NAME?</v>
          </cell>
          <cell r="D56" t="e">
            <v>#NAME?</v>
          </cell>
        </row>
        <row r="57">
          <cell r="A57">
            <v>0.4</v>
          </cell>
          <cell r="B57" t="e">
            <v>#NAME?</v>
          </cell>
          <cell r="C57" t="e">
            <v>#NAME?</v>
          </cell>
          <cell r="D57" t="e">
            <v>#NAME?</v>
          </cell>
        </row>
        <row r="58">
          <cell r="A58">
            <v>0.45</v>
          </cell>
          <cell r="B58" t="e">
            <v>#NAME?</v>
          </cell>
          <cell r="C58" t="e">
            <v>#NAME?</v>
          </cell>
          <cell r="D58" t="e">
            <v>#NAME?</v>
          </cell>
        </row>
        <row r="59">
          <cell r="A59">
            <v>0.5</v>
          </cell>
          <cell r="B59" t="e">
            <v>#NAME?</v>
          </cell>
          <cell r="C59" t="e">
            <v>#NAME?</v>
          </cell>
          <cell r="D59" t="e">
            <v>#NAME?</v>
          </cell>
        </row>
        <row r="60">
          <cell r="A60">
            <v>0.55000000000000004</v>
          </cell>
          <cell r="B60" t="e">
            <v>#NAME?</v>
          </cell>
          <cell r="C60" t="e">
            <v>#NAME?</v>
          </cell>
          <cell r="D60" t="e">
            <v>#NAME?</v>
          </cell>
        </row>
        <row r="61">
          <cell r="A61">
            <v>0.6</v>
          </cell>
          <cell r="B61" t="e">
            <v>#NAME?</v>
          </cell>
          <cell r="C61" t="e">
            <v>#NAME?</v>
          </cell>
          <cell r="D61" t="e">
            <v>#NAME?</v>
          </cell>
        </row>
        <row r="62">
          <cell r="A62">
            <v>0.65</v>
          </cell>
          <cell r="B62" t="e">
            <v>#NAME?</v>
          </cell>
          <cell r="C62" t="e">
            <v>#NAME?</v>
          </cell>
          <cell r="D62" t="e">
            <v>#NAME?</v>
          </cell>
        </row>
        <row r="63">
          <cell r="A63">
            <v>0.7</v>
          </cell>
          <cell r="B63" t="e">
            <v>#NAME?</v>
          </cell>
          <cell r="C63" t="e">
            <v>#NAME?</v>
          </cell>
          <cell r="D63" t="e">
            <v>#NAME?</v>
          </cell>
        </row>
        <row r="64">
          <cell r="A64">
            <v>0.75</v>
          </cell>
          <cell r="B64" t="e">
            <v>#NAME?</v>
          </cell>
          <cell r="C64" t="e">
            <v>#NAME?</v>
          </cell>
          <cell r="D64" t="e">
            <v>#NAME?</v>
          </cell>
        </row>
        <row r="65">
          <cell r="A65">
            <v>0.8</v>
          </cell>
          <cell r="B65" t="e">
            <v>#NAME?</v>
          </cell>
          <cell r="C65" t="e">
            <v>#NAME?</v>
          </cell>
          <cell r="D65" t="e">
            <v>#NAME?</v>
          </cell>
        </row>
        <row r="66">
          <cell r="A66">
            <v>0.85</v>
          </cell>
          <cell r="B66" t="e">
            <v>#NAME?</v>
          </cell>
          <cell r="C66" t="e">
            <v>#NAME?</v>
          </cell>
          <cell r="D66" t="e">
            <v>#NAME?</v>
          </cell>
        </row>
        <row r="67">
          <cell r="A67">
            <v>0.9</v>
          </cell>
          <cell r="B67" t="e">
            <v>#NAME?</v>
          </cell>
          <cell r="C67" t="e">
            <v>#NAME?</v>
          </cell>
          <cell r="D67" t="e">
            <v>#NAME?</v>
          </cell>
        </row>
        <row r="68">
          <cell r="A68">
            <v>0.95</v>
          </cell>
          <cell r="B68" t="e">
            <v>#NAME?</v>
          </cell>
          <cell r="C68" t="e">
            <v>#NAME?</v>
          </cell>
          <cell r="D68" t="e">
            <v>#NAME?</v>
          </cell>
        </row>
        <row r="69">
          <cell r="A69">
            <v>1</v>
          </cell>
          <cell r="B69" t="e">
            <v>#NAME?</v>
          </cell>
          <cell r="C69" t="e">
            <v>#NAME?</v>
          </cell>
          <cell r="D69" t="e">
            <v>#NAME?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E53"/>
  <sheetViews>
    <sheetView topLeftCell="A22" zoomScale="160" zoomScaleNormal="160" workbookViewId="0">
      <selection activeCell="B52" sqref="B52"/>
    </sheetView>
  </sheetViews>
  <sheetFormatPr defaultRowHeight="13.8" x14ac:dyDescent="0.25"/>
  <cols>
    <col min="1" max="1" width="22.21875" style="9" customWidth="1"/>
    <col min="2" max="2" width="8.88671875" style="9"/>
    <col min="3" max="3" width="51.44140625" style="9" customWidth="1"/>
    <col min="4" max="4" width="13.6640625" style="9" customWidth="1"/>
    <col min="5" max="5" width="47.5546875" style="9" bestFit="1" customWidth="1"/>
  </cols>
  <sheetData>
    <row r="1" spans="1:5" ht="17.399999999999999" x14ac:dyDescent="0.25">
      <c r="A1" s="18" t="s">
        <v>0</v>
      </c>
      <c r="B1" s="18"/>
      <c r="C1" s="18"/>
      <c r="D1" s="18"/>
      <c r="E1" s="18"/>
    </row>
    <row r="2" spans="1:5" x14ac:dyDescent="0.25">
      <c r="A2" s="1" t="s">
        <v>1</v>
      </c>
      <c r="B2" s="2">
        <v>100</v>
      </c>
      <c r="C2" s="1" t="s">
        <v>2</v>
      </c>
      <c r="D2" s="1"/>
      <c r="E2" s="1"/>
    </row>
    <row r="3" spans="1:5" x14ac:dyDescent="0.25">
      <c r="A3" s="1" t="s">
        <v>3</v>
      </c>
      <c r="B3" s="2">
        <v>90</v>
      </c>
      <c r="C3" s="1" t="s">
        <v>4</v>
      </c>
      <c r="D3" s="3"/>
      <c r="E3" s="1"/>
    </row>
    <row r="4" spans="1:5" x14ac:dyDescent="0.25">
      <c r="A4" s="1" t="s">
        <v>5</v>
      </c>
      <c r="B4" s="2">
        <v>0.5</v>
      </c>
      <c r="C4" s="1" t="s">
        <v>6</v>
      </c>
      <c r="D4" s="1"/>
      <c r="E4" s="1"/>
    </row>
    <row r="5" spans="1:5" x14ac:dyDescent="0.25">
      <c r="A5" s="1" t="s">
        <v>7</v>
      </c>
      <c r="B5" s="4">
        <v>0.06</v>
      </c>
      <c r="C5" s="1" t="s">
        <v>8</v>
      </c>
      <c r="D5" s="1"/>
      <c r="E5" s="5"/>
    </row>
    <row r="6" spans="1:5" x14ac:dyDescent="0.25">
      <c r="A6" s="1" t="s">
        <v>9</v>
      </c>
      <c r="B6" s="4">
        <v>0.02</v>
      </c>
      <c r="C6" s="1" t="s">
        <v>10</v>
      </c>
      <c r="D6" s="1"/>
      <c r="E6" s="1"/>
    </row>
    <row r="7" spans="1:5" x14ac:dyDescent="0.25">
      <c r="A7" s="1" t="s">
        <v>11</v>
      </c>
      <c r="B7" s="1">
        <v>0.35</v>
      </c>
      <c r="C7" s="1" t="s">
        <v>12</v>
      </c>
      <c r="D7" s="1"/>
      <c r="E7" s="1"/>
    </row>
    <row r="8" spans="1:5" x14ac:dyDescent="0.25">
      <c r="A8" s="1"/>
      <c r="B8" s="1"/>
      <c r="C8" s="1"/>
      <c r="D8" s="1"/>
      <c r="E8" s="1"/>
    </row>
    <row r="9" spans="1:5" ht="15.6" x14ac:dyDescent="0.35">
      <c r="A9" s="1" t="s">
        <v>13</v>
      </c>
      <c r="B9" s="6">
        <f>(LN(B2/B3)+(B5-B6+0.5*B7^2)*B4)/(B7*SQRT(B4))</f>
        <v>0.63027666222016798</v>
      </c>
      <c r="C9" s="1" t="str">
        <f ca="1">_xlfn.FORMULATEXT(B9)</f>
        <v>=(LN(B2/B3)+(B5-B6+0.5*B7^2)*B4)/(B7*SQRT(B4))</v>
      </c>
      <c r="D9" s="1"/>
      <c r="E9" s="1"/>
    </row>
    <row r="10" spans="1:5" ht="15.6" x14ac:dyDescent="0.35">
      <c r="A10" s="1" t="s">
        <v>14</v>
      </c>
      <c r="B10" s="6">
        <f>B9-SQRT(B4)*B7</f>
        <v>0.38278928880487634</v>
      </c>
      <c r="C10" s="1" t="s">
        <v>15</v>
      </c>
      <c r="D10" s="1"/>
      <c r="E10" s="1"/>
    </row>
    <row r="11" spans="1:5" x14ac:dyDescent="0.25">
      <c r="A11" s="1"/>
      <c r="B11" s="7"/>
      <c r="C11" s="1"/>
      <c r="D11" s="1"/>
      <c r="E11" s="1"/>
    </row>
    <row r="12" spans="1:5" ht="15.6" x14ac:dyDescent="0.35">
      <c r="A12" s="1" t="s">
        <v>16</v>
      </c>
      <c r="B12" s="7">
        <f>NORMSDIST(B9)</f>
        <v>0.73574320533192461</v>
      </c>
      <c r="C12" s="1" t="s">
        <v>17</v>
      </c>
      <c r="D12" s="1"/>
      <c r="E12" s="8"/>
    </row>
    <row r="13" spans="1:5" ht="15.6" x14ac:dyDescent="0.35">
      <c r="A13" s="1" t="s">
        <v>18</v>
      </c>
      <c r="B13" s="7">
        <f>NORMSDIST(B10)</f>
        <v>0.64906199798822706</v>
      </c>
      <c r="C13" s="1" t="s">
        <v>19</v>
      </c>
      <c r="D13" s="1"/>
      <c r="E13" s="1"/>
    </row>
    <row r="14" spans="1:5" x14ac:dyDescent="0.25">
      <c r="A14" s="1"/>
      <c r="B14" s="7"/>
      <c r="C14" s="1"/>
      <c r="D14" s="1"/>
      <c r="E14" s="1"/>
    </row>
    <row r="15" spans="1:5" x14ac:dyDescent="0.25">
      <c r="A15" s="1" t="s">
        <v>20</v>
      </c>
      <c r="B15" s="7">
        <f>B2*EXP(-B6*B4)*B12-B3*EXP(-B5*B4)*B13</f>
        <v>16.15310528715807</v>
      </c>
      <c r="C15" s="1" t="str">
        <f ca="1">_xlfn.FORMULATEXT(B15)</f>
        <v>=B2*EXP(-B6*B4)*B12-B3*EXP(-B5*B4)*B13</v>
      </c>
      <c r="D15" s="1"/>
      <c r="E15" s="1"/>
    </row>
    <row r="16" spans="1:5" x14ac:dyDescent="0.25">
      <c r="A16" s="1"/>
      <c r="B16" s="7">
        <f>[1]!BSMertonCall(B2,B3,B4,B5,B6,B7)</f>
        <v>16.15310528715807</v>
      </c>
      <c r="C16" s="1" t="str">
        <f ca="1">_xlfn.FORMULATEXT(B16)</f>
        <v>=BSMertonCall(B2,B3,B4,B5,B6,B7)</v>
      </c>
      <c r="D16" s="1"/>
      <c r="E16" s="1"/>
    </row>
    <row r="17" spans="1:5" x14ac:dyDescent="0.25">
      <c r="A17" s="1" t="s">
        <v>21</v>
      </c>
      <c r="B17" s="6">
        <f>B3*EXP(-B5*B4)*NORMSDIST(-B10)-B2*EXP(-B6*B4)*NORMSDIST(-B9)</f>
        <v>4.4882199316070022</v>
      </c>
      <c r="C17" s="1" t="str">
        <f ca="1">_xlfn.FORMULATEXT(B17)</f>
        <v>=B3*EXP(-B5*B4)*NORMSDIST(-B10)-B2*EXP(-B6*B4)*NORMSDIST(-B9)</v>
      </c>
      <c r="D17" s="1"/>
      <c r="E17" s="1"/>
    </row>
    <row r="18" spans="1:5" x14ac:dyDescent="0.25">
      <c r="A18" s="1"/>
      <c r="B18" s="7">
        <f>[1]!bsmertonput(B2,B3,B4,B5,B6,B7)</f>
        <v>4.4882199316070057</v>
      </c>
      <c r="C18" s="1" t="str">
        <f ca="1">_xlfn.FORMULATEXT(B18)</f>
        <v>=bsmertonput(B2,B3,B4,B5,B6,B7)</v>
      </c>
      <c r="D18" s="1"/>
      <c r="E18" s="1"/>
    </row>
    <row r="20" spans="1:5" ht="15.6" x14ac:dyDescent="0.3">
      <c r="A20" s="10" t="s">
        <v>22</v>
      </c>
    </row>
    <row r="21" spans="1:5" x14ac:dyDescent="0.25">
      <c r="B21" s="11" t="s">
        <v>23</v>
      </c>
      <c r="C21" s="11"/>
      <c r="D21" s="12" t="s">
        <v>24</v>
      </c>
    </row>
    <row r="22" spans="1:5" x14ac:dyDescent="0.25">
      <c r="A22" s="9" t="s">
        <v>25</v>
      </c>
      <c r="B22" s="13">
        <f>EXP(-B6*B4)*NORMSDIST(B9)</f>
        <v>0.72842243812095198</v>
      </c>
      <c r="C22" s="1" t="str">
        <f ca="1">_xlfn.FORMULATEXT(B22)</f>
        <v>=EXP(-B6*B4)*NORMSDIST(B9)</v>
      </c>
      <c r="D22" s="13">
        <f>-EXP(-B6*B4)*NORMSDIST(-B9)</f>
        <v>-0.26162739562821613</v>
      </c>
      <c r="E22" s="9" t="str">
        <f t="shared" ref="E22:E26" ca="1" si="0">_xlfn.FORMULATEXT(D22)</f>
        <v>=-EXP(-B6*B4)*NORMSDIST(-B9)</v>
      </c>
    </row>
    <row r="23" spans="1:5" x14ac:dyDescent="0.25">
      <c r="A23" s="9" t="s">
        <v>26</v>
      </c>
      <c r="B23" s="13">
        <f>EXP(B9^2/2-B6*B4)/(B2*B7*SQRT(2*B4*PI()))</f>
        <v>1.9465946586019824E-2</v>
      </c>
      <c r="C23" s="1" t="str">
        <f t="shared" ref="C23:C26" ca="1" si="1">_xlfn.FORMULATEXT(B23)</f>
        <v>=EXP(B9^2/2-B6*B4)/(B2*B7*SQRT(2*B4*PI()))</v>
      </c>
      <c r="D23" s="13">
        <f>EXP((B9^2)/2-B6*B4)/(B2*B7*SQRT(2*B4*PI()))</f>
        <v>1.9465946586019824E-2</v>
      </c>
      <c r="E23" s="9" t="str">
        <f t="shared" ca="1" si="0"/>
        <v>=EXP((B9^2)/2-B6*B4)/(B2*B7*SQRT(2*B4*PI()))</v>
      </c>
    </row>
    <row r="24" spans="1:5" x14ac:dyDescent="0.25">
      <c r="A24" s="14" t="s">
        <v>27</v>
      </c>
      <c r="B24" s="15">
        <f>B2*SQRT(B4)*EXP(-(B9^2)/2)*EXP(-B6*B4)/SQRT(2*PI())</f>
        <v>22.897637219146517</v>
      </c>
      <c r="C24" s="1" t="str">
        <f t="shared" ca="1" si="1"/>
        <v>=B2*SQRT(B4)*EXP(-(B9^2)/2)*EXP(-B6*B4)/SQRT(2*PI())</v>
      </c>
      <c r="D24" s="15">
        <f>B2*EXP(-(B9^2)/2-B6*B4)*SQRT(B4)/SQRT(2*PI())</f>
        <v>22.897637219146517</v>
      </c>
      <c r="E24" s="14" t="str">
        <f t="shared" ca="1" si="0"/>
        <v>=B2*EXP(-(B9^2)/2-B6*B4)*SQRT(B4)/SQRT(2*PI())</v>
      </c>
    </row>
    <row r="25" spans="1:5" x14ac:dyDescent="0.25">
      <c r="A25" s="9" t="s">
        <v>28</v>
      </c>
      <c r="B25" s="13">
        <f>-B2*EXP(-(B9^2)/2-B6*B4)*B7/SQRT(8*B4*PI())+B6*B2*EXP(-B6*B4)*B12-B5*B3*EXP(-B5*B4)*B13</f>
        <v>-9.9586764619556032</v>
      </c>
      <c r="C25" s="1" t="str">
        <f t="shared" ca="1" si="1"/>
        <v>=-B2*EXP(-(B9^2)/2-B6*B4)*B7/SQRT(8*B4*PI())+B6*B2*EXP(-B6*B4)*B12-B5*B3*EXP(-B5*B4)*B13</v>
      </c>
      <c r="D25" s="13">
        <f>-B2*EXP(-(B9^2)/2-B6*B4)*B7/SQRT(8*B4*PI())-B6*B2*EXP(-B6*B4)*(1-B12)+B5*B3*EXP(-B5*B4)*(1-B13)</f>
        <v>-6.6983702482919965</v>
      </c>
      <c r="E25" s="16" t="str">
        <f t="shared" ca="1" si="0"/>
        <v>=-B2*EXP(-(B9^2)/2-B6*B4)*B7/SQRT(8*B4*PI())-B6*B2*EXP(-B6*B4)*(1-B12)+B5*B3*EXP(-B5*B4)*(1-B13)</v>
      </c>
    </row>
    <row r="26" spans="1:5" x14ac:dyDescent="0.25">
      <c r="A26" s="9" t="s">
        <v>29</v>
      </c>
      <c r="B26" s="13">
        <f>B3*B4*EXP(-B5*B4)*NORMSDIST(B10)</f>
        <v>28.344569262468561</v>
      </c>
      <c r="C26" s="1" t="str">
        <f t="shared" ca="1" si="1"/>
        <v>=B3*B4*EXP(-B5*B4)*NORMSDIST(B10)</v>
      </c>
      <c r="D26" s="13">
        <f>-B3*B4*EXP(-B5*B4)*NORMSDIST(-B10)</f>
        <v>-15.325479747214308</v>
      </c>
      <c r="E26" s="9" t="str">
        <f t="shared" ca="1" si="0"/>
        <v>=-B3*B4*EXP(-B5*B4)*NORMSDIST(-B10)</v>
      </c>
    </row>
    <row r="28" spans="1:5" ht="15.6" x14ac:dyDescent="0.3">
      <c r="A28" s="10" t="s">
        <v>30</v>
      </c>
    </row>
    <row r="29" spans="1:5" x14ac:dyDescent="0.25">
      <c r="B29" s="11" t="s">
        <v>23</v>
      </c>
      <c r="C29" s="11"/>
      <c r="D29" s="12" t="s">
        <v>24</v>
      </c>
    </row>
    <row r="30" spans="1:5" x14ac:dyDescent="0.25">
      <c r="A30" s="9" t="s">
        <v>25</v>
      </c>
      <c r="B30" s="13">
        <f>[1]!deltacall(B2,B3,B4,B5,B6,B7)</f>
        <v>0.72842243812095198</v>
      </c>
      <c r="C30" s="9" t="str">
        <f t="shared" ref="C30:C34" ca="1" si="2">_xlfn.FORMULATEXT(B30)</f>
        <v>=deltacall(B2,B3,B4,B5,B6,B7)</v>
      </c>
      <c r="D30" s="13">
        <f>[1]!deltaput(B2,B3,B4,B5,B6,B7)</f>
        <v>-0.26162739562821613</v>
      </c>
      <c r="E30" s="9" t="str">
        <f t="shared" ref="E30:E34" ca="1" si="3">_xlfn.FORMULATEXT(D30)</f>
        <v>=deltaput(B2,B3,B4,B5,B6,B7)</v>
      </c>
    </row>
    <row r="31" spans="1:5" x14ac:dyDescent="0.25">
      <c r="A31" s="9" t="s">
        <v>26</v>
      </c>
      <c r="B31" s="13">
        <f>[1]!ggamma(B2,B3,B4,B5,B6,B7)</f>
        <v>1.9465946586019824E-2</v>
      </c>
      <c r="C31" s="17" t="str">
        <f t="shared" ca="1" si="2"/>
        <v>=ggamma(B2,B3,B4,B5,B6,B7)</v>
      </c>
      <c r="D31" s="13">
        <f>[1]!ggamma(B2,B3,B4,B5,B6,B7)</f>
        <v>1.9465946586019824E-2</v>
      </c>
      <c r="E31" s="17" t="str">
        <f t="shared" ca="1" si="3"/>
        <v>=ggamma(B2,B3,B4,B5,B6,B7)</v>
      </c>
    </row>
    <row r="32" spans="1:5" x14ac:dyDescent="0.25">
      <c r="A32" s="9" t="s">
        <v>27</v>
      </c>
      <c r="B32" s="13">
        <f>[1]!vega(B2,B3,B4,B5,B6,B7)</f>
        <v>22.897637219146521</v>
      </c>
      <c r="C32" s="9" t="str">
        <f t="shared" ca="1" si="2"/>
        <v>=vega(B2,B3,B4,B5,B6,B7)</v>
      </c>
      <c r="D32" s="13">
        <f>[1]!vega(B2,B3,B4,B5,B6,B7)</f>
        <v>22.897637219146521</v>
      </c>
      <c r="E32" s="9" t="str">
        <f t="shared" ca="1" si="3"/>
        <v>=vega(B2,B3,B4,B5,B6,B7)</v>
      </c>
    </row>
    <row r="33" spans="1:5" x14ac:dyDescent="0.25">
      <c r="A33" s="9" t="s">
        <v>28</v>
      </c>
      <c r="B33" s="13">
        <f>[1]!Thetacall(B2,B3,B4,B5,B6,B7)</f>
        <v>-9.958676461955605</v>
      </c>
      <c r="C33" s="16" t="str">
        <f t="shared" ca="1" si="2"/>
        <v>=Thetacall(B2,B3,B4,B5,B6,B7)</v>
      </c>
      <c r="D33" s="13">
        <f>[1]!Thetaput(B2,B3,B4,B5,B6,B7)</f>
        <v>-6.6983702482919982</v>
      </c>
      <c r="E33" s="16" t="str">
        <f t="shared" ca="1" si="3"/>
        <v>=Thetaput(B2,B3,B4,B5,B6,B7)</v>
      </c>
    </row>
    <row r="34" spans="1:5" x14ac:dyDescent="0.25">
      <c r="A34" s="9" t="s">
        <v>29</v>
      </c>
      <c r="B34" s="13">
        <f>[1]!rhocall(B2,B3,B4,B5,B6,B7)</f>
        <v>28.344569262468561</v>
      </c>
      <c r="C34" s="9" t="str">
        <f t="shared" ca="1" si="2"/>
        <v>=rhocall(B2,B3,B4,B5,B6,B7)</v>
      </c>
      <c r="D34" s="13">
        <f>[1]!rhoput(B2,B3,B4,B5,B6,B7)</f>
        <v>-15.325479747214308</v>
      </c>
      <c r="E34" s="9" t="str">
        <f t="shared" ca="1" si="3"/>
        <v>=rhoput(B2,B3,B4,B5,B6,B7)</v>
      </c>
    </row>
    <row r="46" spans="1:5" x14ac:dyDescent="0.25">
      <c r="A46" s="9" t="s">
        <v>31</v>
      </c>
      <c r="B46" s="9">
        <f>[1]!gammadenominator(B2,B3,B4,B5,B6,B7)</f>
        <v>62.035884781693056</v>
      </c>
      <c r="C46" s="9" t="str">
        <f t="shared" ref="C46:C47" ca="1" si="4">_xlfn.FORMULATEXT(B46)</f>
        <v>=gammadenominator(B2,B3,B4,B5,B6,B7)</v>
      </c>
    </row>
    <row r="47" spans="1:5" x14ac:dyDescent="0.25">
      <c r="B47" s="9">
        <f>B2*B7*SQRT(2*B4*PI())</f>
        <v>62.035884781693056</v>
      </c>
      <c r="C47" s="9" t="str">
        <f t="shared" ca="1" si="4"/>
        <v>=B2*B7*SQRT(2*B4*PI())</v>
      </c>
    </row>
    <row r="49" spans="1:3" x14ac:dyDescent="0.25">
      <c r="B49" s="9">
        <f>[1]!gammanumerator(B2,B3,B4,B5,B6,B7)</f>
        <v>1.2075872195769171</v>
      </c>
      <c r="C49" s="9" t="str">
        <f t="shared" ref="C49:C50" ca="1" si="5">_xlfn.FORMULATEXT(B49)</f>
        <v>=gammanumerator(B2,B3,B4,B5,B6,B7)</v>
      </c>
    </row>
    <row r="50" spans="1:3" x14ac:dyDescent="0.25">
      <c r="B50" s="9">
        <f>EXP(B9^2/2-B6*B4)</f>
        <v>1.2075872195769171</v>
      </c>
      <c r="C50" s="9" t="str">
        <f t="shared" ca="1" si="5"/>
        <v>=EXP(B9^2/2-B6*B4)</v>
      </c>
    </row>
    <row r="52" spans="1:3" x14ac:dyDescent="0.25">
      <c r="A52" s="9" t="s">
        <v>26</v>
      </c>
      <c r="B52" s="9">
        <f>B49/B46</f>
        <v>1.9465946586019824E-2</v>
      </c>
      <c r="C52" s="9" t="str">
        <f t="shared" ref="C52:C53" ca="1" si="6">_xlfn.FORMULATEXT(B52)</f>
        <v>=B49/B46</v>
      </c>
    </row>
    <row r="53" spans="1:3" x14ac:dyDescent="0.25">
      <c r="B53" s="9">
        <f>[1]!ggamma(B2,B3,B4,B5,B6,B7)</f>
        <v>1.9465946586019824E-2</v>
      </c>
      <c r="C53" s="9" t="str">
        <f t="shared" ca="1" si="6"/>
        <v>=ggamma(B2,B3,B4,B5,B6,B7)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72A6-AA6D-446A-AF9A-213C9A9D2DC3}">
  <sheetPr codeName="Sheet6">
    <pageSetUpPr fitToPage="1"/>
  </sheetPr>
  <dimension ref="A1:G69"/>
  <sheetViews>
    <sheetView topLeftCell="A37" zoomScale="160" zoomScaleNormal="160" workbookViewId="0">
      <selection activeCell="A47" sqref="A47"/>
    </sheetView>
  </sheetViews>
  <sheetFormatPr defaultRowHeight="13.2" x14ac:dyDescent="0.25"/>
  <cols>
    <col min="1" max="1" width="15" style="20" customWidth="1"/>
    <col min="2" max="2" width="8.88671875" style="20"/>
    <col min="3" max="3" width="34.5546875" style="20" customWidth="1"/>
    <col min="4" max="4" width="13.6640625" style="20" customWidth="1"/>
    <col min="5" max="5" width="30" style="20" customWidth="1"/>
    <col min="6" max="256" width="8.88671875" style="20"/>
    <col min="257" max="257" width="15" style="20" customWidth="1"/>
    <col min="258" max="258" width="8.88671875" style="20"/>
    <col min="259" max="259" width="34.5546875" style="20" customWidth="1"/>
    <col min="260" max="260" width="13.6640625" style="20" customWidth="1"/>
    <col min="261" max="261" width="30" style="20" customWidth="1"/>
    <col min="262" max="512" width="8.88671875" style="20"/>
    <col min="513" max="513" width="15" style="20" customWidth="1"/>
    <col min="514" max="514" width="8.88671875" style="20"/>
    <col min="515" max="515" width="34.5546875" style="20" customWidth="1"/>
    <col min="516" max="516" width="13.6640625" style="20" customWidth="1"/>
    <col min="517" max="517" width="30" style="20" customWidth="1"/>
    <col min="518" max="768" width="8.88671875" style="20"/>
    <col min="769" max="769" width="15" style="20" customWidth="1"/>
    <col min="770" max="770" width="8.88671875" style="20"/>
    <col min="771" max="771" width="34.5546875" style="20" customWidth="1"/>
    <col min="772" max="772" width="13.6640625" style="20" customWidth="1"/>
    <col min="773" max="773" width="30" style="20" customWidth="1"/>
    <col min="774" max="1024" width="8.88671875" style="20"/>
    <col min="1025" max="1025" width="15" style="20" customWidth="1"/>
    <col min="1026" max="1026" width="8.88671875" style="20"/>
    <col min="1027" max="1027" width="34.5546875" style="20" customWidth="1"/>
    <col min="1028" max="1028" width="13.6640625" style="20" customWidth="1"/>
    <col min="1029" max="1029" width="30" style="20" customWidth="1"/>
    <col min="1030" max="1280" width="8.88671875" style="20"/>
    <col min="1281" max="1281" width="15" style="20" customWidth="1"/>
    <col min="1282" max="1282" width="8.88671875" style="20"/>
    <col min="1283" max="1283" width="34.5546875" style="20" customWidth="1"/>
    <col min="1284" max="1284" width="13.6640625" style="20" customWidth="1"/>
    <col min="1285" max="1285" width="30" style="20" customWidth="1"/>
    <col min="1286" max="1536" width="8.88671875" style="20"/>
    <col min="1537" max="1537" width="15" style="20" customWidth="1"/>
    <col min="1538" max="1538" width="8.88671875" style="20"/>
    <col min="1539" max="1539" width="34.5546875" style="20" customWidth="1"/>
    <col min="1540" max="1540" width="13.6640625" style="20" customWidth="1"/>
    <col min="1541" max="1541" width="30" style="20" customWidth="1"/>
    <col min="1542" max="1792" width="8.88671875" style="20"/>
    <col min="1793" max="1793" width="15" style="20" customWidth="1"/>
    <col min="1794" max="1794" width="8.88671875" style="20"/>
    <col min="1795" max="1795" width="34.5546875" style="20" customWidth="1"/>
    <col min="1796" max="1796" width="13.6640625" style="20" customWidth="1"/>
    <col min="1797" max="1797" width="30" style="20" customWidth="1"/>
    <col min="1798" max="2048" width="8.88671875" style="20"/>
    <col min="2049" max="2049" width="15" style="20" customWidth="1"/>
    <col min="2050" max="2050" width="8.88671875" style="20"/>
    <col min="2051" max="2051" width="34.5546875" style="20" customWidth="1"/>
    <col min="2052" max="2052" width="13.6640625" style="20" customWidth="1"/>
    <col min="2053" max="2053" width="30" style="20" customWidth="1"/>
    <col min="2054" max="2304" width="8.88671875" style="20"/>
    <col min="2305" max="2305" width="15" style="20" customWidth="1"/>
    <col min="2306" max="2306" width="8.88671875" style="20"/>
    <col min="2307" max="2307" width="34.5546875" style="20" customWidth="1"/>
    <col min="2308" max="2308" width="13.6640625" style="20" customWidth="1"/>
    <col min="2309" max="2309" width="30" style="20" customWidth="1"/>
    <col min="2310" max="2560" width="8.88671875" style="20"/>
    <col min="2561" max="2561" width="15" style="20" customWidth="1"/>
    <col min="2562" max="2562" width="8.88671875" style="20"/>
    <col min="2563" max="2563" width="34.5546875" style="20" customWidth="1"/>
    <col min="2564" max="2564" width="13.6640625" style="20" customWidth="1"/>
    <col min="2565" max="2565" width="30" style="20" customWidth="1"/>
    <col min="2566" max="2816" width="8.88671875" style="20"/>
    <col min="2817" max="2817" width="15" style="20" customWidth="1"/>
    <col min="2818" max="2818" width="8.88671875" style="20"/>
    <col min="2819" max="2819" width="34.5546875" style="20" customWidth="1"/>
    <col min="2820" max="2820" width="13.6640625" style="20" customWidth="1"/>
    <col min="2821" max="2821" width="30" style="20" customWidth="1"/>
    <col min="2822" max="3072" width="8.88671875" style="20"/>
    <col min="3073" max="3073" width="15" style="20" customWidth="1"/>
    <col min="3074" max="3074" width="8.88671875" style="20"/>
    <col min="3075" max="3075" width="34.5546875" style="20" customWidth="1"/>
    <col min="3076" max="3076" width="13.6640625" style="20" customWidth="1"/>
    <col min="3077" max="3077" width="30" style="20" customWidth="1"/>
    <col min="3078" max="3328" width="8.88671875" style="20"/>
    <col min="3329" max="3329" width="15" style="20" customWidth="1"/>
    <col min="3330" max="3330" width="8.88671875" style="20"/>
    <col min="3331" max="3331" width="34.5546875" style="20" customWidth="1"/>
    <col min="3332" max="3332" width="13.6640625" style="20" customWidth="1"/>
    <col min="3333" max="3333" width="30" style="20" customWidth="1"/>
    <col min="3334" max="3584" width="8.88671875" style="20"/>
    <col min="3585" max="3585" width="15" style="20" customWidth="1"/>
    <col min="3586" max="3586" width="8.88671875" style="20"/>
    <col min="3587" max="3587" width="34.5546875" style="20" customWidth="1"/>
    <col min="3588" max="3588" width="13.6640625" style="20" customWidth="1"/>
    <col min="3589" max="3589" width="30" style="20" customWidth="1"/>
    <col min="3590" max="3840" width="8.88671875" style="20"/>
    <col min="3841" max="3841" width="15" style="20" customWidth="1"/>
    <col min="3842" max="3842" width="8.88671875" style="20"/>
    <col min="3843" max="3843" width="34.5546875" style="20" customWidth="1"/>
    <col min="3844" max="3844" width="13.6640625" style="20" customWidth="1"/>
    <col min="3845" max="3845" width="30" style="20" customWidth="1"/>
    <col min="3846" max="4096" width="8.88671875" style="20"/>
    <col min="4097" max="4097" width="15" style="20" customWidth="1"/>
    <col min="4098" max="4098" width="8.88671875" style="20"/>
    <col min="4099" max="4099" width="34.5546875" style="20" customWidth="1"/>
    <col min="4100" max="4100" width="13.6640625" style="20" customWidth="1"/>
    <col min="4101" max="4101" width="30" style="20" customWidth="1"/>
    <col min="4102" max="4352" width="8.88671875" style="20"/>
    <col min="4353" max="4353" width="15" style="20" customWidth="1"/>
    <col min="4354" max="4354" width="8.88671875" style="20"/>
    <col min="4355" max="4355" width="34.5546875" style="20" customWidth="1"/>
    <col min="4356" max="4356" width="13.6640625" style="20" customWidth="1"/>
    <col min="4357" max="4357" width="30" style="20" customWidth="1"/>
    <col min="4358" max="4608" width="8.88671875" style="20"/>
    <col min="4609" max="4609" width="15" style="20" customWidth="1"/>
    <col min="4610" max="4610" width="8.88671875" style="20"/>
    <col min="4611" max="4611" width="34.5546875" style="20" customWidth="1"/>
    <col min="4612" max="4612" width="13.6640625" style="20" customWidth="1"/>
    <col min="4613" max="4613" width="30" style="20" customWidth="1"/>
    <col min="4614" max="4864" width="8.88671875" style="20"/>
    <col min="4865" max="4865" width="15" style="20" customWidth="1"/>
    <col min="4866" max="4866" width="8.88671875" style="20"/>
    <col min="4867" max="4867" width="34.5546875" style="20" customWidth="1"/>
    <col min="4868" max="4868" width="13.6640625" style="20" customWidth="1"/>
    <col min="4869" max="4869" width="30" style="20" customWidth="1"/>
    <col min="4870" max="5120" width="8.88671875" style="20"/>
    <col min="5121" max="5121" width="15" style="20" customWidth="1"/>
    <col min="5122" max="5122" width="8.88671875" style="20"/>
    <col min="5123" max="5123" width="34.5546875" style="20" customWidth="1"/>
    <col min="5124" max="5124" width="13.6640625" style="20" customWidth="1"/>
    <col min="5125" max="5125" width="30" style="20" customWidth="1"/>
    <col min="5126" max="5376" width="8.88671875" style="20"/>
    <col min="5377" max="5377" width="15" style="20" customWidth="1"/>
    <col min="5378" max="5378" width="8.88671875" style="20"/>
    <col min="5379" max="5379" width="34.5546875" style="20" customWidth="1"/>
    <col min="5380" max="5380" width="13.6640625" style="20" customWidth="1"/>
    <col min="5381" max="5381" width="30" style="20" customWidth="1"/>
    <col min="5382" max="5632" width="8.88671875" style="20"/>
    <col min="5633" max="5633" width="15" style="20" customWidth="1"/>
    <col min="5634" max="5634" width="8.88671875" style="20"/>
    <col min="5635" max="5635" width="34.5546875" style="20" customWidth="1"/>
    <col min="5636" max="5636" width="13.6640625" style="20" customWidth="1"/>
    <col min="5637" max="5637" width="30" style="20" customWidth="1"/>
    <col min="5638" max="5888" width="8.88671875" style="20"/>
    <col min="5889" max="5889" width="15" style="20" customWidth="1"/>
    <col min="5890" max="5890" width="8.88671875" style="20"/>
    <col min="5891" max="5891" width="34.5546875" style="20" customWidth="1"/>
    <col min="5892" max="5892" width="13.6640625" style="20" customWidth="1"/>
    <col min="5893" max="5893" width="30" style="20" customWidth="1"/>
    <col min="5894" max="6144" width="8.88671875" style="20"/>
    <col min="6145" max="6145" width="15" style="20" customWidth="1"/>
    <col min="6146" max="6146" width="8.88671875" style="20"/>
    <col min="6147" max="6147" width="34.5546875" style="20" customWidth="1"/>
    <col min="6148" max="6148" width="13.6640625" style="20" customWidth="1"/>
    <col min="6149" max="6149" width="30" style="20" customWidth="1"/>
    <col min="6150" max="6400" width="8.88671875" style="20"/>
    <col min="6401" max="6401" width="15" style="20" customWidth="1"/>
    <col min="6402" max="6402" width="8.88671875" style="20"/>
    <col min="6403" max="6403" width="34.5546875" style="20" customWidth="1"/>
    <col min="6404" max="6404" width="13.6640625" style="20" customWidth="1"/>
    <col min="6405" max="6405" width="30" style="20" customWidth="1"/>
    <col min="6406" max="6656" width="8.88671875" style="20"/>
    <col min="6657" max="6657" width="15" style="20" customWidth="1"/>
    <col min="6658" max="6658" width="8.88671875" style="20"/>
    <col min="6659" max="6659" width="34.5546875" style="20" customWidth="1"/>
    <col min="6660" max="6660" width="13.6640625" style="20" customWidth="1"/>
    <col min="6661" max="6661" width="30" style="20" customWidth="1"/>
    <col min="6662" max="6912" width="8.88671875" style="20"/>
    <col min="6913" max="6913" width="15" style="20" customWidth="1"/>
    <col min="6914" max="6914" width="8.88671875" style="20"/>
    <col min="6915" max="6915" width="34.5546875" style="20" customWidth="1"/>
    <col min="6916" max="6916" width="13.6640625" style="20" customWidth="1"/>
    <col min="6917" max="6917" width="30" style="20" customWidth="1"/>
    <col min="6918" max="7168" width="8.88671875" style="20"/>
    <col min="7169" max="7169" width="15" style="20" customWidth="1"/>
    <col min="7170" max="7170" width="8.88671875" style="20"/>
    <col min="7171" max="7171" width="34.5546875" style="20" customWidth="1"/>
    <col min="7172" max="7172" width="13.6640625" style="20" customWidth="1"/>
    <col min="7173" max="7173" width="30" style="20" customWidth="1"/>
    <col min="7174" max="7424" width="8.88671875" style="20"/>
    <col min="7425" max="7425" width="15" style="20" customWidth="1"/>
    <col min="7426" max="7426" width="8.88671875" style="20"/>
    <col min="7427" max="7427" width="34.5546875" style="20" customWidth="1"/>
    <col min="7428" max="7428" width="13.6640625" style="20" customWidth="1"/>
    <col min="7429" max="7429" width="30" style="20" customWidth="1"/>
    <col min="7430" max="7680" width="8.88671875" style="20"/>
    <col min="7681" max="7681" width="15" style="20" customWidth="1"/>
    <col min="7682" max="7682" width="8.88671875" style="20"/>
    <col min="7683" max="7683" width="34.5546875" style="20" customWidth="1"/>
    <col min="7684" max="7684" width="13.6640625" style="20" customWidth="1"/>
    <col min="7685" max="7685" width="30" style="20" customWidth="1"/>
    <col min="7686" max="7936" width="8.88671875" style="20"/>
    <col min="7937" max="7937" width="15" style="20" customWidth="1"/>
    <col min="7938" max="7938" width="8.88671875" style="20"/>
    <col min="7939" max="7939" width="34.5546875" style="20" customWidth="1"/>
    <col min="7940" max="7940" width="13.6640625" style="20" customWidth="1"/>
    <col min="7941" max="7941" width="30" style="20" customWidth="1"/>
    <col min="7942" max="8192" width="8.88671875" style="20"/>
    <col min="8193" max="8193" width="15" style="20" customWidth="1"/>
    <col min="8194" max="8194" width="8.88671875" style="20"/>
    <col min="8195" max="8195" width="34.5546875" style="20" customWidth="1"/>
    <col min="8196" max="8196" width="13.6640625" style="20" customWidth="1"/>
    <col min="8197" max="8197" width="30" style="20" customWidth="1"/>
    <col min="8198" max="8448" width="8.88671875" style="20"/>
    <col min="8449" max="8449" width="15" style="20" customWidth="1"/>
    <col min="8450" max="8450" width="8.88671875" style="20"/>
    <col min="8451" max="8451" width="34.5546875" style="20" customWidth="1"/>
    <col min="8452" max="8452" width="13.6640625" style="20" customWidth="1"/>
    <col min="8453" max="8453" width="30" style="20" customWidth="1"/>
    <col min="8454" max="8704" width="8.88671875" style="20"/>
    <col min="8705" max="8705" width="15" style="20" customWidth="1"/>
    <col min="8706" max="8706" width="8.88671875" style="20"/>
    <col min="8707" max="8707" width="34.5546875" style="20" customWidth="1"/>
    <col min="8708" max="8708" width="13.6640625" style="20" customWidth="1"/>
    <col min="8709" max="8709" width="30" style="20" customWidth="1"/>
    <col min="8710" max="8960" width="8.88671875" style="20"/>
    <col min="8961" max="8961" width="15" style="20" customWidth="1"/>
    <col min="8962" max="8962" width="8.88671875" style="20"/>
    <col min="8963" max="8963" width="34.5546875" style="20" customWidth="1"/>
    <col min="8964" max="8964" width="13.6640625" style="20" customWidth="1"/>
    <col min="8965" max="8965" width="30" style="20" customWidth="1"/>
    <col min="8966" max="9216" width="8.88671875" style="20"/>
    <col min="9217" max="9217" width="15" style="20" customWidth="1"/>
    <col min="9218" max="9218" width="8.88671875" style="20"/>
    <col min="9219" max="9219" width="34.5546875" style="20" customWidth="1"/>
    <col min="9220" max="9220" width="13.6640625" style="20" customWidth="1"/>
    <col min="9221" max="9221" width="30" style="20" customWidth="1"/>
    <col min="9222" max="9472" width="8.88671875" style="20"/>
    <col min="9473" max="9473" width="15" style="20" customWidth="1"/>
    <col min="9474" max="9474" width="8.88671875" style="20"/>
    <col min="9475" max="9475" width="34.5546875" style="20" customWidth="1"/>
    <col min="9476" max="9476" width="13.6640625" style="20" customWidth="1"/>
    <col min="9477" max="9477" width="30" style="20" customWidth="1"/>
    <col min="9478" max="9728" width="8.88671875" style="20"/>
    <col min="9729" max="9729" width="15" style="20" customWidth="1"/>
    <col min="9730" max="9730" width="8.88671875" style="20"/>
    <col min="9731" max="9731" width="34.5546875" style="20" customWidth="1"/>
    <col min="9732" max="9732" width="13.6640625" style="20" customWidth="1"/>
    <col min="9733" max="9733" width="30" style="20" customWidth="1"/>
    <col min="9734" max="9984" width="8.88671875" style="20"/>
    <col min="9985" max="9985" width="15" style="20" customWidth="1"/>
    <col min="9986" max="9986" width="8.88671875" style="20"/>
    <col min="9987" max="9987" width="34.5546875" style="20" customWidth="1"/>
    <col min="9988" max="9988" width="13.6640625" style="20" customWidth="1"/>
    <col min="9989" max="9989" width="30" style="20" customWidth="1"/>
    <col min="9990" max="10240" width="8.88671875" style="20"/>
    <col min="10241" max="10241" width="15" style="20" customWidth="1"/>
    <col min="10242" max="10242" width="8.88671875" style="20"/>
    <col min="10243" max="10243" width="34.5546875" style="20" customWidth="1"/>
    <col min="10244" max="10244" width="13.6640625" style="20" customWidth="1"/>
    <col min="10245" max="10245" width="30" style="20" customWidth="1"/>
    <col min="10246" max="10496" width="8.88671875" style="20"/>
    <col min="10497" max="10497" width="15" style="20" customWidth="1"/>
    <col min="10498" max="10498" width="8.88671875" style="20"/>
    <col min="10499" max="10499" width="34.5546875" style="20" customWidth="1"/>
    <col min="10500" max="10500" width="13.6640625" style="20" customWidth="1"/>
    <col min="10501" max="10501" width="30" style="20" customWidth="1"/>
    <col min="10502" max="10752" width="8.88671875" style="20"/>
    <col min="10753" max="10753" width="15" style="20" customWidth="1"/>
    <col min="10754" max="10754" width="8.88671875" style="20"/>
    <col min="10755" max="10755" width="34.5546875" style="20" customWidth="1"/>
    <col min="10756" max="10756" width="13.6640625" style="20" customWidth="1"/>
    <col min="10757" max="10757" width="30" style="20" customWidth="1"/>
    <col min="10758" max="11008" width="8.88671875" style="20"/>
    <col min="11009" max="11009" width="15" style="20" customWidth="1"/>
    <col min="11010" max="11010" width="8.88671875" style="20"/>
    <col min="11011" max="11011" width="34.5546875" style="20" customWidth="1"/>
    <col min="11012" max="11012" width="13.6640625" style="20" customWidth="1"/>
    <col min="11013" max="11013" width="30" style="20" customWidth="1"/>
    <col min="11014" max="11264" width="8.88671875" style="20"/>
    <col min="11265" max="11265" width="15" style="20" customWidth="1"/>
    <col min="11266" max="11266" width="8.88671875" style="20"/>
    <col min="11267" max="11267" width="34.5546875" style="20" customWidth="1"/>
    <col min="11268" max="11268" width="13.6640625" style="20" customWidth="1"/>
    <col min="11269" max="11269" width="30" style="20" customWidth="1"/>
    <col min="11270" max="11520" width="8.88671875" style="20"/>
    <col min="11521" max="11521" width="15" style="20" customWidth="1"/>
    <col min="11522" max="11522" width="8.88671875" style="20"/>
    <col min="11523" max="11523" width="34.5546875" style="20" customWidth="1"/>
    <col min="11524" max="11524" width="13.6640625" style="20" customWidth="1"/>
    <col min="11525" max="11525" width="30" style="20" customWidth="1"/>
    <col min="11526" max="11776" width="8.88671875" style="20"/>
    <col min="11777" max="11777" width="15" style="20" customWidth="1"/>
    <col min="11778" max="11778" width="8.88671875" style="20"/>
    <col min="11779" max="11779" width="34.5546875" style="20" customWidth="1"/>
    <col min="11780" max="11780" width="13.6640625" style="20" customWidth="1"/>
    <col min="11781" max="11781" width="30" style="20" customWidth="1"/>
    <col min="11782" max="12032" width="8.88671875" style="20"/>
    <col min="12033" max="12033" width="15" style="20" customWidth="1"/>
    <col min="12034" max="12034" width="8.88671875" style="20"/>
    <col min="12035" max="12035" width="34.5546875" style="20" customWidth="1"/>
    <col min="12036" max="12036" width="13.6640625" style="20" customWidth="1"/>
    <col min="12037" max="12037" width="30" style="20" customWidth="1"/>
    <col min="12038" max="12288" width="8.88671875" style="20"/>
    <col min="12289" max="12289" width="15" style="20" customWidth="1"/>
    <col min="12290" max="12290" width="8.88671875" style="20"/>
    <col min="12291" max="12291" width="34.5546875" style="20" customWidth="1"/>
    <col min="12292" max="12292" width="13.6640625" style="20" customWidth="1"/>
    <col min="12293" max="12293" width="30" style="20" customWidth="1"/>
    <col min="12294" max="12544" width="8.88671875" style="20"/>
    <col min="12545" max="12545" width="15" style="20" customWidth="1"/>
    <col min="12546" max="12546" width="8.88671875" style="20"/>
    <col min="12547" max="12547" width="34.5546875" style="20" customWidth="1"/>
    <col min="12548" max="12548" width="13.6640625" style="20" customWidth="1"/>
    <col min="12549" max="12549" width="30" style="20" customWidth="1"/>
    <col min="12550" max="12800" width="8.88671875" style="20"/>
    <col min="12801" max="12801" width="15" style="20" customWidth="1"/>
    <col min="12802" max="12802" width="8.88671875" style="20"/>
    <col min="12803" max="12803" width="34.5546875" style="20" customWidth="1"/>
    <col min="12804" max="12804" width="13.6640625" style="20" customWidth="1"/>
    <col min="12805" max="12805" width="30" style="20" customWidth="1"/>
    <col min="12806" max="13056" width="8.88671875" style="20"/>
    <col min="13057" max="13057" width="15" style="20" customWidth="1"/>
    <col min="13058" max="13058" width="8.88671875" style="20"/>
    <col min="13059" max="13059" width="34.5546875" style="20" customWidth="1"/>
    <col min="13060" max="13060" width="13.6640625" style="20" customWidth="1"/>
    <col min="13061" max="13061" width="30" style="20" customWidth="1"/>
    <col min="13062" max="13312" width="8.88671875" style="20"/>
    <col min="13313" max="13313" width="15" style="20" customWidth="1"/>
    <col min="13314" max="13314" width="8.88671875" style="20"/>
    <col min="13315" max="13315" width="34.5546875" style="20" customWidth="1"/>
    <col min="13316" max="13316" width="13.6640625" style="20" customWidth="1"/>
    <col min="13317" max="13317" width="30" style="20" customWidth="1"/>
    <col min="13318" max="13568" width="8.88671875" style="20"/>
    <col min="13569" max="13569" width="15" style="20" customWidth="1"/>
    <col min="13570" max="13570" width="8.88671875" style="20"/>
    <col min="13571" max="13571" width="34.5546875" style="20" customWidth="1"/>
    <col min="13572" max="13572" width="13.6640625" style="20" customWidth="1"/>
    <col min="13573" max="13573" width="30" style="20" customWidth="1"/>
    <col min="13574" max="13824" width="8.88671875" style="20"/>
    <col min="13825" max="13825" width="15" style="20" customWidth="1"/>
    <col min="13826" max="13826" width="8.88671875" style="20"/>
    <col min="13827" max="13827" width="34.5546875" style="20" customWidth="1"/>
    <col min="13828" max="13828" width="13.6640625" style="20" customWidth="1"/>
    <col min="13829" max="13829" width="30" style="20" customWidth="1"/>
    <col min="13830" max="14080" width="8.88671875" style="20"/>
    <col min="14081" max="14081" width="15" style="20" customWidth="1"/>
    <col min="14082" max="14082" width="8.88671875" style="20"/>
    <col min="14083" max="14083" width="34.5546875" style="20" customWidth="1"/>
    <col min="14084" max="14084" width="13.6640625" style="20" customWidth="1"/>
    <col min="14085" max="14085" width="30" style="20" customWidth="1"/>
    <col min="14086" max="14336" width="8.88671875" style="20"/>
    <col min="14337" max="14337" width="15" style="20" customWidth="1"/>
    <col min="14338" max="14338" width="8.88671875" style="20"/>
    <col min="14339" max="14339" width="34.5546875" style="20" customWidth="1"/>
    <col min="14340" max="14340" width="13.6640625" style="20" customWidth="1"/>
    <col min="14341" max="14341" width="30" style="20" customWidth="1"/>
    <col min="14342" max="14592" width="8.88671875" style="20"/>
    <col min="14593" max="14593" width="15" style="20" customWidth="1"/>
    <col min="14594" max="14594" width="8.88671875" style="20"/>
    <col min="14595" max="14595" width="34.5546875" style="20" customWidth="1"/>
    <col min="14596" max="14596" width="13.6640625" style="20" customWidth="1"/>
    <col min="14597" max="14597" width="30" style="20" customWidth="1"/>
    <col min="14598" max="14848" width="8.88671875" style="20"/>
    <col min="14849" max="14849" width="15" style="20" customWidth="1"/>
    <col min="14850" max="14850" width="8.88671875" style="20"/>
    <col min="14851" max="14851" width="34.5546875" style="20" customWidth="1"/>
    <col min="14852" max="14852" width="13.6640625" style="20" customWidth="1"/>
    <col min="14853" max="14853" width="30" style="20" customWidth="1"/>
    <col min="14854" max="15104" width="8.88671875" style="20"/>
    <col min="15105" max="15105" width="15" style="20" customWidth="1"/>
    <col min="15106" max="15106" width="8.88671875" style="20"/>
    <col min="15107" max="15107" width="34.5546875" style="20" customWidth="1"/>
    <col min="15108" max="15108" width="13.6640625" style="20" customWidth="1"/>
    <col min="15109" max="15109" width="30" style="20" customWidth="1"/>
    <col min="15110" max="15360" width="8.88671875" style="20"/>
    <col min="15361" max="15361" width="15" style="20" customWidth="1"/>
    <col min="15362" max="15362" width="8.88671875" style="20"/>
    <col min="15363" max="15363" width="34.5546875" style="20" customWidth="1"/>
    <col min="15364" max="15364" width="13.6640625" style="20" customWidth="1"/>
    <col min="15365" max="15365" width="30" style="20" customWidth="1"/>
    <col min="15366" max="15616" width="8.88671875" style="20"/>
    <col min="15617" max="15617" width="15" style="20" customWidth="1"/>
    <col min="15618" max="15618" width="8.88671875" style="20"/>
    <col min="15619" max="15619" width="34.5546875" style="20" customWidth="1"/>
    <col min="15620" max="15620" width="13.6640625" style="20" customWidth="1"/>
    <col min="15621" max="15621" width="30" style="20" customWidth="1"/>
    <col min="15622" max="15872" width="8.88671875" style="20"/>
    <col min="15873" max="15873" width="15" style="20" customWidth="1"/>
    <col min="15874" max="15874" width="8.88671875" style="20"/>
    <col min="15875" max="15875" width="34.5546875" style="20" customWidth="1"/>
    <col min="15876" max="15876" width="13.6640625" style="20" customWidth="1"/>
    <col min="15877" max="15877" width="30" style="20" customWidth="1"/>
    <col min="15878" max="16128" width="8.88671875" style="20"/>
    <col min="16129" max="16129" width="15" style="20" customWidth="1"/>
    <col min="16130" max="16130" width="8.88671875" style="20"/>
    <col min="16131" max="16131" width="34.5546875" style="20" customWidth="1"/>
    <col min="16132" max="16132" width="13.6640625" style="20" customWidth="1"/>
    <col min="16133" max="16133" width="30" style="20" customWidth="1"/>
    <col min="16134" max="16384" width="8.88671875" style="20"/>
  </cols>
  <sheetData>
    <row r="1" spans="1:7" ht="45.75" customHeight="1" x14ac:dyDescent="0.25">
      <c r="A1" s="19" t="s">
        <v>32</v>
      </c>
      <c r="B1" s="19"/>
      <c r="C1" s="19"/>
      <c r="D1" s="19"/>
      <c r="E1" s="19"/>
    </row>
    <row r="2" spans="1:7" x14ac:dyDescent="0.25">
      <c r="A2" s="21" t="s">
        <v>1</v>
      </c>
      <c r="B2" s="22">
        <v>100</v>
      </c>
      <c r="C2" s="21" t="s">
        <v>2</v>
      </c>
      <c r="D2" s="23"/>
      <c r="E2" s="23"/>
      <c r="F2" s="23"/>
      <c r="G2" s="23"/>
    </row>
    <row r="3" spans="1:7" x14ac:dyDescent="0.25">
      <c r="A3" s="23" t="s">
        <v>3</v>
      </c>
      <c r="B3" s="22">
        <v>90</v>
      </c>
      <c r="C3" s="21" t="s">
        <v>4</v>
      </c>
      <c r="D3" s="24"/>
      <c r="E3" s="23"/>
      <c r="F3" s="23"/>
      <c r="G3" s="23"/>
    </row>
    <row r="4" spans="1:7" x14ac:dyDescent="0.25">
      <c r="A4" s="23" t="s">
        <v>5</v>
      </c>
      <c r="B4" s="25">
        <v>0.5</v>
      </c>
      <c r="C4" s="21" t="s">
        <v>6</v>
      </c>
      <c r="D4" s="23"/>
      <c r="E4" s="23"/>
      <c r="F4" s="23"/>
      <c r="G4" s="23"/>
    </row>
    <row r="5" spans="1:7" x14ac:dyDescent="0.25">
      <c r="A5" s="23" t="s">
        <v>7</v>
      </c>
      <c r="B5" s="26">
        <v>0.06</v>
      </c>
      <c r="C5" s="21" t="s">
        <v>8</v>
      </c>
      <c r="D5" s="23"/>
      <c r="E5" s="27"/>
      <c r="F5" s="23"/>
      <c r="G5" s="23"/>
    </row>
    <row r="6" spans="1:7" x14ac:dyDescent="0.25">
      <c r="A6" s="21" t="s">
        <v>9</v>
      </c>
      <c r="B6" s="26">
        <v>0.02</v>
      </c>
      <c r="C6" s="21" t="s">
        <v>10</v>
      </c>
      <c r="D6" s="23"/>
      <c r="E6" s="23"/>
      <c r="F6" s="23"/>
      <c r="G6" s="23"/>
    </row>
    <row r="7" spans="1:7" x14ac:dyDescent="0.25">
      <c r="A7" s="21" t="s">
        <v>11</v>
      </c>
      <c r="B7" s="21">
        <v>0.55000000000000004</v>
      </c>
      <c r="C7" s="21" t="s">
        <v>12</v>
      </c>
      <c r="D7" s="23"/>
      <c r="E7" s="23"/>
      <c r="F7" s="23"/>
      <c r="G7" s="23"/>
    </row>
    <row r="8" spans="1:7" x14ac:dyDescent="0.25">
      <c r="A8" s="23"/>
      <c r="B8" s="21"/>
      <c r="C8" s="21"/>
      <c r="D8" s="23"/>
      <c r="E8" s="23"/>
      <c r="F8" s="23"/>
      <c r="G8" s="23"/>
    </row>
    <row r="9" spans="1:7" x14ac:dyDescent="0.25">
      <c r="A9" s="21" t="s">
        <v>20</v>
      </c>
      <c r="B9" s="28">
        <f>[1]!BSMertonCall(B2,B3,B4,B5,B6,B7)</f>
        <v>20.927203362337934</v>
      </c>
      <c r="C9" s="21" t="str">
        <f t="shared" ref="C9:C10" ca="1" si="0">_xlfn.FORMULATEXT(B9)</f>
        <v>=BSMertonCall(B2,B3,B4,B5,B6,B7)</v>
      </c>
      <c r="D9" s="23"/>
      <c r="E9" s="23"/>
      <c r="F9" s="23"/>
      <c r="G9" s="23"/>
    </row>
    <row r="10" spans="1:7" x14ac:dyDescent="0.25">
      <c r="A10" s="21" t="s">
        <v>21</v>
      </c>
      <c r="B10" s="28">
        <f>[1]!bsmertonput(B2,B3,B4,B5,B6,B7)</f>
        <v>9.2623180067868702</v>
      </c>
      <c r="C10" s="21" t="str">
        <f t="shared" ca="1" si="0"/>
        <v>=bsmertonput(B2,B3,B4,B5,B6,B7)</v>
      </c>
      <c r="D10" s="23"/>
      <c r="E10" s="23"/>
      <c r="F10" s="23"/>
      <c r="G10" s="23"/>
    </row>
    <row r="12" spans="1:7" ht="15.6" x14ac:dyDescent="0.3">
      <c r="A12" s="29" t="s">
        <v>33</v>
      </c>
    </row>
    <row r="13" spans="1:7" x14ac:dyDescent="0.25">
      <c r="B13" s="30" t="s">
        <v>23</v>
      </c>
      <c r="C13" s="30"/>
      <c r="D13" s="31" t="s">
        <v>24</v>
      </c>
    </row>
    <row r="14" spans="1:7" x14ac:dyDescent="0.25">
      <c r="A14" s="20" t="s">
        <v>25</v>
      </c>
      <c r="B14" s="32">
        <f>[1]!deltacall(B2,B3,B4,B5,B6,B7)</f>
        <v>0.6904111048923286</v>
      </c>
      <c r="C14" s="20" t="str">
        <f t="shared" ref="C14:C18" ca="1" si="1">_xlfn.FORMULATEXT(B14)</f>
        <v>=deltacall(B2,B3,B4,B5,B6,B7)</v>
      </c>
      <c r="D14" s="32">
        <f>[1]!deltaput(B2,B3,B4,B5,B6,B7)</f>
        <v>-0.29963872885683945</v>
      </c>
      <c r="E14" s="20" t="str">
        <f t="shared" ref="E14:E18" ca="1" si="2">_xlfn.FORMULATEXT(D14)</f>
        <v>=deltaput(B2,B3,B4,B5,B6,B7)</v>
      </c>
    </row>
    <row r="15" spans="1:7" x14ac:dyDescent="0.25">
      <c r="A15" s="20" t="s">
        <v>26</v>
      </c>
      <c r="B15" s="32">
        <f>[1]!ggamma(B2,B3,B4,B5,B6,B7)</f>
        <v>1.1606844041410273E-2</v>
      </c>
      <c r="C15" s="20" t="str">
        <f t="shared" ca="1" si="1"/>
        <v>=ggamma(B2,B3,B4,B5,B6,B7)</v>
      </c>
      <c r="D15" s="32">
        <f>[1]!ggamma(B2,B3,B4,B5,B6,B7)</f>
        <v>1.1606844041410273E-2</v>
      </c>
      <c r="E15" s="20" t="str">
        <f t="shared" ca="1" si="2"/>
        <v>=ggamma(B2,B3,B4,B5,B6,B7)</v>
      </c>
    </row>
    <row r="16" spans="1:7" x14ac:dyDescent="0.25">
      <c r="A16" s="20" t="s">
        <v>27</v>
      </c>
      <c r="B16" s="32">
        <f>[1]!vega(B2,B3,B4,B5,B6,B7)</f>
        <v>24.437535382699011</v>
      </c>
      <c r="C16" s="20" t="str">
        <f t="shared" ca="1" si="1"/>
        <v>=vega(B2,B3,B4,B5,B6,B7)</v>
      </c>
      <c r="D16" s="32">
        <f>[1]!vega(B2,B3,B4,B5,B6,B7)</f>
        <v>24.437535382699011</v>
      </c>
      <c r="E16" s="20" t="str">
        <f t="shared" ca="1" si="2"/>
        <v>=vega(B2,B3,B4,B5,B6,B7)</v>
      </c>
    </row>
    <row r="17" spans="1:5" x14ac:dyDescent="0.25">
      <c r="A17" s="20" t="s">
        <v>28</v>
      </c>
      <c r="B17" s="32">
        <f>[1]!Thetacall(B2,B3,B4,B5,B6,B7)</f>
        <v>-14.946656678313492</v>
      </c>
      <c r="C17" s="33" t="str">
        <f t="shared" ca="1" si="1"/>
        <v>=Thetacall(B2,B3,B4,B5,B6,B7)</v>
      </c>
      <c r="D17" s="32">
        <f>[1]!Thetaput(B2,B3,B4,B5,B6,B7)</f>
        <v>-11.686350464649886</v>
      </c>
      <c r="E17" s="33" t="str">
        <f t="shared" ca="1" si="2"/>
        <v>=Thetaput(B2,B3,B4,B5,B6,B7)</v>
      </c>
    </row>
    <row r="18" spans="1:5" x14ac:dyDescent="0.25">
      <c r="A18" s="20" t="s">
        <v>29</v>
      </c>
      <c r="B18" s="32">
        <f>[1]!rhocall(B2,B3,B4,B5,B6,B7)</f>
        <v>24.056953563447465</v>
      </c>
      <c r="C18" s="20" t="str">
        <f t="shared" ca="1" si="1"/>
        <v>=rhocall(B2,B3,B4,B5,B6,B7)</v>
      </c>
      <c r="D18" s="32">
        <f>[1]!rhoput(B2,B3,B4,B5,B6,B7)</f>
        <v>-19.613095446235405</v>
      </c>
      <c r="E18" s="20" t="str">
        <f t="shared" ca="1" si="2"/>
        <v>=rhoput(B2,B3,B4,B5,B6,B7)</v>
      </c>
    </row>
    <row r="21" spans="1:5" x14ac:dyDescent="0.25">
      <c r="A21" s="34" t="s">
        <v>34</v>
      </c>
    </row>
    <row r="22" spans="1:5" x14ac:dyDescent="0.25">
      <c r="B22" s="32">
        <f>B14</f>
        <v>0.6904111048923286</v>
      </c>
      <c r="C22" s="32">
        <f>D14</f>
        <v>-0.29963872885683945</v>
      </c>
      <c r="D22" s="20" t="s">
        <v>35</v>
      </c>
    </row>
    <row r="23" spans="1:5" x14ac:dyDescent="0.25">
      <c r="A23" s="35">
        <v>2.0000000000000001E-4</v>
      </c>
      <c r="B23" s="20">
        <f t="dataTable" ref="B23:C37" dt2D="0" dtr="0" r1="B2"/>
        <v>2.3441929767444546E-242</v>
      </c>
      <c r="C23" s="32">
        <v>-0.99004983374916811</v>
      </c>
    </row>
    <row r="24" spans="1:5" x14ac:dyDescent="0.25">
      <c r="A24" s="20">
        <v>20</v>
      </c>
      <c r="B24" s="32">
        <v>1.4496469515464246E-4</v>
      </c>
      <c r="C24" s="32">
        <v>-0.98990486905401343</v>
      </c>
    </row>
    <row r="25" spans="1:5" x14ac:dyDescent="0.25">
      <c r="A25" s="20">
        <v>30</v>
      </c>
      <c r="B25" s="32">
        <v>4.9053467980945953E-3</v>
      </c>
      <c r="C25" s="32">
        <v>-0.98514448695107348</v>
      </c>
    </row>
    <row r="26" spans="1:5" x14ac:dyDescent="0.25">
      <c r="A26" s="20">
        <v>40</v>
      </c>
      <c r="B26" s="32">
        <v>3.2610556331355012E-2</v>
      </c>
      <c r="C26" s="32">
        <v>-0.95743927741781309</v>
      </c>
    </row>
    <row r="27" spans="1:5" x14ac:dyDescent="0.25">
      <c r="A27" s="20">
        <v>50</v>
      </c>
      <c r="B27" s="32">
        <v>0.10182380225995134</v>
      </c>
      <c r="C27" s="32">
        <v>-0.88822603148921675</v>
      </c>
    </row>
    <row r="28" spans="1:5" x14ac:dyDescent="0.25">
      <c r="A28" s="20">
        <v>60</v>
      </c>
      <c r="B28" s="32">
        <v>0.2106976916269144</v>
      </c>
      <c r="C28" s="32">
        <v>-0.77935214212225368</v>
      </c>
    </row>
    <row r="29" spans="1:5" x14ac:dyDescent="0.25">
      <c r="A29" s="20">
        <v>70</v>
      </c>
      <c r="B29" s="32">
        <v>0.3410315884378366</v>
      </c>
      <c r="C29" s="32">
        <v>-0.64901824531133157</v>
      </c>
    </row>
    <row r="30" spans="1:5" x14ac:dyDescent="0.25">
      <c r="A30" s="20">
        <v>80</v>
      </c>
      <c r="B30" s="32">
        <v>0.47253355393870461</v>
      </c>
      <c r="C30" s="32">
        <v>-0.51751627981046344</v>
      </c>
    </row>
    <row r="31" spans="1:5" x14ac:dyDescent="0.25">
      <c r="A31" s="20">
        <v>90</v>
      </c>
      <c r="B31" s="32">
        <v>0.59117118859342965</v>
      </c>
      <c r="C31" s="32">
        <v>-0.39887864515573834</v>
      </c>
    </row>
    <row r="32" spans="1:5" x14ac:dyDescent="0.25">
      <c r="A32" s="20">
        <v>100</v>
      </c>
      <c r="B32" s="32">
        <v>0.6904111048923286</v>
      </c>
      <c r="C32" s="32">
        <v>-0.29963872885683945</v>
      </c>
    </row>
    <row r="33" spans="1:4" x14ac:dyDescent="0.25">
      <c r="A33" s="20">
        <v>110</v>
      </c>
      <c r="B33" s="32">
        <v>0.76919893679186568</v>
      </c>
      <c r="C33" s="32">
        <v>-0.22085089695730242</v>
      </c>
    </row>
    <row r="34" spans="1:4" x14ac:dyDescent="0.25">
      <c r="A34" s="20">
        <v>120</v>
      </c>
      <c r="B34" s="32">
        <v>0.82949782365396796</v>
      </c>
      <c r="C34" s="32">
        <v>-0.1605520100952002</v>
      </c>
    </row>
    <row r="35" spans="1:4" x14ac:dyDescent="0.25">
      <c r="A35" s="20">
        <v>130</v>
      </c>
      <c r="B35" s="32">
        <v>0.87446515988575724</v>
      </c>
      <c r="C35" s="32">
        <v>-0.11558467386341087</v>
      </c>
    </row>
    <row r="36" spans="1:4" x14ac:dyDescent="0.25">
      <c r="A36" s="20">
        <v>140</v>
      </c>
      <c r="B36" s="32">
        <v>0.90738916575864326</v>
      </c>
      <c r="C36" s="32">
        <v>-8.2660667990524864E-2</v>
      </c>
    </row>
    <row r="37" spans="1:4" x14ac:dyDescent="0.25">
      <c r="A37" s="20">
        <v>150</v>
      </c>
      <c r="B37" s="32">
        <v>0.93118640203747527</v>
      </c>
      <c r="C37" s="32">
        <v>-5.8863431711692775E-2</v>
      </c>
    </row>
    <row r="45" spans="1:4" x14ac:dyDescent="0.25">
      <c r="A45" s="34" t="s">
        <v>36</v>
      </c>
    </row>
    <row r="46" spans="1:4" x14ac:dyDescent="0.25">
      <c r="A46" s="34"/>
    </row>
    <row r="47" spans="1:4" x14ac:dyDescent="0.25">
      <c r="A47" s="30" t="str">
        <f ca="1">_xlfn.FORMULATEXT(A48)</f>
        <v>=B14</v>
      </c>
      <c r="B47" s="36" t="s">
        <v>4</v>
      </c>
      <c r="C47" s="36"/>
      <c r="D47" s="36"/>
    </row>
    <row r="48" spans="1:4" x14ac:dyDescent="0.25">
      <c r="A48" s="32">
        <f>B14</f>
        <v>0.6904111048923286</v>
      </c>
      <c r="B48" s="20">
        <v>120</v>
      </c>
      <c r="C48" s="20">
        <v>100</v>
      </c>
      <c r="D48" s="20">
        <v>80</v>
      </c>
    </row>
    <row r="49" spans="1:4" x14ac:dyDescent="0.25">
      <c r="A49" s="37">
        <v>0.1</v>
      </c>
      <c r="B49" s="32">
        <f t="dataTable" ref="B49:D69" dt2D="1" dtr="1" r1="B3" r2="B4" ca="1"/>
        <v>0.17369373973015315</v>
      </c>
      <c r="C49" s="32">
        <v>0.54269338212205065</v>
      </c>
      <c r="D49" s="20">
        <v>0.91634744591072947</v>
      </c>
    </row>
    <row r="50" spans="1:4" x14ac:dyDescent="0.25">
      <c r="A50" s="20">
        <v>0.125</v>
      </c>
      <c r="B50" s="32">
        <v>0.2071134065515208</v>
      </c>
      <c r="C50" s="32">
        <v>0.54755216371529747</v>
      </c>
      <c r="D50" s="20">
        <v>0.89580031520499204</v>
      </c>
    </row>
    <row r="51" spans="1:4" x14ac:dyDescent="0.25">
      <c r="A51" s="37">
        <v>0.15</v>
      </c>
      <c r="B51" s="32">
        <v>0.23467616643866859</v>
      </c>
      <c r="C51" s="32">
        <v>0.55190705388259309</v>
      </c>
      <c r="D51" s="20">
        <v>0.87880186115960779</v>
      </c>
    </row>
    <row r="52" spans="1:4" x14ac:dyDescent="0.25">
      <c r="A52" s="20">
        <v>0.17499999999999999</v>
      </c>
      <c r="B52" s="32">
        <v>0.25792561461600993</v>
      </c>
      <c r="C52" s="32">
        <v>0.55587904387716502</v>
      </c>
      <c r="D52" s="20">
        <v>0.86460985160957449</v>
      </c>
    </row>
    <row r="53" spans="1:4" x14ac:dyDescent="0.25">
      <c r="A53" s="37">
        <v>0.2</v>
      </c>
      <c r="B53" s="32">
        <v>0.27791320416374621</v>
      </c>
      <c r="C53" s="32">
        <v>0.55954704909108444</v>
      </c>
      <c r="D53" s="20">
        <v>0.8526272586977286</v>
      </c>
    </row>
    <row r="54" spans="1:4" x14ac:dyDescent="0.25">
      <c r="A54" s="20">
        <v>0.25</v>
      </c>
      <c r="B54" s="32">
        <v>0.31081902431252362</v>
      </c>
      <c r="C54" s="32">
        <v>0.56617571676249445</v>
      </c>
      <c r="D54" s="20">
        <v>0.83358199307796232</v>
      </c>
    </row>
    <row r="55" spans="1:4" x14ac:dyDescent="0.25">
      <c r="A55" s="37">
        <v>0.3</v>
      </c>
      <c r="B55" s="32">
        <v>0.33712851379015546</v>
      </c>
      <c r="C55" s="32">
        <v>0.57208209127234499</v>
      </c>
      <c r="D55" s="20">
        <v>0.81919240743021782</v>
      </c>
    </row>
    <row r="56" spans="1:4" x14ac:dyDescent="0.25">
      <c r="A56" s="20">
        <v>0.35</v>
      </c>
      <c r="B56" s="32">
        <v>0.35892021306203031</v>
      </c>
      <c r="C56" s="32">
        <v>0.577438242713189</v>
      </c>
      <c r="D56" s="20">
        <v>0.80799441751300005</v>
      </c>
    </row>
    <row r="57" spans="1:4" x14ac:dyDescent="0.25">
      <c r="A57" s="37">
        <v>0.4</v>
      </c>
      <c r="B57" s="32">
        <v>0.37745011392859057</v>
      </c>
      <c r="C57" s="32">
        <v>0.58235652599906318</v>
      </c>
      <c r="D57" s="20">
        <v>0.79907688932211007</v>
      </c>
    </row>
    <row r="58" spans="1:4" x14ac:dyDescent="0.25">
      <c r="A58" s="20">
        <v>0.45</v>
      </c>
      <c r="B58" s="32">
        <v>0.39352740972106243</v>
      </c>
      <c r="C58" s="32">
        <v>0.5869151518385205</v>
      </c>
      <c r="D58" s="20">
        <v>0.79184485407446192</v>
      </c>
    </row>
    <row r="59" spans="1:4" x14ac:dyDescent="0.25">
      <c r="A59" s="37">
        <v>0.5</v>
      </c>
      <c r="B59" s="32">
        <v>0.40770040453103845</v>
      </c>
      <c r="C59" s="32">
        <v>0.59117118859342965</v>
      </c>
      <c r="D59" s="20">
        <v>0.78589345042858127</v>
      </c>
    </row>
    <row r="60" spans="1:4" x14ac:dyDescent="0.25">
      <c r="A60" s="20">
        <v>0.55000000000000004</v>
      </c>
      <c r="B60" s="32">
        <v>0.4203559696094456</v>
      </c>
      <c r="C60" s="32">
        <v>0.59516781224860604</v>
      </c>
      <c r="D60" s="20">
        <v>0.78093747557381532</v>
      </c>
    </row>
    <row r="61" spans="1:4" x14ac:dyDescent="0.25">
      <c r="A61" s="37">
        <v>0.6</v>
      </c>
      <c r="B61" s="32">
        <v>0.43177626000927061</v>
      </c>
      <c r="C61" s="32">
        <v>0.59893863980144213</v>
      </c>
      <c r="D61" s="20">
        <v>0.77677008090590982</v>
      </c>
    </row>
    <row r="62" spans="1:4" x14ac:dyDescent="0.25">
      <c r="A62" s="20">
        <v>0.65</v>
      </c>
      <c r="B62" s="32">
        <v>0.44217280510095042</v>
      </c>
      <c r="C62" s="32">
        <v>0.6025104640147495</v>
      </c>
      <c r="D62" s="20">
        <v>0.77323749358395677</v>
      </c>
    </row>
    <row r="63" spans="1:4" x14ac:dyDescent="0.25">
      <c r="A63" s="37">
        <v>0.7</v>
      </c>
      <c r="B63" s="32">
        <v>0.45170791803521904</v>
      </c>
      <c r="C63" s="32">
        <v>0.60590505649440507</v>
      </c>
      <c r="D63" s="20">
        <v>0.77022295511548311</v>
      </c>
    </row>
    <row r="64" spans="1:4" x14ac:dyDescent="0.25">
      <c r="A64" s="20">
        <v>0.75</v>
      </c>
      <c r="B64" s="32">
        <v>0.46050864882358877</v>
      </c>
      <c r="C64" s="32">
        <v>0.60914040013009274</v>
      </c>
      <c r="D64" s="20">
        <v>0.76763617795704231</v>
      </c>
    </row>
    <row r="65" spans="1:4" x14ac:dyDescent="0.25">
      <c r="A65" s="37">
        <v>0.8</v>
      </c>
      <c r="B65" s="32">
        <v>0.46867617061680927</v>
      </c>
      <c r="C65" s="32">
        <v>0.61223155735171864</v>
      </c>
      <c r="D65" s="20">
        <v>0.76540622461296937</v>
      </c>
    </row>
    <row r="66" spans="1:4" x14ac:dyDescent="0.25">
      <c r="A66" s="20">
        <v>0.85</v>
      </c>
      <c r="B66" s="32">
        <v>0.47629226916633771</v>
      </c>
      <c r="C66" s="32">
        <v>0.61519129776492953</v>
      </c>
      <c r="D66" s="20">
        <v>0.76347657671715308</v>
      </c>
    </row>
    <row r="67" spans="1:4" x14ac:dyDescent="0.25">
      <c r="A67" s="37">
        <v>0.9</v>
      </c>
      <c r="B67" s="32">
        <v>0.48342393798796091</v>
      </c>
      <c r="C67" s="32">
        <v>0.61803056202678508</v>
      </c>
      <c r="D67" s="20">
        <v>0.76180164456073896</v>
      </c>
    </row>
    <row r="68" spans="1:4" x14ac:dyDescent="0.25">
      <c r="A68" s="20">
        <v>0.95</v>
      </c>
      <c r="B68" s="32">
        <v>0.49012670132707264</v>
      </c>
      <c r="C68" s="32">
        <v>0.62075881137936284</v>
      </c>
      <c r="D68" s="20">
        <v>0.76034424749908958</v>
      </c>
    </row>
    <row r="69" spans="1:4" x14ac:dyDescent="0.25">
      <c r="A69" s="37">
        <v>1</v>
      </c>
      <c r="B69" s="32">
        <v>0.49644706236890962</v>
      </c>
      <c r="C69" s="32">
        <v>0.62338429553912389</v>
      </c>
      <c r="D69" s="20">
        <v>0.7590737631617217</v>
      </c>
    </row>
  </sheetData>
  <mergeCells count="2">
    <mergeCell ref="A1:E1"/>
    <mergeCell ref="B47:D47"/>
  </mergeCells>
  <phoneticPr fontId="1" type="noConversion"/>
  <printOptions headings="1" gridLines="1"/>
  <pageMargins left="0.75" right="0.75" top="1" bottom="1" header="0.5" footer="0.5"/>
  <pageSetup scale="86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A2E71-7B77-4D1E-8239-62F299D24500}">
  <sheetPr codeName="Sheet5">
    <pageSetUpPr fitToPage="1"/>
  </sheetPr>
  <dimension ref="A1:G86"/>
  <sheetViews>
    <sheetView tabSelected="1" topLeftCell="A3" workbookViewId="0">
      <selection activeCell="D43" sqref="D43"/>
    </sheetView>
  </sheetViews>
  <sheetFormatPr defaultRowHeight="13.2" x14ac:dyDescent="0.25"/>
  <cols>
    <col min="1" max="1" width="15" style="20" customWidth="1"/>
    <col min="2" max="2" width="8.88671875" style="20"/>
    <col min="3" max="3" width="34.5546875" style="20" customWidth="1"/>
    <col min="4" max="4" width="13.6640625" style="20" customWidth="1"/>
    <col min="5" max="5" width="30" style="20" customWidth="1"/>
    <col min="6" max="256" width="8.88671875" style="20"/>
    <col min="257" max="257" width="15" style="20" customWidth="1"/>
    <col min="258" max="258" width="8.88671875" style="20"/>
    <col min="259" max="259" width="34.5546875" style="20" customWidth="1"/>
    <col min="260" max="260" width="13.6640625" style="20" customWidth="1"/>
    <col min="261" max="261" width="30" style="20" customWidth="1"/>
    <col min="262" max="512" width="8.88671875" style="20"/>
    <col min="513" max="513" width="15" style="20" customWidth="1"/>
    <col min="514" max="514" width="8.88671875" style="20"/>
    <col min="515" max="515" width="34.5546875" style="20" customWidth="1"/>
    <col min="516" max="516" width="13.6640625" style="20" customWidth="1"/>
    <col min="517" max="517" width="30" style="20" customWidth="1"/>
    <col min="518" max="768" width="8.88671875" style="20"/>
    <col min="769" max="769" width="15" style="20" customWidth="1"/>
    <col min="770" max="770" width="8.88671875" style="20"/>
    <col min="771" max="771" width="34.5546875" style="20" customWidth="1"/>
    <col min="772" max="772" width="13.6640625" style="20" customWidth="1"/>
    <col min="773" max="773" width="30" style="20" customWidth="1"/>
    <col min="774" max="1024" width="8.88671875" style="20"/>
    <col min="1025" max="1025" width="15" style="20" customWidth="1"/>
    <col min="1026" max="1026" width="8.88671875" style="20"/>
    <col min="1027" max="1027" width="34.5546875" style="20" customWidth="1"/>
    <col min="1028" max="1028" width="13.6640625" style="20" customWidth="1"/>
    <col min="1029" max="1029" width="30" style="20" customWidth="1"/>
    <col min="1030" max="1280" width="8.88671875" style="20"/>
    <col min="1281" max="1281" width="15" style="20" customWidth="1"/>
    <col min="1282" max="1282" width="8.88671875" style="20"/>
    <col min="1283" max="1283" width="34.5546875" style="20" customWidth="1"/>
    <col min="1284" max="1284" width="13.6640625" style="20" customWidth="1"/>
    <col min="1285" max="1285" width="30" style="20" customWidth="1"/>
    <col min="1286" max="1536" width="8.88671875" style="20"/>
    <col min="1537" max="1537" width="15" style="20" customWidth="1"/>
    <col min="1538" max="1538" width="8.88671875" style="20"/>
    <col min="1539" max="1539" width="34.5546875" style="20" customWidth="1"/>
    <col min="1540" max="1540" width="13.6640625" style="20" customWidth="1"/>
    <col min="1541" max="1541" width="30" style="20" customWidth="1"/>
    <col min="1542" max="1792" width="8.88671875" style="20"/>
    <col min="1793" max="1793" width="15" style="20" customWidth="1"/>
    <col min="1794" max="1794" width="8.88671875" style="20"/>
    <col min="1795" max="1795" width="34.5546875" style="20" customWidth="1"/>
    <col min="1796" max="1796" width="13.6640625" style="20" customWidth="1"/>
    <col min="1797" max="1797" width="30" style="20" customWidth="1"/>
    <col min="1798" max="2048" width="8.88671875" style="20"/>
    <col min="2049" max="2049" width="15" style="20" customWidth="1"/>
    <col min="2050" max="2050" width="8.88671875" style="20"/>
    <col min="2051" max="2051" width="34.5546875" style="20" customWidth="1"/>
    <col min="2052" max="2052" width="13.6640625" style="20" customWidth="1"/>
    <col min="2053" max="2053" width="30" style="20" customWidth="1"/>
    <col min="2054" max="2304" width="8.88671875" style="20"/>
    <col min="2305" max="2305" width="15" style="20" customWidth="1"/>
    <col min="2306" max="2306" width="8.88671875" style="20"/>
    <col min="2307" max="2307" width="34.5546875" style="20" customWidth="1"/>
    <col min="2308" max="2308" width="13.6640625" style="20" customWidth="1"/>
    <col min="2309" max="2309" width="30" style="20" customWidth="1"/>
    <col min="2310" max="2560" width="8.88671875" style="20"/>
    <col min="2561" max="2561" width="15" style="20" customWidth="1"/>
    <col min="2562" max="2562" width="8.88671875" style="20"/>
    <col min="2563" max="2563" width="34.5546875" style="20" customWidth="1"/>
    <col min="2564" max="2564" width="13.6640625" style="20" customWidth="1"/>
    <col min="2565" max="2565" width="30" style="20" customWidth="1"/>
    <col min="2566" max="2816" width="8.88671875" style="20"/>
    <col min="2817" max="2817" width="15" style="20" customWidth="1"/>
    <col min="2818" max="2818" width="8.88671875" style="20"/>
    <col min="2819" max="2819" width="34.5546875" style="20" customWidth="1"/>
    <col min="2820" max="2820" width="13.6640625" style="20" customWidth="1"/>
    <col min="2821" max="2821" width="30" style="20" customWidth="1"/>
    <col min="2822" max="3072" width="8.88671875" style="20"/>
    <col min="3073" max="3073" width="15" style="20" customWidth="1"/>
    <col min="3074" max="3074" width="8.88671875" style="20"/>
    <col min="3075" max="3075" width="34.5546875" style="20" customWidth="1"/>
    <col min="3076" max="3076" width="13.6640625" style="20" customWidth="1"/>
    <col min="3077" max="3077" width="30" style="20" customWidth="1"/>
    <col min="3078" max="3328" width="8.88671875" style="20"/>
    <col min="3329" max="3329" width="15" style="20" customWidth="1"/>
    <col min="3330" max="3330" width="8.88671875" style="20"/>
    <col min="3331" max="3331" width="34.5546875" style="20" customWidth="1"/>
    <col min="3332" max="3332" width="13.6640625" style="20" customWidth="1"/>
    <col min="3333" max="3333" width="30" style="20" customWidth="1"/>
    <col min="3334" max="3584" width="8.88671875" style="20"/>
    <col min="3585" max="3585" width="15" style="20" customWidth="1"/>
    <col min="3586" max="3586" width="8.88671875" style="20"/>
    <col min="3587" max="3587" width="34.5546875" style="20" customWidth="1"/>
    <col min="3588" max="3588" width="13.6640625" style="20" customWidth="1"/>
    <col min="3589" max="3589" width="30" style="20" customWidth="1"/>
    <col min="3590" max="3840" width="8.88671875" style="20"/>
    <col min="3841" max="3841" width="15" style="20" customWidth="1"/>
    <col min="3842" max="3842" width="8.88671875" style="20"/>
    <col min="3843" max="3843" width="34.5546875" style="20" customWidth="1"/>
    <col min="3844" max="3844" width="13.6640625" style="20" customWidth="1"/>
    <col min="3845" max="3845" width="30" style="20" customWidth="1"/>
    <col min="3846" max="4096" width="8.88671875" style="20"/>
    <col min="4097" max="4097" width="15" style="20" customWidth="1"/>
    <col min="4098" max="4098" width="8.88671875" style="20"/>
    <col min="4099" max="4099" width="34.5546875" style="20" customWidth="1"/>
    <col min="4100" max="4100" width="13.6640625" style="20" customWidth="1"/>
    <col min="4101" max="4101" width="30" style="20" customWidth="1"/>
    <col min="4102" max="4352" width="8.88671875" style="20"/>
    <col min="4353" max="4353" width="15" style="20" customWidth="1"/>
    <col min="4354" max="4354" width="8.88671875" style="20"/>
    <col min="4355" max="4355" width="34.5546875" style="20" customWidth="1"/>
    <col min="4356" max="4356" width="13.6640625" style="20" customWidth="1"/>
    <col min="4357" max="4357" width="30" style="20" customWidth="1"/>
    <col min="4358" max="4608" width="8.88671875" style="20"/>
    <col min="4609" max="4609" width="15" style="20" customWidth="1"/>
    <col min="4610" max="4610" width="8.88671875" style="20"/>
    <col min="4611" max="4611" width="34.5546875" style="20" customWidth="1"/>
    <col min="4612" max="4612" width="13.6640625" style="20" customWidth="1"/>
    <col min="4613" max="4613" width="30" style="20" customWidth="1"/>
    <col min="4614" max="4864" width="8.88671875" style="20"/>
    <col min="4865" max="4865" width="15" style="20" customWidth="1"/>
    <col min="4866" max="4866" width="8.88671875" style="20"/>
    <col min="4867" max="4867" width="34.5546875" style="20" customWidth="1"/>
    <col min="4868" max="4868" width="13.6640625" style="20" customWidth="1"/>
    <col min="4869" max="4869" width="30" style="20" customWidth="1"/>
    <col min="4870" max="5120" width="8.88671875" style="20"/>
    <col min="5121" max="5121" width="15" style="20" customWidth="1"/>
    <col min="5122" max="5122" width="8.88671875" style="20"/>
    <col min="5123" max="5123" width="34.5546875" style="20" customWidth="1"/>
    <col min="5124" max="5124" width="13.6640625" style="20" customWidth="1"/>
    <col min="5125" max="5125" width="30" style="20" customWidth="1"/>
    <col min="5126" max="5376" width="8.88671875" style="20"/>
    <col min="5377" max="5377" width="15" style="20" customWidth="1"/>
    <col min="5378" max="5378" width="8.88671875" style="20"/>
    <col min="5379" max="5379" width="34.5546875" style="20" customWidth="1"/>
    <col min="5380" max="5380" width="13.6640625" style="20" customWidth="1"/>
    <col min="5381" max="5381" width="30" style="20" customWidth="1"/>
    <col min="5382" max="5632" width="8.88671875" style="20"/>
    <col min="5633" max="5633" width="15" style="20" customWidth="1"/>
    <col min="5634" max="5634" width="8.88671875" style="20"/>
    <col min="5635" max="5635" width="34.5546875" style="20" customWidth="1"/>
    <col min="5636" max="5636" width="13.6640625" style="20" customWidth="1"/>
    <col min="5637" max="5637" width="30" style="20" customWidth="1"/>
    <col min="5638" max="5888" width="8.88671875" style="20"/>
    <col min="5889" max="5889" width="15" style="20" customWidth="1"/>
    <col min="5890" max="5890" width="8.88671875" style="20"/>
    <col min="5891" max="5891" width="34.5546875" style="20" customWidth="1"/>
    <col min="5892" max="5892" width="13.6640625" style="20" customWidth="1"/>
    <col min="5893" max="5893" width="30" style="20" customWidth="1"/>
    <col min="5894" max="6144" width="8.88671875" style="20"/>
    <col min="6145" max="6145" width="15" style="20" customWidth="1"/>
    <col min="6146" max="6146" width="8.88671875" style="20"/>
    <col min="6147" max="6147" width="34.5546875" style="20" customWidth="1"/>
    <col min="6148" max="6148" width="13.6640625" style="20" customWidth="1"/>
    <col min="6149" max="6149" width="30" style="20" customWidth="1"/>
    <col min="6150" max="6400" width="8.88671875" style="20"/>
    <col min="6401" max="6401" width="15" style="20" customWidth="1"/>
    <col min="6402" max="6402" width="8.88671875" style="20"/>
    <col min="6403" max="6403" width="34.5546875" style="20" customWidth="1"/>
    <col min="6404" max="6404" width="13.6640625" style="20" customWidth="1"/>
    <col min="6405" max="6405" width="30" style="20" customWidth="1"/>
    <col min="6406" max="6656" width="8.88671875" style="20"/>
    <col min="6657" max="6657" width="15" style="20" customWidth="1"/>
    <col min="6658" max="6658" width="8.88671875" style="20"/>
    <col min="6659" max="6659" width="34.5546875" style="20" customWidth="1"/>
    <col min="6660" max="6660" width="13.6640625" style="20" customWidth="1"/>
    <col min="6661" max="6661" width="30" style="20" customWidth="1"/>
    <col min="6662" max="6912" width="8.88671875" style="20"/>
    <col min="6913" max="6913" width="15" style="20" customWidth="1"/>
    <col min="6914" max="6914" width="8.88671875" style="20"/>
    <col min="6915" max="6915" width="34.5546875" style="20" customWidth="1"/>
    <col min="6916" max="6916" width="13.6640625" style="20" customWidth="1"/>
    <col min="6917" max="6917" width="30" style="20" customWidth="1"/>
    <col min="6918" max="7168" width="8.88671875" style="20"/>
    <col min="7169" max="7169" width="15" style="20" customWidth="1"/>
    <col min="7170" max="7170" width="8.88671875" style="20"/>
    <col min="7171" max="7171" width="34.5546875" style="20" customWidth="1"/>
    <col min="7172" max="7172" width="13.6640625" style="20" customWidth="1"/>
    <col min="7173" max="7173" width="30" style="20" customWidth="1"/>
    <col min="7174" max="7424" width="8.88671875" style="20"/>
    <col min="7425" max="7425" width="15" style="20" customWidth="1"/>
    <col min="7426" max="7426" width="8.88671875" style="20"/>
    <col min="7427" max="7427" width="34.5546875" style="20" customWidth="1"/>
    <col min="7428" max="7428" width="13.6640625" style="20" customWidth="1"/>
    <col min="7429" max="7429" width="30" style="20" customWidth="1"/>
    <col min="7430" max="7680" width="8.88671875" style="20"/>
    <col min="7681" max="7681" width="15" style="20" customWidth="1"/>
    <col min="7682" max="7682" width="8.88671875" style="20"/>
    <col min="7683" max="7683" width="34.5546875" style="20" customWidth="1"/>
    <col min="7684" max="7684" width="13.6640625" style="20" customWidth="1"/>
    <col min="7685" max="7685" width="30" style="20" customWidth="1"/>
    <col min="7686" max="7936" width="8.88671875" style="20"/>
    <col min="7937" max="7937" width="15" style="20" customWidth="1"/>
    <col min="7938" max="7938" width="8.88671875" style="20"/>
    <col min="7939" max="7939" width="34.5546875" style="20" customWidth="1"/>
    <col min="7940" max="7940" width="13.6640625" style="20" customWidth="1"/>
    <col min="7941" max="7941" width="30" style="20" customWidth="1"/>
    <col min="7942" max="8192" width="8.88671875" style="20"/>
    <col min="8193" max="8193" width="15" style="20" customWidth="1"/>
    <col min="8194" max="8194" width="8.88671875" style="20"/>
    <col min="8195" max="8195" width="34.5546875" style="20" customWidth="1"/>
    <col min="8196" max="8196" width="13.6640625" style="20" customWidth="1"/>
    <col min="8197" max="8197" width="30" style="20" customWidth="1"/>
    <col min="8198" max="8448" width="8.88671875" style="20"/>
    <col min="8449" max="8449" width="15" style="20" customWidth="1"/>
    <col min="8450" max="8450" width="8.88671875" style="20"/>
    <col min="8451" max="8451" width="34.5546875" style="20" customWidth="1"/>
    <col min="8452" max="8452" width="13.6640625" style="20" customWidth="1"/>
    <col min="8453" max="8453" width="30" style="20" customWidth="1"/>
    <col min="8454" max="8704" width="8.88671875" style="20"/>
    <col min="8705" max="8705" width="15" style="20" customWidth="1"/>
    <col min="8706" max="8706" width="8.88671875" style="20"/>
    <col min="8707" max="8707" width="34.5546875" style="20" customWidth="1"/>
    <col min="8708" max="8708" width="13.6640625" style="20" customWidth="1"/>
    <col min="8709" max="8709" width="30" style="20" customWidth="1"/>
    <col min="8710" max="8960" width="8.88671875" style="20"/>
    <col min="8961" max="8961" width="15" style="20" customWidth="1"/>
    <col min="8962" max="8962" width="8.88671875" style="20"/>
    <col min="8963" max="8963" width="34.5546875" style="20" customWidth="1"/>
    <col min="8964" max="8964" width="13.6640625" style="20" customWidth="1"/>
    <col min="8965" max="8965" width="30" style="20" customWidth="1"/>
    <col min="8966" max="9216" width="8.88671875" style="20"/>
    <col min="9217" max="9217" width="15" style="20" customWidth="1"/>
    <col min="9218" max="9218" width="8.88671875" style="20"/>
    <col min="9219" max="9219" width="34.5546875" style="20" customWidth="1"/>
    <col min="9220" max="9220" width="13.6640625" style="20" customWidth="1"/>
    <col min="9221" max="9221" width="30" style="20" customWidth="1"/>
    <col min="9222" max="9472" width="8.88671875" style="20"/>
    <col min="9473" max="9473" width="15" style="20" customWidth="1"/>
    <col min="9474" max="9474" width="8.88671875" style="20"/>
    <col min="9475" max="9475" width="34.5546875" style="20" customWidth="1"/>
    <col min="9476" max="9476" width="13.6640625" style="20" customWidth="1"/>
    <col min="9477" max="9477" width="30" style="20" customWidth="1"/>
    <col min="9478" max="9728" width="8.88671875" style="20"/>
    <col min="9729" max="9729" width="15" style="20" customWidth="1"/>
    <col min="9730" max="9730" width="8.88671875" style="20"/>
    <col min="9731" max="9731" width="34.5546875" style="20" customWidth="1"/>
    <col min="9732" max="9732" width="13.6640625" style="20" customWidth="1"/>
    <col min="9733" max="9733" width="30" style="20" customWidth="1"/>
    <col min="9734" max="9984" width="8.88671875" style="20"/>
    <col min="9985" max="9985" width="15" style="20" customWidth="1"/>
    <col min="9986" max="9986" width="8.88671875" style="20"/>
    <col min="9987" max="9987" width="34.5546875" style="20" customWidth="1"/>
    <col min="9988" max="9988" width="13.6640625" style="20" customWidth="1"/>
    <col min="9989" max="9989" width="30" style="20" customWidth="1"/>
    <col min="9990" max="10240" width="8.88671875" style="20"/>
    <col min="10241" max="10241" width="15" style="20" customWidth="1"/>
    <col min="10242" max="10242" width="8.88671875" style="20"/>
    <col min="10243" max="10243" width="34.5546875" style="20" customWidth="1"/>
    <col min="10244" max="10244" width="13.6640625" style="20" customWidth="1"/>
    <col min="10245" max="10245" width="30" style="20" customWidth="1"/>
    <col min="10246" max="10496" width="8.88671875" style="20"/>
    <col min="10497" max="10497" width="15" style="20" customWidth="1"/>
    <col min="10498" max="10498" width="8.88671875" style="20"/>
    <col min="10499" max="10499" width="34.5546875" style="20" customWidth="1"/>
    <col min="10500" max="10500" width="13.6640625" style="20" customWidth="1"/>
    <col min="10501" max="10501" width="30" style="20" customWidth="1"/>
    <col min="10502" max="10752" width="8.88671875" style="20"/>
    <col min="10753" max="10753" width="15" style="20" customWidth="1"/>
    <col min="10754" max="10754" width="8.88671875" style="20"/>
    <col min="10755" max="10755" width="34.5546875" style="20" customWidth="1"/>
    <col min="10756" max="10756" width="13.6640625" style="20" customWidth="1"/>
    <col min="10757" max="10757" width="30" style="20" customWidth="1"/>
    <col min="10758" max="11008" width="8.88671875" style="20"/>
    <col min="11009" max="11009" width="15" style="20" customWidth="1"/>
    <col min="11010" max="11010" width="8.88671875" style="20"/>
    <col min="11011" max="11011" width="34.5546875" style="20" customWidth="1"/>
    <col min="11012" max="11012" width="13.6640625" style="20" customWidth="1"/>
    <col min="11013" max="11013" width="30" style="20" customWidth="1"/>
    <col min="11014" max="11264" width="8.88671875" style="20"/>
    <col min="11265" max="11265" width="15" style="20" customWidth="1"/>
    <col min="11266" max="11266" width="8.88671875" style="20"/>
    <col min="11267" max="11267" width="34.5546875" style="20" customWidth="1"/>
    <col min="11268" max="11268" width="13.6640625" style="20" customWidth="1"/>
    <col min="11269" max="11269" width="30" style="20" customWidth="1"/>
    <col min="11270" max="11520" width="8.88671875" style="20"/>
    <col min="11521" max="11521" width="15" style="20" customWidth="1"/>
    <col min="11522" max="11522" width="8.88671875" style="20"/>
    <col min="11523" max="11523" width="34.5546875" style="20" customWidth="1"/>
    <col min="11524" max="11524" width="13.6640625" style="20" customWidth="1"/>
    <col min="11525" max="11525" width="30" style="20" customWidth="1"/>
    <col min="11526" max="11776" width="8.88671875" style="20"/>
    <col min="11777" max="11777" width="15" style="20" customWidth="1"/>
    <col min="11778" max="11778" width="8.88671875" style="20"/>
    <col min="11779" max="11779" width="34.5546875" style="20" customWidth="1"/>
    <col min="11780" max="11780" width="13.6640625" style="20" customWidth="1"/>
    <col min="11781" max="11781" width="30" style="20" customWidth="1"/>
    <col min="11782" max="12032" width="8.88671875" style="20"/>
    <col min="12033" max="12033" width="15" style="20" customWidth="1"/>
    <col min="12034" max="12034" width="8.88671875" style="20"/>
    <col min="12035" max="12035" width="34.5546875" style="20" customWidth="1"/>
    <col min="12036" max="12036" width="13.6640625" style="20" customWidth="1"/>
    <col min="12037" max="12037" width="30" style="20" customWidth="1"/>
    <col min="12038" max="12288" width="8.88671875" style="20"/>
    <col min="12289" max="12289" width="15" style="20" customWidth="1"/>
    <col min="12290" max="12290" width="8.88671875" style="20"/>
    <col min="12291" max="12291" width="34.5546875" style="20" customWidth="1"/>
    <col min="12292" max="12292" width="13.6640625" style="20" customWidth="1"/>
    <col min="12293" max="12293" width="30" style="20" customWidth="1"/>
    <col min="12294" max="12544" width="8.88671875" style="20"/>
    <col min="12545" max="12545" width="15" style="20" customWidth="1"/>
    <col min="12546" max="12546" width="8.88671875" style="20"/>
    <col min="12547" max="12547" width="34.5546875" style="20" customWidth="1"/>
    <col min="12548" max="12548" width="13.6640625" style="20" customWidth="1"/>
    <col min="12549" max="12549" width="30" style="20" customWidth="1"/>
    <col min="12550" max="12800" width="8.88671875" style="20"/>
    <col min="12801" max="12801" width="15" style="20" customWidth="1"/>
    <col min="12802" max="12802" width="8.88671875" style="20"/>
    <col min="12803" max="12803" width="34.5546875" style="20" customWidth="1"/>
    <col min="12804" max="12804" width="13.6640625" style="20" customWidth="1"/>
    <col min="12805" max="12805" width="30" style="20" customWidth="1"/>
    <col min="12806" max="13056" width="8.88671875" style="20"/>
    <col min="13057" max="13057" width="15" style="20" customWidth="1"/>
    <col min="13058" max="13058" width="8.88671875" style="20"/>
    <col min="13059" max="13059" width="34.5546875" style="20" customWidth="1"/>
    <col min="13060" max="13060" width="13.6640625" style="20" customWidth="1"/>
    <col min="13061" max="13061" width="30" style="20" customWidth="1"/>
    <col min="13062" max="13312" width="8.88671875" style="20"/>
    <col min="13313" max="13313" width="15" style="20" customWidth="1"/>
    <col min="13314" max="13314" width="8.88671875" style="20"/>
    <col min="13315" max="13315" width="34.5546875" style="20" customWidth="1"/>
    <col min="13316" max="13316" width="13.6640625" style="20" customWidth="1"/>
    <col min="13317" max="13317" width="30" style="20" customWidth="1"/>
    <col min="13318" max="13568" width="8.88671875" style="20"/>
    <col min="13569" max="13569" width="15" style="20" customWidth="1"/>
    <col min="13570" max="13570" width="8.88671875" style="20"/>
    <col min="13571" max="13571" width="34.5546875" style="20" customWidth="1"/>
    <col min="13572" max="13572" width="13.6640625" style="20" customWidth="1"/>
    <col min="13573" max="13573" width="30" style="20" customWidth="1"/>
    <col min="13574" max="13824" width="8.88671875" style="20"/>
    <col min="13825" max="13825" width="15" style="20" customWidth="1"/>
    <col min="13826" max="13826" width="8.88671875" style="20"/>
    <col min="13827" max="13827" width="34.5546875" style="20" customWidth="1"/>
    <col min="13828" max="13828" width="13.6640625" style="20" customWidth="1"/>
    <col min="13829" max="13829" width="30" style="20" customWidth="1"/>
    <col min="13830" max="14080" width="8.88671875" style="20"/>
    <col min="14081" max="14081" width="15" style="20" customWidth="1"/>
    <col min="14082" max="14082" width="8.88671875" style="20"/>
    <col min="14083" max="14083" width="34.5546875" style="20" customWidth="1"/>
    <col min="14084" max="14084" width="13.6640625" style="20" customWidth="1"/>
    <col min="14085" max="14085" width="30" style="20" customWidth="1"/>
    <col min="14086" max="14336" width="8.88671875" style="20"/>
    <col min="14337" max="14337" width="15" style="20" customWidth="1"/>
    <col min="14338" max="14338" width="8.88671875" style="20"/>
    <col min="14339" max="14339" width="34.5546875" style="20" customWidth="1"/>
    <col min="14340" max="14340" width="13.6640625" style="20" customWidth="1"/>
    <col min="14341" max="14341" width="30" style="20" customWidth="1"/>
    <col min="14342" max="14592" width="8.88671875" style="20"/>
    <col min="14593" max="14593" width="15" style="20" customWidth="1"/>
    <col min="14594" max="14594" width="8.88671875" style="20"/>
    <col min="14595" max="14595" width="34.5546875" style="20" customWidth="1"/>
    <col min="14596" max="14596" width="13.6640625" style="20" customWidth="1"/>
    <col min="14597" max="14597" width="30" style="20" customWidth="1"/>
    <col min="14598" max="14848" width="8.88671875" style="20"/>
    <col min="14849" max="14849" width="15" style="20" customWidth="1"/>
    <col min="14850" max="14850" width="8.88671875" style="20"/>
    <col min="14851" max="14851" width="34.5546875" style="20" customWidth="1"/>
    <col min="14852" max="14852" width="13.6640625" style="20" customWidth="1"/>
    <col min="14853" max="14853" width="30" style="20" customWidth="1"/>
    <col min="14854" max="15104" width="8.88671875" style="20"/>
    <col min="15105" max="15105" width="15" style="20" customWidth="1"/>
    <col min="15106" max="15106" width="8.88671875" style="20"/>
    <col min="15107" max="15107" width="34.5546875" style="20" customWidth="1"/>
    <col min="15108" max="15108" width="13.6640625" style="20" customWidth="1"/>
    <col min="15109" max="15109" width="30" style="20" customWidth="1"/>
    <col min="15110" max="15360" width="8.88671875" style="20"/>
    <col min="15361" max="15361" width="15" style="20" customWidth="1"/>
    <col min="15362" max="15362" width="8.88671875" style="20"/>
    <col min="15363" max="15363" width="34.5546875" style="20" customWidth="1"/>
    <col min="15364" max="15364" width="13.6640625" style="20" customWidth="1"/>
    <col min="15365" max="15365" width="30" style="20" customWidth="1"/>
    <col min="15366" max="15616" width="8.88671875" style="20"/>
    <col min="15617" max="15617" width="15" style="20" customWidth="1"/>
    <col min="15618" max="15618" width="8.88671875" style="20"/>
    <col min="15619" max="15619" width="34.5546875" style="20" customWidth="1"/>
    <col min="15620" max="15620" width="13.6640625" style="20" customWidth="1"/>
    <col min="15621" max="15621" width="30" style="20" customWidth="1"/>
    <col min="15622" max="15872" width="8.88671875" style="20"/>
    <col min="15873" max="15873" width="15" style="20" customWidth="1"/>
    <col min="15874" max="15874" width="8.88671875" style="20"/>
    <col min="15875" max="15875" width="34.5546875" style="20" customWidth="1"/>
    <col min="15876" max="15876" width="13.6640625" style="20" customWidth="1"/>
    <col min="15877" max="15877" width="30" style="20" customWidth="1"/>
    <col min="15878" max="16128" width="8.88671875" style="20"/>
    <col min="16129" max="16129" width="15" style="20" customWidth="1"/>
    <col min="16130" max="16130" width="8.88671875" style="20"/>
    <col min="16131" max="16131" width="34.5546875" style="20" customWidth="1"/>
    <col min="16132" max="16132" width="13.6640625" style="20" customWidth="1"/>
    <col min="16133" max="16133" width="30" style="20" customWidth="1"/>
    <col min="16134" max="16384" width="8.88671875" style="20"/>
  </cols>
  <sheetData>
    <row r="1" spans="1:7" ht="45.75" customHeight="1" x14ac:dyDescent="0.25">
      <c r="A1" s="19" t="s">
        <v>37</v>
      </c>
      <c r="B1" s="19"/>
      <c r="C1" s="19"/>
      <c r="D1" s="19"/>
      <c r="E1" s="19"/>
    </row>
    <row r="2" spans="1:7" x14ac:dyDescent="0.25">
      <c r="A2" s="21" t="s">
        <v>1</v>
      </c>
      <c r="B2" s="22">
        <v>100</v>
      </c>
      <c r="C2" s="21" t="s">
        <v>2</v>
      </c>
      <c r="D2" s="23"/>
      <c r="E2" s="23"/>
      <c r="F2" s="23"/>
      <c r="G2" s="23"/>
    </row>
    <row r="3" spans="1:7" x14ac:dyDescent="0.25">
      <c r="A3" s="23" t="s">
        <v>3</v>
      </c>
      <c r="B3" s="22">
        <v>100</v>
      </c>
      <c r="C3" s="21" t="s">
        <v>4</v>
      </c>
      <c r="D3" s="24"/>
      <c r="E3" s="23"/>
      <c r="F3" s="23"/>
      <c r="G3" s="23"/>
    </row>
    <row r="4" spans="1:7" x14ac:dyDescent="0.25">
      <c r="A4" s="23" t="s">
        <v>5</v>
      </c>
      <c r="B4" s="25">
        <v>0.6</v>
      </c>
      <c r="C4" s="21" t="s">
        <v>6</v>
      </c>
      <c r="D4" s="23"/>
      <c r="E4" s="23"/>
      <c r="F4" s="23"/>
      <c r="G4" s="23"/>
    </row>
    <row r="5" spans="1:7" x14ac:dyDescent="0.25">
      <c r="A5" s="23" t="s">
        <v>7</v>
      </c>
      <c r="B5" s="26">
        <v>0.06</v>
      </c>
      <c r="C5" s="21" t="s">
        <v>8</v>
      </c>
      <c r="D5" s="23"/>
      <c r="E5" s="27"/>
      <c r="F5" s="23"/>
      <c r="G5" s="23"/>
    </row>
    <row r="6" spans="1:7" x14ac:dyDescent="0.25">
      <c r="A6" s="21" t="s">
        <v>9</v>
      </c>
      <c r="B6" s="26">
        <v>0.02</v>
      </c>
      <c r="C6" s="21" t="s">
        <v>10</v>
      </c>
      <c r="D6" s="23"/>
      <c r="E6" s="23"/>
      <c r="F6" s="23"/>
      <c r="G6" s="23"/>
    </row>
    <row r="7" spans="1:7" x14ac:dyDescent="0.25">
      <c r="A7" s="21" t="s">
        <v>11</v>
      </c>
      <c r="B7" s="21">
        <v>0.35</v>
      </c>
      <c r="C7" s="21" t="s">
        <v>12</v>
      </c>
      <c r="D7" s="23"/>
      <c r="E7" s="23"/>
      <c r="F7" s="23"/>
      <c r="G7" s="23"/>
    </row>
    <row r="8" spans="1:7" x14ac:dyDescent="0.25">
      <c r="A8" s="23"/>
      <c r="B8" s="21"/>
      <c r="C8" s="21"/>
      <c r="D8" s="23"/>
      <c r="E8" s="23"/>
      <c r="F8" s="23"/>
      <c r="G8" s="23"/>
    </row>
    <row r="9" spans="1:7" x14ac:dyDescent="0.25">
      <c r="A9" s="21" t="s">
        <v>20</v>
      </c>
      <c r="B9" s="28">
        <f>[1]!BSMertonCall(B2,B3,B4,B5,B6,B7)</f>
        <v>11.740242008018527</v>
      </c>
      <c r="C9" s="21" t="str">
        <f t="shared" ref="C9:C10" ca="1" si="0">_xlfn.FORMULATEXT(B9)</f>
        <v>=BSMertonCall(B2,B3,B4,B5,B6,B7)</v>
      </c>
      <c r="D9" s="23"/>
      <c r="E9" s="23"/>
      <c r="F9" s="23"/>
      <c r="G9" s="23"/>
    </row>
    <row r="10" spans="1:7" x14ac:dyDescent="0.25">
      <c r="A10" s="21" t="s">
        <v>21</v>
      </c>
      <c r="B10" s="28">
        <f>[1]!bsmertonput(B2,B3,B4,B5,B6,B7)</f>
        <v>9.3971000701377818</v>
      </c>
      <c r="C10" s="21" t="str">
        <f t="shared" ca="1" si="0"/>
        <v>=bsmertonput(B2,B3,B4,B5,B6,B7)</v>
      </c>
      <c r="D10" s="23"/>
      <c r="E10" s="23"/>
      <c r="F10" s="23"/>
      <c r="G10" s="23"/>
    </row>
    <row r="12" spans="1:7" ht="15.6" x14ac:dyDescent="0.3">
      <c r="A12" s="29" t="s">
        <v>33</v>
      </c>
    </row>
    <row r="13" spans="1:7" x14ac:dyDescent="0.25">
      <c r="B13" s="30" t="s">
        <v>23</v>
      </c>
      <c r="C13" s="30"/>
      <c r="D13" s="31" t="s">
        <v>24</v>
      </c>
    </row>
    <row r="14" spans="1:7" x14ac:dyDescent="0.25">
      <c r="A14" s="20" t="s">
        <v>25</v>
      </c>
      <c r="B14" s="32">
        <f>[1]!deltacall(B2,B3,B4,B5,B6,B7)</f>
        <v>0.58163076121804747</v>
      </c>
      <c r="C14" s="20" t="str">
        <f t="shared" ref="C14:C18" ca="1" si="1">_xlfn.FORMULATEXT(B14)</f>
        <v>=deltacall(B2,B3,B4,B5,B6,B7)</v>
      </c>
      <c r="D14" s="32">
        <f>[1]!deltaput(B2,B3,B4,B5,B6,B7)</f>
        <v>-0.406440951643883</v>
      </c>
      <c r="E14" s="20" t="str">
        <f t="shared" ref="E14:E18" ca="1" si="2">_xlfn.FORMULATEXT(D14)</f>
        <v>=deltaput(B2,B3,B4,B5,B6,B7)</v>
      </c>
    </row>
    <row r="15" spans="1:7" x14ac:dyDescent="0.25">
      <c r="A15" s="20" t="s">
        <v>26</v>
      </c>
      <c r="B15" s="32">
        <f>[1]!ggamma(B2,B3,B4,B5,B6,B7)</f>
        <v>1.4909332564932409E-2</v>
      </c>
      <c r="C15" s="20" t="str">
        <f t="shared" ca="1" si="1"/>
        <v>=ggamma(B2,B3,B4,B5,B6,B7)</v>
      </c>
      <c r="D15" s="32">
        <f>[1]!ggamma(B2,B3,B4,B5,B6,B7)</f>
        <v>1.4909332564932409E-2</v>
      </c>
      <c r="E15" s="20" t="str">
        <f t="shared" ca="1" si="2"/>
        <v>=ggamma(B2,B3,B4,B5,B6,B7)</v>
      </c>
    </row>
    <row r="16" spans="1:7" x14ac:dyDescent="0.25">
      <c r="A16" s="20" t="s">
        <v>27</v>
      </c>
      <c r="B16" s="32">
        <f>[1]!vega(B2,B3,B4,B5,B6,B7)</f>
        <v>29.776305909880687</v>
      </c>
      <c r="C16" s="20" t="str">
        <f t="shared" ca="1" si="1"/>
        <v>=vega(B2,B3,B4,B5,B6,B7)</v>
      </c>
      <c r="D16" s="32">
        <f>[1]!vega(B2,B3,B4,B5,B6,B7)</f>
        <v>29.776305909880687</v>
      </c>
      <c r="E16" s="20" t="str">
        <f t="shared" ca="1" si="2"/>
        <v>=vega(B2,B3,B4,B5,B6,B7)</v>
      </c>
    </row>
    <row r="17" spans="1:5" x14ac:dyDescent="0.25">
      <c r="A17" s="20" t="s">
        <v>28</v>
      </c>
      <c r="B17" s="32">
        <f>[1]!Thetacall(B2,B3,B4,B5,B6,B7)</f>
        <v>-10.306864414772944</v>
      </c>
      <c r="C17" s="33" t="str">
        <f t="shared" ca="1" si="1"/>
        <v>=Thetacall(B2,B3,B4,B5,B6,B7)</v>
      </c>
      <c r="D17" s="32">
        <f>[1]!Thetaput(B2,B3,B4,B5,B6,B7)</f>
        <v>-6.4951660795980652</v>
      </c>
      <c r="E17" s="33" t="str">
        <f t="shared" ca="1" si="2"/>
        <v>=Thetaput(B2,B3,B4,B5,B6,B7)</v>
      </c>
    </row>
    <row r="18" spans="1:5" x14ac:dyDescent="0.25">
      <c r="A18" s="20" t="s">
        <v>29</v>
      </c>
      <c r="B18" s="32">
        <f>[1]!rhocall(B2,B3,B4,B5,B6,B7)</f>
        <v>27.853700468271732</v>
      </c>
      <c r="C18" s="20" t="str">
        <f t="shared" ca="1" si="1"/>
        <v>=rhocall(B2,B3,B4,B5,B6,B7)</v>
      </c>
      <c r="D18" s="32">
        <f>[1]!rhoput(B2,B3,B4,B5,B6,B7)</f>
        <v>-30.024717140715655</v>
      </c>
      <c r="E18" s="20" t="str">
        <f t="shared" ca="1" si="2"/>
        <v>=rhoput(B2,B3,B4,B5,B6,B7)</v>
      </c>
    </row>
    <row r="20" spans="1:5" x14ac:dyDescent="0.25">
      <c r="A20" s="39" t="s">
        <v>43</v>
      </c>
    </row>
    <row r="21" spans="1:5" x14ac:dyDescent="0.25">
      <c r="A21" s="34" t="s">
        <v>42</v>
      </c>
    </row>
    <row r="22" spans="1:5" x14ac:dyDescent="0.25">
      <c r="B22" s="32">
        <f>B17</f>
        <v>-10.306864414772944</v>
      </c>
      <c r="C22" s="32">
        <f>D17</f>
        <v>-6.4951660795980652</v>
      </c>
      <c r="D22" s="20" t="s">
        <v>35</v>
      </c>
    </row>
    <row r="23" spans="1:5" x14ac:dyDescent="0.25">
      <c r="A23" s="35">
        <v>2.0000000000000001E-4</v>
      </c>
      <c r="B23" s="20">
        <f t="dataTable" ref="B23:C37" dt2D="0" dtr="0" r1="B2" ca="1"/>
        <v>0</v>
      </c>
      <c r="C23" s="32">
        <v>5.7878378086118865</v>
      </c>
    </row>
    <row r="24" spans="1:5" x14ac:dyDescent="0.25">
      <c r="A24" s="20">
        <v>20</v>
      </c>
      <c r="B24" s="32">
        <v>-1.502665098576514E-7</v>
      </c>
      <c r="C24" s="32">
        <v>5.3926129254874562</v>
      </c>
    </row>
    <row r="25" spans="1:5" x14ac:dyDescent="0.25">
      <c r="A25" s="20">
        <v>30</v>
      </c>
      <c r="B25" s="32">
        <v>-3.8119347813212151E-4</v>
      </c>
      <c r="C25" s="32">
        <v>5.1946175397034473</v>
      </c>
    </row>
    <row r="26" spans="1:5" x14ac:dyDescent="0.25">
      <c r="A26" s="20">
        <v>40</v>
      </c>
      <c r="B26" s="32">
        <v>-2.5639791071828226E-2</v>
      </c>
      <c r="C26" s="32">
        <v>4.9717445995373648</v>
      </c>
    </row>
    <row r="27" spans="1:5" x14ac:dyDescent="0.25">
      <c r="A27" s="20">
        <v>50</v>
      </c>
      <c r="B27" s="32">
        <v>-0.31012277235326802</v>
      </c>
      <c r="C27" s="32">
        <v>4.4896472756835397</v>
      </c>
    </row>
    <row r="28" spans="1:5" x14ac:dyDescent="0.25">
      <c r="A28" s="20">
        <v>60</v>
      </c>
      <c r="B28" s="32">
        <v>-1.444191126873962</v>
      </c>
      <c r="C28" s="32">
        <v>3.1579645785904589</v>
      </c>
    </row>
    <row r="29" spans="1:5" x14ac:dyDescent="0.25">
      <c r="A29" s="20">
        <v>70</v>
      </c>
      <c r="B29" s="32">
        <v>-3.7462904926757634</v>
      </c>
      <c r="C29" s="32">
        <v>0.65825087021627127</v>
      </c>
    </row>
    <row r="30" spans="1:5" x14ac:dyDescent="0.25">
      <c r="A30" s="20">
        <v>80</v>
      </c>
      <c r="B30" s="32">
        <v>-6.6322799793915568</v>
      </c>
      <c r="C30" s="32">
        <v>-2.4253529590719065</v>
      </c>
    </row>
    <row r="31" spans="1:5" x14ac:dyDescent="0.25">
      <c r="A31" s="20">
        <v>90</v>
      </c>
      <c r="B31" s="32">
        <v>-9.0531020040348</v>
      </c>
      <c r="C31" s="32">
        <v>-5.0437893262875368</v>
      </c>
    </row>
    <row r="32" spans="1:5" x14ac:dyDescent="0.25">
      <c r="A32" s="20">
        <v>100</v>
      </c>
      <c r="B32" s="32">
        <v>-10.306864414772944</v>
      </c>
      <c r="C32" s="32">
        <v>-6.4951660795980652</v>
      </c>
    </row>
    <row r="33" spans="1:6" x14ac:dyDescent="0.25">
      <c r="A33" s="20">
        <v>110</v>
      </c>
      <c r="B33" s="32">
        <v>-10.326962709062364</v>
      </c>
      <c r="C33" s="32">
        <v>-6.7128787164598744</v>
      </c>
    </row>
    <row r="34" spans="1:6" x14ac:dyDescent="0.25">
      <c r="A34" s="20">
        <v>120</v>
      </c>
      <c r="B34" s="32">
        <v>-9.4661925333064723</v>
      </c>
      <c r="C34" s="32">
        <v>-6.0497228832763685</v>
      </c>
    </row>
    <row r="35" spans="1:6" x14ac:dyDescent="0.25">
      <c r="A35" s="20">
        <v>130</v>
      </c>
      <c r="B35" s="32">
        <v>-8.175463637259341</v>
      </c>
      <c r="C35" s="32">
        <v>-4.9566083298016235</v>
      </c>
    </row>
    <row r="36" spans="1:6" x14ac:dyDescent="0.25">
      <c r="A36" s="20">
        <v>140</v>
      </c>
      <c r="B36" s="32">
        <v>-6.8083428102693366</v>
      </c>
      <c r="C36" s="32">
        <v>-3.7871018453840044</v>
      </c>
    </row>
    <row r="37" spans="1:6" x14ac:dyDescent="0.25">
      <c r="A37" s="20">
        <v>150</v>
      </c>
      <c r="B37" s="32">
        <v>-5.5686640048256617</v>
      </c>
      <c r="C37" s="32">
        <v>-2.7450373825127152</v>
      </c>
    </row>
    <row r="43" spans="1:6" x14ac:dyDescent="0.25">
      <c r="E43" s="20" t="s">
        <v>38</v>
      </c>
      <c r="F43" s="20" t="str">
        <f>"Call and Put Thetas as functions of Stock Price "&amp;CHAR(10)&amp;"Option Exercise Price = "&amp;TEXT(B3,"0")</f>
        <v>Call and Put Thetas as functions of Stock Price 
Option Exercise Price = 100</v>
      </c>
    </row>
    <row r="45" spans="1:6" x14ac:dyDescent="0.25">
      <c r="A45" s="34" t="s">
        <v>39</v>
      </c>
    </row>
    <row r="46" spans="1:6" x14ac:dyDescent="0.25">
      <c r="A46" s="34"/>
    </row>
    <row r="47" spans="1:6" x14ac:dyDescent="0.25">
      <c r="A47" s="34"/>
      <c r="B47" s="36" t="s">
        <v>4</v>
      </c>
      <c r="C47" s="36"/>
      <c r="D47" s="36"/>
    </row>
    <row r="48" spans="1:6" x14ac:dyDescent="0.25">
      <c r="A48" s="32">
        <f>B17</f>
        <v>-10.306864414772944</v>
      </c>
      <c r="B48" s="20">
        <v>120</v>
      </c>
      <c r="C48" s="20">
        <v>100</v>
      </c>
      <c r="D48" s="20">
        <v>80</v>
      </c>
    </row>
    <row r="49" spans="1:4" x14ac:dyDescent="0.25">
      <c r="A49" s="37">
        <v>0.1</v>
      </c>
      <c r="B49" s="32">
        <f t="dataTable" ref="B49:D69" dt2D="1" dtr="0" r1="B3" r2="B4"/>
        <v>-6.7911299428533241</v>
      </c>
      <c r="C49" s="32">
        <v>-23.806926560303786</v>
      </c>
      <c r="D49" s="20">
        <v>-5.0915872895963137</v>
      </c>
    </row>
    <row r="50" spans="1:4" x14ac:dyDescent="0.25">
      <c r="A50" s="20">
        <v>0.125</v>
      </c>
      <c r="B50" s="32">
        <v>-8.0069115213031967</v>
      </c>
      <c r="C50" s="32">
        <v>-21.442401544829323</v>
      </c>
      <c r="D50" s="20">
        <v>-5.8532367114928485</v>
      </c>
    </row>
    <row r="51" spans="1:4" x14ac:dyDescent="0.25">
      <c r="A51" s="37">
        <v>0.15</v>
      </c>
      <c r="B51" s="32">
        <v>-8.7977752173670751</v>
      </c>
      <c r="C51" s="32">
        <v>-19.691083265997307</v>
      </c>
      <c r="D51" s="20">
        <v>-6.423791703985879</v>
      </c>
    </row>
    <row r="52" spans="1:4" x14ac:dyDescent="0.25">
      <c r="A52" s="20">
        <v>0.17499999999999999</v>
      </c>
      <c r="B52" s="32">
        <v>-9.3064676555837611</v>
      </c>
      <c r="C52" s="32">
        <v>-18.325328737685705</v>
      </c>
      <c r="D52" s="20">
        <v>-6.8362391165820657</v>
      </c>
    </row>
    <row r="53" spans="1:4" x14ac:dyDescent="0.25">
      <c r="A53" s="37">
        <v>0.2</v>
      </c>
      <c r="B53" s="32">
        <v>-9.6272525065224368</v>
      </c>
      <c r="C53" s="32">
        <v>-17.220658625036382</v>
      </c>
      <c r="D53" s="20">
        <v>-7.1273895872075519</v>
      </c>
    </row>
    <row r="54" spans="1:4" x14ac:dyDescent="0.25">
      <c r="A54" s="20">
        <v>0.25</v>
      </c>
      <c r="B54" s="32">
        <v>-9.9280286587138704</v>
      </c>
      <c r="C54" s="32">
        <v>-15.523079677385244</v>
      </c>
      <c r="D54" s="20">
        <v>-7.460440048878473</v>
      </c>
    </row>
    <row r="55" spans="1:4" x14ac:dyDescent="0.25">
      <c r="A55" s="37">
        <v>0.3</v>
      </c>
      <c r="B55" s="32">
        <v>-9.9782249346843859</v>
      </c>
      <c r="C55" s="32">
        <v>-14.261251725910537</v>
      </c>
      <c r="D55" s="20">
        <v>-7.5873510957134851</v>
      </c>
    </row>
    <row r="56" spans="1:4" x14ac:dyDescent="0.25">
      <c r="A56" s="20">
        <v>0.35</v>
      </c>
      <c r="B56" s="32">
        <v>-9.9041385212132358</v>
      </c>
      <c r="C56" s="32">
        <v>-13.273703577019317</v>
      </c>
      <c r="D56" s="20">
        <v>-7.5983872222167905</v>
      </c>
    </row>
    <row r="57" spans="1:4" x14ac:dyDescent="0.25">
      <c r="A57" s="37">
        <v>0.4</v>
      </c>
      <c r="B57" s="32">
        <v>-9.7673081222541214</v>
      </c>
      <c r="C57" s="32">
        <v>-12.472086115739071</v>
      </c>
      <c r="D57" s="20">
        <v>-7.5433145070038092</v>
      </c>
    </row>
    <row r="58" spans="1:4" x14ac:dyDescent="0.25">
      <c r="A58" s="20">
        <v>0.45</v>
      </c>
      <c r="B58" s="32">
        <v>-9.5994824635427918</v>
      </c>
      <c r="C58" s="32">
        <v>-11.803437672947576</v>
      </c>
      <c r="D58" s="20">
        <v>-7.4503747948801085</v>
      </c>
    </row>
    <row r="59" spans="1:4" x14ac:dyDescent="0.25">
      <c r="A59" s="37">
        <v>0.5</v>
      </c>
      <c r="B59" s="32">
        <v>-9.4177418809311977</v>
      </c>
      <c r="C59" s="32">
        <v>-11.233814488137691</v>
      </c>
      <c r="D59" s="20">
        <v>-7.3360831932740478</v>
      </c>
    </row>
    <row r="60" spans="1:4" x14ac:dyDescent="0.25">
      <c r="A60" s="20">
        <v>0.55000000000000004</v>
      </c>
      <c r="B60" s="32">
        <v>-9.231529886349481</v>
      </c>
      <c r="C60" s="32">
        <v>-10.740318592248736</v>
      </c>
      <c r="D60" s="20">
        <v>-7.2103449053094257</v>
      </c>
    </row>
    <row r="61" spans="1:4" x14ac:dyDescent="0.25">
      <c r="A61" s="37">
        <v>0.6</v>
      </c>
      <c r="B61" s="32">
        <v>-9.0461332542145314</v>
      </c>
      <c r="C61" s="32">
        <v>-10.306864414772944</v>
      </c>
      <c r="D61" s="20">
        <v>-7.0792145573440752</v>
      </c>
    </row>
    <row r="62" spans="1:4" x14ac:dyDescent="0.25">
      <c r="A62" s="20">
        <v>0.65</v>
      </c>
      <c r="B62" s="32">
        <v>-8.8644963684426834</v>
      </c>
      <c r="C62" s="32">
        <v>-9.9217739600978643</v>
      </c>
      <c r="D62" s="20">
        <v>-6.9464372314364482</v>
      </c>
    </row>
    <row r="63" spans="1:4" x14ac:dyDescent="0.25">
      <c r="A63" s="37">
        <v>0.7</v>
      </c>
      <c r="B63" s="32">
        <v>-8.6882087687284031</v>
      </c>
      <c r="C63" s="32">
        <v>-9.5763347238765988</v>
      </c>
      <c r="D63" s="20">
        <v>-6.814337989509883</v>
      </c>
    </row>
    <row r="64" spans="1:4" x14ac:dyDescent="0.25">
      <c r="A64" s="20">
        <v>0.75</v>
      </c>
      <c r="B64" s="32">
        <v>-8.5180621123689839</v>
      </c>
      <c r="C64" s="32">
        <v>-9.2638955780754735</v>
      </c>
      <c r="D64" s="20">
        <v>-6.6843507762746714</v>
      </c>
    </row>
    <row r="65" spans="1:4" x14ac:dyDescent="0.25">
      <c r="A65" s="37">
        <v>0.8</v>
      </c>
      <c r="B65" s="32">
        <v>-8.3543735694754666</v>
      </c>
      <c r="C65" s="32">
        <v>-8.9792784155404242</v>
      </c>
      <c r="D65" s="20">
        <v>-6.557341199700188</v>
      </c>
    </row>
    <row r="66" spans="1:4" x14ac:dyDescent="0.25">
      <c r="A66" s="20">
        <v>0.85</v>
      </c>
      <c r="B66" s="32">
        <v>-8.1971780603559026</v>
      </c>
      <c r="C66" s="32">
        <v>-8.7183829519263547</v>
      </c>
      <c r="D66" s="20">
        <v>-6.433808023969644</v>
      </c>
    </row>
    <row r="67" spans="1:4" x14ac:dyDescent="0.25">
      <c r="A67" s="37">
        <v>0.9</v>
      </c>
      <c r="B67" s="32">
        <v>-8.0463446435474211</v>
      </c>
      <c r="C67" s="32">
        <v>-8.4779139298669648</v>
      </c>
      <c r="D67" s="20">
        <v>-6.3140114171774142</v>
      </c>
    </row>
    <row r="68" spans="1:4" x14ac:dyDescent="0.25">
      <c r="A68" s="20">
        <v>0.95</v>
      </c>
      <c r="B68" s="32">
        <v>-7.9016479320604986</v>
      </c>
      <c r="C68" s="32">
        <v>-8.2551882893371413</v>
      </c>
      <c r="D68" s="20">
        <v>-6.1980559351794771</v>
      </c>
    </row>
    <row r="69" spans="1:4" x14ac:dyDescent="0.25">
      <c r="A69" s="37">
        <v>1</v>
      </c>
      <c r="B69" s="32">
        <v>-7.7628122796634651</v>
      </c>
      <c r="C69" s="32">
        <v>-8.0479959895124455</v>
      </c>
      <c r="D69" s="20">
        <v>-6.0859449575081239</v>
      </c>
    </row>
    <row r="75" spans="1:4" ht="76.5" customHeight="1" x14ac:dyDescent="0.25">
      <c r="A75" s="38" t="s">
        <v>40</v>
      </c>
      <c r="B75" s="38"/>
      <c r="C75" s="38"/>
      <c r="D75" s="38"/>
    </row>
    <row r="76" spans="1:4" x14ac:dyDescent="0.25">
      <c r="A76" s="21" t="s">
        <v>1</v>
      </c>
      <c r="B76" s="22">
        <v>60</v>
      </c>
      <c r="C76" s="21" t="s">
        <v>2</v>
      </c>
    </row>
    <row r="77" spans="1:4" x14ac:dyDescent="0.25">
      <c r="A77" s="23" t="s">
        <v>3</v>
      </c>
      <c r="B77" s="22">
        <v>100</v>
      </c>
      <c r="C77" s="21" t="s">
        <v>4</v>
      </c>
    </row>
    <row r="78" spans="1:4" x14ac:dyDescent="0.25">
      <c r="A78" s="23" t="s">
        <v>5</v>
      </c>
      <c r="B78" s="25">
        <v>0.3</v>
      </c>
      <c r="C78" s="21" t="s">
        <v>6</v>
      </c>
    </row>
    <row r="79" spans="1:4" x14ac:dyDescent="0.25">
      <c r="A79" s="23" t="s">
        <v>7</v>
      </c>
      <c r="B79" s="26">
        <v>0.06</v>
      </c>
      <c r="C79" s="21" t="s">
        <v>8</v>
      </c>
    </row>
    <row r="80" spans="1:4" x14ac:dyDescent="0.25">
      <c r="A80" s="21" t="s">
        <v>9</v>
      </c>
      <c r="B80" s="26">
        <v>0.02</v>
      </c>
      <c r="C80" s="21" t="s">
        <v>10</v>
      </c>
    </row>
    <row r="81" spans="1:3" x14ac:dyDescent="0.25">
      <c r="A81" s="21" t="s">
        <v>11</v>
      </c>
      <c r="B81" s="21">
        <v>0.35</v>
      </c>
      <c r="C81" s="21" t="s">
        <v>12</v>
      </c>
    </row>
    <row r="82" spans="1:3" x14ac:dyDescent="0.25">
      <c r="A82" s="23"/>
      <c r="B82" s="21"/>
      <c r="C82" s="21"/>
    </row>
    <row r="83" spans="1:3" x14ac:dyDescent="0.25">
      <c r="A83" s="21" t="s">
        <v>20</v>
      </c>
      <c r="B83" s="28" t="e">
        <f ca="1">bsmertoncall(B76,B77,B78,B79,B80,B81)</f>
        <v>#NAME?</v>
      </c>
      <c r="C83" s="21" t="e">
        <f ca="1">getformula(B83)</f>
        <v>#NAME?</v>
      </c>
    </row>
    <row r="84" spans="1:3" x14ac:dyDescent="0.25">
      <c r="A84" s="21" t="s">
        <v>21</v>
      </c>
      <c r="B84" s="28" t="e">
        <f ca="1">bsmertonput(B76,B77,B78,B79,B80,B81)</f>
        <v>#NAME?</v>
      </c>
      <c r="C84" s="21" t="e">
        <f ca="1">getformula(B84)</f>
        <v>#NAME?</v>
      </c>
    </row>
    <row r="86" spans="1:3" x14ac:dyDescent="0.25">
      <c r="A86" s="21" t="s">
        <v>41</v>
      </c>
      <c r="B86" s="20" t="e">
        <f ca="1">Thetaput(B76,B77,B78,B79,B80,B81)</f>
        <v>#NAME?</v>
      </c>
    </row>
  </sheetData>
  <mergeCells count="3">
    <mergeCell ref="A1:E1"/>
    <mergeCell ref="B47:D47"/>
    <mergeCell ref="A75:D75"/>
  </mergeCells>
  <phoneticPr fontId="1" type="noConversion"/>
  <printOptions headings="1" gridLines="1"/>
  <pageMargins left="0.75" right="0.75" top="1" bottom="1" header="0.5" footer="0.5"/>
  <pageSetup scale="86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Page 556</vt:lpstr>
      <vt:lpstr>Page 557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2024-12-03T08:33:58Z</dcterms:modified>
</cp:coreProperties>
</file>