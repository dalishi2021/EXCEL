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63A7C067-7333-415A-9BC8-82196F2F24E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Sheet1!$A$1:$U$39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E13" i="1"/>
  <c r="D13" i="1"/>
  <c r="B9" i="1"/>
  <c r="G13" i="1" l="1"/>
  <c r="F13" i="1"/>
  <c r="N25" i="1"/>
  <c r="B25" i="1"/>
  <c r="B24" i="1"/>
  <c r="B23" i="1"/>
  <c r="B22" i="1"/>
  <c r="B21" i="1"/>
  <c r="B20" i="1"/>
  <c r="B19" i="1"/>
  <c r="B18" i="1"/>
  <c r="B17" i="1"/>
  <c r="B16" i="1"/>
  <c r="U15" i="1"/>
  <c r="B15" i="1"/>
  <c r="B14" i="1"/>
  <c r="C13" i="1"/>
  <c r="B13" i="1"/>
  <c r="C9" i="1"/>
  <c r="H15" i="1"/>
  <c r="C27" i="1"/>
  <c r="H14" i="1"/>
  <c r="H25" i="1"/>
  <c r="C6" i="1"/>
  <c r="D12" i="1"/>
  <c r="H16" i="1"/>
  <c r="C28" i="1"/>
  <c r="K13" i="1" l="1"/>
  <c r="L13" i="1" s="1"/>
  <c r="N13" i="1"/>
  <c r="O13" i="1" s="1"/>
  <c r="M14" i="1"/>
  <c r="C14" i="1"/>
  <c r="D14" i="1"/>
  <c r="E14" i="1" l="1"/>
  <c r="M15" i="1" s="1"/>
  <c r="J14" i="1"/>
  <c r="P13" i="1"/>
  <c r="C15" i="1"/>
  <c r="D15" i="1"/>
  <c r="N14" i="1" l="1"/>
  <c r="G14" i="1"/>
  <c r="F14" i="1"/>
  <c r="E15" i="1"/>
  <c r="F15" i="1" s="1"/>
  <c r="J15" i="1"/>
  <c r="K14" i="1"/>
  <c r="L14" i="1" s="1"/>
  <c r="C16" i="1"/>
  <c r="D16" i="1"/>
  <c r="N15" i="1" l="1"/>
  <c r="M16" i="1"/>
  <c r="G15" i="1"/>
  <c r="E16" i="1"/>
  <c r="G16" i="1" s="1"/>
  <c r="K15" i="1"/>
  <c r="L15" i="1" s="1"/>
  <c r="J16" i="1"/>
  <c r="C17" i="1"/>
  <c r="O14" i="1"/>
  <c r="P14" i="1" s="1"/>
  <c r="D17" i="1"/>
  <c r="F16" i="1" l="1"/>
  <c r="M17" i="1"/>
  <c r="N16" i="1"/>
  <c r="E17" i="1"/>
  <c r="G17" i="1" s="1"/>
  <c r="C18" i="1"/>
  <c r="K16" i="1"/>
  <c r="L16" i="1" s="1"/>
  <c r="J17" i="1"/>
  <c r="O15" i="1"/>
  <c r="P15" i="1" s="1"/>
  <c r="D18" i="1"/>
  <c r="N17" i="1" l="1"/>
  <c r="E18" i="1"/>
  <c r="N18" i="1" s="1"/>
  <c r="M18" i="1"/>
  <c r="F17" i="1"/>
  <c r="O16" i="1"/>
  <c r="P16" i="1" s="1"/>
  <c r="C19" i="1"/>
  <c r="J18" i="1"/>
  <c r="K17" i="1"/>
  <c r="L17" i="1" s="1"/>
  <c r="D19" i="1"/>
  <c r="M19" i="1" l="1"/>
  <c r="F18" i="1"/>
  <c r="G18" i="1"/>
  <c r="E19" i="1"/>
  <c r="F19" i="1" s="1"/>
  <c r="O17" i="1"/>
  <c r="P17" i="1" s="1"/>
  <c r="K18" i="1"/>
  <c r="L18" i="1" s="1"/>
  <c r="J19" i="1"/>
  <c r="C20" i="1"/>
  <c r="D20" i="1"/>
  <c r="G19" i="1" l="1"/>
  <c r="E20" i="1"/>
  <c r="F20" i="1" s="1"/>
  <c r="N19" i="1"/>
  <c r="M20" i="1"/>
  <c r="K19" i="1"/>
  <c r="L19" i="1" s="1"/>
  <c r="J20" i="1"/>
  <c r="O18" i="1"/>
  <c r="P18" i="1" s="1"/>
  <c r="C21" i="1"/>
  <c r="D21" i="1"/>
  <c r="M21" i="1" l="1"/>
  <c r="G20" i="1"/>
  <c r="N20" i="1"/>
  <c r="E21" i="1"/>
  <c r="F21" i="1" s="1"/>
  <c r="K20" i="1"/>
  <c r="L20" i="1" s="1"/>
  <c r="J21" i="1"/>
  <c r="C22" i="1"/>
  <c r="O19" i="1"/>
  <c r="P19" i="1" s="1"/>
  <c r="D22" i="1"/>
  <c r="M22" i="1" l="1"/>
  <c r="G21" i="1"/>
  <c r="N21" i="1"/>
  <c r="E22" i="1"/>
  <c r="F22" i="1" s="1"/>
  <c r="C23" i="1"/>
  <c r="J22" i="1"/>
  <c r="K21" i="1"/>
  <c r="L21" i="1" s="1"/>
  <c r="O20" i="1"/>
  <c r="P20" i="1" s="1"/>
  <c r="D23" i="1"/>
  <c r="G22" i="1" l="1"/>
  <c r="N22" i="1"/>
  <c r="M23" i="1"/>
  <c r="E23" i="1"/>
  <c r="F23" i="1" s="1"/>
  <c r="C24" i="1"/>
  <c r="O21" i="1"/>
  <c r="P21" i="1" s="1"/>
  <c r="J23" i="1"/>
  <c r="K22" i="1"/>
  <c r="L22" i="1" s="1"/>
  <c r="D24" i="1"/>
  <c r="M24" i="1" l="1"/>
  <c r="N23" i="1"/>
  <c r="G23" i="1"/>
  <c r="E24" i="1"/>
  <c r="F24" i="1" s="1"/>
  <c r="O22" i="1"/>
  <c r="P22" i="1" s="1"/>
  <c r="C25" i="1"/>
  <c r="B28" i="1" s="1"/>
  <c r="K23" i="1"/>
  <c r="L23" i="1" s="1"/>
  <c r="J24" i="1"/>
  <c r="G24" i="1" l="1"/>
  <c r="G26" i="1" s="1"/>
  <c r="M25" i="1"/>
  <c r="O25" i="1" s="1"/>
  <c r="N24" i="1"/>
  <c r="K24" i="1"/>
  <c r="L24" i="1" s="1"/>
  <c r="J25" i="1"/>
  <c r="L25" i="1" s="1"/>
  <c r="F25" i="1"/>
  <c r="B27" i="1" s="1"/>
  <c r="O23" i="1"/>
  <c r="P23" i="1" s="1"/>
  <c r="P25" i="1" l="1"/>
  <c r="O24" i="1"/>
  <c r="P24" i="1" s="1"/>
</calcChain>
</file>

<file path=xl/sharedStrings.xml><?xml version="1.0" encoding="utf-8"?>
<sst xmlns="http://schemas.openxmlformats.org/spreadsheetml/2006/main" count="28" uniqueCount="28">
  <si>
    <t>DELTA HEDGING A CALL</t>
  </si>
  <si>
    <t>S, current stock price</t>
  </si>
  <si>
    <t>X, exercise</t>
  </si>
  <si>
    <t>r, interest rate</t>
  </si>
  <si>
    <t>k, dividend yield</t>
  </si>
  <si>
    <t>T, expiration</t>
  </si>
  <si>
    <t xml:space="preserve">                                    Initial pricing of call using BS formula</t>
  </si>
  <si>
    <t>Sigma</t>
  </si>
  <si>
    <t>BS value</t>
  </si>
  <si>
    <t>Hedging portfolio</t>
  </si>
  <si>
    <t>Weeks until expiration</t>
  </si>
  <si>
    <t>Time until expiration</t>
  </si>
  <si>
    <t>Stock price</t>
  </si>
  <si>
    <t>Bond</t>
  </si>
  <si>
    <t>Porfolio value</t>
  </si>
  <si>
    <t>Portfolio cash flow</t>
  </si>
  <si>
    <t>Value last week's stocks</t>
  </si>
  <si>
    <t>Stock holdings beg. week</t>
  </si>
  <si>
    <t>Extra $ invested in stocks</t>
  </si>
  <si>
    <t>Value last week's bonds</t>
  </si>
  <si>
    <t>Bond holdings beg. week</t>
  </si>
  <si>
    <t>Extra invested in bonds</t>
  </si>
  <si>
    <t>Porfolio cash flow</t>
  </si>
  <si>
    <t>Standard normal random numbers</t>
  </si>
  <si>
    <t>mu</t>
  </si>
  <si>
    <t>sigma</t>
  </si>
  <si>
    <t>Hedged position payoff</t>
  </si>
  <si>
    <t>Actual call 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</si>
</sst>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/>
    <xf numFmtId="9" fontId="4" fillId="0" borderId="0" xfId="1" applyFont="1" applyAlignment="1"/>
    <xf numFmtId="2" fontId="2" fillId="0" borderId="0" xfId="1" applyNumberFormat="1" applyAlignment="1"/>
    <xf numFmtId="2" fontId="0" fillId="0" borderId="0" xfId="0" applyNumberFormat="1" applyAlignment="1"/>
    <xf numFmtId="10" fontId="2" fillId="0" borderId="0" xfId="1" applyNumberFormat="1" applyAlignment="1"/>
    <xf numFmtId="176" fontId="4" fillId="0" borderId="0" xfId="1" applyNumberFormat="1" applyFont="1" applyAlignment="1"/>
    <xf numFmtId="9" fontId="4" fillId="2" borderId="0" xfId="1" applyFont="1" applyFill="1" applyAlignme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wrapText="1"/>
    </xf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/>
    <xf numFmtId="177" fontId="0" fillId="0" borderId="0" xfId="0" applyNumberFormat="1" applyAlignment="1"/>
    <xf numFmtId="9" fontId="0" fillId="0" borderId="0" xfId="0" applyNumberFormat="1" applyAlignment="1"/>
    <xf numFmtId="0" fontId="7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2" fontId="0" fillId="3" borderId="0" xfId="0" applyNumberFormat="1" applyFill="1" applyAlignment="1"/>
    <xf numFmtId="0" fontId="6" fillId="4" borderId="0" xfId="0" applyFont="1" applyFill="1" applyAlignment="1">
      <alignment horizontal="center" vertical="center" wrapText="1"/>
    </xf>
    <xf numFmtId="2" fontId="0" fillId="4" borderId="0" xfId="0" applyNumberFormat="1" applyFill="1" applyAlignment="1"/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960120</xdr:colOff>
      <xdr:row>0</xdr:row>
      <xdr:rowOff>167640</xdr:rowOff>
    </xdr:from>
    <xdr:to>
      <xdr:col>3</xdr:col>
      <xdr:colOff>1120140</xdr:colOff>
      <xdr:row>9</xdr:row>
      <xdr:rowOff>60960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7D4DA1ED-927F-4946-9A75-F9D6EE24CB1C}"/>
            </a:ext>
          </a:extLst>
        </xdr:cNvPr>
        <xdr:cNvSpPr>
          <a:spLocks/>
        </xdr:cNvSpPr>
      </xdr:nvSpPr>
      <xdr:spPr bwMode="auto">
        <a:xfrm>
          <a:off x="4171950" y="171450"/>
          <a:ext cx="161925" cy="1476375"/>
        </a:xfrm>
        <a:prstGeom prst="rightBrace">
          <a:avLst>
            <a:gd name="adj1" fmla="val 75794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9</xdr:col>
      <xdr:colOff>137160</xdr:colOff>
      <xdr:row>27</xdr:row>
      <xdr:rowOff>0</xdr:rowOff>
    </xdr:from>
    <xdr:to>
      <xdr:col>11</xdr:col>
      <xdr:colOff>68580</xdr:colOff>
      <xdr:row>35</xdr:row>
      <xdr:rowOff>106680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C191909D-1BCD-4B27-8E46-B69945C0C549}"/>
            </a:ext>
          </a:extLst>
        </xdr:cNvPr>
        <xdr:cNvSpPr txBox="1">
          <a:spLocks noChangeArrowheads="1"/>
        </xdr:cNvSpPr>
      </xdr:nvSpPr>
      <xdr:spPr bwMode="auto">
        <a:xfrm>
          <a:off x="10858500" y="5200650"/>
          <a:ext cx="1285875" cy="1476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New stock holdings adjusted to delta hedge:  SN(d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 at beginning of each week. </a:t>
          </a:r>
        </a:p>
        <a:p>
          <a:pPr algn="l" rtl="0">
            <a:defRPr sz="1000"/>
          </a:pP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week 0 all stock is sold.</a:t>
          </a:r>
        </a:p>
      </xdr:txBody>
    </xdr:sp>
    <xdr:clientData/>
  </xdr:twoCellAnchor>
  <xdr:twoCellAnchor>
    <xdr:from>
      <xdr:col>12</xdr:col>
      <xdr:colOff>342900</xdr:colOff>
      <xdr:row>27</xdr:row>
      <xdr:rowOff>15240</xdr:rowOff>
    </xdr:from>
    <xdr:to>
      <xdr:col>15</xdr:col>
      <xdr:colOff>403860</xdr:colOff>
      <xdr:row>35</xdr:row>
      <xdr:rowOff>99060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AC602CB4-6B59-4F3F-9052-855C844354B4}"/>
            </a:ext>
          </a:extLst>
        </xdr:cNvPr>
        <xdr:cNvSpPr txBox="1">
          <a:spLocks noChangeArrowheads="1"/>
        </xdr:cNvSpPr>
      </xdr:nvSpPr>
      <xdr:spPr bwMode="auto">
        <a:xfrm>
          <a:off x="13163550" y="5219700"/>
          <a:ext cx="2152650" cy="144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week 12 bond holding set according to BS formula:  Xe</a:t>
          </a:r>
          <a:r>
            <a:rPr lang="zh-CN" altLang="en-US" sz="1000" b="0" i="0" u="none" strike="noStrike" baseline="30000">
              <a:solidFill>
                <a:srgbClr val="000000"/>
              </a:solidFill>
              <a:latin typeface="Arial"/>
              <a:cs typeface="Arial"/>
            </a:rPr>
            <a:t>-rT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N(d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).  </a:t>
          </a:r>
        </a:p>
        <a:p>
          <a:pPr algn="l" rtl="0">
            <a:defRPr sz="1000"/>
          </a:pP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other weeks new bond holdings adjusted so that the net cash flow on portfolio is zero.</a:t>
          </a:r>
        </a:p>
        <a:p>
          <a:pPr algn="l" rtl="0">
            <a:defRPr sz="1000"/>
          </a:pP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week 0 all bonds are repaid.</a:t>
          </a:r>
        </a:p>
      </xdr:txBody>
    </xdr:sp>
    <xdr:clientData/>
  </xdr:twoCellAnchor>
  <xdr:twoCellAnchor>
    <xdr:from>
      <xdr:col>13</xdr:col>
      <xdr:colOff>121920</xdr:colOff>
      <xdr:row>24</xdr:row>
      <xdr:rowOff>121920</xdr:rowOff>
    </xdr:from>
    <xdr:to>
      <xdr:col>13</xdr:col>
      <xdr:colOff>350520</xdr:colOff>
      <xdr:row>27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196BD078-BBBB-48DF-B60A-DC8FA57F9E40}"/>
            </a:ext>
          </a:extLst>
        </xdr:cNvPr>
        <xdr:cNvSpPr>
          <a:spLocks noChangeShapeType="1"/>
        </xdr:cNvSpPr>
      </xdr:nvSpPr>
      <xdr:spPr bwMode="auto">
        <a:xfrm flipV="1">
          <a:off x="13687425" y="4810125"/>
          <a:ext cx="22860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114300</xdr:colOff>
      <xdr:row>25</xdr:row>
      <xdr:rowOff>0</xdr:rowOff>
    </xdr:from>
    <xdr:to>
      <xdr:col>10</xdr:col>
      <xdr:colOff>358140</xdr:colOff>
      <xdr:row>26</xdr:row>
      <xdr:rowOff>121920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A057514B-C053-44CB-887D-5C634D0E5526}"/>
            </a:ext>
          </a:extLst>
        </xdr:cNvPr>
        <xdr:cNvSpPr>
          <a:spLocks noChangeShapeType="1"/>
        </xdr:cNvSpPr>
      </xdr:nvSpPr>
      <xdr:spPr bwMode="auto">
        <a:xfrm flipV="1">
          <a:off x="11449050" y="4857750"/>
          <a:ext cx="247650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800100</xdr:colOff>
      <xdr:row>29</xdr:row>
      <xdr:rowOff>15240</xdr:rowOff>
    </xdr:from>
    <xdr:to>
      <xdr:col>7</xdr:col>
      <xdr:colOff>655320</xdr:colOff>
      <xdr:row>37</xdr:row>
      <xdr:rowOff>7620</xdr:rowOff>
    </xdr:to>
    <xdr:sp macro="" textlink="">
      <xdr:nvSpPr>
        <xdr:cNvPr id="7" name="Text Box 6">
          <a:extLst>
            <a:ext uri="{FF2B5EF4-FFF2-40B4-BE49-F238E27FC236}">
              <a16:creationId xmlns:a16="http://schemas.microsoft.com/office/drawing/2014/main" id="{84EE0297-1D84-44F2-9888-8C52B532CECB}"/>
            </a:ext>
          </a:extLst>
        </xdr:cNvPr>
        <xdr:cNvSpPr txBox="1">
          <a:spLocks noChangeArrowheads="1"/>
        </xdr:cNvSpPr>
      </xdr:nvSpPr>
      <xdr:spPr bwMode="auto">
        <a:xfrm>
          <a:off x="2914650" y="5562600"/>
          <a:ext cx="4467225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At initial date, the stock and bond positions are set using the Black-Scholes formula:  Stock = SN(d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), Bond = -X*exp(-rT)N(d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At each subsequent date t, the stock position is adjusted to S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Symbol"/>
              <a:cs typeface="Arial"/>
            </a:rPr>
            <a:t>D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call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.  The bond position is adjusted so that the net cash flow of the portfolio is zero.</a:t>
          </a:r>
        </a:p>
        <a:p>
          <a:pPr algn="l" rtl="0">
            <a:defRPr sz="1000"/>
          </a:pP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At the final date, the stock and bond portfolios are liquidated.</a:t>
          </a:r>
        </a:p>
      </xdr:txBody>
    </xdr:sp>
    <xdr:clientData/>
  </xdr:twoCellAnchor>
  <xdr:twoCellAnchor editAs="oneCell">
    <xdr:from>
      <xdr:col>21</xdr:col>
      <xdr:colOff>397513</xdr:colOff>
      <xdr:row>4</xdr:row>
      <xdr:rowOff>66848</xdr:rowOff>
    </xdr:from>
    <xdr:to>
      <xdr:col>52</xdr:col>
      <xdr:colOff>205814</xdr:colOff>
      <xdr:row>47</xdr:row>
      <xdr:rowOff>98518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8BD72A1-0626-9309-C51F-4A1158083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80838" y="800273"/>
          <a:ext cx="18705901" cy="79278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563880</xdr:colOff>
          <xdr:row>4</xdr:row>
          <xdr:rowOff>45720</xdr:rowOff>
        </xdr:from>
        <xdr:to>
          <xdr:col>18</xdr:col>
          <xdr:colOff>304800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run_random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deltacall"/>
      <definedName name="dtw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U65"/>
  <sheetViews>
    <sheetView tabSelected="1" zoomScale="115" zoomScaleNormal="115" workbookViewId="0">
      <selection activeCell="Q27" sqref="Q27"/>
    </sheetView>
  </sheetViews>
  <sheetFormatPr defaultRowHeight="13.8" x14ac:dyDescent="0.25"/>
  <cols>
    <col min="1" max="1" width="20" style="1" bestFit="1" customWidth="1"/>
    <col min="2" max="2" width="10.88671875" style="1" customWidth="1"/>
    <col min="3" max="3" width="16" style="1" customWidth="1"/>
    <col min="4" max="4" width="23.109375" style="1" customWidth="1"/>
    <col min="5" max="5" width="9.21875" style="1" bestFit="1" customWidth="1"/>
    <col min="6" max="6" width="10.44140625" style="1" customWidth="1"/>
    <col min="7" max="7" width="12" style="1" customWidth="1"/>
    <col min="8" max="8" width="49.44140625" style="1" bestFit="1" customWidth="1"/>
    <col min="9" max="10" width="8.88671875" style="1"/>
    <col min="11" max="14" width="10.88671875" style="1" customWidth="1"/>
    <col min="15" max="16" width="8.88671875" style="1"/>
    <col min="17" max="17" width="11.5546875" style="1" bestFit="1" customWidth="1"/>
    <col min="18" max="21" width="8.88671875" style="1"/>
  </cols>
  <sheetData>
    <row r="1" spans="1:21" ht="17.399999999999999" x14ac:dyDescent="0.3">
      <c r="A1" s="23" t="s">
        <v>0</v>
      </c>
      <c r="B1" s="23"/>
      <c r="C1" s="23"/>
      <c r="D1" s="23"/>
      <c r="E1" s="23"/>
      <c r="F1" s="23"/>
      <c r="G1" s="23"/>
      <c r="H1" s="23"/>
    </row>
    <row r="2" spans="1:21" x14ac:dyDescent="0.25">
      <c r="A2" s="2" t="s">
        <v>1</v>
      </c>
      <c r="B2" s="3">
        <v>40</v>
      </c>
      <c r="C2" s="4"/>
    </row>
    <row r="3" spans="1:21" x14ac:dyDescent="0.25">
      <c r="A3" s="2" t="s">
        <v>2</v>
      </c>
      <c r="B3" s="3">
        <v>45</v>
      </c>
      <c r="C3" s="4"/>
    </row>
    <row r="4" spans="1:21" x14ac:dyDescent="0.25">
      <c r="A4" s="2" t="s">
        <v>3</v>
      </c>
      <c r="B4" s="5">
        <v>0.04</v>
      </c>
    </row>
    <row r="5" spans="1:21" x14ac:dyDescent="0.25">
      <c r="A5" s="2" t="s">
        <v>4</v>
      </c>
      <c r="B5" s="5">
        <v>0</v>
      </c>
    </row>
    <row r="6" spans="1:21" x14ac:dyDescent="0.25">
      <c r="A6" s="2" t="s">
        <v>5</v>
      </c>
      <c r="B6" s="6">
        <f>12/52</f>
        <v>0.23076923076923078</v>
      </c>
      <c r="C6" s="1" t="str">
        <f ca="1">_xlfn.FORMULATEXT(B6)</f>
        <v>=12/52</v>
      </c>
      <c r="D6" s="1" t="s">
        <v>6</v>
      </c>
    </row>
    <row r="7" spans="1:21" x14ac:dyDescent="0.25">
      <c r="A7" s="7" t="s">
        <v>7</v>
      </c>
      <c r="B7" s="2">
        <v>0.25</v>
      </c>
    </row>
    <row r="9" spans="1:21" x14ac:dyDescent="0.25">
      <c r="A9" s="2" t="s">
        <v>8</v>
      </c>
      <c r="B9" s="4">
        <f>[1]!BSMertonCall(B2,B3,B6,B4,B5,B7)</f>
        <v>0.50519529616394454</v>
      </c>
      <c r="C9" s="1" t="str">
        <f ca="1">_xlfn.FORMULATEXT(B9)</f>
        <v>=BSMertonCall(B2,B3,B6,B4,B5,B7)</v>
      </c>
    </row>
    <row r="10" spans="1:21" x14ac:dyDescent="0.25">
      <c r="A10" s="2"/>
      <c r="B10" s="4"/>
    </row>
    <row r="11" spans="1:21" ht="15.6" x14ac:dyDescent="0.3">
      <c r="D11" s="24" t="s">
        <v>9</v>
      </c>
      <c r="E11" s="24"/>
    </row>
    <row r="12" spans="1:21" ht="52.8" x14ac:dyDescent="0.25">
      <c r="A12" s="8" t="s">
        <v>10</v>
      </c>
      <c r="B12" s="8" t="s">
        <v>11</v>
      </c>
      <c r="C12" s="8" t="s">
        <v>12</v>
      </c>
      <c r="D12" s="18" t="str">
        <f ca="1">"Stock = "&amp;_xlfn.FORMULATEXT(D13)</f>
        <v>Stock = =C13*deltacall(C13,$B$3,B13,$B$4,0,$B$7)</v>
      </c>
      <c r="E12" s="8" t="s">
        <v>13</v>
      </c>
      <c r="F12" s="8" t="s">
        <v>14</v>
      </c>
      <c r="G12" s="8" t="s">
        <v>15</v>
      </c>
      <c r="H12" s="9"/>
      <c r="I12" s="9"/>
      <c r="J12" s="8" t="s">
        <v>16</v>
      </c>
      <c r="K12" s="19" t="s">
        <v>17</v>
      </c>
      <c r="L12" s="21" t="s">
        <v>18</v>
      </c>
      <c r="M12" s="8" t="s">
        <v>19</v>
      </c>
      <c r="N12" s="19" t="s">
        <v>20</v>
      </c>
      <c r="O12" s="21" t="s">
        <v>21</v>
      </c>
      <c r="P12" s="8" t="s">
        <v>22</v>
      </c>
      <c r="Q12" s="8"/>
      <c r="R12" s="8" t="s">
        <v>23</v>
      </c>
      <c r="S12" s="10"/>
      <c r="T12" s="10"/>
      <c r="U12" s="10"/>
    </row>
    <row r="13" spans="1:21" x14ac:dyDescent="0.25">
      <c r="A13" s="11">
        <v>12</v>
      </c>
      <c r="B13" s="12">
        <f t="shared" ref="B13:B25" si="0">A13/52</f>
        <v>0.23076923076923078</v>
      </c>
      <c r="C13" s="13">
        <f>B2</f>
        <v>40</v>
      </c>
      <c r="D13" s="14">
        <f>C13*[1]!deltacall(C13,$B$3,B13,$B$4,0,$B$7)</f>
        <v>7.9752860409940336</v>
      </c>
      <c r="E13" s="14">
        <f>-$B$3*EXP(-$B$4*B13)*NORMSDIST([1]!dtwo(C13,$B$3,B13,$B$4,0,$B$7))</f>
        <v>-7.4700907448300891</v>
      </c>
      <c r="F13" s="4">
        <f t="shared" ref="F13:F24" si="1">D13+E13</f>
        <v>0.50519529616394454</v>
      </c>
      <c r="G13" s="4">
        <f>D13+E13</f>
        <v>0.50519529616394454</v>
      </c>
      <c r="H13" s="4"/>
      <c r="I13" s="4"/>
      <c r="J13" s="1">
        <v>0</v>
      </c>
      <c r="K13" s="20">
        <f t="shared" ref="K13:K24" si="2">D13</f>
        <v>7.9752860409940336</v>
      </c>
      <c r="L13" s="22">
        <f t="shared" ref="L13:L25" si="3">K13-J13</f>
        <v>7.9752860409940336</v>
      </c>
      <c r="M13" s="1">
        <v>0</v>
      </c>
      <c r="N13" s="20">
        <f>E13</f>
        <v>-7.4700907448300891</v>
      </c>
      <c r="O13" s="22">
        <f t="shared" ref="O13:O25" si="4">N13-M13</f>
        <v>-7.4700907448300891</v>
      </c>
      <c r="P13" s="15">
        <f t="shared" ref="P13:P25" si="5">-L13-O13</f>
        <v>-0.50519529616394454</v>
      </c>
      <c r="R13"/>
    </row>
    <row r="14" spans="1:21" x14ac:dyDescent="0.25">
      <c r="A14" s="11">
        <v>11</v>
      </c>
      <c r="B14" s="12">
        <f t="shared" si="0"/>
        <v>0.21153846153846154</v>
      </c>
      <c r="C14" s="13">
        <f t="shared" ref="C14:C25" si="6">C13*EXP($U$14*(B13-B14)+$U$15*SQRT(B13-B14)*R14)</f>
        <v>39.044769552340732</v>
      </c>
      <c r="D14" s="14">
        <f>C14*[1]!deltacall(C14,$B$3,B14,$B$4,0,$B$7)</f>
        <v>5.2675277349142853</v>
      </c>
      <c r="E14" s="14">
        <f>(D13*C14/C13-D14)+E13*EXP($B$4*(B13-B14))</f>
        <v>-4.9585367744317628</v>
      </c>
      <c r="F14" s="4">
        <f t="shared" si="1"/>
        <v>0.3089909604825225</v>
      </c>
      <c r="G14" s="4">
        <f t="shared" ref="G14:G24" si="7">(D13*C14/C13-D14)+E13*EXP($B$4*(B13-B14))-E14</f>
        <v>0</v>
      </c>
      <c r="H14" s="4" t="str">
        <f t="shared" ref="H14:H16" ca="1" si="8">_xlfn.FORMULATEXT(G14)</f>
        <v>=(D13*C14/C13-D14)+E13*EXP($B$4*(B13-B14))-E14</v>
      </c>
      <c r="I14" s="4"/>
      <c r="J14" s="16">
        <f t="shared" ref="J14:J25" si="9">D13*C14/C13</f>
        <v>7.7848301396152975</v>
      </c>
      <c r="K14" s="20">
        <f t="shared" si="2"/>
        <v>5.2675277349142853</v>
      </c>
      <c r="L14" s="22">
        <f t="shared" si="3"/>
        <v>-2.5173024047010122</v>
      </c>
      <c r="M14" s="4">
        <f t="shared" ref="M14:M25" si="10">E13*EXP($B$4/52)</f>
        <v>-7.475839179132775</v>
      </c>
      <c r="N14" s="20">
        <f t="shared" ref="N14:N25" si="11">E14</f>
        <v>-4.9585367744317628</v>
      </c>
      <c r="O14" s="22">
        <f t="shared" si="4"/>
        <v>2.5173024047010122</v>
      </c>
      <c r="P14" s="4">
        <f t="shared" si="5"/>
        <v>0</v>
      </c>
      <c r="R14">
        <v>-0.80812469605007209</v>
      </c>
      <c r="T14" s="1" t="s">
        <v>24</v>
      </c>
      <c r="U14" s="17">
        <v>0.2</v>
      </c>
    </row>
    <row r="15" spans="1:21" x14ac:dyDescent="0.25">
      <c r="A15" s="11">
        <v>10</v>
      </c>
      <c r="B15" s="12">
        <f t="shared" si="0"/>
        <v>0.19230769230769232</v>
      </c>
      <c r="C15" s="13">
        <f t="shared" si="6"/>
        <v>41.486969969742717</v>
      </c>
      <c r="D15" s="14">
        <f>C15*[1]!deltacall(C15,$B$3,B15,$B$4,0,$B$7)</f>
        <v>11.151851278542416</v>
      </c>
      <c r="E15" s="14">
        <f t="shared" ref="E15:E24" si="12">(D14*C15/C14-D15)+E14*EXP($B$4*(B14-B15))</f>
        <v>-10.517198919144946</v>
      </c>
      <c r="F15" s="4">
        <f t="shared" si="1"/>
        <v>0.63465235939747089</v>
      </c>
      <c r="G15" s="4">
        <f t="shared" si="7"/>
        <v>0</v>
      </c>
      <c r="H15" s="4" t="str">
        <f t="shared" ca="1" si="8"/>
        <v>=(D14*C15/C14-D15)+E14*EXP($B$4*(B14-B15))-E15</v>
      </c>
      <c r="I15" s="4"/>
      <c r="J15" s="16">
        <f t="shared" si="9"/>
        <v>5.5970048602854341</v>
      </c>
      <c r="K15" s="20">
        <f t="shared" si="2"/>
        <v>11.151851278542416</v>
      </c>
      <c r="L15" s="22">
        <f t="shared" si="3"/>
        <v>5.5548464182569823</v>
      </c>
      <c r="M15" s="4">
        <f t="shared" si="10"/>
        <v>-4.9623525008879641</v>
      </c>
      <c r="N15" s="20">
        <f t="shared" si="11"/>
        <v>-10.517198919144946</v>
      </c>
      <c r="O15" s="22">
        <f t="shared" si="4"/>
        <v>-5.5548464182569814</v>
      </c>
      <c r="P15" s="4">
        <f t="shared" si="5"/>
        <v>0</v>
      </c>
      <c r="R15">
        <v>1.6390640666941181</v>
      </c>
      <c r="T15" s="1" t="s">
        <v>25</v>
      </c>
      <c r="U15" s="17">
        <f>B7</f>
        <v>0.25</v>
      </c>
    </row>
    <row r="16" spans="1:21" x14ac:dyDescent="0.25">
      <c r="A16" s="11">
        <v>9</v>
      </c>
      <c r="B16" s="12">
        <f t="shared" si="0"/>
        <v>0.17307692307692307</v>
      </c>
      <c r="C16" s="13">
        <f t="shared" si="6"/>
        <v>39.208289846948908</v>
      </c>
      <c r="D16" s="14">
        <f>C16*[1]!deltacall(C16,$B$3,B16,$B$4,0,$B$7)</f>
        <v>4.4653693650943369</v>
      </c>
      <c r="E16" s="14">
        <f t="shared" si="12"/>
        <v>-4.4513279329004858</v>
      </c>
      <c r="F16" s="4">
        <f t="shared" si="1"/>
        <v>1.4041432193851122E-2</v>
      </c>
      <c r="G16" s="4">
        <f t="shared" si="7"/>
        <v>0</v>
      </c>
      <c r="H16" s="4" t="str">
        <f t="shared" ca="1" si="8"/>
        <v>=(D15*C16/C15-D16)+E15*EXP($B$4*(B15-B16))-E16</v>
      </c>
      <c r="I16" s="4"/>
      <c r="J16" s="16">
        <f t="shared" si="9"/>
        <v>10.539333616748836</v>
      </c>
      <c r="K16" s="20">
        <f t="shared" si="2"/>
        <v>4.4653693650943369</v>
      </c>
      <c r="L16" s="22">
        <f t="shared" si="3"/>
        <v>-6.0739642516544992</v>
      </c>
      <c r="M16" s="4">
        <f t="shared" si="10"/>
        <v>-10.525292184554985</v>
      </c>
      <c r="N16" s="20">
        <f t="shared" si="11"/>
        <v>-4.4513279329004858</v>
      </c>
      <c r="O16" s="22">
        <f t="shared" si="4"/>
        <v>6.0739642516544992</v>
      </c>
      <c r="P16" s="4">
        <f t="shared" si="5"/>
        <v>0</v>
      </c>
      <c r="R16">
        <v>-1.7403954188921489</v>
      </c>
    </row>
    <row r="17" spans="1:18" x14ac:dyDescent="0.25">
      <c r="A17" s="11">
        <v>8</v>
      </c>
      <c r="B17" s="12">
        <f t="shared" si="0"/>
        <v>0.15384615384615385</v>
      </c>
      <c r="C17" s="13">
        <f t="shared" si="6"/>
        <v>39.855638524796305</v>
      </c>
      <c r="D17" s="14">
        <f>C17*[1]!deltacall(C17,$B$3,B17,$B$4,0,$B$7)</f>
        <v>5.1824949127908368</v>
      </c>
      <c r="E17" s="14">
        <f t="shared" si="12"/>
        <v>-5.0981533916768971</v>
      </c>
      <c r="F17" s="4">
        <f t="shared" si="1"/>
        <v>8.4341521113939777E-2</v>
      </c>
      <c r="G17" s="4">
        <f t="shared" si="7"/>
        <v>0</v>
      </c>
      <c r="H17" s="4"/>
      <c r="I17" s="4"/>
      <c r="J17" s="16">
        <f t="shared" si="9"/>
        <v>4.5390948697230229</v>
      </c>
      <c r="K17" s="20">
        <f t="shared" si="2"/>
        <v>5.1824949127908368</v>
      </c>
      <c r="L17" s="22">
        <f t="shared" si="3"/>
        <v>0.64340004306781395</v>
      </c>
      <c r="M17" s="4">
        <f t="shared" si="10"/>
        <v>-4.4547533486090831</v>
      </c>
      <c r="N17" s="20">
        <f t="shared" si="11"/>
        <v>-5.0981533916768971</v>
      </c>
      <c r="O17" s="22">
        <f t="shared" si="4"/>
        <v>-0.64340004306781395</v>
      </c>
      <c r="P17" s="4">
        <f t="shared" si="5"/>
        <v>0</v>
      </c>
      <c r="R17">
        <v>0.36140704651188571</v>
      </c>
    </row>
    <row r="18" spans="1:18" x14ac:dyDescent="0.25">
      <c r="A18" s="11">
        <v>7</v>
      </c>
      <c r="B18" s="12">
        <f t="shared" si="0"/>
        <v>0.13461538461538461</v>
      </c>
      <c r="C18" s="13">
        <f t="shared" si="6"/>
        <v>39.256900737329545</v>
      </c>
      <c r="D18" s="14">
        <f>C18*[1]!deltacall(C18,$B$3,B18,$B$4,0,$B$7)</f>
        <v>3.2655810577087863</v>
      </c>
      <c r="E18" s="14">
        <f t="shared" si="12"/>
        <v>-3.2630175713027185</v>
      </c>
      <c r="F18" s="4">
        <f t="shared" si="1"/>
        <v>2.5634864060677387E-3</v>
      </c>
      <c r="G18" s="4">
        <f t="shared" si="7"/>
        <v>0</v>
      </c>
      <c r="H18" s="4"/>
      <c r="I18" s="4"/>
      <c r="J18" s="16">
        <f t="shared" si="9"/>
        <v>5.1046400432543315</v>
      </c>
      <c r="K18" s="20">
        <f t="shared" si="2"/>
        <v>3.2655810577087863</v>
      </c>
      <c r="L18" s="22">
        <f t="shared" si="3"/>
        <v>-1.8390589855455453</v>
      </c>
      <c r="M18" s="4">
        <f t="shared" si="10"/>
        <v>-5.1020765568482638</v>
      </c>
      <c r="N18" s="20">
        <f t="shared" si="11"/>
        <v>-3.2630175713027185</v>
      </c>
      <c r="O18" s="22">
        <f t="shared" si="4"/>
        <v>1.8390589855455453</v>
      </c>
      <c r="P18" s="4">
        <f t="shared" si="5"/>
        <v>0</v>
      </c>
      <c r="R18">
        <v>-0.54754764278186485</v>
      </c>
    </row>
    <row r="19" spans="1:18" x14ac:dyDescent="0.25">
      <c r="A19" s="11">
        <v>6</v>
      </c>
      <c r="B19" s="12">
        <f t="shared" si="0"/>
        <v>0.11538461538461539</v>
      </c>
      <c r="C19" s="13">
        <f t="shared" si="6"/>
        <v>38.529196975974578</v>
      </c>
      <c r="D19" s="14">
        <f>C19*[1]!deltacall(C19,$B$3,B19,$B$4,0,$B$7)</f>
        <v>1.6065664043509258</v>
      </c>
      <c r="E19" s="14">
        <f t="shared" si="12"/>
        <v>-1.6670478560732616</v>
      </c>
      <c r="F19" s="4">
        <f t="shared" si="1"/>
        <v>-6.0481451722335766E-2</v>
      </c>
      <c r="G19" s="4">
        <f t="shared" si="7"/>
        <v>0</v>
      </c>
      <c r="H19" s="4"/>
      <c r="I19" s="4"/>
      <c r="J19" s="16">
        <f t="shared" si="9"/>
        <v>3.2050470987341666</v>
      </c>
      <c r="K19" s="20">
        <f t="shared" si="2"/>
        <v>1.6065664043509258</v>
      </c>
      <c r="L19" s="22">
        <f t="shared" si="3"/>
        <v>-1.5984806943832408</v>
      </c>
      <c r="M19" s="4">
        <f t="shared" si="10"/>
        <v>-3.2655285504565024</v>
      </c>
      <c r="N19" s="20">
        <f t="shared" si="11"/>
        <v>-1.6670478560732616</v>
      </c>
      <c r="O19" s="22">
        <f t="shared" si="4"/>
        <v>1.5984806943832408</v>
      </c>
      <c r="P19" s="4">
        <f t="shared" si="5"/>
        <v>0</v>
      </c>
      <c r="R19">
        <v>-0.65064568843808956</v>
      </c>
    </row>
    <row r="20" spans="1:18" x14ac:dyDescent="0.25">
      <c r="A20" s="11">
        <v>5</v>
      </c>
      <c r="B20" s="12">
        <f t="shared" si="0"/>
        <v>9.6153846153846159E-2</v>
      </c>
      <c r="C20" s="13">
        <f t="shared" si="6"/>
        <v>37.930900996719693</v>
      </c>
      <c r="D20" s="14">
        <f>C20*[1]!deltacall(C20,$B$3,B20,$B$4,0,$B$7)</f>
        <v>0.65116747745293413</v>
      </c>
      <c r="E20" s="14">
        <f t="shared" si="12"/>
        <v>-0.73787913928339788</v>
      </c>
      <c r="F20" s="4">
        <f t="shared" si="1"/>
        <v>-8.6711661830463749E-2</v>
      </c>
      <c r="G20" s="4">
        <f t="shared" si="7"/>
        <v>0</v>
      </c>
      <c r="H20" s="4"/>
      <c r="I20" s="4"/>
      <c r="J20" s="16">
        <f t="shared" si="9"/>
        <v>1.5816190320833825</v>
      </c>
      <c r="K20" s="20">
        <f t="shared" si="2"/>
        <v>0.65116747745293413</v>
      </c>
      <c r="L20" s="22">
        <f t="shared" si="3"/>
        <v>-0.93045155463044837</v>
      </c>
      <c r="M20" s="4">
        <f t="shared" si="10"/>
        <v>-1.6683306939138463</v>
      </c>
      <c r="N20" s="20">
        <f t="shared" si="11"/>
        <v>-0.73787913928339788</v>
      </c>
      <c r="O20" s="22">
        <f t="shared" si="4"/>
        <v>0.93045155463044837</v>
      </c>
      <c r="P20" s="4">
        <f t="shared" si="5"/>
        <v>0</v>
      </c>
      <c r="R20">
        <v>-0.56236103773699142</v>
      </c>
    </row>
    <row r="21" spans="1:18" x14ac:dyDescent="0.25">
      <c r="A21" s="11">
        <v>4</v>
      </c>
      <c r="B21" s="12">
        <f t="shared" si="0"/>
        <v>7.6923076923076927E-2</v>
      </c>
      <c r="C21" s="13">
        <f t="shared" si="6"/>
        <v>39.640634627094478</v>
      </c>
      <c r="D21" s="14">
        <f>C21*[1]!deltacall(C21,$B$3,B21,$B$4,0,$B$7)</f>
        <v>1.5886446190920134</v>
      </c>
      <c r="E21" s="14">
        <f t="shared" si="12"/>
        <v>-1.6465727543121154</v>
      </c>
      <c r="F21" s="4">
        <f t="shared" si="1"/>
        <v>-5.7928135220101984E-2</v>
      </c>
      <c r="G21" s="4">
        <f t="shared" si="7"/>
        <v>0</v>
      </c>
      <c r="H21" s="4"/>
      <c r="I21" s="4"/>
      <c r="J21" s="16">
        <f t="shared" si="9"/>
        <v>0.68051882176463074</v>
      </c>
      <c r="K21" s="20">
        <f t="shared" si="2"/>
        <v>1.5886446190920134</v>
      </c>
      <c r="L21" s="22">
        <f t="shared" si="3"/>
        <v>0.90812579732738263</v>
      </c>
      <c r="M21" s="4">
        <f t="shared" si="10"/>
        <v>-0.73844695698473284</v>
      </c>
      <c r="N21" s="20">
        <f t="shared" si="11"/>
        <v>-1.6465727543121154</v>
      </c>
      <c r="O21" s="22">
        <f t="shared" si="4"/>
        <v>-0.90812579732738252</v>
      </c>
      <c r="P21" s="4">
        <f t="shared" si="5"/>
        <v>0</v>
      </c>
      <c r="R21">
        <v>1.1607698979787529</v>
      </c>
    </row>
    <row r="22" spans="1:18" x14ac:dyDescent="0.25">
      <c r="A22" s="11">
        <v>3</v>
      </c>
      <c r="B22" s="12">
        <f t="shared" si="0"/>
        <v>5.7692307692307696E-2</v>
      </c>
      <c r="C22" s="13">
        <f t="shared" si="6"/>
        <v>38.661533858518233</v>
      </c>
      <c r="D22" s="14">
        <f>C22*[1]!deltacall(C22,$B$3,B22,$B$4,0,$B$7)</f>
        <v>0.26871873009773756</v>
      </c>
      <c r="E22" s="14">
        <f t="shared" si="12"/>
        <v>-0.36715255109923084</v>
      </c>
      <c r="F22" s="4">
        <f t="shared" si="1"/>
        <v>-9.8433821001493282E-2</v>
      </c>
      <c r="G22" s="4">
        <f t="shared" si="7"/>
        <v>0</v>
      </c>
      <c r="H22" s="4"/>
      <c r="I22" s="4"/>
      <c r="J22" s="16">
        <f t="shared" si="9"/>
        <v>1.549406015013653</v>
      </c>
      <c r="K22" s="20">
        <f t="shared" si="2"/>
        <v>0.26871873009773756</v>
      </c>
      <c r="L22" s="22">
        <f t="shared" si="3"/>
        <v>-1.2806872849159154</v>
      </c>
      <c r="M22" s="4">
        <f t="shared" si="10"/>
        <v>-1.6478398360151463</v>
      </c>
      <c r="N22" s="20">
        <f t="shared" si="11"/>
        <v>-0.36715255109923084</v>
      </c>
      <c r="O22" s="22">
        <f t="shared" si="4"/>
        <v>1.2806872849159154</v>
      </c>
      <c r="P22" s="4">
        <f t="shared" si="5"/>
        <v>0</v>
      </c>
      <c r="R22">
        <v>-0.83232635006424971</v>
      </c>
    </row>
    <row r="23" spans="1:18" x14ac:dyDescent="0.25">
      <c r="A23" s="11">
        <v>2</v>
      </c>
      <c r="B23" s="12">
        <f t="shared" si="0"/>
        <v>3.8461538461538464E-2</v>
      </c>
      <c r="C23" s="13">
        <f t="shared" si="6"/>
        <v>36.619798116005114</v>
      </c>
      <c r="D23" s="14">
        <f>C23*[1]!deltacall(C23,$B$3,B23,$B$4,0,$B$7)</f>
        <v>6.1625616340905769E-4</v>
      </c>
      <c r="E23" s="14">
        <f t="shared" si="12"/>
        <v>-0.11352378697366072</v>
      </c>
      <c r="F23" s="4">
        <f t="shared" si="1"/>
        <v>-0.11290753081025166</v>
      </c>
      <c r="G23" s="4">
        <f t="shared" si="7"/>
        <v>0</v>
      </c>
      <c r="H23" s="4"/>
      <c r="I23" s="4"/>
      <c r="J23" s="16">
        <f t="shared" si="9"/>
        <v>0.25452755398115928</v>
      </c>
      <c r="K23" s="20">
        <f t="shared" si="2"/>
        <v>6.1625616340905769E-4</v>
      </c>
      <c r="L23" s="22">
        <f t="shared" si="3"/>
        <v>-0.25391129781775024</v>
      </c>
      <c r="M23" s="4">
        <f t="shared" si="10"/>
        <v>-0.36743508479141096</v>
      </c>
      <c r="N23" s="20">
        <f t="shared" si="11"/>
        <v>-0.11352378697366072</v>
      </c>
      <c r="O23" s="22">
        <f t="shared" si="4"/>
        <v>0.25391129781775024</v>
      </c>
      <c r="P23" s="4">
        <f t="shared" si="5"/>
        <v>0</v>
      </c>
      <c r="R23">
        <v>-1.6759258869569749</v>
      </c>
    </row>
    <row r="24" spans="1:18" x14ac:dyDescent="0.25">
      <c r="A24" s="11">
        <v>1</v>
      </c>
      <c r="B24" s="12">
        <f t="shared" si="0"/>
        <v>1.9230769230769232E-2</v>
      </c>
      <c r="C24" s="13">
        <f t="shared" si="6"/>
        <v>35.811101393312505</v>
      </c>
      <c r="D24" s="14">
        <f>C24*[1]!deltacall(C24,$B$3,B24,$B$4,0,$B$7)</f>
        <v>1.0394336888410003E-9</v>
      </c>
      <c r="E24" s="14">
        <f t="shared" si="12"/>
        <v>-0.11300850058558461</v>
      </c>
      <c r="F24" s="4">
        <f t="shared" si="1"/>
        <v>-0.11300849954615091</v>
      </c>
      <c r="G24" s="4">
        <f t="shared" si="7"/>
        <v>0</v>
      </c>
      <c r="H24" s="4"/>
      <c r="I24" s="4"/>
      <c r="J24" s="16">
        <f t="shared" si="9"/>
        <v>6.0264701302244726E-4</v>
      </c>
      <c r="K24" s="20">
        <f t="shared" si="2"/>
        <v>1.0394336888410003E-9</v>
      </c>
      <c r="L24" s="22">
        <f t="shared" si="3"/>
        <v>-6.026459735887584E-4</v>
      </c>
      <c r="M24" s="4">
        <f t="shared" si="10"/>
        <v>-0.11361114655917337</v>
      </c>
      <c r="N24" s="20">
        <f t="shared" si="11"/>
        <v>-0.11300850058558461</v>
      </c>
      <c r="O24" s="22">
        <f t="shared" si="4"/>
        <v>6.0264597358876404E-4</v>
      </c>
      <c r="P24" s="4">
        <f t="shared" si="5"/>
        <v>-5.6378512969246231E-18</v>
      </c>
      <c r="R24">
        <v>-0.75506704888539389</v>
      </c>
    </row>
    <row r="25" spans="1:18" x14ac:dyDescent="0.25">
      <c r="A25" s="11">
        <v>0</v>
      </c>
      <c r="B25" s="12">
        <f t="shared" si="0"/>
        <v>0</v>
      </c>
      <c r="C25" s="13">
        <f t="shared" si="6"/>
        <v>36.066785288849381</v>
      </c>
      <c r="D25" s="14"/>
      <c r="E25" s="14"/>
      <c r="F25" s="15">
        <f>D24*C25/C24+E24*EXP($B$4*(B24-B25))</f>
        <v>-0.11309546259760685</v>
      </c>
      <c r="G25" s="4"/>
      <c r="H25" s="4" t="str">
        <f ca="1">_xlfn.FORMULATEXT(F25)</f>
        <v>=D24*C25/C24+E24*EXP($B$4*(B24-B25))</v>
      </c>
      <c r="I25" s="4"/>
      <c r="J25" s="16">
        <f t="shared" si="9"/>
        <v>1.0468550315077958E-9</v>
      </c>
      <c r="K25" s="20">
        <v>0</v>
      </c>
      <c r="L25" s="22">
        <f t="shared" si="3"/>
        <v>-1.0468550315077958E-9</v>
      </c>
      <c r="M25" s="4">
        <f t="shared" si="10"/>
        <v>-0.11309546364446188</v>
      </c>
      <c r="N25" s="20">
        <f t="shared" si="11"/>
        <v>0</v>
      </c>
      <c r="O25" s="22">
        <f t="shared" si="4"/>
        <v>0.11309546364446188</v>
      </c>
      <c r="P25" s="15">
        <f t="shared" si="5"/>
        <v>-0.11309546259760685</v>
      </c>
      <c r="R25">
        <v>9.4271399575518444E-2</v>
      </c>
    </row>
    <row r="26" spans="1:18" x14ac:dyDescent="0.25">
      <c r="A26" s="12"/>
      <c r="B26" s="4"/>
      <c r="C26" s="4"/>
      <c r="D26" s="4"/>
      <c r="G26" s="4">
        <f>SUM(G13:G25)</f>
        <v>0.50519529616394454</v>
      </c>
    </row>
    <row r="27" spans="1:18" x14ac:dyDescent="0.25">
      <c r="A27" s="12" t="s">
        <v>26</v>
      </c>
      <c r="B27" s="15">
        <f>F25</f>
        <v>-0.11309546259760685</v>
      </c>
      <c r="C27" s="1" t="str">
        <f t="shared" ref="C27:C28" ca="1" si="13">_xlfn.FORMULATEXT(B27)</f>
        <v>=F25</v>
      </c>
      <c r="D27" s="4"/>
    </row>
    <row r="28" spans="1:18" x14ac:dyDescent="0.25">
      <c r="A28" s="12" t="s">
        <v>27</v>
      </c>
      <c r="B28" s="15">
        <f>MAX(C25-B3,0)</f>
        <v>0</v>
      </c>
      <c r="C28" s="1" t="str">
        <f t="shared" ca="1" si="13"/>
        <v>=MAX(C25-B3,0)</v>
      </c>
      <c r="D28" s="4"/>
    </row>
    <row r="29" spans="1:18" x14ac:dyDescent="0.25">
      <c r="A29" s="12"/>
      <c r="B29" s="4"/>
      <c r="D29" s="4"/>
    </row>
    <row r="30" spans="1:18" x14ac:dyDescent="0.25">
      <c r="A30" s="12"/>
      <c r="B30" s="4"/>
      <c r="D30" s="4"/>
    </row>
    <row r="31" spans="1:18" x14ac:dyDescent="0.25">
      <c r="A31" s="12"/>
      <c r="B31" s="4"/>
      <c r="D31" s="4"/>
    </row>
    <row r="32" spans="1:18" x14ac:dyDescent="0.25">
      <c r="A32" s="12"/>
      <c r="B32" s="4"/>
      <c r="D32" s="4"/>
    </row>
    <row r="33" spans="1:4" x14ac:dyDescent="0.25">
      <c r="A33" s="12"/>
      <c r="B33" s="4"/>
      <c r="D33" s="4"/>
    </row>
    <row r="34" spans="1:4" x14ac:dyDescent="0.25">
      <c r="A34" s="12"/>
      <c r="B34" s="4"/>
      <c r="D34" s="4"/>
    </row>
    <row r="35" spans="1:4" x14ac:dyDescent="0.25">
      <c r="A35" s="12"/>
      <c r="B35" s="4"/>
      <c r="D35" s="4"/>
    </row>
    <row r="36" spans="1:4" x14ac:dyDescent="0.25">
      <c r="A36" s="12"/>
      <c r="B36" s="4"/>
      <c r="D36" s="4"/>
    </row>
    <row r="37" spans="1:4" x14ac:dyDescent="0.25">
      <c r="A37" s="12"/>
      <c r="B37" s="4"/>
      <c r="D37" s="4"/>
    </row>
    <row r="38" spans="1:4" x14ac:dyDescent="0.25">
      <c r="A38" s="12"/>
      <c r="B38" s="4"/>
      <c r="D38" s="4"/>
    </row>
    <row r="39" spans="1:4" x14ac:dyDescent="0.25">
      <c r="A39" s="12"/>
      <c r="B39" s="4"/>
      <c r="D39" s="4"/>
    </row>
    <row r="40" spans="1:4" x14ac:dyDescent="0.25">
      <c r="A40" s="12"/>
      <c r="B40" s="4"/>
      <c r="D40" s="4"/>
    </row>
    <row r="41" spans="1:4" x14ac:dyDescent="0.25">
      <c r="A41" s="12"/>
      <c r="B41" s="4"/>
      <c r="D41" s="4"/>
    </row>
    <row r="42" spans="1:4" x14ac:dyDescent="0.25">
      <c r="A42" s="12"/>
      <c r="B42" s="4"/>
      <c r="D42" s="4"/>
    </row>
    <row r="43" spans="1:4" x14ac:dyDescent="0.25">
      <c r="A43" s="12"/>
      <c r="B43" s="4"/>
      <c r="D43" s="4"/>
    </row>
    <row r="44" spans="1:4" x14ac:dyDescent="0.25">
      <c r="A44" s="12"/>
      <c r="B44" s="4"/>
      <c r="D44" s="4"/>
    </row>
    <row r="45" spans="1:4" x14ac:dyDescent="0.25">
      <c r="A45" s="12"/>
      <c r="B45" s="4"/>
      <c r="D45" s="4"/>
    </row>
    <row r="46" spans="1:4" x14ac:dyDescent="0.25">
      <c r="A46" s="12"/>
      <c r="B46" s="4"/>
      <c r="D46" s="4"/>
    </row>
    <row r="47" spans="1:4" x14ac:dyDescent="0.25">
      <c r="A47" s="12"/>
      <c r="B47" s="4"/>
      <c r="D47" s="4"/>
    </row>
    <row r="48" spans="1:4" x14ac:dyDescent="0.25">
      <c r="A48" s="12"/>
      <c r="B48" s="4"/>
      <c r="D48" s="4"/>
    </row>
    <row r="49" spans="1:4" x14ac:dyDescent="0.25">
      <c r="A49" s="12"/>
      <c r="B49" s="4"/>
      <c r="D49" s="4"/>
    </row>
    <row r="50" spans="1:4" x14ac:dyDescent="0.25">
      <c r="A50" s="12"/>
      <c r="B50" s="4"/>
      <c r="D50" s="4"/>
    </row>
    <row r="51" spans="1:4" x14ac:dyDescent="0.25">
      <c r="A51" s="12"/>
      <c r="B51" s="4"/>
      <c r="D51" s="4"/>
    </row>
    <row r="52" spans="1:4" x14ac:dyDescent="0.25">
      <c r="A52" s="12"/>
      <c r="B52" s="4"/>
      <c r="D52" s="4"/>
    </row>
    <row r="53" spans="1:4" x14ac:dyDescent="0.25">
      <c r="A53" s="12"/>
      <c r="B53" s="4"/>
      <c r="D53" s="4"/>
    </row>
    <row r="54" spans="1:4" x14ac:dyDescent="0.25">
      <c r="A54" s="12"/>
      <c r="B54" s="4"/>
      <c r="D54" s="4"/>
    </row>
    <row r="55" spans="1:4" x14ac:dyDescent="0.25">
      <c r="A55" s="12"/>
      <c r="B55" s="4"/>
      <c r="D55" s="4"/>
    </row>
    <row r="56" spans="1:4" x14ac:dyDescent="0.25">
      <c r="A56" s="12"/>
      <c r="B56" s="4"/>
      <c r="D56" s="4"/>
    </row>
    <row r="57" spans="1:4" x14ac:dyDescent="0.25">
      <c r="A57" s="12"/>
      <c r="B57" s="4"/>
      <c r="D57" s="4"/>
    </row>
    <row r="58" spans="1:4" x14ac:dyDescent="0.25">
      <c r="A58" s="12"/>
      <c r="B58" s="4"/>
      <c r="D58" s="4"/>
    </row>
    <row r="59" spans="1:4" x14ac:dyDescent="0.25">
      <c r="A59" s="12"/>
      <c r="B59" s="4"/>
      <c r="D59" s="4"/>
    </row>
    <row r="60" spans="1:4" x14ac:dyDescent="0.25">
      <c r="A60" s="12"/>
      <c r="B60" s="4"/>
      <c r="D60" s="4"/>
    </row>
    <row r="61" spans="1:4" x14ac:dyDescent="0.25">
      <c r="A61" s="12"/>
      <c r="B61" s="4"/>
      <c r="D61" s="4"/>
    </row>
    <row r="62" spans="1:4" x14ac:dyDescent="0.25">
      <c r="A62" s="12"/>
      <c r="B62" s="4"/>
      <c r="D62" s="4"/>
    </row>
    <row r="63" spans="1:4" x14ac:dyDescent="0.25">
      <c r="A63" s="12"/>
      <c r="B63" s="4"/>
      <c r="D63" s="4"/>
    </row>
    <row r="64" spans="1:4" x14ac:dyDescent="0.25">
      <c r="A64" s="12"/>
      <c r="B64" s="4"/>
      <c r="D64" s="4"/>
    </row>
    <row r="65" spans="1:4" x14ac:dyDescent="0.25">
      <c r="A65" s="12"/>
      <c r="B65" s="4"/>
      <c r="D65" s="4"/>
    </row>
  </sheetData>
  <mergeCells count="2">
    <mergeCell ref="A1:H1"/>
    <mergeCell ref="D11:E1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random">
                <anchor moveWithCells="1" sizeWithCells="1">
                  <from>
                    <xdr:col>15</xdr:col>
                    <xdr:colOff>563880</xdr:colOff>
                    <xdr:row>4</xdr:row>
                    <xdr:rowOff>45720</xdr:rowOff>
                  </from>
                  <to>
                    <xdr:col>18</xdr:col>
                    <xdr:colOff>304800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2024-12-03T09:04:44Z</cp:lastPrinted>
  <dcterms:created xsi:type="dcterms:W3CDTF">2024-10-05T13:27:14Z</dcterms:created>
  <dcterms:modified xsi:type="dcterms:W3CDTF">2024-12-04T09:50:14Z</dcterms:modified>
</cp:coreProperties>
</file>