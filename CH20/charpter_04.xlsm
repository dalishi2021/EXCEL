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0\"/>
    </mc:Choice>
  </mc:AlternateContent>
  <xr:revisionPtr revIDLastSave="0" documentId="13_ncr:1_{A37BDCF7-6ABE-4F90-8E8F-E37CCE0FCE76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Page 570" sheetId="2" r:id="rId2"/>
  </sheets>
  <externalReferences>
    <externalReference r:id="rId3"/>
  </externalReferences>
  <definedNames>
    <definedName name="solver_adj" localSheetId="1" hidden="1">'Page 570'!$C$3</definedName>
    <definedName name="solver_cvg" localSheetId="1" hidden="1">0.0001</definedName>
    <definedName name="solver_drv" localSheetId="1" hidden="1">1</definedName>
    <definedName name="solver_est" localSheetId="1" hidden="1">1</definedName>
    <definedName name="solver_itr" localSheetId="1" hidden="1">100</definedName>
    <definedName name="solver_lin" localSheetId="1" hidden="1">2</definedName>
    <definedName name="solver_neg" localSheetId="1" hidden="1">2</definedName>
    <definedName name="solver_num" localSheetId="1" hidden="1">0</definedName>
    <definedName name="solver_nwt" localSheetId="1" hidden="1">1</definedName>
    <definedName name="solver_opt" localSheetId="1" hidden="1">'Page 570'!#REF!</definedName>
    <definedName name="solver_pre" localSheetId="1" hidden="1">0.000001</definedName>
    <definedName name="solver_scl" localSheetId="1" hidden="1">2</definedName>
    <definedName name="solver_sho" localSheetId="1" hidden="1">2</definedName>
    <definedName name="solver_tim" localSheetId="1" hidden="1">100</definedName>
    <definedName name="solver_tol" localSheetId="1" hidden="1">0.05</definedName>
    <definedName name="solver_typ" localSheetId="1" hidden="1">3</definedName>
    <definedName name="solver_val" localSheetId="1" hidden="1">0</definedName>
  </definedNames>
  <calcPr calcId="191029" iterate="1" concurrentManualCount="32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1" i="2" l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U12" i="2"/>
  <c r="B10" i="2"/>
  <c r="K21" i="2"/>
  <c r="L16" i="2"/>
  <c r="K27" i="2"/>
  <c r="C33" i="2"/>
  <c r="L28" i="2"/>
  <c r="L18" i="2"/>
  <c r="M28" i="2"/>
  <c r="J22" i="2"/>
  <c r="C35" i="2"/>
  <c r="I27" i="2"/>
  <c r="J12" i="2"/>
  <c r="L29" i="2"/>
  <c r="M16" i="2"/>
  <c r="C11" i="2"/>
  <c r="L19" i="2"/>
  <c r="J15" i="2"/>
  <c r="K22" i="2"/>
  <c r="C12" i="2"/>
  <c r="L27" i="2"/>
  <c r="M23" i="2"/>
  <c r="K12" i="2"/>
  <c r="C16" i="2"/>
  <c r="C34" i="2"/>
  <c r="I15" i="2"/>
  <c r="I11" i="2"/>
  <c r="K23" i="2"/>
  <c r="C13" i="2"/>
  <c r="M29" i="2"/>
  <c r="J17" i="2"/>
  <c r="J18" i="2"/>
  <c r="I12" i="2"/>
  <c r="J27" i="2"/>
  <c r="L10" i="2"/>
  <c r="K25" i="2"/>
  <c r="H11" i="2"/>
  <c r="M22" i="2"/>
  <c r="L17" i="2"/>
  <c r="C23" i="2"/>
  <c r="J11" i="2"/>
  <c r="K28" i="2"/>
  <c r="K11" i="2"/>
  <c r="J26" i="2"/>
  <c r="L15" i="2"/>
  <c r="C21" i="2"/>
  <c r="K29" i="2"/>
  <c r="M27" i="2"/>
  <c r="L20" i="2"/>
  <c r="J13" i="2"/>
  <c r="K10" i="2"/>
  <c r="H21" i="2"/>
  <c r="C29" i="2"/>
  <c r="J20" i="2"/>
  <c r="I21" i="2"/>
  <c r="C18" i="2"/>
  <c r="I29" i="2"/>
  <c r="C27" i="2"/>
  <c r="J25" i="2"/>
  <c r="I26" i="2"/>
  <c r="I14" i="2"/>
  <c r="L25" i="2"/>
  <c r="M10" i="2"/>
  <c r="I23" i="2"/>
  <c r="K14" i="2"/>
  <c r="C28" i="2"/>
  <c r="J21" i="2"/>
  <c r="K13" i="2"/>
  <c r="I17" i="2"/>
  <c r="I24" i="2"/>
  <c r="L12" i="2"/>
  <c r="L23" i="2"/>
  <c r="C24" i="2"/>
  <c r="C15" i="2"/>
  <c r="L22" i="2"/>
  <c r="I25" i="2"/>
  <c r="C22" i="2"/>
  <c r="K16" i="2"/>
  <c r="K24" i="2"/>
  <c r="C38" i="2"/>
  <c r="M11" i="2"/>
  <c r="I13" i="2"/>
  <c r="C17" i="2"/>
  <c r="I16" i="2"/>
  <c r="L13" i="2"/>
  <c r="J24" i="2"/>
  <c r="K26" i="2"/>
  <c r="M17" i="2"/>
  <c r="C19" i="2"/>
  <c r="C9" i="2"/>
  <c r="C10" i="2"/>
  <c r="I19" i="2"/>
  <c r="C14" i="2"/>
  <c r="J16" i="2"/>
  <c r="I22" i="2"/>
  <c r="J23" i="2"/>
  <c r="H22" i="2"/>
  <c r="J29" i="2"/>
  <c r="M20" i="2"/>
  <c r="C40" i="2"/>
  <c r="L14" i="2"/>
  <c r="L21" i="2"/>
  <c r="D10" i="2"/>
  <c r="J10" i="2"/>
  <c r="J14" i="2"/>
  <c r="C26" i="2"/>
  <c r="M12" i="2"/>
  <c r="L24" i="2"/>
  <c r="K18" i="2"/>
  <c r="K19" i="2"/>
  <c r="I18" i="2"/>
  <c r="H30" i="2"/>
  <c r="C20" i="2"/>
  <c r="I28" i="2"/>
  <c r="J28" i="2"/>
  <c r="I20" i="2"/>
  <c r="M15" i="2"/>
  <c r="M18" i="2"/>
  <c r="L26" i="2"/>
  <c r="M26" i="2"/>
  <c r="I10" i="2"/>
  <c r="P10" i="2"/>
  <c r="J19" i="2"/>
  <c r="C25" i="2"/>
  <c r="M24" i="2"/>
  <c r="M14" i="2"/>
  <c r="K17" i="2"/>
  <c r="H10" i="2"/>
  <c r="M25" i="2"/>
  <c r="L11" i="2"/>
  <c r="M13" i="2"/>
  <c r="M21" i="2"/>
  <c r="K20" i="2"/>
  <c r="K15" i="2"/>
  <c r="M19" i="2"/>
  <c r="D11" i="2" l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B34" i="2"/>
  <c r="B33" i="2"/>
  <c r="O16" i="2"/>
  <c r="O14" i="2"/>
  <c r="O17" i="2"/>
  <c r="O18" i="2"/>
  <c r="O19" i="2"/>
  <c r="O13" i="2"/>
  <c r="O20" i="2"/>
  <c r="O12" i="2"/>
  <c r="O21" i="2"/>
  <c r="O10" i="2"/>
  <c r="O15" i="2"/>
  <c r="O22" i="2"/>
  <c r="O23" i="2"/>
  <c r="O24" i="2"/>
  <c r="O25" i="2"/>
  <c r="O26" i="2"/>
  <c r="O27" i="2"/>
  <c r="O28" i="2"/>
  <c r="O11" i="2"/>
  <c r="O29" i="2"/>
  <c r="G10" i="2"/>
  <c r="E10" i="2"/>
  <c r="E11" i="2" l="1"/>
  <c r="B35" i="2"/>
  <c r="G11" i="2"/>
  <c r="G12" i="2"/>
  <c r="E12" i="2" l="1"/>
  <c r="G13" i="2"/>
  <c r="G14" i="2" l="1"/>
  <c r="E13" i="2"/>
  <c r="E15" i="2" l="1"/>
  <c r="E14" i="2"/>
  <c r="G15" i="2"/>
  <c r="E16" i="2" l="1"/>
  <c r="G16" i="2"/>
  <c r="E17" i="2" l="1"/>
  <c r="G18" i="2"/>
  <c r="G17" i="2"/>
  <c r="G19" i="2" l="1"/>
  <c r="E18" i="2"/>
  <c r="G20" i="2" l="1"/>
  <c r="E19" i="2"/>
  <c r="E20" i="2" l="1"/>
  <c r="G21" i="2"/>
  <c r="E21" i="2" l="1"/>
  <c r="E22" i="2" l="1"/>
  <c r="G22" i="2"/>
  <c r="E23" i="2" l="1"/>
  <c r="G24" i="2"/>
  <c r="G23" i="2"/>
  <c r="G25" i="2" l="1"/>
  <c r="E24" i="2"/>
  <c r="E25" i="2" l="1"/>
  <c r="G26" i="2"/>
  <c r="E26" i="2" l="1"/>
  <c r="E27" i="2" l="1"/>
  <c r="G27" i="2"/>
  <c r="E29" i="2" l="1"/>
  <c r="E28" i="2"/>
  <c r="G28" i="2"/>
  <c r="G29" i="2" l="1"/>
  <c r="G30" i="2" l="1"/>
  <c r="B38" i="2" s="1"/>
  <c r="B40" i="2" s="1"/>
</calcChain>
</file>

<file path=xl/sharedStrings.xml><?xml version="1.0" encoding="utf-8"?>
<sst xmlns="http://schemas.openxmlformats.org/spreadsheetml/2006/main" count="27" uniqueCount="27">
  <si>
    <t>S</t>
  </si>
  <si>
    <r>
      <t>X</t>
    </r>
    <r>
      <rPr>
        <vertAlign val="subscript"/>
        <sz val="10"/>
        <rFont val="Arial"/>
        <family val="2"/>
      </rPr>
      <t>call</t>
    </r>
  </si>
  <si>
    <r>
      <t>X</t>
    </r>
    <r>
      <rPr>
        <vertAlign val="subscript"/>
        <sz val="10"/>
        <rFont val="Arial"/>
        <family val="2"/>
      </rPr>
      <t>put</t>
    </r>
  </si>
  <si>
    <t>r</t>
  </si>
  <si>
    <t>k, dividend yield</t>
  </si>
  <si>
    <t>Sigma</t>
  </si>
  <si>
    <t>Time until expiration</t>
  </si>
  <si>
    <t>Stock price</t>
  </si>
  <si>
    <t>Bond</t>
  </si>
  <si>
    <t>Porfolio value</t>
  </si>
  <si>
    <t>Porfolio cash flow</t>
  </si>
  <si>
    <t>Delta
d/dS</t>
  </si>
  <si>
    <t>Vega</t>
  </si>
  <si>
    <t>Theta</t>
  </si>
  <si>
    <t>Rho</t>
  </si>
  <si>
    <t>Random numbers</t>
  </si>
  <si>
    <t>mu</t>
  </si>
  <si>
    <t>sigma</t>
  </si>
  <si>
    <t>Check:  Collar payoff to client at time 0</t>
  </si>
  <si>
    <t>Call</t>
  </si>
  <si>
    <t>Put</t>
  </si>
  <si>
    <t>Total</t>
  </si>
  <si>
    <t>Payoff to bank from delta hedge</t>
  </si>
  <si>
    <t>Terminal cash flow to bank</t>
  </si>
  <si>
    <t>The Collar ggamma
Press [Ctrl]+q to run simulation</t>
  </si>
  <si>
    <t>ggamma</t>
  </si>
  <si>
    <t>ggamma for graph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</si>
</sst>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vertAlign val="subscript"/>
      <sz val="10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</cellStyleXfs>
  <cellXfs count="21">
    <xf numFmtId="0" fontId="0" fillId="0" borderId="0" xfId="0">
      <alignment vertical="center"/>
    </xf>
    <xf numFmtId="0" fontId="2" fillId="0" borderId="0" xfId="1"/>
    <xf numFmtId="9" fontId="2" fillId="0" borderId="0" xfId="2" applyFont="1"/>
    <xf numFmtId="2" fontId="2" fillId="0" borderId="0" xfId="2" applyNumberFormat="1"/>
    <xf numFmtId="2" fontId="2" fillId="0" borderId="0" xfId="1" applyNumberFormat="1"/>
    <xf numFmtId="0" fontId="2" fillId="0" borderId="0" xfId="1" quotePrefix="1"/>
    <xf numFmtId="9" fontId="2" fillId="0" borderId="0" xfId="2"/>
    <xf numFmtId="10" fontId="2" fillId="0" borderId="0" xfId="2" applyNumberFormat="1"/>
    <xf numFmtId="0" fontId="5" fillId="0" borderId="0" xfId="1" applyFont="1" applyAlignment="1">
      <alignment horizontal="center" wrapText="1"/>
    </xf>
    <xf numFmtId="0" fontId="5" fillId="0" borderId="0" xfId="1" applyFont="1" applyAlignment="1">
      <alignment horizontal="center"/>
    </xf>
    <xf numFmtId="2" fontId="2" fillId="0" borderId="0" xfId="1" applyNumberFormat="1" applyAlignment="1">
      <alignment horizontal="center"/>
    </xf>
    <xf numFmtId="2" fontId="2" fillId="2" borderId="0" xfId="1" applyNumberFormat="1" applyFill="1"/>
    <xf numFmtId="176" fontId="2" fillId="0" borderId="0" xfId="1" quotePrefix="1" applyNumberFormat="1"/>
    <xf numFmtId="176" fontId="2" fillId="0" borderId="0" xfId="1" applyNumberFormat="1"/>
    <xf numFmtId="9" fontId="2" fillId="0" borderId="0" xfId="1" applyNumberFormat="1"/>
    <xf numFmtId="176" fontId="5" fillId="0" borderId="0" xfId="1" applyNumberFormat="1" applyFont="1"/>
    <xf numFmtId="176" fontId="5" fillId="0" borderId="0" xfId="1" applyNumberFormat="1" applyFont="1" applyAlignment="1">
      <alignment vertical="center" wrapText="1"/>
    </xf>
    <xf numFmtId="2" fontId="0" fillId="0" borderId="0" xfId="0" applyNumberFormat="1" applyAlignment="1"/>
    <xf numFmtId="0" fontId="0" fillId="0" borderId="0" xfId="0" applyAlignment="1"/>
    <xf numFmtId="0" fontId="3" fillId="0" borderId="0" xfId="1" applyFont="1" applyAlignment="1">
      <alignment horizontal="center" vertical="center" wrapText="1"/>
    </xf>
    <xf numFmtId="0" fontId="3" fillId="0" borderId="0" xfId="1" applyFont="1" applyAlignment="1">
      <alignment horizontal="center" vertical="center"/>
    </xf>
  </cellXfs>
  <cellStyles count="3">
    <cellStyle name="百分比 2" xfId="2" xr:uid="{752DFB7E-4758-4E86-9040-6935C600AB88}"/>
    <cellStyle name="常规" xfId="0" builtinId="0"/>
    <cellStyle name="常规 2" xfId="1" xr:uid="{B4E4B0C7-D8AC-4BDC-A93D-CB26E9A8D11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 altLang="zh-CN"/>
              <a:t>Gamma of Collar Hedge
(absolute value)</a:t>
            </a:r>
          </a:p>
        </c:rich>
      </c:tx>
      <c:layout>
        <c:manualLayout>
          <c:xMode val="edge"/>
          <c:yMode val="edge"/>
          <c:x val="0.39106205256089754"/>
          <c:y val="3.48837902509912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9553102628044883"/>
          <c:y val="0.20697715548921483"/>
          <c:w val="0.78072745493407769"/>
          <c:h val="0.67674553086923039"/>
        </c:manualLayout>
      </c:layout>
      <c:lineChart>
        <c:grouping val="standard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'Page 570'!$A$10:$A$30</c:f>
              <c:numCache>
                <c:formatCode>0.00</c:formatCode>
                <c:ptCount val="21"/>
                <c:pt idx="0">
                  <c:v>1</c:v>
                </c:pt>
                <c:pt idx="1">
                  <c:v>0.95</c:v>
                </c:pt>
                <c:pt idx="2">
                  <c:v>0.9</c:v>
                </c:pt>
                <c:pt idx="3">
                  <c:v>0.85</c:v>
                </c:pt>
                <c:pt idx="4">
                  <c:v>0.8</c:v>
                </c:pt>
                <c:pt idx="5">
                  <c:v>0.75</c:v>
                </c:pt>
                <c:pt idx="6">
                  <c:v>0.7</c:v>
                </c:pt>
                <c:pt idx="7">
                  <c:v>0.65</c:v>
                </c:pt>
                <c:pt idx="8">
                  <c:v>0.6</c:v>
                </c:pt>
                <c:pt idx="9">
                  <c:v>0.55000000000000004</c:v>
                </c:pt>
                <c:pt idx="10">
                  <c:v>0.5</c:v>
                </c:pt>
                <c:pt idx="11">
                  <c:v>0.45</c:v>
                </c:pt>
                <c:pt idx="12">
                  <c:v>0.39999999999999902</c:v>
                </c:pt>
                <c:pt idx="13">
                  <c:v>0.34999999999999898</c:v>
                </c:pt>
                <c:pt idx="14">
                  <c:v>0.29999999999999899</c:v>
                </c:pt>
                <c:pt idx="15">
                  <c:v>0.249999999999999</c:v>
                </c:pt>
                <c:pt idx="16">
                  <c:v>0.19999999999999901</c:v>
                </c:pt>
                <c:pt idx="17">
                  <c:v>0.149999999999999</c:v>
                </c:pt>
                <c:pt idx="18">
                  <c:v>9.9999999999999006E-2</c:v>
                </c:pt>
                <c:pt idx="19">
                  <c:v>4.9999999999998997E-2</c:v>
                </c:pt>
                <c:pt idx="20">
                  <c:v>0</c:v>
                </c:pt>
              </c:numCache>
            </c:numRef>
          </c:cat>
          <c:val>
            <c:numRef>
              <c:f>'Page 570'!$O$10:$O$29</c:f>
              <c:numCache>
                <c:formatCode>General</c:formatCode>
                <c:ptCount val="20"/>
                <c:pt idx="0">
                  <c:v>2.553658859829052E-3</c:v>
                </c:pt>
                <c:pt idx="1">
                  <c:v>7.1760188572857903E-4</c:v>
                </c:pt>
                <c:pt idx="2">
                  <c:v>2.7559326601253875E-3</c:v>
                </c:pt>
                <c:pt idx="3">
                  <c:v>1.5033856159794957E-2</c:v>
                </c:pt>
                <c:pt idx="4">
                  <c:v>1.3477212423057737E-2</c:v>
                </c:pt>
                <c:pt idx="5">
                  <c:v>1.4678186746506078E-2</c:v>
                </c:pt>
                <c:pt idx="6">
                  <c:v>2.4325211109288977E-2</c:v>
                </c:pt>
                <c:pt idx="7">
                  <c:v>3.5518749890335238E-2</c:v>
                </c:pt>
                <c:pt idx="8">
                  <c:v>5.4066922059971795E-2</c:v>
                </c:pt>
                <c:pt idx="9">
                  <c:v>8.9077571935644501E-2</c:v>
                </c:pt>
                <c:pt idx="10">
                  <c:v>0.2535950221773427</c:v>
                </c:pt>
                <c:pt idx="11">
                  <c:v>0.31958242142811577</c:v>
                </c:pt>
                <c:pt idx="12">
                  <c:v>0.77081872264213847</c:v>
                </c:pt>
                <c:pt idx="13">
                  <c:v>0.62208430998966835</c:v>
                </c:pt>
                <c:pt idx="14">
                  <c:v>1.0169707422927243</c:v>
                </c:pt>
                <c:pt idx="15">
                  <c:v>4.2551314868510604</c:v>
                </c:pt>
                <c:pt idx="16">
                  <c:v>146.80023794462775</c:v>
                </c:pt>
                <c:pt idx="17">
                  <c:v>199.31694748438957</c:v>
                </c:pt>
                <c:pt idx="18">
                  <c:v>795.21354799269557</c:v>
                </c:pt>
                <c:pt idx="19">
                  <c:v>1074824.0338232357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3DE-4D1F-B1FD-2E0CCA82A3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0295768"/>
        <c:axId val="1"/>
      </c:lineChart>
      <c:catAx>
        <c:axId val="97029576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altLang="zh-CN"/>
                  <a:t>Time to expiration</a:t>
                </a:r>
              </a:p>
            </c:rich>
          </c:tx>
          <c:layout>
            <c:manualLayout>
              <c:xMode val="edge"/>
              <c:yMode val="edge"/>
              <c:x val="0.51257061889231936"/>
              <c:y val="0.91162971855923813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540000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1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"/>
        <c:scaling>
          <c:logBase val="10"/>
          <c:orientation val="minMax"/>
        </c:scaling>
        <c:delete val="0"/>
        <c:axPos val="l"/>
        <c:numFmt formatCode="_(* #,##0.000_);_(* \(#,##0.000\);_(* &quot;-&quot;??_);_(@_)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zh-CN"/>
          </a:p>
        </c:txPr>
        <c:crossAx val="97029576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zh-CN"/>
    </a:p>
  </c:txPr>
  <c:printSettings>
    <c:headerFooter alignWithMargins="0"/>
    <c:pageMargins b="1" l="0.75" r="0.75" t="1" header="0.5" footer="0.5"/>
    <c:pageSetup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1287780</xdr:colOff>
      <xdr:row>31</xdr:row>
      <xdr:rowOff>30480</xdr:rowOff>
    </xdr:from>
    <xdr:to>
      <xdr:col>13</xdr:col>
      <xdr:colOff>396240</xdr:colOff>
      <xdr:row>54</xdr:row>
      <xdr:rowOff>22860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1A2022E-2D4B-42C3-A271-85B15A3019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22</xdr:col>
      <xdr:colOff>76200</xdr:colOff>
      <xdr:row>2</xdr:row>
      <xdr:rowOff>190500</xdr:rowOff>
    </xdr:from>
    <xdr:to>
      <xdr:col>54</xdr:col>
      <xdr:colOff>381000</xdr:colOff>
      <xdr:row>59</xdr:row>
      <xdr:rowOff>17145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C25B9233-ECD6-A7E3-5159-C573C8E56F1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9869150" y="904875"/>
          <a:ext cx="19812000" cy="10496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365760</xdr:colOff>
          <xdr:row>4</xdr:row>
          <xdr:rowOff>22860</xdr:rowOff>
        </xdr:from>
        <xdr:to>
          <xdr:col>16</xdr:col>
          <xdr:colOff>381000</xdr:colOff>
          <xdr:row>7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Random number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deltacall"/>
      <definedName name="deltaput"/>
      <definedName name="dtwo"/>
      <definedName name="ggamma"/>
      <definedName name="rhocall"/>
      <definedName name="rhoput"/>
      <definedName name="Thetacall"/>
      <definedName name="Thetaput"/>
      <definedName name="veg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sheetPr codeName="Sheet1"/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4289A-66AB-4F0A-913C-F6F05C5585F5}">
  <sheetPr codeName="Sheet17"/>
  <dimension ref="A1:U62"/>
  <sheetViews>
    <sheetView tabSelected="1" zoomScale="130" zoomScaleNormal="130" workbookViewId="0">
      <selection activeCell="L5" sqref="L5"/>
    </sheetView>
  </sheetViews>
  <sheetFormatPr defaultRowHeight="13.2" x14ac:dyDescent="0.25"/>
  <cols>
    <col min="1" max="1" width="16" style="1" customWidth="1"/>
    <col min="2" max="2" width="12.5546875" style="1" bestFit="1" customWidth="1"/>
    <col min="3" max="3" width="29.5546875" style="1" customWidth="1"/>
    <col min="4" max="4" width="11.5546875" style="1" customWidth="1"/>
    <col min="5" max="7" width="8.88671875" style="1"/>
    <col min="8" max="8" width="48.33203125" style="1" bestFit="1" customWidth="1"/>
    <col min="9" max="9" width="8.88671875" style="1"/>
    <col min="10" max="10" width="20" style="1" bestFit="1" customWidth="1"/>
    <col min="11" max="11" width="14.33203125" style="1" bestFit="1" customWidth="1"/>
    <col min="12" max="12" width="9.33203125" style="1" bestFit="1" customWidth="1"/>
    <col min="13" max="13" width="11.5546875" style="1" bestFit="1" customWidth="1"/>
    <col min="14" max="256" width="8.88671875" style="1"/>
    <col min="257" max="257" width="16" style="1" customWidth="1"/>
    <col min="258" max="258" width="12.5546875" style="1" bestFit="1" customWidth="1"/>
    <col min="259" max="259" width="29.5546875" style="1" customWidth="1"/>
    <col min="260" max="260" width="11.5546875" style="1" customWidth="1"/>
    <col min="261" max="263" width="8.88671875" style="1"/>
    <col min="264" max="264" width="48.33203125" style="1" bestFit="1" customWidth="1"/>
    <col min="265" max="265" width="8.88671875" style="1"/>
    <col min="266" max="266" width="20" style="1" bestFit="1" customWidth="1"/>
    <col min="267" max="267" width="14.33203125" style="1" bestFit="1" customWidth="1"/>
    <col min="268" max="268" width="9.33203125" style="1" bestFit="1" customWidth="1"/>
    <col min="269" max="269" width="11.5546875" style="1" bestFit="1" customWidth="1"/>
    <col min="270" max="512" width="8.88671875" style="1"/>
    <col min="513" max="513" width="16" style="1" customWidth="1"/>
    <col min="514" max="514" width="12.5546875" style="1" bestFit="1" customWidth="1"/>
    <col min="515" max="515" width="29.5546875" style="1" customWidth="1"/>
    <col min="516" max="516" width="11.5546875" style="1" customWidth="1"/>
    <col min="517" max="519" width="8.88671875" style="1"/>
    <col min="520" max="520" width="48.33203125" style="1" bestFit="1" customWidth="1"/>
    <col min="521" max="521" width="8.88671875" style="1"/>
    <col min="522" max="522" width="20" style="1" bestFit="1" customWidth="1"/>
    <col min="523" max="523" width="14.33203125" style="1" bestFit="1" customWidth="1"/>
    <col min="524" max="524" width="9.33203125" style="1" bestFit="1" customWidth="1"/>
    <col min="525" max="525" width="11.5546875" style="1" bestFit="1" customWidth="1"/>
    <col min="526" max="768" width="8.88671875" style="1"/>
    <col min="769" max="769" width="16" style="1" customWidth="1"/>
    <col min="770" max="770" width="12.5546875" style="1" bestFit="1" customWidth="1"/>
    <col min="771" max="771" width="29.5546875" style="1" customWidth="1"/>
    <col min="772" max="772" width="11.5546875" style="1" customWidth="1"/>
    <col min="773" max="775" width="8.88671875" style="1"/>
    <col min="776" max="776" width="48.33203125" style="1" bestFit="1" customWidth="1"/>
    <col min="777" max="777" width="8.88671875" style="1"/>
    <col min="778" max="778" width="20" style="1" bestFit="1" customWidth="1"/>
    <col min="779" max="779" width="14.33203125" style="1" bestFit="1" customWidth="1"/>
    <col min="780" max="780" width="9.33203125" style="1" bestFit="1" customWidth="1"/>
    <col min="781" max="781" width="11.5546875" style="1" bestFit="1" customWidth="1"/>
    <col min="782" max="1024" width="8.88671875" style="1"/>
    <col min="1025" max="1025" width="16" style="1" customWidth="1"/>
    <col min="1026" max="1026" width="12.5546875" style="1" bestFit="1" customWidth="1"/>
    <col min="1027" max="1027" width="29.5546875" style="1" customWidth="1"/>
    <col min="1028" max="1028" width="11.5546875" style="1" customWidth="1"/>
    <col min="1029" max="1031" width="8.88671875" style="1"/>
    <col min="1032" max="1032" width="48.33203125" style="1" bestFit="1" customWidth="1"/>
    <col min="1033" max="1033" width="8.88671875" style="1"/>
    <col min="1034" max="1034" width="20" style="1" bestFit="1" customWidth="1"/>
    <col min="1035" max="1035" width="14.33203125" style="1" bestFit="1" customWidth="1"/>
    <col min="1036" max="1036" width="9.33203125" style="1" bestFit="1" customWidth="1"/>
    <col min="1037" max="1037" width="11.5546875" style="1" bestFit="1" customWidth="1"/>
    <col min="1038" max="1280" width="8.88671875" style="1"/>
    <col min="1281" max="1281" width="16" style="1" customWidth="1"/>
    <col min="1282" max="1282" width="12.5546875" style="1" bestFit="1" customWidth="1"/>
    <col min="1283" max="1283" width="29.5546875" style="1" customWidth="1"/>
    <col min="1284" max="1284" width="11.5546875" style="1" customWidth="1"/>
    <col min="1285" max="1287" width="8.88671875" style="1"/>
    <col min="1288" max="1288" width="48.33203125" style="1" bestFit="1" customWidth="1"/>
    <col min="1289" max="1289" width="8.88671875" style="1"/>
    <col min="1290" max="1290" width="20" style="1" bestFit="1" customWidth="1"/>
    <col min="1291" max="1291" width="14.33203125" style="1" bestFit="1" customWidth="1"/>
    <col min="1292" max="1292" width="9.33203125" style="1" bestFit="1" customWidth="1"/>
    <col min="1293" max="1293" width="11.5546875" style="1" bestFit="1" customWidth="1"/>
    <col min="1294" max="1536" width="8.88671875" style="1"/>
    <col min="1537" max="1537" width="16" style="1" customWidth="1"/>
    <col min="1538" max="1538" width="12.5546875" style="1" bestFit="1" customWidth="1"/>
    <col min="1539" max="1539" width="29.5546875" style="1" customWidth="1"/>
    <col min="1540" max="1540" width="11.5546875" style="1" customWidth="1"/>
    <col min="1541" max="1543" width="8.88671875" style="1"/>
    <col min="1544" max="1544" width="48.33203125" style="1" bestFit="1" customWidth="1"/>
    <col min="1545" max="1545" width="8.88671875" style="1"/>
    <col min="1546" max="1546" width="20" style="1" bestFit="1" customWidth="1"/>
    <col min="1547" max="1547" width="14.33203125" style="1" bestFit="1" customWidth="1"/>
    <col min="1548" max="1548" width="9.33203125" style="1" bestFit="1" customWidth="1"/>
    <col min="1549" max="1549" width="11.5546875" style="1" bestFit="1" customWidth="1"/>
    <col min="1550" max="1792" width="8.88671875" style="1"/>
    <col min="1793" max="1793" width="16" style="1" customWidth="1"/>
    <col min="1794" max="1794" width="12.5546875" style="1" bestFit="1" customWidth="1"/>
    <col min="1795" max="1795" width="29.5546875" style="1" customWidth="1"/>
    <col min="1796" max="1796" width="11.5546875" style="1" customWidth="1"/>
    <col min="1797" max="1799" width="8.88671875" style="1"/>
    <col min="1800" max="1800" width="48.33203125" style="1" bestFit="1" customWidth="1"/>
    <col min="1801" max="1801" width="8.88671875" style="1"/>
    <col min="1802" max="1802" width="20" style="1" bestFit="1" customWidth="1"/>
    <col min="1803" max="1803" width="14.33203125" style="1" bestFit="1" customWidth="1"/>
    <col min="1804" max="1804" width="9.33203125" style="1" bestFit="1" customWidth="1"/>
    <col min="1805" max="1805" width="11.5546875" style="1" bestFit="1" customWidth="1"/>
    <col min="1806" max="2048" width="8.88671875" style="1"/>
    <col min="2049" max="2049" width="16" style="1" customWidth="1"/>
    <col min="2050" max="2050" width="12.5546875" style="1" bestFit="1" customWidth="1"/>
    <col min="2051" max="2051" width="29.5546875" style="1" customWidth="1"/>
    <col min="2052" max="2052" width="11.5546875" style="1" customWidth="1"/>
    <col min="2053" max="2055" width="8.88671875" style="1"/>
    <col min="2056" max="2056" width="48.33203125" style="1" bestFit="1" customWidth="1"/>
    <col min="2057" max="2057" width="8.88671875" style="1"/>
    <col min="2058" max="2058" width="20" style="1" bestFit="1" customWidth="1"/>
    <col min="2059" max="2059" width="14.33203125" style="1" bestFit="1" customWidth="1"/>
    <col min="2060" max="2060" width="9.33203125" style="1" bestFit="1" customWidth="1"/>
    <col min="2061" max="2061" width="11.5546875" style="1" bestFit="1" customWidth="1"/>
    <col min="2062" max="2304" width="8.88671875" style="1"/>
    <col min="2305" max="2305" width="16" style="1" customWidth="1"/>
    <col min="2306" max="2306" width="12.5546875" style="1" bestFit="1" customWidth="1"/>
    <col min="2307" max="2307" width="29.5546875" style="1" customWidth="1"/>
    <col min="2308" max="2308" width="11.5546875" style="1" customWidth="1"/>
    <col min="2309" max="2311" width="8.88671875" style="1"/>
    <col min="2312" max="2312" width="48.33203125" style="1" bestFit="1" customWidth="1"/>
    <col min="2313" max="2313" width="8.88671875" style="1"/>
    <col min="2314" max="2314" width="20" style="1" bestFit="1" customWidth="1"/>
    <col min="2315" max="2315" width="14.33203125" style="1" bestFit="1" customWidth="1"/>
    <col min="2316" max="2316" width="9.33203125" style="1" bestFit="1" customWidth="1"/>
    <col min="2317" max="2317" width="11.5546875" style="1" bestFit="1" customWidth="1"/>
    <col min="2318" max="2560" width="8.88671875" style="1"/>
    <col min="2561" max="2561" width="16" style="1" customWidth="1"/>
    <col min="2562" max="2562" width="12.5546875" style="1" bestFit="1" customWidth="1"/>
    <col min="2563" max="2563" width="29.5546875" style="1" customWidth="1"/>
    <col min="2564" max="2564" width="11.5546875" style="1" customWidth="1"/>
    <col min="2565" max="2567" width="8.88671875" style="1"/>
    <col min="2568" max="2568" width="48.33203125" style="1" bestFit="1" customWidth="1"/>
    <col min="2569" max="2569" width="8.88671875" style="1"/>
    <col min="2570" max="2570" width="20" style="1" bestFit="1" customWidth="1"/>
    <col min="2571" max="2571" width="14.33203125" style="1" bestFit="1" customWidth="1"/>
    <col min="2572" max="2572" width="9.33203125" style="1" bestFit="1" customWidth="1"/>
    <col min="2573" max="2573" width="11.5546875" style="1" bestFit="1" customWidth="1"/>
    <col min="2574" max="2816" width="8.88671875" style="1"/>
    <col min="2817" max="2817" width="16" style="1" customWidth="1"/>
    <col min="2818" max="2818" width="12.5546875" style="1" bestFit="1" customWidth="1"/>
    <col min="2819" max="2819" width="29.5546875" style="1" customWidth="1"/>
    <col min="2820" max="2820" width="11.5546875" style="1" customWidth="1"/>
    <col min="2821" max="2823" width="8.88671875" style="1"/>
    <col min="2824" max="2824" width="48.33203125" style="1" bestFit="1" customWidth="1"/>
    <col min="2825" max="2825" width="8.88671875" style="1"/>
    <col min="2826" max="2826" width="20" style="1" bestFit="1" customWidth="1"/>
    <col min="2827" max="2827" width="14.33203125" style="1" bestFit="1" customWidth="1"/>
    <col min="2828" max="2828" width="9.33203125" style="1" bestFit="1" customWidth="1"/>
    <col min="2829" max="2829" width="11.5546875" style="1" bestFit="1" customWidth="1"/>
    <col min="2830" max="3072" width="8.88671875" style="1"/>
    <col min="3073" max="3073" width="16" style="1" customWidth="1"/>
    <col min="3074" max="3074" width="12.5546875" style="1" bestFit="1" customWidth="1"/>
    <col min="3075" max="3075" width="29.5546875" style="1" customWidth="1"/>
    <col min="3076" max="3076" width="11.5546875" style="1" customWidth="1"/>
    <col min="3077" max="3079" width="8.88671875" style="1"/>
    <col min="3080" max="3080" width="48.33203125" style="1" bestFit="1" customWidth="1"/>
    <col min="3081" max="3081" width="8.88671875" style="1"/>
    <col min="3082" max="3082" width="20" style="1" bestFit="1" customWidth="1"/>
    <col min="3083" max="3083" width="14.33203125" style="1" bestFit="1" customWidth="1"/>
    <col min="3084" max="3084" width="9.33203125" style="1" bestFit="1" customWidth="1"/>
    <col min="3085" max="3085" width="11.5546875" style="1" bestFit="1" customWidth="1"/>
    <col min="3086" max="3328" width="8.88671875" style="1"/>
    <col min="3329" max="3329" width="16" style="1" customWidth="1"/>
    <col min="3330" max="3330" width="12.5546875" style="1" bestFit="1" customWidth="1"/>
    <col min="3331" max="3331" width="29.5546875" style="1" customWidth="1"/>
    <col min="3332" max="3332" width="11.5546875" style="1" customWidth="1"/>
    <col min="3333" max="3335" width="8.88671875" style="1"/>
    <col min="3336" max="3336" width="48.33203125" style="1" bestFit="1" customWidth="1"/>
    <col min="3337" max="3337" width="8.88671875" style="1"/>
    <col min="3338" max="3338" width="20" style="1" bestFit="1" customWidth="1"/>
    <col min="3339" max="3339" width="14.33203125" style="1" bestFit="1" customWidth="1"/>
    <col min="3340" max="3340" width="9.33203125" style="1" bestFit="1" customWidth="1"/>
    <col min="3341" max="3341" width="11.5546875" style="1" bestFit="1" customWidth="1"/>
    <col min="3342" max="3584" width="8.88671875" style="1"/>
    <col min="3585" max="3585" width="16" style="1" customWidth="1"/>
    <col min="3586" max="3586" width="12.5546875" style="1" bestFit="1" customWidth="1"/>
    <col min="3587" max="3587" width="29.5546875" style="1" customWidth="1"/>
    <col min="3588" max="3588" width="11.5546875" style="1" customWidth="1"/>
    <col min="3589" max="3591" width="8.88671875" style="1"/>
    <col min="3592" max="3592" width="48.33203125" style="1" bestFit="1" customWidth="1"/>
    <col min="3593" max="3593" width="8.88671875" style="1"/>
    <col min="3594" max="3594" width="20" style="1" bestFit="1" customWidth="1"/>
    <col min="3595" max="3595" width="14.33203125" style="1" bestFit="1" customWidth="1"/>
    <col min="3596" max="3596" width="9.33203125" style="1" bestFit="1" customWidth="1"/>
    <col min="3597" max="3597" width="11.5546875" style="1" bestFit="1" customWidth="1"/>
    <col min="3598" max="3840" width="8.88671875" style="1"/>
    <col min="3841" max="3841" width="16" style="1" customWidth="1"/>
    <col min="3842" max="3842" width="12.5546875" style="1" bestFit="1" customWidth="1"/>
    <col min="3843" max="3843" width="29.5546875" style="1" customWidth="1"/>
    <col min="3844" max="3844" width="11.5546875" style="1" customWidth="1"/>
    <col min="3845" max="3847" width="8.88671875" style="1"/>
    <col min="3848" max="3848" width="48.33203125" style="1" bestFit="1" customWidth="1"/>
    <col min="3849" max="3849" width="8.88671875" style="1"/>
    <col min="3850" max="3850" width="20" style="1" bestFit="1" customWidth="1"/>
    <col min="3851" max="3851" width="14.33203125" style="1" bestFit="1" customWidth="1"/>
    <col min="3852" max="3852" width="9.33203125" style="1" bestFit="1" customWidth="1"/>
    <col min="3853" max="3853" width="11.5546875" style="1" bestFit="1" customWidth="1"/>
    <col min="3854" max="4096" width="8.88671875" style="1"/>
    <col min="4097" max="4097" width="16" style="1" customWidth="1"/>
    <col min="4098" max="4098" width="12.5546875" style="1" bestFit="1" customWidth="1"/>
    <col min="4099" max="4099" width="29.5546875" style="1" customWidth="1"/>
    <col min="4100" max="4100" width="11.5546875" style="1" customWidth="1"/>
    <col min="4101" max="4103" width="8.88671875" style="1"/>
    <col min="4104" max="4104" width="48.33203125" style="1" bestFit="1" customWidth="1"/>
    <col min="4105" max="4105" width="8.88671875" style="1"/>
    <col min="4106" max="4106" width="20" style="1" bestFit="1" customWidth="1"/>
    <col min="4107" max="4107" width="14.33203125" style="1" bestFit="1" customWidth="1"/>
    <col min="4108" max="4108" width="9.33203125" style="1" bestFit="1" customWidth="1"/>
    <col min="4109" max="4109" width="11.5546875" style="1" bestFit="1" customWidth="1"/>
    <col min="4110" max="4352" width="8.88671875" style="1"/>
    <col min="4353" max="4353" width="16" style="1" customWidth="1"/>
    <col min="4354" max="4354" width="12.5546875" style="1" bestFit="1" customWidth="1"/>
    <col min="4355" max="4355" width="29.5546875" style="1" customWidth="1"/>
    <col min="4356" max="4356" width="11.5546875" style="1" customWidth="1"/>
    <col min="4357" max="4359" width="8.88671875" style="1"/>
    <col min="4360" max="4360" width="48.33203125" style="1" bestFit="1" customWidth="1"/>
    <col min="4361" max="4361" width="8.88671875" style="1"/>
    <col min="4362" max="4362" width="20" style="1" bestFit="1" customWidth="1"/>
    <col min="4363" max="4363" width="14.33203125" style="1" bestFit="1" customWidth="1"/>
    <col min="4364" max="4364" width="9.33203125" style="1" bestFit="1" customWidth="1"/>
    <col min="4365" max="4365" width="11.5546875" style="1" bestFit="1" customWidth="1"/>
    <col min="4366" max="4608" width="8.88671875" style="1"/>
    <col min="4609" max="4609" width="16" style="1" customWidth="1"/>
    <col min="4610" max="4610" width="12.5546875" style="1" bestFit="1" customWidth="1"/>
    <col min="4611" max="4611" width="29.5546875" style="1" customWidth="1"/>
    <col min="4612" max="4612" width="11.5546875" style="1" customWidth="1"/>
    <col min="4613" max="4615" width="8.88671875" style="1"/>
    <col min="4616" max="4616" width="48.33203125" style="1" bestFit="1" customWidth="1"/>
    <col min="4617" max="4617" width="8.88671875" style="1"/>
    <col min="4618" max="4618" width="20" style="1" bestFit="1" customWidth="1"/>
    <col min="4619" max="4619" width="14.33203125" style="1" bestFit="1" customWidth="1"/>
    <col min="4620" max="4620" width="9.33203125" style="1" bestFit="1" customWidth="1"/>
    <col min="4621" max="4621" width="11.5546875" style="1" bestFit="1" customWidth="1"/>
    <col min="4622" max="4864" width="8.88671875" style="1"/>
    <col min="4865" max="4865" width="16" style="1" customWidth="1"/>
    <col min="4866" max="4866" width="12.5546875" style="1" bestFit="1" customWidth="1"/>
    <col min="4867" max="4867" width="29.5546875" style="1" customWidth="1"/>
    <col min="4868" max="4868" width="11.5546875" style="1" customWidth="1"/>
    <col min="4869" max="4871" width="8.88671875" style="1"/>
    <col min="4872" max="4872" width="48.33203125" style="1" bestFit="1" customWidth="1"/>
    <col min="4873" max="4873" width="8.88671875" style="1"/>
    <col min="4874" max="4874" width="20" style="1" bestFit="1" customWidth="1"/>
    <col min="4875" max="4875" width="14.33203125" style="1" bestFit="1" customWidth="1"/>
    <col min="4876" max="4876" width="9.33203125" style="1" bestFit="1" customWidth="1"/>
    <col min="4877" max="4877" width="11.5546875" style="1" bestFit="1" customWidth="1"/>
    <col min="4878" max="5120" width="8.88671875" style="1"/>
    <col min="5121" max="5121" width="16" style="1" customWidth="1"/>
    <col min="5122" max="5122" width="12.5546875" style="1" bestFit="1" customWidth="1"/>
    <col min="5123" max="5123" width="29.5546875" style="1" customWidth="1"/>
    <col min="5124" max="5124" width="11.5546875" style="1" customWidth="1"/>
    <col min="5125" max="5127" width="8.88671875" style="1"/>
    <col min="5128" max="5128" width="48.33203125" style="1" bestFit="1" customWidth="1"/>
    <col min="5129" max="5129" width="8.88671875" style="1"/>
    <col min="5130" max="5130" width="20" style="1" bestFit="1" customWidth="1"/>
    <col min="5131" max="5131" width="14.33203125" style="1" bestFit="1" customWidth="1"/>
    <col min="5132" max="5132" width="9.33203125" style="1" bestFit="1" customWidth="1"/>
    <col min="5133" max="5133" width="11.5546875" style="1" bestFit="1" customWidth="1"/>
    <col min="5134" max="5376" width="8.88671875" style="1"/>
    <col min="5377" max="5377" width="16" style="1" customWidth="1"/>
    <col min="5378" max="5378" width="12.5546875" style="1" bestFit="1" customWidth="1"/>
    <col min="5379" max="5379" width="29.5546875" style="1" customWidth="1"/>
    <col min="5380" max="5380" width="11.5546875" style="1" customWidth="1"/>
    <col min="5381" max="5383" width="8.88671875" style="1"/>
    <col min="5384" max="5384" width="48.33203125" style="1" bestFit="1" customWidth="1"/>
    <col min="5385" max="5385" width="8.88671875" style="1"/>
    <col min="5386" max="5386" width="20" style="1" bestFit="1" customWidth="1"/>
    <col min="5387" max="5387" width="14.33203125" style="1" bestFit="1" customWidth="1"/>
    <col min="5388" max="5388" width="9.33203125" style="1" bestFit="1" customWidth="1"/>
    <col min="5389" max="5389" width="11.5546875" style="1" bestFit="1" customWidth="1"/>
    <col min="5390" max="5632" width="8.88671875" style="1"/>
    <col min="5633" max="5633" width="16" style="1" customWidth="1"/>
    <col min="5634" max="5634" width="12.5546875" style="1" bestFit="1" customWidth="1"/>
    <col min="5635" max="5635" width="29.5546875" style="1" customWidth="1"/>
    <col min="5636" max="5636" width="11.5546875" style="1" customWidth="1"/>
    <col min="5637" max="5639" width="8.88671875" style="1"/>
    <col min="5640" max="5640" width="48.33203125" style="1" bestFit="1" customWidth="1"/>
    <col min="5641" max="5641" width="8.88671875" style="1"/>
    <col min="5642" max="5642" width="20" style="1" bestFit="1" customWidth="1"/>
    <col min="5643" max="5643" width="14.33203125" style="1" bestFit="1" customWidth="1"/>
    <col min="5644" max="5644" width="9.33203125" style="1" bestFit="1" customWidth="1"/>
    <col min="5645" max="5645" width="11.5546875" style="1" bestFit="1" customWidth="1"/>
    <col min="5646" max="5888" width="8.88671875" style="1"/>
    <col min="5889" max="5889" width="16" style="1" customWidth="1"/>
    <col min="5890" max="5890" width="12.5546875" style="1" bestFit="1" customWidth="1"/>
    <col min="5891" max="5891" width="29.5546875" style="1" customWidth="1"/>
    <col min="5892" max="5892" width="11.5546875" style="1" customWidth="1"/>
    <col min="5893" max="5895" width="8.88671875" style="1"/>
    <col min="5896" max="5896" width="48.33203125" style="1" bestFit="1" customWidth="1"/>
    <col min="5897" max="5897" width="8.88671875" style="1"/>
    <col min="5898" max="5898" width="20" style="1" bestFit="1" customWidth="1"/>
    <col min="5899" max="5899" width="14.33203125" style="1" bestFit="1" customWidth="1"/>
    <col min="5900" max="5900" width="9.33203125" style="1" bestFit="1" customWidth="1"/>
    <col min="5901" max="5901" width="11.5546875" style="1" bestFit="1" customWidth="1"/>
    <col min="5902" max="6144" width="8.88671875" style="1"/>
    <col min="6145" max="6145" width="16" style="1" customWidth="1"/>
    <col min="6146" max="6146" width="12.5546875" style="1" bestFit="1" customWidth="1"/>
    <col min="6147" max="6147" width="29.5546875" style="1" customWidth="1"/>
    <col min="6148" max="6148" width="11.5546875" style="1" customWidth="1"/>
    <col min="6149" max="6151" width="8.88671875" style="1"/>
    <col min="6152" max="6152" width="48.33203125" style="1" bestFit="1" customWidth="1"/>
    <col min="6153" max="6153" width="8.88671875" style="1"/>
    <col min="6154" max="6154" width="20" style="1" bestFit="1" customWidth="1"/>
    <col min="6155" max="6155" width="14.33203125" style="1" bestFit="1" customWidth="1"/>
    <col min="6156" max="6156" width="9.33203125" style="1" bestFit="1" customWidth="1"/>
    <col min="6157" max="6157" width="11.5546875" style="1" bestFit="1" customWidth="1"/>
    <col min="6158" max="6400" width="8.88671875" style="1"/>
    <col min="6401" max="6401" width="16" style="1" customWidth="1"/>
    <col min="6402" max="6402" width="12.5546875" style="1" bestFit="1" customWidth="1"/>
    <col min="6403" max="6403" width="29.5546875" style="1" customWidth="1"/>
    <col min="6404" max="6404" width="11.5546875" style="1" customWidth="1"/>
    <col min="6405" max="6407" width="8.88671875" style="1"/>
    <col min="6408" max="6408" width="48.33203125" style="1" bestFit="1" customWidth="1"/>
    <col min="6409" max="6409" width="8.88671875" style="1"/>
    <col min="6410" max="6410" width="20" style="1" bestFit="1" customWidth="1"/>
    <col min="6411" max="6411" width="14.33203125" style="1" bestFit="1" customWidth="1"/>
    <col min="6412" max="6412" width="9.33203125" style="1" bestFit="1" customWidth="1"/>
    <col min="6413" max="6413" width="11.5546875" style="1" bestFit="1" customWidth="1"/>
    <col min="6414" max="6656" width="8.88671875" style="1"/>
    <col min="6657" max="6657" width="16" style="1" customWidth="1"/>
    <col min="6658" max="6658" width="12.5546875" style="1" bestFit="1" customWidth="1"/>
    <col min="6659" max="6659" width="29.5546875" style="1" customWidth="1"/>
    <col min="6660" max="6660" width="11.5546875" style="1" customWidth="1"/>
    <col min="6661" max="6663" width="8.88671875" style="1"/>
    <col min="6664" max="6664" width="48.33203125" style="1" bestFit="1" customWidth="1"/>
    <col min="6665" max="6665" width="8.88671875" style="1"/>
    <col min="6666" max="6666" width="20" style="1" bestFit="1" customWidth="1"/>
    <col min="6667" max="6667" width="14.33203125" style="1" bestFit="1" customWidth="1"/>
    <col min="6668" max="6668" width="9.33203125" style="1" bestFit="1" customWidth="1"/>
    <col min="6669" max="6669" width="11.5546875" style="1" bestFit="1" customWidth="1"/>
    <col min="6670" max="6912" width="8.88671875" style="1"/>
    <col min="6913" max="6913" width="16" style="1" customWidth="1"/>
    <col min="6914" max="6914" width="12.5546875" style="1" bestFit="1" customWidth="1"/>
    <col min="6915" max="6915" width="29.5546875" style="1" customWidth="1"/>
    <col min="6916" max="6916" width="11.5546875" style="1" customWidth="1"/>
    <col min="6917" max="6919" width="8.88671875" style="1"/>
    <col min="6920" max="6920" width="48.33203125" style="1" bestFit="1" customWidth="1"/>
    <col min="6921" max="6921" width="8.88671875" style="1"/>
    <col min="6922" max="6922" width="20" style="1" bestFit="1" customWidth="1"/>
    <col min="6923" max="6923" width="14.33203125" style="1" bestFit="1" customWidth="1"/>
    <col min="6924" max="6924" width="9.33203125" style="1" bestFit="1" customWidth="1"/>
    <col min="6925" max="6925" width="11.5546875" style="1" bestFit="1" customWidth="1"/>
    <col min="6926" max="7168" width="8.88671875" style="1"/>
    <col min="7169" max="7169" width="16" style="1" customWidth="1"/>
    <col min="7170" max="7170" width="12.5546875" style="1" bestFit="1" customWidth="1"/>
    <col min="7171" max="7171" width="29.5546875" style="1" customWidth="1"/>
    <col min="7172" max="7172" width="11.5546875" style="1" customWidth="1"/>
    <col min="7173" max="7175" width="8.88671875" style="1"/>
    <col min="7176" max="7176" width="48.33203125" style="1" bestFit="1" customWidth="1"/>
    <col min="7177" max="7177" width="8.88671875" style="1"/>
    <col min="7178" max="7178" width="20" style="1" bestFit="1" customWidth="1"/>
    <col min="7179" max="7179" width="14.33203125" style="1" bestFit="1" customWidth="1"/>
    <col min="7180" max="7180" width="9.33203125" style="1" bestFit="1" customWidth="1"/>
    <col min="7181" max="7181" width="11.5546875" style="1" bestFit="1" customWidth="1"/>
    <col min="7182" max="7424" width="8.88671875" style="1"/>
    <col min="7425" max="7425" width="16" style="1" customWidth="1"/>
    <col min="7426" max="7426" width="12.5546875" style="1" bestFit="1" customWidth="1"/>
    <col min="7427" max="7427" width="29.5546875" style="1" customWidth="1"/>
    <col min="7428" max="7428" width="11.5546875" style="1" customWidth="1"/>
    <col min="7429" max="7431" width="8.88671875" style="1"/>
    <col min="7432" max="7432" width="48.33203125" style="1" bestFit="1" customWidth="1"/>
    <col min="7433" max="7433" width="8.88671875" style="1"/>
    <col min="7434" max="7434" width="20" style="1" bestFit="1" customWidth="1"/>
    <col min="7435" max="7435" width="14.33203125" style="1" bestFit="1" customWidth="1"/>
    <col min="7436" max="7436" width="9.33203125" style="1" bestFit="1" customWidth="1"/>
    <col min="7437" max="7437" width="11.5546875" style="1" bestFit="1" customWidth="1"/>
    <col min="7438" max="7680" width="8.88671875" style="1"/>
    <col min="7681" max="7681" width="16" style="1" customWidth="1"/>
    <col min="7682" max="7682" width="12.5546875" style="1" bestFit="1" customWidth="1"/>
    <col min="7683" max="7683" width="29.5546875" style="1" customWidth="1"/>
    <col min="7684" max="7684" width="11.5546875" style="1" customWidth="1"/>
    <col min="7685" max="7687" width="8.88671875" style="1"/>
    <col min="7688" max="7688" width="48.33203125" style="1" bestFit="1" customWidth="1"/>
    <col min="7689" max="7689" width="8.88671875" style="1"/>
    <col min="7690" max="7690" width="20" style="1" bestFit="1" customWidth="1"/>
    <col min="7691" max="7691" width="14.33203125" style="1" bestFit="1" customWidth="1"/>
    <col min="7692" max="7692" width="9.33203125" style="1" bestFit="1" customWidth="1"/>
    <col min="7693" max="7693" width="11.5546875" style="1" bestFit="1" customWidth="1"/>
    <col min="7694" max="7936" width="8.88671875" style="1"/>
    <col min="7937" max="7937" width="16" style="1" customWidth="1"/>
    <col min="7938" max="7938" width="12.5546875" style="1" bestFit="1" customWidth="1"/>
    <col min="7939" max="7939" width="29.5546875" style="1" customWidth="1"/>
    <col min="7940" max="7940" width="11.5546875" style="1" customWidth="1"/>
    <col min="7941" max="7943" width="8.88671875" style="1"/>
    <col min="7944" max="7944" width="48.33203125" style="1" bestFit="1" customWidth="1"/>
    <col min="7945" max="7945" width="8.88671875" style="1"/>
    <col min="7946" max="7946" width="20" style="1" bestFit="1" customWidth="1"/>
    <col min="7947" max="7947" width="14.33203125" style="1" bestFit="1" customWidth="1"/>
    <col min="7948" max="7948" width="9.33203125" style="1" bestFit="1" customWidth="1"/>
    <col min="7949" max="7949" width="11.5546875" style="1" bestFit="1" customWidth="1"/>
    <col min="7950" max="8192" width="8.88671875" style="1"/>
    <col min="8193" max="8193" width="16" style="1" customWidth="1"/>
    <col min="8194" max="8194" width="12.5546875" style="1" bestFit="1" customWidth="1"/>
    <col min="8195" max="8195" width="29.5546875" style="1" customWidth="1"/>
    <col min="8196" max="8196" width="11.5546875" style="1" customWidth="1"/>
    <col min="8197" max="8199" width="8.88671875" style="1"/>
    <col min="8200" max="8200" width="48.33203125" style="1" bestFit="1" customWidth="1"/>
    <col min="8201" max="8201" width="8.88671875" style="1"/>
    <col min="8202" max="8202" width="20" style="1" bestFit="1" customWidth="1"/>
    <col min="8203" max="8203" width="14.33203125" style="1" bestFit="1" customWidth="1"/>
    <col min="8204" max="8204" width="9.33203125" style="1" bestFit="1" customWidth="1"/>
    <col min="8205" max="8205" width="11.5546875" style="1" bestFit="1" customWidth="1"/>
    <col min="8206" max="8448" width="8.88671875" style="1"/>
    <col min="8449" max="8449" width="16" style="1" customWidth="1"/>
    <col min="8450" max="8450" width="12.5546875" style="1" bestFit="1" customWidth="1"/>
    <col min="8451" max="8451" width="29.5546875" style="1" customWidth="1"/>
    <col min="8452" max="8452" width="11.5546875" style="1" customWidth="1"/>
    <col min="8453" max="8455" width="8.88671875" style="1"/>
    <col min="8456" max="8456" width="48.33203125" style="1" bestFit="1" customWidth="1"/>
    <col min="8457" max="8457" width="8.88671875" style="1"/>
    <col min="8458" max="8458" width="20" style="1" bestFit="1" customWidth="1"/>
    <col min="8459" max="8459" width="14.33203125" style="1" bestFit="1" customWidth="1"/>
    <col min="8460" max="8460" width="9.33203125" style="1" bestFit="1" customWidth="1"/>
    <col min="8461" max="8461" width="11.5546875" style="1" bestFit="1" customWidth="1"/>
    <col min="8462" max="8704" width="8.88671875" style="1"/>
    <col min="8705" max="8705" width="16" style="1" customWidth="1"/>
    <col min="8706" max="8706" width="12.5546875" style="1" bestFit="1" customWidth="1"/>
    <col min="8707" max="8707" width="29.5546875" style="1" customWidth="1"/>
    <col min="8708" max="8708" width="11.5546875" style="1" customWidth="1"/>
    <col min="8709" max="8711" width="8.88671875" style="1"/>
    <col min="8712" max="8712" width="48.33203125" style="1" bestFit="1" customWidth="1"/>
    <col min="8713" max="8713" width="8.88671875" style="1"/>
    <col min="8714" max="8714" width="20" style="1" bestFit="1" customWidth="1"/>
    <col min="8715" max="8715" width="14.33203125" style="1" bestFit="1" customWidth="1"/>
    <col min="8716" max="8716" width="9.33203125" style="1" bestFit="1" customWidth="1"/>
    <col min="8717" max="8717" width="11.5546875" style="1" bestFit="1" customWidth="1"/>
    <col min="8718" max="8960" width="8.88671875" style="1"/>
    <col min="8961" max="8961" width="16" style="1" customWidth="1"/>
    <col min="8962" max="8962" width="12.5546875" style="1" bestFit="1" customWidth="1"/>
    <col min="8963" max="8963" width="29.5546875" style="1" customWidth="1"/>
    <col min="8964" max="8964" width="11.5546875" style="1" customWidth="1"/>
    <col min="8965" max="8967" width="8.88671875" style="1"/>
    <col min="8968" max="8968" width="48.33203125" style="1" bestFit="1" customWidth="1"/>
    <col min="8969" max="8969" width="8.88671875" style="1"/>
    <col min="8970" max="8970" width="20" style="1" bestFit="1" customWidth="1"/>
    <col min="8971" max="8971" width="14.33203125" style="1" bestFit="1" customWidth="1"/>
    <col min="8972" max="8972" width="9.33203125" style="1" bestFit="1" customWidth="1"/>
    <col min="8973" max="8973" width="11.5546875" style="1" bestFit="1" customWidth="1"/>
    <col min="8974" max="9216" width="8.88671875" style="1"/>
    <col min="9217" max="9217" width="16" style="1" customWidth="1"/>
    <col min="9218" max="9218" width="12.5546875" style="1" bestFit="1" customWidth="1"/>
    <col min="9219" max="9219" width="29.5546875" style="1" customWidth="1"/>
    <col min="9220" max="9220" width="11.5546875" style="1" customWidth="1"/>
    <col min="9221" max="9223" width="8.88671875" style="1"/>
    <col min="9224" max="9224" width="48.33203125" style="1" bestFit="1" customWidth="1"/>
    <col min="9225" max="9225" width="8.88671875" style="1"/>
    <col min="9226" max="9226" width="20" style="1" bestFit="1" customWidth="1"/>
    <col min="9227" max="9227" width="14.33203125" style="1" bestFit="1" customWidth="1"/>
    <col min="9228" max="9228" width="9.33203125" style="1" bestFit="1" customWidth="1"/>
    <col min="9229" max="9229" width="11.5546875" style="1" bestFit="1" customWidth="1"/>
    <col min="9230" max="9472" width="8.88671875" style="1"/>
    <col min="9473" max="9473" width="16" style="1" customWidth="1"/>
    <col min="9474" max="9474" width="12.5546875" style="1" bestFit="1" customWidth="1"/>
    <col min="9475" max="9475" width="29.5546875" style="1" customWidth="1"/>
    <col min="9476" max="9476" width="11.5546875" style="1" customWidth="1"/>
    <col min="9477" max="9479" width="8.88671875" style="1"/>
    <col min="9480" max="9480" width="48.33203125" style="1" bestFit="1" customWidth="1"/>
    <col min="9481" max="9481" width="8.88671875" style="1"/>
    <col min="9482" max="9482" width="20" style="1" bestFit="1" customWidth="1"/>
    <col min="9483" max="9483" width="14.33203125" style="1" bestFit="1" customWidth="1"/>
    <col min="9484" max="9484" width="9.33203125" style="1" bestFit="1" customWidth="1"/>
    <col min="9485" max="9485" width="11.5546875" style="1" bestFit="1" customWidth="1"/>
    <col min="9486" max="9728" width="8.88671875" style="1"/>
    <col min="9729" max="9729" width="16" style="1" customWidth="1"/>
    <col min="9730" max="9730" width="12.5546875" style="1" bestFit="1" customWidth="1"/>
    <col min="9731" max="9731" width="29.5546875" style="1" customWidth="1"/>
    <col min="9732" max="9732" width="11.5546875" style="1" customWidth="1"/>
    <col min="9733" max="9735" width="8.88671875" style="1"/>
    <col min="9736" max="9736" width="48.33203125" style="1" bestFit="1" customWidth="1"/>
    <col min="9737" max="9737" width="8.88671875" style="1"/>
    <col min="9738" max="9738" width="20" style="1" bestFit="1" customWidth="1"/>
    <col min="9739" max="9739" width="14.33203125" style="1" bestFit="1" customWidth="1"/>
    <col min="9740" max="9740" width="9.33203125" style="1" bestFit="1" customWidth="1"/>
    <col min="9741" max="9741" width="11.5546875" style="1" bestFit="1" customWidth="1"/>
    <col min="9742" max="9984" width="8.88671875" style="1"/>
    <col min="9985" max="9985" width="16" style="1" customWidth="1"/>
    <col min="9986" max="9986" width="12.5546875" style="1" bestFit="1" customWidth="1"/>
    <col min="9987" max="9987" width="29.5546875" style="1" customWidth="1"/>
    <col min="9988" max="9988" width="11.5546875" style="1" customWidth="1"/>
    <col min="9989" max="9991" width="8.88671875" style="1"/>
    <col min="9992" max="9992" width="48.33203125" style="1" bestFit="1" customWidth="1"/>
    <col min="9993" max="9993" width="8.88671875" style="1"/>
    <col min="9994" max="9994" width="20" style="1" bestFit="1" customWidth="1"/>
    <col min="9995" max="9995" width="14.33203125" style="1" bestFit="1" customWidth="1"/>
    <col min="9996" max="9996" width="9.33203125" style="1" bestFit="1" customWidth="1"/>
    <col min="9997" max="9997" width="11.5546875" style="1" bestFit="1" customWidth="1"/>
    <col min="9998" max="10240" width="8.88671875" style="1"/>
    <col min="10241" max="10241" width="16" style="1" customWidth="1"/>
    <col min="10242" max="10242" width="12.5546875" style="1" bestFit="1" customWidth="1"/>
    <col min="10243" max="10243" width="29.5546875" style="1" customWidth="1"/>
    <col min="10244" max="10244" width="11.5546875" style="1" customWidth="1"/>
    <col min="10245" max="10247" width="8.88671875" style="1"/>
    <col min="10248" max="10248" width="48.33203125" style="1" bestFit="1" customWidth="1"/>
    <col min="10249" max="10249" width="8.88671875" style="1"/>
    <col min="10250" max="10250" width="20" style="1" bestFit="1" customWidth="1"/>
    <col min="10251" max="10251" width="14.33203125" style="1" bestFit="1" customWidth="1"/>
    <col min="10252" max="10252" width="9.33203125" style="1" bestFit="1" customWidth="1"/>
    <col min="10253" max="10253" width="11.5546875" style="1" bestFit="1" customWidth="1"/>
    <col min="10254" max="10496" width="8.88671875" style="1"/>
    <col min="10497" max="10497" width="16" style="1" customWidth="1"/>
    <col min="10498" max="10498" width="12.5546875" style="1" bestFit="1" customWidth="1"/>
    <col min="10499" max="10499" width="29.5546875" style="1" customWidth="1"/>
    <col min="10500" max="10500" width="11.5546875" style="1" customWidth="1"/>
    <col min="10501" max="10503" width="8.88671875" style="1"/>
    <col min="10504" max="10504" width="48.33203125" style="1" bestFit="1" customWidth="1"/>
    <col min="10505" max="10505" width="8.88671875" style="1"/>
    <col min="10506" max="10506" width="20" style="1" bestFit="1" customWidth="1"/>
    <col min="10507" max="10507" width="14.33203125" style="1" bestFit="1" customWidth="1"/>
    <col min="10508" max="10508" width="9.33203125" style="1" bestFit="1" customWidth="1"/>
    <col min="10509" max="10509" width="11.5546875" style="1" bestFit="1" customWidth="1"/>
    <col min="10510" max="10752" width="8.88671875" style="1"/>
    <col min="10753" max="10753" width="16" style="1" customWidth="1"/>
    <col min="10754" max="10754" width="12.5546875" style="1" bestFit="1" customWidth="1"/>
    <col min="10755" max="10755" width="29.5546875" style="1" customWidth="1"/>
    <col min="10756" max="10756" width="11.5546875" style="1" customWidth="1"/>
    <col min="10757" max="10759" width="8.88671875" style="1"/>
    <col min="10760" max="10760" width="48.33203125" style="1" bestFit="1" customWidth="1"/>
    <col min="10761" max="10761" width="8.88671875" style="1"/>
    <col min="10762" max="10762" width="20" style="1" bestFit="1" customWidth="1"/>
    <col min="10763" max="10763" width="14.33203125" style="1" bestFit="1" customWidth="1"/>
    <col min="10764" max="10764" width="9.33203125" style="1" bestFit="1" customWidth="1"/>
    <col min="10765" max="10765" width="11.5546875" style="1" bestFit="1" customWidth="1"/>
    <col min="10766" max="11008" width="8.88671875" style="1"/>
    <col min="11009" max="11009" width="16" style="1" customWidth="1"/>
    <col min="11010" max="11010" width="12.5546875" style="1" bestFit="1" customWidth="1"/>
    <col min="11011" max="11011" width="29.5546875" style="1" customWidth="1"/>
    <col min="11012" max="11012" width="11.5546875" style="1" customWidth="1"/>
    <col min="11013" max="11015" width="8.88671875" style="1"/>
    <col min="11016" max="11016" width="48.33203125" style="1" bestFit="1" customWidth="1"/>
    <col min="11017" max="11017" width="8.88671875" style="1"/>
    <col min="11018" max="11018" width="20" style="1" bestFit="1" customWidth="1"/>
    <col min="11019" max="11019" width="14.33203125" style="1" bestFit="1" customWidth="1"/>
    <col min="11020" max="11020" width="9.33203125" style="1" bestFit="1" customWidth="1"/>
    <col min="11021" max="11021" width="11.5546875" style="1" bestFit="1" customWidth="1"/>
    <col min="11022" max="11264" width="8.88671875" style="1"/>
    <col min="11265" max="11265" width="16" style="1" customWidth="1"/>
    <col min="11266" max="11266" width="12.5546875" style="1" bestFit="1" customWidth="1"/>
    <col min="11267" max="11267" width="29.5546875" style="1" customWidth="1"/>
    <col min="11268" max="11268" width="11.5546875" style="1" customWidth="1"/>
    <col min="11269" max="11271" width="8.88671875" style="1"/>
    <col min="11272" max="11272" width="48.33203125" style="1" bestFit="1" customWidth="1"/>
    <col min="11273" max="11273" width="8.88671875" style="1"/>
    <col min="11274" max="11274" width="20" style="1" bestFit="1" customWidth="1"/>
    <col min="11275" max="11275" width="14.33203125" style="1" bestFit="1" customWidth="1"/>
    <col min="11276" max="11276" width="9.33203125" style="1" bestFit="1" customWidth="1"/>
    <col min="11277" max="11277" width="11.5546875" style="1" bestFit="1" customWidth="1"/>
    <col min="11278" max="11520" width="8.88671875" style="1"/>
    <col min="11521" max="11521" width="16" style="1" customWidth="1"/>
    <col min="11522" max="11522" width="12.5546875" style="1" bestFit="1" customWidth="1"/>
    <col min="11523" max="11523" width="29.5546875" style="1" customWidth="1"/>
    <col min="11524" max="11524" width="11.5546875" style="1" customWidth="1"/>
    <col min="11525" max="11527" width="8.88671875" style="1"/>
    <col min="11528" max="11528" width="48.33203125" style="1" bestFit="1" customWidth="1"/>
    <col min="11529" max="11529" width="8.88671875" style="1"/>
    <col min="11530" max="11530" width="20" style="1" bestFit="1" customWidth="1"/>
    <col min="11531" max="11531" width="14.33203125" style="1" bestFit="1" customWidth="1"/>
    <col min="11532" max="11532" width="9.33203125" style="1" bestFit="1" customWidth="1"/>
    <col min="11533" max="11533" width="11.5546875" style="1" bestFit="1" customWidth="1"/>
    <col min="11534" max="11776" width="8.88671875" style="1"/>
    <col min="11777" max="11777" width="16" style="1" customWidth="1"/>
    <col min="11778" max="11778" width="12.5546875" style="1" bestFit="1" customWidth="1"/>
    <col min="11779" max="11779" width="29.5546875" style="1" customWidth="1"/>
    <col min="11780" max="11780" width="11.5546875" style="1" customWidth="1"/>
    <col min="11781" max="11783" width="8.88671875" style="1"/>
    <col min="11784" max="11784" width="48.33203125" style="1" bestFit="1" customWidth="1"/>
    <col min="11785" max="11785" width="8.88671875" style="1"/>
    <col min="11786" max="11786" width="20" style="1" bestFit="1" customWidth="1"/>
    <col min="11787" max="11787" width="14.33203125" style="1" bestFit="1" customWidth="1"/>
    <col min="11788" max="11788" width="9.33203125" style="1" bestFit="1" customWidth="1"/>
    <col min="11789" max="11789" width="11.5546875" style="1" bestFit="1" customWidth="1"/>
    <col min="11790" max="12032" width="8.88671875" style="1"/>
    <col min="12033" max="12033" width="16" style="1" customWidth="1"/>
    <col min="12034" max="12034" width="12.5546875" style="1" bestFit="1" customWidth="1"/>
    <col min="12035" max="12035" width="29.5546875" style="1" customWidth="1"/>
    <col min="12036" max="12036" width="11.5546875" style="1" customWidth="1"/>
    <col min="12037" max="12039" width="8.88671875" style="1"/>
    <col min="12040" max="12040" width="48.33203125" style="1" bestFit="1" customWidth="1"/>
    <col min="12041" max="12041" width="8.88671875" style="1"/>
    <col min="12042" max="12042" width="20" style="1" bestFit="1" customWidth="1"/>
    <col min="12043" max="12043" width="14.33203125" style="1" bestFit="1" customWidth="1"/>
    <col min="12044" max="12044" width="9.33203125" style="1" bestFit="1" customWidth="1"/>
    <col min="12045" max="12045" width="11.5546875" style="1" bestFit="1" customWidth="1"/>
    <col min="12046" max="12288" width="8.88671875" style="1"/>
    <col min="12289" max="12289" width="16" style="1" customWidth="1"/>
    <col min="12290" max="12290" width="12.5546875" style="1" bestFit="1" customWidth="1"/>
    <col min="12291" max="12291" width="29.5546875" style="1" customWidth="1"/>
    <col min="12292" max="12292" width="11.5546875" style="1" customWidth="1"/>
    <col min="12293" max="12295" width="8.88671875" style="1"/>
    <col min="12296" max="12296" width="48.33203125" style="1" bestFit="1" customWidth="1"/>
    <col min="12297" max="12297" width="8.88671875" style="1"/>
    <col min="12298" max="12298" width="20" style="1" bestFit="1" customWidth="1"/>
    <col min="12299" max="12299" width="14.33203125" style="1" bestFit="1" customWidth="1"/>
    <col min="12300" max="12300" width="9.33203125" style="1" bestFit="1" customWidth="1"/>
    <col min="12301" max="12301" width="11.5546875" style="1" bestFit="1" customWidth="1"/>
    <col min="12302" max="12544" width="8.88671875" style="1"/>
    <col min="12545" max="12545" width="16" style="1" customWidth="1"/>
    <col min="12546" max="12546" width="12.5546875" style="1" bestFit="1" customWidth="1"/>
    <col min="12547" max="12547" width="29.5546875" style="1" customWidth="1"/>
    <col min="12548" max="12548" width="11.5546875" style="1" customWidth="1"/>
    <col min="12549" max="12551" width="8.88671875" style="1"/>
    <col min="12552" max="12552" width="48.33203125" style="1" bestFit="1" customWidth="1"/>
    <col min="12553" max="12553" width="8.88671875" style="1"/>
    <col min="12554" max="12554" width="20" style="1" bestFit="1" customWidth="1"/>
    <col min="12555" max="12555" width="14.33203125" style="1" bestFit="1" customWidth="1"/>
    <col min="12556" max="12556" width="9.33203125" style="1" bestFit="1" customWidth="1"/>
    <col min="12557" max="12557" width="11.5546875" style="1" bestFit="1" customWidth="1"/>
    <col min="12558" max="12800" width="8.88671875" style="1"/>
    <col min="12801" max="12801" width="16" style="1" customWidth="1"/>
    <col min="12802" max="12802" width="12.5546875" style="1" bestFit="1" customWidth="1"/>
    <col min="12803" max="12803" width="29.5546875" style="1" customWidth="1"/>
    <col min="12804" max="12804" width="11.5546875" style="1" customWidth="1"/>
    <col min="12805" max="12807" width="8.88671875" style="1"/>
    <col min="12808" max="12808" width="48.33203125" style="1" bestFit="1" customWidth="1"/>
    <col min="12809" max="12809" width="8.88671875" style="1"/>
    <col min="12810" max="12810" width="20" style="1" bestFit="1" customWidth="1"/>
    <col min="12811" max="12811" width="14.33203125" style="1" bestFit="1" customWidth="1"/>
    <col min="12812" max="12812" width="9.33203125" style="1" bestFit="1" customWidth="1"/>
    <col min="12813" max="12813" width="11.5546875" style="1" bestFit="1" customWidth="1"/>
    <col min="12814" max="13056" width="8.88671875" style="1"/>
    <col min="13057" max="13057" width="16" style="1" customWidth="1"/>
    <col min="13058" max="13058" width="12.5546875" style="1" bestFit="1" customWidth="1"/>
    <col min="13059" max="13059" width="29.5546875" style="1" customWidth="1"/>
    <col min="13060" max="13060" width="11.5546875" style="1" customWidth="1"/>
    <col min="13061" max="13063" width="8.88671875" style="1"/>
    <col min="13064" max="13064" width="48.33203125" style="1" bestFit="1" customWidth="1"/>
    <col min="13065" max="13065" width="8.88671875" style="1"/>
    <col min="13066" max="13066" width="20" style="1" bestFit="1" customWidth="1"/>
    <col min="13067" max="13067" width="14.33203125" style="1" bestFit="1" customWidth="1"/>
    <col min="13068" max="13068" width="9.33203125" style="1" bestFit="1" customWidth="1"/>
    <col min="13069" max="13069" width="11.5546875" style="1" bestFit="1" customWidth="1"/>
    <col min="13070" max="13312" width="8.88671875" style="1"/>
    <col min="13313" max="13313" width="16" style="1" customWidth="1"/>
    <col min="13314" max="13314" width="12.5546875" style="1" bestFit="1" customWidth="1"/>
    <col min="13315" max="13315" width="29.5546875" style="1" customWidth="1"/>
    <col min="13316" max="13316" width="11.5546875" style="1" customWidth="1"/>
    <col min="13317" max="13319" width="8.88671875" style="1"/>
    <col min="13320" max="13320" width="48.33203125" style="1" bestFit="1" customWidth="1"/>
    <col min="13321" max="13321" width="8.88671875" style="1"/>
    <col min="13322" max="13322" width="20" style="1" bestFit="1" customWidth="1"/>
    <col min="13323" max="13323" width="14.33203125" style="1" bestFit="1" customWidth="1"/>
    <col min="13324" max="13324" width="9.33203125" style="1" bestFit="1" customWidth="1"/>
    <col min="13325" max="13325" width="11.5546875" style="1" bestFit="1" customWidth="1"/>
    <col min="13326" max="13568" width="8.88671875" style="1"/>
    <col min="13569" max="13569" width="16" style="1" customWidth="1"/>
    <col min="13570" max="13570" width="12.5546875" style="1" bestFit="1" customWidth="1"/>
    <col min="13571" max="13571" width="29.5546875" style="1" customWidth="1"/>
    <col min="13572" max="13572" width="11.5546875" style="1" customWidth="1"/>
    <col min="13573" max="13575" width="8.88671875" style="1"/>
    <col min="13576" max="13576" width="48.33203125" style="1" bestFit="1" customWidth="1"/>
    <col min="13577" max="13577" width="8.88671875" style="1"/>
    <col min="13578" max="13578" width="20" style="1" bestFit="1" customWidth="1"/>
    <col min="13579" max="13579" width="14.33203125" style="1" bestFit="1" customWidth="1"/>
    <col min="13580" max="13580" width="9.33203125" style="1" bestFit="1" customWidth="1"/>
    <col min="13581" max="13581" width="11.5546875" style="1" bestFit="1" customWidth="1"/>
    <col min="13582" max="13824" width="8.88671875" style="1"/>
    <col min="13825" max="13825" width="16" style="1" customWidth="1"/>
    <col min="13826" max="13826" width="12.5546875" style="1" bestFit="1" customWidth="1"/>
    <col min="13827" max="13827" width="29.5546875" style="1" customWidth="1"/>
    <col min="13828" max="13828" width="11.5546875" style="1" customWidth="1"/>
    <col min="13829" max="13831" width="8.88671875" style="1"/>
    <col min="13832" max="13832" width="48.33203125" style="1" bestFit="1" customWidth="1"/>
    <col min="13833" max="13833" width="8.88671875" style="1"/>
    <col min="13834" max="13834" width="20" style="1" bestFit="1" customWidth="1"/>
    <col min="13835" max="13835" width="14.33203125" style="1" bestFit="1" customWidth="1"/>
    <col min="13836" max="13836" width="9.33203125" style="1" bestFit="1" customWidth="1"/>
    <col min="13837" max="13837" width="11.5546875" style="1" bestFit="1" customWidth="1"/>
    <col min="13838" max="14080" width="8.88671875" style="1"/>
    <col min="14081" max="14081" width="16" style="1" customWidth="1"/>
    <col min="14082" max="14082" width="12.5546875" style="1" bestFit="1" customWidth="1"/>
    <col min="14083" max="14083" width="29.5546875" style="1" customWidth="1"/>
    <col min="14084" max="14084" width="11.5546875" style="1" customWidth="1"/>
    <col min="14085" max="14087" width="8.88671875" style="1"/>
    <col min="14088" max="14088" width="48.33203125" style="1" bestFit="1" customWidth="1"/>
    <col min="14089" max="14089" width="8.88671875" style="1"/>
    <col min="14090" max="14090" width="20" style="1" bestFit="1" customWidth="1"/>
    <col min="14091" max="14091" width="14.33203125" style="1" bestFit="1" customWidth="1"/>
    <col min="14092" max="14092" width="9.33203125" style="1" bestFit="1" customWidth="1"/>
    <col min="14093" max="14093" width="11.5546875" style="1" bestFit="1" customWidth="1"/>
    <col min="14094" max="14336" width="8.88671875" style="1"/>
    <col min="14337" max="14337" width="16" style="1" customWidth="1"/>
    <col min="14338" max="14338" width="12.5546875" style="1" bestFit="1" customWidth="1"/>
    <col min="14339" max="14339" width="29.5546875" style="1" customWidth="1"/>
    <col min="14340" max="14340" width="11.5546875" style="1" customWidth="1"/>
    <col min="14341" max="14343" width="8.88671875" style="1"/>
    <col min="14344" max="14344" width="48.33203125" style="1" bestFit="1" customWidth="1"/>
    <col min="14345" max="14345" width="8.88671875" style="1"/>
    <col min="14346" max="14346" width="20" style="1" bestFit="1" customWidth="1"/>
    <col min="14347" max="14347" width="14.33203125" style="1" bestFit="1" customWidth="1"/>
    <col min="14348" max="14348" width="9.33203125" style="1" bestFit="1" customWidth="1"/>
    <col min="14349" max="14349" width="11.5546875" style="1" bestFit="1" customWidth="1"/>
    <col min="14350" max="14592" width="8.88671875" style="1"/>
    <col min="14593" max="14593" width="16" style="1" customWidth="1"/>
    <col min="14594" max="14594" width="12.5546875" style="1" bestFit="1" customWidth="1"/>
    <col min="14595" max="14595" width="29.5546875" style="1" customWidth="1"/>
    <col min="14596" max="14596" width="11.5546875" style="1" customWidth="1"/>
    <col min="14597" max="14599" width="8.88671875" style="1"/>
    <col min="14600" max="14600" width="48.33203125" style="1" bestFit="1" customWidth="1"/>
    <col min="14601" max="14601" width="8.88671875" style="1"/>
    <col min="14602" max="14602" width="20" style="1" bestFit="1" customWidth="1"/>
    <col min="14603" max="14603" width="14.33203125" style="1" bestFit="1" customWidth="1"/>
    <col min="14604" max="14604" width="9.33203125" style="1" bestFit="1" customWidth="1"/>
    <col min="14605" max="14605" width="11.5546875" style="1" bestFit="1" customWidth="1"/>
    <col min="14606" max="14848" width="8.88671875" style="1"/>
    <col min="14849" max="14849" width="16" style="1" customWidth="1"/>
    <col min="14850" max="14850" width="12.5546875" style="1" bestFit="1" customWidth="1"/>
    <col min="14851" max="14851" width="29.5546875" style="1" customWidth="1"/>
    <col min="14852" max="14852" width="11.5546875" style="1" customWidth="1"/>
    <col min="14853" max="14855" width="8.88671875" style="1"/>
    <col min="14856" max="14856" width="48.33203125" style="1" bestFit="1" customWidth="1"/>
    <col min="14857" max="14857" width="8.88671875" style="1"/>
    <col min="14858" max="14858" width="20" style="1" bestFit="1" customWidth="1"/>
    <col min="14859" max="14859" width="14.33203125" style="1" bestFit="1" customWidth="1"/>
    <col min="14860" max="14860" width="9.33203125" style="1" bestFit="1" customWidth="1"/>
    <col min="14861" max="14861" width="11.5546875" style="1" bestFit="1" customWidth="1"/>
    <col min="14862" max="15104" width="8.88671875" style="1"/>
    <col min="15105" max="15105" width="16" style="1" customWidth="1"/>
    <col min="15106" max="15106" width="12.5546875" style="1" bestFit="1" customWidth="1"/>
    <col min="15107" max="15107" width="29.5546875" style="1" customWidth="1"/>
    <col min="15108" max="15108" width="11.5546875" style="1" customWidth="1"/>
    <col min="15109" max="15111" width="8.88671875" style="1"/>
    <col min="15112" max="15112" width="48.33203125" style="1" bestFit="1" customWidth="1"/>
    <col min="15113" max="15113" width="8.88671875" style="1"/>
    <col min="15114" max="15114" width="20" style="1" bestFit="1" customWidth="1"/>
    <col min="15115" max="15115" width="14.33203125" style="1" bestFit="1" customWidth="1"/>
    <col min="15116" max="15116" width="9.33203125" style="1" bestFit="1" customWidth="1"/>
    <col min="15117" max="15117" width="11.5546875" style="1" bestFit="1" customWidth="1"/>
    <col min="15118" max="15360" width="8.88671875" style="1"/>
    <col min="15361" max="15361" width="16" style="1" customWidth="1"/>
    <col min="15362" max="15362" width="12.5546875" style="1" bestFit="1" customWidth="1"/>
    <col min="15363" max="15363" width="29.5546875" style="1" customWidth="1"/>
    <col min="15364" max="15364" width="11.5546875" style="1" customWidth="1"/>
    <col min="15365" max="15367" width="8.88671875" style="1"/>
    <col min="15368" max="15368" width="48.33203125" style="1" bestFit="1" customWidth="1"/>
    <col min="15369" max="15369" width="8.88671875" style="1"/>
    <col min="15370" max="15370" width="20" style="1" bestFit="1" customWidth="1"/>
    <col min="15371" max="15371" width="14.33203125" style="1" bestFit="1" customWidth="1"/>
    <col min="15372" max="15372" width="9.33203125" style="1" bestFit="1" customWidth="1"/>
    <col min="15373" max="15373" width="11.5546875" style="1" bestFit="1" customWidth="1"/>
    <col min="15374" max="15616" width="8.88671875" style="1"/>
    <col min="15617" max="15617" width="16" style="1" customWidth="1"/>
    <col min="15618" max="15618" width="12.5546875" style="1" bestFit="1" customWidth="1"/>
    <col min="15619" max="15619" width="29.5546875" style="1" customWidth="1"/>
    <col min="15620" max="15620" width="11.5546875" style="1" customWidth="1"/>
    <col min="15621" max="15623" width="8.88671875" style="1"/>
    <col min="15624" max="15624" width="48.33203125" style="1" bestFit="1" customWidth="1"/>
    <col min="15625" max="15625" width="8.88671875" style="1"/>
    <col min="15626" max="15626" width="20" style="1" bestFit="1" customWidth="1"/>
    <col min="15627" max="15627" width="14.33203125" style="1" bestFit="1" customWidth="1"/>
    <col min="15628" max="15628" width="9.33203125" style="1" bestFit="1" customWidth="1"/>
    <col min="15629" max="15629" width="11.5546875" style="1" bestFit="1" customWidth="1"/>
    <col min="15630" max="15872" width="8.88671875" style="1"/>
    <col min="15873" max="15873" width="16" style="1" customWidth="1"/>
    <col min="15874" max="15874" width="12.5546875" style="1" bestFit="1" customWidth="1"/>
    <col min="15875" max="15875" width="29.5546875" style="1" customWidth="1"/>
    <col min="15876" max="15876" width="11.5546875" style="1" customWidth="1"/>
    <col min="15877" max="15879" width="8.88671875" style="1"/>
    <col min="15880" max="15880" width="48.33203125" style="1" bestFit="1" customWidth="1"/>
    <col min="15881" max="15881" width="8.88671875" style="1"/>
    <col min="15882" max="15882" width="20" style="1" bestFit="1" customWidth="1"/>
    <col min="15883" max="15883" width="14.33203125" style="1" bestFit="1" customWidth="1"/>
    <col min="15884" max="15884" width="9.33203125" style="1" bestFit="1" customWidth="1"/>
    <col min="15885" max="15885" width="11.5546875" style="1" bestFit="1" customWidth="1"/>
    <col min="15886" max="16128" width="8.88671875" style="1"/>
    <col min="16129" max="16129" width="16" style="1" customWidth="1"/>
    <col min="16130" max="16130" width="12.5546875" style="1" bestFit="1" customWidth="1"/>
    <col min="16131" max="16131" width="29.5546875" style="1" customWidth="1"/>
    <col min="16132" max="16132" width="11.5546875" style="1" customWidth="1"/>
    <col min="16133" max="16135" width="8.88671875" style="1"/>
    <col min="16136" max="16136" width="48.33203125" style="1" bestFit="1" customWidth="1"/>
    <col min="16137" max="16137" width="8.88671875" style="1"/>
    <col min="16138" max="16138" width="20" style="1" bestFit="1" customWidth="1"/>
    <col min="16139" max="16139" width="14.33203125" style="1" bestFit="1" customWidth="1"/>
    <col min="16140" max="16140" width="9.33203125" style="1" bestFit="1" customWidth="1"/>
    <col min="16141" max="16141" width="11.5546875" style="1" bestFit="1" customWidth="1"/>
    <col min="16142" max="16384" width="8.88671875" style="1"/>
  </cols>
  <sheetData>
    <row r="1" spans="1:21" ht="42.75" customHeight="1" x14ac:dyDescent="0.25">
      <c r="A1" s="19" t="s">
        <v>24</v>
      </c>
      <c r="B1" s="20"/>
      <c r="C1" s="20"/>
    </row>
    <row r="2" spans="1:21" x14ac:dyDescent="0.25">
      <c r="A2" s="2" t="s">
        <v>0</v>
      </c>
      <c r="B2" s="3">
        <v>55</v>
      </c>
      <c r="C2" s="4"/>
    </row>
    <row r="3" spans="1:21" ht="15.6" x14ac:dyDescent="0.35">
      <c r="A3" s="2" t="s">
        <v>1</v>
      </c>
      <c r="B3" s="3">
        <v>70</v>
      </c>
      <c r="C3" s="4"/>
      <c r="I3" s="5"/>
    </row>
    <row r="4" spans="1:21" ht="15.6" x14ac:dyDescent="0.35">
      <c r="A4" s="2" t="s">
        <v>2</v>
      </c>
      <c r="B4" s="3">
        <v>49.04191755349671</v>
      </c>
      <c r="C4" s="4"/>
      <c r="I4" s="5"/>
    </row>
    <row r="5" spans="1:21" x14ac:dyDescent="0.25">
      <c r="A5" s="6" t="s">
        <v>3</v>
      </c>
      <c r="B5" s="7">
        <v>0.04</v>
      </c>
      <c r="I5" s="5"/>
    </row>
    <row r="6" spans="1:21" x14ac:dyDescent="0.25">
      <c r="A6" s="2" t="s">
        <v>4</v>
      </c>
      <c r="B6" s="7">
        <v>0</v>
      </c>
      <c r="I6" s="5"/>
    </row>
    <row r="7" spans="1:21" x14ac:dyDescent="0.25">
      <c r="A7" s="2" t="s">
        <v>5</v>
      </c>
      <c r="B7" s="2">
        <v>0.4</v>
      </c>
    </row>
    <row r="9" spans="1:21" ht="66" x14ac:dyDescent="0.25">
      <c r="A9" s="8" t="s">
        <v>6</v>
      </c>
      <c r="B9" s="9" t="s">
        <v>7</v>
      </c>
      <c r="C9" s="8" t="str">
        <f ca="1">"Stock "&amp;_xlfn.FORMULATEXT(C10)</f>
        <v>Stock =-B10*(deltacall(B10,$B$3,A10,$B$5,$B$6,$B$7)-deltaput(B10,$B$4,A10,$B$5,$B$6,$B$7))</v>
      </c>
      <c r="D9" s="8" t="s">
        <v>8</v>
      </c>
      <c r="E9" s="8" t="s">
        <v>9</v>
      </c>
      <c r="F9" s="8"/>
      <c r="G9" s="8" t="s">
        <v>10</v>
      </c>
      <c r="I9" s="8" t="s">
        <v>11</v>
      </c>
      <c r="J9" s="8" t="s">
        <v>12</v>
      </c>
      <c r="K9" s="8" t="s">
        <v>13</v>
      </c>
      <c r="L9" s="8" t="s">
        <v>14</v>
      </c>
      <c r="M9" s="8" t="s">
        <v>25</v>
      </c>
      <c r="O9" s="8" t="s">
        <v>26</v>
      </c>
      <c r="R9" s="1" t="s">
        <v>15</v>
      </c>
    </row>
    <row r="10" spans="1:21" x14ac:dyDescent="0.25">
      <c r="A10" s="10">
        <v>1</v>
      </c>
      <c r="B10" s="10">
        <f>B2</f>
        <v>55</v>
      </c>
      <c r="C10" s="10">
        <f>-B10*([1]!deltacall(B10,$B$3,A10,$B$5,$B$6,$B$7)-[1]!deltaput(B10,$B$4,A10,$B$5,$B$6,$B$7))</f>
        <v>-36.283627997228507</v>
      </c>
      <c r="D10" s="10">
        <f>EXP(-$B$5*A10)*($B$3*NORMSDIST([1]!dtwo(B10,$B$3,A10,$B$5,$B$6,$B$7))+$B$4*NORMSDIST(-[1]!dtwo(B10,$B$4,A10,$B$5,$B$6,$B$7)))</f>
        <v>36.283628000800498</v>
      </c>
      <c r="E10" s="4">
        <f t="shared" ref="E10:E29" si="0">C10+D10</f>
        <v>3.5719907032216724E-9</v>
      </c>
      <c r="F10" s="4"/>
      <c r="G10" s="11">
        <f>C10+D10</f>
        <v>3.5719907032216724E-9</v>
      </c>
      <c r="H10" s="1" t="str">
        <f ca="1">_xlfn.FORMULATEXT(G10)</f>
        <v>=C10+D10</v>
      </c>
      <c r="I10" s="12">
        <f>-[1]!deltacall(B10,$B$3,A10,$B$5,$B$6,$B$7)+[1]!deltaput(B10,$B$4,A10,$B$5,$B$6,$B$7)</f>
        <v>-0.65970232722233646</v>
      </c>
      <c r="J10" s="13">
        <f>-[1]!vega(B10,$B$3,A10,$B$5,$B$6,$B$7)+[1]!vega(B10,$B$4,A10,$B$5,$B$6,$B$7)</f>
        <v>-2.484809262497599</v>
      </c>
      <c r="K10" s="13">
        <f>-[1]!Thetacall(B10,$B$3,A10,$B$5,$B$6,$B$7)+[1]!Thetaput(B10,$B$4,A10,$B$5,$B$6,$B$7)</f>
        <v>1.9483069725315403</v>
      </c>
      <c r="L10" s="13">
        <f>-[1]!rhocall(B10,$B$3,A10,$B$5,$B$6,$B$7)+[1]!rhoput(B10,$B$4,A10,$B$5,$B$6,$B$7)</f>
        <v>-36.283628000800505</v>
      </c>
      <c r="M10" s="13">
        <f>-[1]!ggamma(B10,$B$3,A10,$B$5,$B$6,$B$7)+[1]!ggamma(B10,$B$4,A10,$B$5,$B$6,$B$7)</f>
        <v>2.553658859829052E-3</v>
      </c>
      <c r="O10" s="1">
        <f t="shared" ref="O10:O29" si="1">ABS(M10)</f>
        <v>2.553658859829052E-3</v>
      </c>
      <c r="P10" s="1" t="str">
        <f ca="1">_xlfn.FORMULATEXT(O10)</f>
        <v>=ABS(M10)</v>
      </c>
    </row>
    <row r="11" spans="1:21" ht="13.8" x14ac:dyDescent="0.25">
      <c r="A11" s="10">
        <v>0.95</v>
      </c>
      <c r="B11" s="10">
        <f>B10*EXP($U$11*(A10-A11)+$U$12*SQRT(A10-A11)*R11)</f>
        <v>53.031770911185987</v>
      </c>
      <c r="C11" s="10">
        <f>-B11*([1]!deltacall(B11,$B$3,A11,$B$5,$B$6,$B$7)-[1]!deltaput(B11,$B$4,A11,$B$5,$B$6,$B$7))</f>
        <v>-34.384420759993418</v>
      </c>
      <c r="D11" s="10">
        <f>C10*B11/B10-C11+D10*EXP($B$5*(A10-A11))</f>
        <v>35.755505945622687</v>
      </c>
      <c r="E11" s="17">
        <f t="shared" si="0"/>
        <v>1.3710851856292692</v>
      </c>
      <c r="F11" s="17"/>
      <c r="G11" s="17">
        <f t="shared" ref="G11:G29" si="2">C10*B11/B10-C11+D10*EXP($B$5*(A10-A11))-D11</f>
        <v>0</v>
      </c>
      <c r="H11" s="1" t="str">
        <f ca="1">_xlfn.FORMULATEXT(G11)</f>
        <v>=C10*B11/B10-C11+D10*EXP($B$5*(A10-A11))-D11</v>
      </c>
      <c r="I11" s="12">
        <f>-[1]!deltacall(B11,$B$3,A11,$B$5,$B$6,$B$7)+[1]!deltaput(B11,$B$4,A11,$B$5,$B$6,$B$7)</f>
        <v>-0.6483739873137202</v>
      </c>
      <c r="J11" s="13">
        <f>-[1]!vega(B11,$B$3,A11,$B$5,$B$6,$B$7)+[1]!vega(B11,$B$4,A11,$B$5,$B$6,$B$7)</f>
        <v>-0.62189739192750082</v>
      </c>
      <c r="K11" s="13">
        <f>-[1]!Thetacall(B11,$B$3,A11,$B$5,$B$6,$B$7)+[1]!Thetaput(B11,$B$4,A11,$B$5,$B$6,$B$7)</f>
        <v>1.5612940692206494</v>
      </c>
      <c r="L11" s="13">
        <f>-[1]!rhocall(B11,$B$3,A11,$B$5,$B$6,$B$7)+[1]!rhoput(B11,$B$4,A11,$B$5,$B$6,$B$7)</f>
        <v>-33.971247184352919</v>
      </c>
      <c r="M11" s="13">
        <f>-[1]!ggamma(B11,$B$3,A11,$B$5,$B$6,$B$7)+[1]!ggamma(B11,$B$4,A11,$B$5,$B$6,$B$7)</f>
        <v>7.1760188572857903E-4</v>
      </c>
      <c r="O11" s="1">
        <f t="shared" si="1"/>
        <v>7.1760188572857903E-4</v>
      </c>
      <c r="R11">
        <v>-0.51923734645242803</v>
      </c>
      <c r="T11" s="1" t="s">
        <v>16</v>
      </c>
      <c r="U11" s="14">
        <v>0.2</v>
      </c>
    </row>
    <row r="12" spans="1:21" ht="13.8" x14ac:dyDescent="0.25">
      <c r="A12" s="10">
        <v>0.9</v>
      </c>
      <c r="B12" s="10">
        <f t="shared" ref="B12:B30" si="3">B11*EXP($U$11*(A11-A12)+$U$12*SQRT(A11-A12)*R12)</f>
        <v>55.407690247980319</v>
      </c>
      <c r="C12" s="10">
        <f>-B12*([1]!deltacall(B12,$B$3,A12,$B$5,$B$6,$B$7)-[1]!deltaput(B12,$B$4,A12,$B$5,$B$6,$B$7))</f>
        <v>-35.590430249561507</v>
      </c>
      <c r="D12" s="10">
        <f t="shared" ref="D12:D29" si="4">C11*B12/B11-C12+D11*EXP($B$5*(A11-A12))</f>
        <v>35.49261371185866</v>
      </c>
      <c r="E12" s="17">
        <f t="shared" si="0"/>
        <v>-9.7816537702847484E-2</v>
      </c>
      <c r="F12" s="17"/>
      <c r="G12" s="17">
        <f t="shared" si="2"/>
        <v>0</v>
      </c>
      <c r="I12" s="12">
        <f>-[1]!deltacall(B12,$B$3,A12,$B$5,$B$6,$B$7)+[1]!deltaput(B12,$B$4,A12,$B$5,$B$6,$B$7)</f>
        <v>-0.64233737393265233</v>
      </c>
      <c r="J12" s="13">
        <f>-[1]!vega(B12,$B$3,A12,$B$5,$B$6,$B$7)+[1]!vega(B12,$B$4,A12,$B$5,$B$6,$B$7)</f>
        <v>-2.3991320473500863</v>
      </c>
      <c r="K12" s="13">
        <f>-[1]!Thetacall(B12,$B$3,A12,$B$5,$B$6,$B$7)+[1]!Thetaput(B12,$B$4,A12,$B$5,$B$6,$B$7)</f>
        <v>1.9539421917332089</v>
      </c>
      <c r="L12" s="13">
        <f>-[1]!rhocall(B12,$B$3,A12,$B$5,$B$6,$B$7)+[1]!rhoput(B12,$B$4,A12,$B$5,$B$6,$B$7)</f>
        <v>-31.968039077246758</v>
      </c>
      <c r="M12" s="13">
        <f>-[1]!ggamma(B12,$B$3,A12,$B$5,$B$6,$B$7)+[1]!ggamma(B12,$B$4,A12,$B$5,$B$6,$B$7)</f>
        <v>2.7559326601253875E-3</v>
      </c>
      <c r="O12" s="1">
        <f t="shared" si="1"/>
        <v>2.7559326601253875E-3</v>
      </c>
      <c r="R12">
        <v>0.37819972931174561</v>
      </c>
      <c r="T12" s="1" t="s">
        <v>17</v>
      </c>
      <c r="U12" s="14">
        <f>B7</f>
        <v>0.4</v>
      </c>
    </row>
    <row r="13" spans="1:21" ht="13.8" x14ac:dyDescent="0.25">
      <c r="A13" s="10">
        <v>0.85</v>
      </c>
      <c r="B13" s="10">
        <f t="shared" si="3"/>
        <v>67.980154514620494</v>
      </c>
      <c r="C13" s="10">
        <f>-B13*([1]!deltacall(B13,$B$3,A13,$B$5,$B$6,$B$7)-[1]!deltaput(B13,$B$4,A13,$B$5,$B$6,$B$7))</f>
        <v>-47.638454283919927</v>
      </c>
      <c r="D13" s="10">
        <f t="shared" si="4"/>
        <v>39.535930325319619</v>
      </c>
      <c r="E13" s="17">
        <f t="shared" si="0"/>
        <v>-8.1025239586003082</v>
      </c>
      <c r="F13" s="17"/>
      <c r="G13" s="17">
        <f t="shared" si="2"/>
        <v>0</v>
      </c>
      <c r="I13" s="12">
        <f>-[1]!deltacall(B13,$B$3,A13,$B$5,$B$6,$B$7)+[1]!deltaput(B13,$B$4,A13,$B$5,$B$6,$B$7)</f>
        <v>-0.70077002066352057</v>
      </c>
      <c r="J13" s="13">
        <f>-[1]!vega(B13,$B$3,A13,$B$5,$B$6,$B$7)+[1]!vega(B13,$B$4,A13,$B$5,$B$6,$B$7)</f>
        <v>-11.793597576432232</v>
      </c>
      <c r="K13" s="13">
        <f>-[1]!Thetacall(B13,$B$3,A13,$B$5,$B$6,$B$7)+[1]!Thetaput(B13,$B$4,A13,$B$5,$B$6,$B$7)</f>
        <v>4.3492140767268097</v>
      </c>
      <c r="L13" s="13">
        <f>-[1]!rhocall(B13,$B$3,A13,$B$5,$B$6,$B$7)+[1]!rhoput(B13,$B$4,A13,$B$5,$B$6,$B$7)</f>
        <v>-33.452811248283552</v>
      </c>
      <c r="M13" s="13">
        <f>-[1]!ggamma(B13,$B$3,A13,$B$5,$B$6,$B$7)+[1]!ggamma(B13,$B$4,A13,$B$5,$B$6,$B$7)</f>
        <v>1.5033856159794957E-2</v>
      </c>
      <c r="O13" s="1">
        <f t="shared" si="1"/>
        <v>1.5033856159794957E-2</v>
      </c>
      <c r="R13">
        <v>2.174547262256965</v>
      </c>
    </row>
    <row r="14" spans="1:21" ht="13.8" x14ac:dyDescent="0.25">
      <c r="A14" s="10">
        <v>0.8</v>
      </c>
      <c r="B14" s="10">
        <f t="shared" si="3"/>
        <v>65.631839782368488</v>
      </c>
      <c r="C14" s="10">
        <f>-B14*([1]!deltacall(B14,$B$3,A14,$B$5,$B$6,$B$7)-[1]!deltaput(B14,$B$4,A14,$B$5,$B$6,$B$7))</f>
        <v>-44.275674017552994</v>
      </c>
      <c r="D14" s="10">
        <f t="shared" si="4"/>
        <v>37.897929607649608</v>
      </c>
      <c r="E14" s="17">
        <f t="shared" si="0"/>
        <v>-6.3777444099033858</v>
      </c>
      <c r="F14" s="17"/>
      <c r="G14" s="17">
        <f t="shared" si="2"/>
        <v>0</v>
      </c>
      <c r="I14" s="12">
        <f>-[1]!deltacall(B14,$B$3,A14,$B$5,$B$6,$B$7)+[1]!deltaput(B14,$B$4,A14,$B$5,$B$6,$B$7)</f>
        <v>-0.67460662636258029</v>
      </c>
      <c r="J14" s="13">
        <f>-[1]!vega(B14,$B$3,A14,$B$5,$B$6,$B$7)+[1]!vega(B14,$B$4,A14,$B$5,$B$6,$B$7)</f>
        <v>-10.296860377715154</v>
      </c>
      <c r="K14" s="13">
        <f>-[1]!Thetacall(B14,$B$3,A14,$B$5,$B$6,$B$7)+[1]!Thetaput(B14,$B$4,A14,$B$5,$B$6,$B$7)</f>
        <v>4.0870132001253605</v>
      </c>
      <c r="L14" s="13">
        <f>-[1]!rhocall(B14,$B$3,A14,$B$5,$B$6,$B$7)+[1]!rhoput(B14,$B$4,A14,$B$5,$B$6,$B$7)</f>
        <v>-30.255962113931435</v>
      </c>
      <c r="M14" s="13">
        <f>-[1]!ggamma(B14,$B$3,A14,$B$5,$B$6,$B$7)+[1]!ggamma(B14,$B$4,A14,$B$5,$B$6,$B$7)</f>
        <v>1.3477212423057737E-2</v>
      </c>
      <c r="O14" s="1">
        <f t="shared" si="1"/>
        <v>1.3477212423057737E-2</v>
      </c>
      <c r="R14">
        <v>-0.50484686653362587</v>
      </c>
    </row>
    <row r="15" spans="1:21" ht="13.8" x14ac:dyDescent="0.25">
      <c r="A15" s="10">
        <v>0.75</v>
      </c>
      <c r="B15" s="10">
        <f t="shared" si="3"/>
        <v>65.714508186875534</v>
      </c>
      <c r="C15" s="10">
        <f>-B15*([1]!deltacall(B15,$B$3,A15,$B$5,$B$6,$B$7)-[1]!deltaput(B15,$B$4,A15,$B$5,$B$6,$B$7))</f>
        <v>-43.734856910314285</v>
      </c>
      <c r="D15" s="10">
        <f t="shared" si="4"/>
        <v>37.377215552569986</v>
      </c>
      <c r="E15" s="17">
        <f t="shared" si="0"/>
        <v>-6.3576413577442992</v>
      </c>
      <c r="F15" s="17"/>
      <c r="G15" s="17">
        <f t="shared" si="2"/>
        <v>0</v>
      </c>
      <c r="I15" s="12">
        <f>-[1]!deltacall(B15,$B$3,A15,$B$5,$B$6,$B$7)+[1]!deltaput(B15,$B$4,A15,$B$5,$B$6,$B$7)</f>
        <v>-0.66552817812990928</v>
      </c>
      <c r="J15" s="13">
        <f>-[1]!vega(B15,$B$3,A15,$B$5,$B$6,$B$7)+[1]!vega(B15,$B$4,A15,$B$5,$B$6,$B$7)</f>
        <v>-10.300641803547427</v>
      </c>
      <c r="K15" s="13">
        <f>-[1]!Thetacall(B15,$B$3,A15,$B$5,$B$6,$B$7)+[1]!Thetaput(B15,$B$4,A15,$B$5,$B$6,$B$7)</f>
        <v>4.2441149372343396</v>
      </c>
      <c r="L15" s="13">
        <f>-[1]!rhocall(B15,$B$3,A15,$B$5,$B$6,$B$7)+[1]!rhoput(B15,$B$4,A15,$B$5,$B$6,$B$7)</f>
        <v>-28.073946055406733</v>
      </c>
      <c r="M15" s="13">
        <f>-[1]!ggamma(B15,$B$3,A15,$B$5,$B$6,$B$7)+[1]!ggamma(B15,$B$4,A15,$B$5,$B$6,$B$7)</f>
        <v>1.4678186746506078E-2</v>
      </c>
      <c r="O15" s="1">
        <f t="shared" si="1"/>
        <v>1.4678186746506078E-2</v>
      </c>
      <c r="R15">
        <v>-9.7729753179010004E-2</v>
      </c>
    </row>
    <row r="16" spans="1:21" ht="13.8" x14ac:dyDescent="0.25">
      <c r="A16" s="10">
        <v>0.7</v>
      </c>
      <c r="B16" s="10">
        <f t="shared" si="3"/>
        <v>70.844991085221338</v>
      </c>
      <c r="C16" s="10">
        <f>-B16*([1]!deltacall(B16,$B$3,A16,$B$5,$B$6,$B$7)-[1]!deltaput(B16,$B$4,A16,$B$5,$B$6,$B$7))</f>
        <v>-49.68957065373629</v>
      </c>
      <c r="D16" s="10">
        <f t="shared" si="4"/>
        <v>39.992277595126708</v>
      </c>
      <c r="E16" s="17">
        <f t="shared" si="0"/>
        <v>-9.6972930586095814</v>
      </c>
      <c r="F16" s="17"/>
      <c r="G16" s="17">
        <f t="shared" si="2"/>
        <v>0</v>
      </c>
      <c r="I16" s="12">
        <f>-[1]!deltacall(B16,$B$3,A16,$B$5,$B$6,$B$7)+[1]!deltaput(B16,$B$4,A16,$B$5,$B$6,$B$7)</f>
        <v>-0.70138438713279494</v>
      </c>
      <c r="J16" s="13">
        <f>-[1]!vega(B16,$B$3,A16,$B$5,$B$6,$B$7)+[1]!vega(B16,$B$4,A16,$B$5,$B$6,$B$7)</f>
        <v>-13.187880493555559</v>
      </c>
      <c r="K16" s="13">
        <f>-[1]!Thetacall(B16,$B$3,A16,$B$5,$B$6,$B$7)+[1]!Thetaput(B16,$B$4,A16,$B$5,$B$6,$B$7)</f>
        <v>5.3729781266625602</v>
      </c>
      <c r="L16" s="13">
        <f>-[1]!rhocall(B16,$B$3,A16,$B$5,$B$6,$B$7)+[1]!rhoput(B16,$B$4,A16,$B$5,$B$6,$B$7)</f>
        <v>-28.087714748817021</v>
      </c>
      <c r="M16" s="13">
        <f>-[1]!ggamma(B16,$B$3,A16,$B$5,$B$6,$B$7)+[1]!ggamma(B16,$B$4,A16,$B$5,$B$6,$B$7)</f>
        <v>2.4325211109288977E-2</v>
      </c>
      <c r="O16" s="1">
        <f t="shared" si="1"/>
        <v>2.4325211109288977E-2</v>
      </c>
      <c r="R16">
        <v>0.72867351263994351</v>
      </c>
    </row>
    <row r="17" spans="1:18" ht="13.8" x14ac:dyDescent="0.25">
      <c r="A17" s="10">
        <v>0.65</v>
      </c>
      <c r="B17" s="10">
        <f t="shared" si="3"/>
        <v>74.330386020226427</v>
      </c>
      <c r="C17" s="10">
        <f>-B17*([1]!deltacall(B17,$B$3,A17,$B$5,$B$6,$B$7)-[1]!deltaput(B17,$B$4,A17,$B$5,$B$6,$B$7))</f>
        <v>-54.15079312524108</v>
      </c>
      <c r="D17" s="10">
        <f t="shared" si="4"/>
        <v>42.088963069322361</v>
      </c>
      <c r="E17" s="17">
        <f t="shared" si="0"/>
        <v>-12.061830055918719</v>
      </c>
      <c r="F17" s="17"/>
      <c r="G17" s="17">
        <f t="shared" si="2"/>
        <v>0</v>
      </c>
      <c r="I17" s="12">
        <f>-[1]!deltacall(B17,$B$3,A17,$B$5,$B$6,$B$7)+[1]!deltaput(B17,$B$4,A17,$B$5,$B$6,$B$7)</f>
        <v>-0.72851489174973239</v>
      </c>
      <c r="J17" s="13">
        <f>-[1]!vega(B17,$B$3,A17,$B$5,$B$6,$B$7)+[1]!vega(B17,$B$4,A17,$B$5,$B$6,$B$7)</f>
        <v>-14.413567241223923</v>
      </c>
      <c r="K17" s="13">
        <f>-[1]!Thetacall(B17,$B$3,A17,$B$5,$B$6,$B$7)+[1]!Thetaput(B17,$B$4,A17,$B$5,$B$6,$B$7)</f>
        <v>6.130296065590116</v>
      </c>
      <c r="L17" s="13">
        <f>-[1]!rhocall(B17,$B$3,A17,$B$5,$B$6,$B$7)+[1]!rhoput(B17,$B$4,A17,$B$5,$B$6,$B$7)</f>
        <v>-27.549474859719798</v>
      </c>
      <c r="M17" s="13">
        <f>-[1]!ggamma(B17,$B$3,A17,$B$5,$B$6,$B$7)+[1]!ggamma(B17,$B$4,A17,$B$5,$B$6,$B$7)</f>
        <v>3.5518749890335238E-2</v>
      </c>
      <c r="O17" s="1">
        <f t="shared" si="1"/>
        <v>3.5518749890335238E-2</v>
      </c>
      <c r="R17">
        <v>0.42513875087024644</v>
      </c>
    </row>
    <row r="18" spans="1:18" ht="13.8" x14ac:dyDescent="0.25">
      <c r="A18" s="10">
        <v>0.6</v>
      </c>
      <c r="B18" s="10">
        <f t="shared" si="3"/>
        <v>77.973821161183551</v>
      </c>
      <c r="C18" s="10">
        <f>-B18*([1]!deltacall(B18,$B$3,A18,$B$5,$B$6,$B$7)-[1]!deltaput(B18,$B$4,A18,$B$5,$B$6,$B$7))</f>
        <v>-59.348811624185231</v>
      </c>
      <c r="D18" s="10">
        <f t="shared" si="4"/>
        <v>44.716946971166429</v>
      </c>
      <c r="E18" s="17">
        <f t="shared" si="0"/>
        <v>-14.631864653018802</v>
      </c>
      <c r="F18" s="17"/>
      <c r="G18" s="17">
        <f t="shared" si="2"/>
        <v>0</v>
      </c>
      <c r="I18" s="12">
        <f>-[1]!deltacall(B18,$B$3,A18,$B$5,$B$6,$B$7)+[1]!deltaput(B18,$B$4,A18,$B$5,$B$6,$B$7)</f>
        <v>-0.76113765800322086</v>
      </c>
      <c r="J18" s="13">
        <f>-[1]!vega(B18,$B$3,A18,$B$5,$B$6,$B$7)+[1]!vega(B18,$B$4,A18,$B$5,$B$6,$B$7)</f>
        <v>-14.95326739959685</v>
      </c>
      <c r="K18" s="13">
        <f>-[1]!Thetacall(B18,$B$3,A18,$B$5,$B$6,$B$7)+[1]!Thetaput(B18,$B$4,A18,$B$5,$B$6,$B$7)</f>
        <v>6.7921358288294948</v>
      </c>
      <c r="L18" s="13">
        <f>-[1]!rhocall(B18,$B$3,A18,$B$5,$B$6,$B$7)+[1]!rhoput(B18,$B$4,A18,$B$5,$B$6,$B$7)</f>
        <v>-27.115700434458155</v>
      </c>
      <c r="M18" s="13">
        <f>-[1]!ggamma(B18,$B$3,A18,$B$5,$B$6,$B$7)+[1]!ggamma(B18,$B$4,A18,$B$5,$B$6,$B$7)</f>
        <v>5.4066922059971795E-2</v>
      </c>
      <c r="O18" s="1">
        <f t="shared" si="1"/>
        <v>5.4066922059971795E-2</v>
      </c>
      <c r="R18">
        <v>0.42321289583924226</v>
      </c>
    </row>
    <row r="19" spans="1:18" ht="13.8" x14ac:dyDescent="0.25">
      <c r="A19" s="10">
        <v>0.55000000000000004</v>
      </c>
      <c r="B19" s="10">
        <f t="shared" si="3"/>
        <v>81.994964498402979</v>
      </c>
      <c r="C19" s="10">
        <f>-B19*([1]!deltacall(B19,$B$3,A19,$B$5,$B$6,$B$7)-[1]!deltaput(B19,$B$4,A19,$B$5,$B$6,$B$7))</f>
        <v>-65.62511917934485</v>
      </c>
      <c r="D19" s="10">
        <f t="shared" si="4"/>
        <v>48.022134291628298</v>
      </c>
      <c r="E19" s="17">
        <f t="shared" si="0"/>
        <v>-17.602984887716552</v>
      </c>
      <c r="F19" s="17"/>
      <c r="G19" s="17">
        <f t="shared" si="2"/>
        <v>0</v>
      </c>
      <c r="I19" s="12">
        <f>-[1]!deltacall(B19,$B$3,A19,$B$5,$B$6,$B$7)+[1]!deltaput(B19,$B$4,A19,$B$5,$B$6,$B$7)</f>
        <v>-0.8003554801297954</v>
      </c>
      <c r="J19" s="13">
        <f>-[1]!vega(B19,$B$3,A19,$B$5,$B$6,$B$7)+[1]!vega(B19,$B$4,A19,$B$5,$B$6,$B$7)</f>
        <v>-14.646294686136621</v>
      </c>
      <c r="K19" s="13">
        <f>-[1]!Thetacall(B19,$B$3,A19,$B$5,$B$6,$B$7)+[1]!Thetaput(B19,$B$4,A19,$B$5,$B$6,$B$7)</f>
        <v>7.2732449853426475</v>
      </c>
      <c r="L19" s="13">
        <f>-[1]!rhocall(B19,$B$3,A19,$B$5,$B$6,$B$7)+[1]!rhoput(B19,$B$4,A19,$B$5,$B$6,$B$7)</f>
        <v>-26.775645117778307</v>
      </c>
      <c r="M19" s="13">
        <f>-[1]!ggamma(B19,$B$3,A19,$B$5,$B$6,$B$7)+[1]!ggamma(B19,$B$4,A19,$B$5,$B$6,$B$7)</f>
        <v>8.9077571935644501E-2</v>
      </c>
      <c r="O19" s="1">
        <f t="shared" si="1"/>
        <v>8.9077571935644501E-2</v>
      </c>
      <c r="R19">
        <v>0.45039655560685787</v>
      </c>
    </row>
    <row r="20" spans="1:18" ht="13.8" x14ac:dyDescent="0.25">
      <c r="A20" s="10">
        <v>0.5</v>
      </c>
      <c r="B20" s="10">
        <f t="shared" si="3"/>
        <v>91.393554884175856</v>
      </c>
      <c r="C20" s="10">
        <f>-B20*([1]!deltacall(B20,$B$3,A20,$B$5,$B$6,$B$7)-[1]!deltaput(B20,$B$4,A20,$B$5,$B$6,$B$7))</f>
        <v>-80.779388190232382</v>
      </c>
      <c r="D20" s="10">
        <f t="shared" si="4"/>
        <v>55.750330358680692</v>
      </c>
      <c r="E20" s="17">
        <f t="shared" si="0"/>
        <v>-25.02905783155169</v>
      </c>
      <c r="F20" s="17"/>
      <c r="G20" s="17">
        <f t="shared" si="2"/>
        <v>0</v>
      </c>
      <c r="I20" s="12">
        <f>-[1]!deltacall(B20,$B$3,A20,$B$5,$B$6,$B$7)+[1]!deltaput(B20,$B$4,A20,$B$5,$B$6,$B$7)</f>
        <v>-0.8838630721018027</v>
      </c>
      <c r="J20" s="13">
        <f>-[1]!vega(B20,$B$3,A20,$B$5,$B$6,$B$7)+[1]!vega(B20,$B$4,A20,$B$5,$B$6,$B$7)</f>
        <v>-11.829686861860814</v>
      </c>
      <c r="K20" s="13">
        <f>-[1]!Thetacall(B20,$B$3,A20,$B$5,$B$6,$B$7)+[1]!Thetaput(B20,$B$4,A20,$B$5,$B$6,$B$7)</f>
        <v>6.9825499494762555</v>
      </c>
      <c r="L20" s="13">
        <f>-[1]!rhocall(B20,$B$3,A20,$B$5,$B$6,$B$7)+[1]!rhoput(B20,$B$4,A20,$B$5,$B$6,$B$7)</f>
        <v>-28.133440059149112</v>
      </c>
      <c r="M20" s="13">
        <f>-[1]!ggamma(B20,$B$3,A20,$B$5,$B$6,$B$7)+[1]!ggamma(B20,$B$4,A20,$B$5,$B$6,$B$7)</f>
        <v>0.2535950221773427</v>
      </c>
      <c r="O20" s="1">
        <f t="shared" si="1"/>
        <v>0.2535950221773427</v>
      </c>
      <c r="R20">
        <v>1.1014549272658769</v>
      </c>
    </row>
    <row r="21" spans="1:18" ht="13.8" x14ac:dyDescent="0.25">
      <c r="A21" s="10">
        <v>0.45</v>
      </c>
      <c r="B21" s="10">
        <f t="shared" si="3"/>
        <v>90.242015813250219</v>
      </c>
      <c r="C21" s="10">
        <f>-B21*([1]!deltacall(B21,$B$3,A21,$B$5,$B$6,$B$7)-[1]!deltaput(B21,$B$4,A21,$B$5,$B$6,$B$7))</f>
        <v>-79.518238089782372</v>
      </c>
      <c r="D21" s="10">
        <f t="shared" si="4"/>
        <v>55.618595354853305</v>
      </c>
      <c r="E21" s="17">
        <f t="shared" si="0"/>
        <v>-23.899642734929067</v>
      </c>
      <c r="F21" s="17"/>
      <c r="G21" s="17">
        <f t="shared" si="2"/>
        <v>0</v>
      </c>
      <c r="H21" s="1" t="str">
        <f t="shared" ref="H21:H22" ca="1" si="5">_xlfn.FORMULATEXT(G21)</f>
        <v>=C20*B21/B20-C21+D20*EXP($B$5*(A20-A21))-D21</v>
      </c>
      <c r="I21" s="12">
        <f>-[1]!deltacall(B21,$B$3,A21,$B$5,$B$6,$B$7)+[1]!deltaput(B21,$B$4,A21,$B$5,$B$6,$B$7)</f>
        <v>-0.88116646523433184</v>
      </c>
      <c r="J21" s="13">
        <f>-[1]!vega(B21,$B$3,A21,$B$5,$B$6,$B$7)+[1]!vega(B21,$B$4,A21,$B$5,$B$6,$B$7)</f>
        <v>-11.365232695467077</v>
      </c>
      <c r="K21" s="13">
        <f>-[1]!Thetacall(B21,$B$3,A21,$B$5,$B$6,$B$7)+[1]!Thetaput(B21,$B$4,A21,$B$5,$B$6,$B$7)</f>
        <v>7.3063746868316048</v>
      </c>
      <c r="L21" s="13">
        <f>-[1]!rhocall(B21,$B$3,A21,$B$5,$B$6,$B$7)+[1]!rhoput(B21,$B$4,A21,$B$5,$B$6,$B$7)</f>
        <v>-25.370551749520171</v>
      </c>
      <c r="M21" s="13">
        <f>-[1]!ggamma(B21,$B$3,A21,$B$5,$B$6,$B$7)+[1]!ggamma(B21,$B$4,A21,$B$5,$B$6,$B$7)</f>
        <v>0.31958242142811577</v>
      </c>
      <c r="O21" s="1">
        <f t="shared" si="1"/>
        <v>0.31958242142811577</v>
      </c>
      <c r="R21">
        <v>-0.25356825972266961</v>
      </c>
    </row>
    <row r="22" spans="1:18" ht="13.8" x14ac:dyDescent="0.25">
      <c r="A22" s="10">
        <v>0.39999999999999902</v>
      </c>
      <c r="B22" s="10">
        <f t="shared" si="3"/>
        <v>94.654058450909787</v>
      </c>
      <c r="C22" s="10">
        <f>-B22*([1]!deltacall(B22,$B$3,A22,$B$5,$B$6,$B$7)-[1]!deltaput(B22,$B$4,A22,$B$5,$B$6,$B$7))</f>
        <v>-87.00848668644656</v>
      </c>
      <c r="D22" s="10">
        <f t="shared" si="4"/>
        <v>59.332448438123485</v>
      </c>
      <c r="E22" s="17">
        <f t="shared" si="0"/>
        <v>-27.676038248323074</v>
      </c>
      <c r="F22" s="17"/>
      <c r="G22" s="17">
        <f t="shared" si="2"/>
        <v>0</v>
      </c>
      <c r="H22" s="1" t="str">
        <f t="shared" ca="1" si="5"/>
        <v>=C21*B22/B21-C22+D21*EXP($B$5*(A21-A22))-D22</v>
      </c>
      <c r="I22" s="12">
        <f>-[1]!deltacall(B22,$B$3,A22,$B$5,$B$6,$B$7)+[1]!deltaput(B22,$B$4,A22,$B$5,$B$6,$B$7)</f>
        <v>-0.91922616008664404</v>
      </c>
      <c r="J22" s="13">
        <f>-[1]!vega(B22,$B$3,A22,$B$5,$B$6,$B$7)+[1]!vega(B22,$B$4,A22,$B$5,$B$6,$B$7)</f>
        <v>-8.6962656650300936</v>
      </c>
      <c r="K22" s="13">
        <f>-[1]!Thetacall(B22,$B$3,A22,$B$5,$B$6,$B$7)+[1]!Thetaput(B22,$B$4,A22,$B$5,$B$6,$B$7)</f>
        <v>6.7580777448347922</v>
      </c>
      <c r="L22" s="13">
        <f>-[1]!rhocall(B22,$B$3,A22,$B$5,$B$6,$B$7)+[1]!rhoput(B22,$B$4,A22,$B$5,$B$6,$B$7)</f>
        <v>-24.099449123197299</v>
      </c>
      <c r="M22" s="13">
        <f>-[1]!ggamma(B22,$B$3,A22,$B$5,$B$6,$B$7)+[1]!ggamma(B22,$B$4,A22,$B$5,$B$6,$B$7)</f>
        <v>0.77081872264213847</v>
      </c>
      <c r="O22" s="1">
        <f t="shared" si="1"/>
        <v>0.77081872264213847</v>
      </c>
      <c r="R22">
        <v>0.42187480175925884</v>
      </c>
    </row>
    <row r="23" spans="1:18" ht="13.8" x14ac:dyDescent="0.25">
      <c r="A23" s="10">
        <v>0.34999999999999898</v>
      </c>
      <c r="B23" s="10">
        <f t="shared" si="3"/>
        <v>88.279330364661377</v>
      </c>
      <c r="C23" s="10">
        <f>-B23*([1]!deltacall(B23,$B$3,A23,$B$5,$B$6,$B$7)-[1]!deltaput(B23,$B$4,A23,$B$5,$B$6,$B$7))</f>
        <v>-77.724511803167985</v>
      </c>
      <c r="D23" s="10">
        <f t="shared" si="4"/>
        <v>56.027074016086139</v>
      </c>
      <c r="E23" s="17">
        <f t="shared" si="0"/>
        <v>-21.697437787081846</v>
      </c>
      <c r="F23" s="18"/>
      <c r="G23" s="17">
        <f t="shared" si="2"/>
        <v>0</v>
      </c>
      <c r="I23" s="12">
        <f>-[1]!deltacall(B23,$B$3,A23,$B$5,$B$6,$B$7)+[1]!deltaput(B23,$B$4,A23,$B$5,$B$6,$B$7)</f>
        <v>-0.88043839347337716</v>
      </c>
      <c r="J23" s="13">
        <f>-[1]!vega(B23,$B$3,A23,$B$5,$B$6,$B$7)+[1]!vega(B23,$B$4,A23,$B$5,$B$6,$B$7)</f>
        <v>-10.054304951388058</v>
      </c>
      <c r="K23" s="13">
        <f>-[1]!Thetacall(B23,$B$3,A23,$B$5,$B$6,$B$7)+[1]!Thetaput(B23,$B$4,A23,$B$5,$B$6,$B$7)</f>
        <v>8.0284703565935143</v>
      </c>
      <c r="L23" s="13">
        <f>-[1]!rhocall(B23,$B$3,A23,$B$5,$B$6,$B$7)+[1]!rhoput(B23,$B$4,A23,$B$5,$B$6,$B$7)</f>
        <v>-19.977590863252757</v>
      </c>
      <c r="M23" s="13">
        <f>-[1]!ggamma(B23,$B$3,A23,$B$5,$B$6,$B$7)+[1]!ggamma(B23,$B$4,A23,$B$5,$B$6,$B$7)</f>
        <v>0.62208430998966835</v>
      </c>
      <c r="O23" s="1">
        <f t="shared" si="1"/>
        <v>0.62208430998966835</v>
      </c>
      <c r="R23">
        <v>-0.891327545105014</v>
      </c>
    </row>
    <row r="24" spans="1:18" ht="13.8" x14ac:dyDescent="0.25">
      <c r="A24" s="10">
        <v>0.29999999999999899</v>
      </c>
      <c r="B24" s="10">
        <f t="shared" si="3"/>
        <v>87.425669904031096</v>
      </c>
      <c r="C24" s="10">
        <f>-B24*([1]!deltacall(B24,$B$3,A24,$B$5,$B$6,$B$7)-[1]!deltaput(B24,$B$4,A24,$B$5,$B$6,$B$7))</f>
        <v>-77.224930795309405</v>
      </c>
      <c r="D24" s="10">
        <f t="shared" si="4"/>
        <v>56.391254729676959</v>
      </c>
      <c r="E24" s="17">
        <f t="shared" si="0"/>
        <v>-20.833676065632446</v>
      </c>
      <c r="F24" s="18"/>
      <c r="G24" s="17">
        <f t="shared" si="2"/>
        <v>0</v>
      </c>
      <c r="I24" s="12">
        <f>-[1]!deltacall(B24,$B$3,A24,$B$5,$B$6,$B$7)+[1]!deltaput(B24,$B$4,A24,$B$5,$B$6,$B$7)</f>
        <v>-0.88332100720624451</v>
      </c>
      <c r="J24" s="13">
        <f>-[1]!vega(B24,$B$3,A24,$B$5,$B$6,$B$7)+[1]!vega(B24,$B$4,A24,$B$5,$B$6,$B$7)</f>
        <v>-9.1586044728852798</v>
      </c>
      <c r="K24" s="13">
        <f>-[1]!Thetacall(B24,$B$3,A24,$B$5,$B$6,$B$7)+[1]!Thetaput(B24,$B$4,A24,$B$5,$B$6,$B$7)</f>
        <v>8.4154539173480334</v>
      </c>
      <c r="L24" s="13">
        <f>-[1]!rhocall(B24,$B$3,A24,$B$5,$B$6,$B$7)+[1]!rhoput(B24,$B$4,A24,$B$5,$B$6,$B$7)</f>
        <v>-17.322882015683621</v>
      </c>
      <c r="M24" s="13">
        <f>-[1]!ggamma(B24,$B$3,A24,$B$5,$B$6,$B$7)+[1]!ggamma(B24,$B$4,A24,$B$5,$B$6,$B$7)</f>
        <v>1.0169707422927243</v>
      </c>
      <c r="O24" s="1">
        <f t="shared" si="1"/>
        <v>1.0169707422927243</v>
      </c>
      <c r="R24">
        <v>-0.22044332581572235</v>
      </c>
    </row>
    <row r="25" spans="1:18" ht="13.8" x14ac:dyDescent="0.25">
      <c r="A25" s="10">
        <v>0.249999999999999</v>
      </c>
      <c r="B25" s="10">
        <f t="shared" si="3"/>
        <v>91.190095864234621</v>
      </c>
      <c r="C25" s="10">
        <f>-B25*([1]!deltacall(B25,$B$3,A25,$B$5,$B$6,$B$7)-[1]!deltaput(B25,$B$4,A25,$B$5,$B$6,$B$7))</f>
        <v>-84.815753337824361</v>
      </c>
      <c r="D25" s="10">
        <f t="shared" si="4"/>
        <v>60.769776108666363</v>
      </c>
      <c r="E25" s="17">
        <f t="shared" si="0"/>
        <v>-24.045977229157998</v>
      </c>
      <c r="F25" s="18"/>
      <c r="G25" s="17">
        <f t="shared" si="2"/>
        <v>0</v>
      </c>
      <c r="I25" s="12">
        <f>-[1]!deltacall(B25,$B$3,A25,$B$5,$B$6,$B$7)+[1]!deltaput(B25,$B$4,A25,$B$5,$B$6,$B$7)</f>
        <v>-0.9300983021675896</v>
      </c>
      <c r="J25" s="13">
        <f>-[1]!vega(B25,$B$3,A25,$B$5,$B$6,$B$7)+[1]!vega(B25,$B$4,A25,$B$5,$B$6,$B$7)</f>
        <v>-6.0618336505696275</v>
      </c>
      <c r="K25" s="13">
        <f>-[1]!Thetacall(B25,$B$3,A25,$B$5,$B$6,$B$7)+[1]!Thetaput(B25,$B$4,A25,$B$5,$B$6,$B$7)</f>
        <v>7.3420550381957321</v>
      </c>
      <c r="L25" s="13">
        <f>-[1]!rhocall(B25,$B$3,A25,$B$5,$B$6,$B$7)+[1]!rhoput(B25,$B$4,A25,$B$5,$B$6,$B$7)</f>
        <v>-15.578675735874997</v>
      </c>
      <c r="M25" s="13">
        <f>-[1]!ggamma(B25,$B$3,A25,$B$5,$B$6,$B$7)+[1]!ggamma(B25,$B$4,A25,$B$5,$B$6,$B$7)</f>
        <v>4.2551314868510604</v>
      </c>
      <c r="O25" s="1">
        <f t="shared" si="1"/>
        <v>4.2551314868510604</v>
      </c>
      <c r="R25">
        <v>0.35953007682110183</v>
      </c>
    </row>
    <row r="26" spans="1:18" ht="13.8" x14ac:dyDescent="0.25">
      <c r="A26" s="10">
        <v>0.19999999999999901</v>
      </c>
      <c r="B26" s="10">
        <f t="shared" si="3"/>
        <v>101.4424611470549</v>
      </c>
      <c r="C26" s="10">
        <f>-B26*([1]!deltacall(B26,$B$3,A26,$B$5,$B$6,$B$7)-[1]!deltaput(B26,$B$4,A26,$B$5,$B$6,$B$7))</f>
        <v>-100.06231393001572</v>
      </c>
      <c r="D26" s="10">
        <f t="shared" si="4"/>
        <v>66.602290330941088</v>
      </c>
      <c r="E26" s="17">
        <f t="shared" si="0"/>
        <v>-33.460023599074631</v>
      </c>
      <c r="F26" s="18"/>
      <c r="G26" s="17">
        <f t="shared" si="2"/>
        <v>0</v>
      </c>
      <c r="I26" s="12">
        <f>-[1]!deltacall(B26,$B$3,A26,$B$5,$B$6,$B$7)+[1]!deltaput(B26,$B$4,A26,$B$5,$B$6,$B$7)</f>
        <v>-0.98639477787276408</v>
      </c>
      <c r="J26" s="13">
        <f>-[1]!vega(B26,$B$3,A26,$B$5,$B$6,$B$7)+[1]!vega(B26,$B$4,A26,$B$5,$B$6,$B$7)</f>
        <v>-1.5781822352852708</v>
      </c>
      <c r="K26" s="13">
        <f>-[1]!Thetacall(B26,$B$3,A26,$B$5,$B$6,$B$7)+[1]!Thetaput(B26,$B$4,A26,$B$5,$B$6,$B$7)</f>
        <v>4.2969906717826483</v>
      </c>
      <c r="L26" s="13">
        <f>-[1]!rhocall(B26,$B$3,A26,$B$5,$B$6,$B$7)+[1]!rhoput(B26,$B$4,A26,$B$5,$B$6,$B$7)</f>
        <v>-13.594042182486783</v>
      </c>
      <c r="M26" s="13">
        <f>-[1]!ggamma(B26,$B$3,A26,$B$5,$B$6,$B$7)+[1]!ggamma(B26,$B$4,A26,$B$5,$B$6,$B$7)</f>
        <v>146.80023794462775</v>
      </c>
      <c r="O26" s="1">
        <f t="shared" si="1"/>
        <v>146.80023794462775</v>
      </c>
      <c r="R26">
        <v>1.0794110494316556</v>
      </c>
    </row>
    <row r="27" spans="1:18" ht="13.8" x14ac:dyDescent="0.25">
      <c r="A27" s="10">
        <v>0.149999999999999</v>
      </c>
      <c r="B27" s="10">
        <f t="shared" si="3"/>
        <v>92.522049281606826</v>
      </c>
      <c r="C27" s="10">
        <f>-B27*([1]!deltacall(B27,$B$3,A27,$B$5,$B$6,$B$7)-[1]!deltaput(B27,$B$4,A27,$B$5,$B$6,$B$7))</f>
        <v>-89.966762665259793</v>
      </c>
      <c r="D27" s="10">
        <f t="shared" si="4"/>
        <v>65.4391246208274</v>
      </c>
      <c r="E27" s="17">
        <f t="shared" si="0"/>
        <v>-24.527638044432393</v>
      </c>
      <c r="F27" s="18"/>
      <c r="G27" s="17">
        <f t="shared" si="2"/>
        <v>0</v>
      </c>
      <c r="I27" s="12">
        <f>-[1]!deltacall(B27,$B$3,A27,$B$5,$B$6,$B$7)+[1]!deltaput(B27,$B$4,A27,$B$5,$B$6,$B$7)</f>
        <v>-0.97238186317545161</v>
      </c>
      <c r="J27" s="13">
        <f>-[1]!vega(B27,$B$3,A27,$B$5,$B$6,$B$7)+[1]!vega(B27,$B$4,A27,$B$5,$B$6,$B$7)</f>
        <v>-2.2750038663058723</v>
      </c>
      <c r="K27" s="13">
        <f>-[1]!Thetacall(B27,$B$3,A27,$B$5,$B$6,$B$7)+[1]!Thetaput(B27,$B$4,A27,$B$5,$B$6,$B$7)</f>
        <v>5.7079692305940073</v>
      </c>
      <c r="L27" s="13">
        <f>-[1]!rhocall(B27,$B$3,A27,$B$5,$B$6,$B$7)+[1]!rhoput(B27,$B$4,A27,$B$5,$B$6,$B$7)</f>
        <v>-10.029865283198017</v>
      </c>
      <c r="M27" s="13">
        <f>-[1]!ggamma(B27,$B$3,A27,$B$5,$B$6,$B$7)+[1]!ggamma(B27,$B$4,A27,$B$5,$B$6,$B$7)</f>
        <v>199.31694748438957</v>
      </c>
      <c r="O27" s="1">
        <f t="shared" si="1"/>
        <v>199.31694748438957</v>
      </c>
      <c r="R27">
        <v>-1.1408951650082599</v>
      </c>
    </row>
    <row r="28" spans="1:18" ht="13.8" x14ac:dyDescent="0.25">
      <c r="A28" s="10">
        <v>9.9999999999999006E-2</v>
      </c>
      <c r="B28" s="10">
        <f t="shared" si="3"/>
        <v>85.257546667280792</v>
      </c>
      <c r="C28" s="10">
        <f>-B28*([1]!deltacall(B28,$B$3,A28,$B$5,$B$6,$B$7)-[1]!deltaput(B28,$B$4,A28,$B$5,$B$6,$B$7))</f>
        <v>-81.072439725562816</v>
      </c>
      <c r="D28" s="10">
        <f t="shared" si="4"/>
        <v>63.739681483078428</v>
      </c>
      <c r="E28" s="17">
        <f t="shared" si="0"/>
        <v>-17.332758242484388</v>
      </c>
      <c r="F28" s="18"/>
      <c r="G28" s="17">
        <f t="shared" si="2"/>
        <v>0</v>
      </c>
      <c r="I28" s="12">
        <f>-[1]!deltacall(B28,$B$3,A28,$B$5,$B$6,$B$7)+[1]!deltaput(B28,$B$4,A28,$B$5,$B$6,$B$7)</f>
        <v>-0.95091218190865334</v>
      </c>
      <c r="J28" s="13">
        <f>-[1]!vega(B28,$B$3,A28,$B$5,$B$6,$B$7)+[1]!vega(B28,$B$4,A28,$B$5,$B$6,$B$7)</f>
        <v>-2.7397351056713766</v>
      </c>
      <c r="K28" s="13">
        <f>-[1]!Thetacall(B28,$B$3,A28,$B$5,$B$6,$B$7)+[1]!Thetaput(B28,$B$4,A28,$B$5,$B$6,$B$7)</f>
        <v>8.0916302958473256</v>
      </c>
      <c r="L28" s="13">
        <f>-[1]!rhocall(B28,$B$3,A28,$B$5,$B$6,$B$7)+[1]!rhoput(B28,$B$4,A28,$B$5,$B$6,$B$7)</f>
        <v>-6.5304002112612327</v>
      </c>
      <c r="M28" s="13">
        <f>-[1]!ggamma(B28,$B$3,A28,$B$5,$B$6,$B$7)+[1]!ggamma(B28,$B$4,A28,$B$5,$B$6,$B$7)</f>
        <v>795.21354799269557</v>
      </c>
      <c r="O28" s="1">
        <f t="shared" si="1"/>
        <v>795.21354799269557</v>
      </c>
      <c r="R28">
        <v>-1.0260237104375847</v>
      </c>
    </row>
    <row r="29" spans="1:18" ht="13.8" x14ac:dyDescent="0.25">
      <c r="A29" s="10">
        <v>4.9999999999998997E-2</v>
      </c>
      <c r="B29" s="10">
        <f t="shared" si="3"/>
        <v>81.86706593861129</v>
      </c>
      <c r="C29" s="10">
        <f>-B29*([1]!deltacall(B29,$B$3,A29,$B$5,$B$6,$B$7)-[1]!deltaput(B29,$B$4,A29,$B$5,$B$6,$B$7))</f>
        <v>-79.039655068872079</v>
      </c>
      <c r="D29" s="10">
        <f t="shared" si="4"/>
        <v>65.058553181163916</v>
      </c>
      <c r="E29" s="17">
        <f t="shared" si="0"/>
        <v>-13.981101887708164</v>
      </c>
      <c r="F29" s="18"/>
      <c r="G29" s="17">
        <f t="shared" si="2"/>
        <v>0</v>
      </c>
      <c r="I29" s="12">
        <f>-[1]!deltacall(B29,$B$3,A29,$B$5,$B$6,$B$7)+[1]!deltaput(B29,$B$4,A29,$B$5,$B$6,$B$7)</f>
        <v>-0.96546339071368004</v>
      </c>
      <c r="J29" s="13">
        <f>-[1]!vega(B29,$B$3,A29,$B$5,$B$6,$B$7)+[1]!vega(B29,$B$4,A29,$B$5,$B$6,$B$7)</f>
        <v>-1.399112344285796</v>
      </c>
      <c r="K29" s="13">
        <f>-[1]!Thetacall(B29,$B$3,A29,$B$5,$B$6,$B$7)+[1]!Thetaput(B29,$B$4,A29,$B$5,$B$6,$B$7)</f>
        <v>8.2736310444864003</v>
      </c>
      <c r="L29" s="13">
        <f>-[1]!rhocall(B29,$B$3,A29,$B$5,$B$6,$B$7)+[1]!rhoput(B29,$B$4,A29,$B$5,$B$6,$B$7)</f>
        <v>-3.3464770841788112</v>
      </c>
      <c r="M29" s="4">
        <f>-[1]!ggamma(B29,$B$3,A29,$B$5,$B$6,$B$7)+[1]!ggamma(B29,$B$4,A29,$B$5,$B$6,$B$7)</f>
        <v>1074824.0338232357</v>
      </c>
      <c r="O29" s="1">
        <f t="shared" si="1"/>
        <v>1074824.0338232357</v>
      </c>
      <c r="R29">
        <v>-0.56549993132648524</v>
      </c>
    </row>
    <row r="30" spans="1:18" ht="13.8" x14ac:dyDescent="0.25">
      <c r="A30" s="10">
        <v>0</v>
      </c>
      <c r="B30" s="10">
        <f t="shared" si="3"/>
        <v>86.291219536543821</v>
      </c>
      <c r="C30" s="10"/>
      <c r="D30" s="10"/>
      <c r="E30" s="4"/>
      <c r="G30" s="4">
        <f>C29*B30/B29+D29*EXP($B$5*(A29-A30))</f>
        <v>-18.122212911149418</v>
      </c>
      <c r="H30" s="1" t="str">
        <f t="shared" ref="H30" ca="1" si="6">_xlfn.FORMULATEXT(G30)</f>
        <v>=C29*B30/B29+D29*EXP($B$5*(A29-A30))</v>
      </c>
      <c r="I30" s="5"/>
      <c r="R30">
        <v>0.47662979341112077</v>
      </c>
    </row>
    <row r="31" spans="1:18" x14ac:dyDescent="0.25">
      <c r="A31" s="13"/>
      <c r="B31" s="4"/>
      <c r="D31" s="4"/>
    </row>
    <row r="32" spans="1:18" x14ac:dyDescent="0.25">
      <c r="A32" s="15" t="s">
        <v>18</v>
      </c>
      <c r="B32" s="4"/>
      <c r="D32" s="4"/>
    </row>
    <row r="33" spans="1:4" x14ac:dyDescent="0.25">
      <c r="A33" s="13" t="s">
        <v>19</v>
      </c>
      <c r="B33" s="4">
        <f>-MAX(B30-B3,0)</f>
        <v>-16.291219536543821</v>
      </c>
      <c r="C33" s="1" t="str">
        <f t="shared" ref="C33:C35" ca="1" si="7">_xlfn.FORMULATEXT(B33)</f>
        <v>=-MAX(B30-B3,0)</v>
      </c>
      <c r="D33" s="4"/>
    </row>
    <row r="34" spans="1:4" x14ac:dyDescent="0.25">
      <c r="A34" s="13" t="s">
        <v>20</v>
      </c>
      <c r="B34" s="4">
        <f>MAX(B4-B30,0)</f>
        <v>0</v>
      </c>
      <c r="C34" s="1" t="str">
        <f t="shared" ca="1" si="7"/>
        <v>=MAX(B4-B30,0)</v>
      </c>
      <c r="D34" s="4"/>
    </row>
    <row r="35" spans="1:4" x14ac:dyDescent="0.25">
      <c r="A35" s="13" t="s">
        <v>21</v>
      </c>
      <c r="B35" s="4">
        <f>SUM(B33:B34)</f>
        <v>-16.291219536543821</v>
      </c>
      <c r="C35" s="1" t="str">
        <f t="shared" ca="1" si="7"/>
        <v>=SUM(B33:B34)</v>
      </c>
      <c r="D35" s="4"/>
    </row>
    <row r="36" spans="1:4" x14ac:dyDescent="0.25">
      <c r="A36" s="13"/>
      <c r="B36" s="4"/>
      <c r="D36" s="4"/>
    </row>
    <row r="37" spans="1:4" x14ac:dyDescent="0.25">
      <c r="A37" s="15" t="s">
        <v>22</v>
      </c>
      <c r="B37" s="4"/>
      <c r="D37" s="4"/>
    </row>
    <row r="38" spans="1:4" x14ac:dyDescent="0.25">
      <c r="A38" s="13"/>
      <c r="B38" s="11">
        <f>G30</f>
        <v>-18.122212911149418</v>
      </c>
      <c r="C38" s="1" t="str">
        <f ca="1">_xlfn.FORMULATEXT(B38)</f>
        <v>=G30</v>
      </c>
      <c r="D38" s="4"/>
    </row>
    <row r="39" spans="1:4" x14ac:dyDescent="0.25">
      <c r="A39" s="13"/>
      <c r="B39" s="4"/>
      <c r="D39" s="4"/>
    </row>
    <row r="40" spans="1:4" ht="26.4" x14ac:dyDescent="0.25">
      <c r="A40" s="16" t="s">
        <v>23</v>
      </c>
      <c r="B40" s="4">
        <f>-B35+B38</f>
        <v>-1.8309933746055975</v>
      </c>
      <c r="C40" s="1" t="str">
        <f ca="1">_xlfn.FORMULATEXT(B40)</f>
        <v>=-B35+B38</v>
      </c>
      <c r="D40" s="4"/>
    </row>
    <row r="41" spans="1:4" x14ac:dyDescent="0.25">
      <c r="A41" s="13"/>
      <c r="B41" s="4"/>
      <c r="D41" s="4"/>
    </row>
    <row r="42" spans="1:4" x14ac:dyDescent="0.25">
      <c r="A42" s="13"/>
      <c r="B42" s="10"/>
      <c r="D42" s="4"/>
    </row>
    <row r="43" spans="1:4" x14ac:dyDescent="0.25">
      <c r="A43" s="13"/>
      <c r="B43" s="10"/>
      <c r="D43" s="4"/>
    </row>
    <row r="44" spans="1:4" x14ac:dyDescent="0.25">
      <c r="A44" s="13"/>
      <c r="B44" s="10"/>
      <c r="D44" s="4"/>
    </row>
    <row r="45" spans="1:4" x14ac:dyDescent="0.25">
      <c r="A45" s="13"/>
      <c r="B45" s="10"/>
      <c r="D45" s="4"/>
    </row>
    <row r="46" spans="1:4" x14ac:dyDescent="0.25">
      <c r="A46" s="13"/>
      <c r="B46" s="10"/>
      <c r="D46" s="4"/>
    </row>
    <row r="47" spans="1:4" x14ac:dyDescent="0.25">
      <c r="A47" s="13"/>
      <c r="B47" s="10"/>
      <c r="D47" s="4"/>
    </row>
    <row r="48" spans="1:4" x14ac:dyDescent="0.25">
      <c r="A48" s="13"/>
      <c r="B48" s="10"/>
      <c r="D48" s="4"/>
    </row>
    <row r="49" spans="1:4" x14ac:dyDescent="0.25">
      <c r="A49" s="13"/>
      <c r="B49" s="10"/>
      <c r="D49" s="4"/>
    </row>
    <row r="50" spans="1:4" x14ac:dyDescent="0.25">
      <c r="A50" s="13"/>
      <c r="B50" s="10"/>
      <c r="D50" s="4"/>
    </row>
    <row r="51" spans="1:4" x14ac:dyDescent="0.25">
      <c r="A51" s="13"/>
      <c r="B51" s="10"/>
      <c r="D51" s="4"/>
    </row>
    <row r="52" spans="1:4" x14ac:dyDescent="0.25">
      <c r="A52" s="13"/>
      <c r="B52" s="10"/>
      <c r="D52" s="4"/>
    </row>
    <row r="53" spans="1:4" x14ac:dyDescent="0.25">
      <c r="A53" s="13"/>
      <c r="B53" s="10"/>
      <c r="D53" s="4"/>
    </row>
    <row r="54" spans="1:4" x14ac:dyDescent="0.25">
      <c r="A54" s="13"/>
      <c r="B54" s="10"/>
      <c r="D54" s="4"/>
    </row>
    <row r="55" spans="1:4" x14ac:dyDescent="0.25">
      <c r="A55" s="13"/>
      <c r="B55" s="10"/>
      <c r="D55" s="4"/>
    </row>
    <row r="56" spans="1:4" x14ac:dyDescent="0.25">
      <c r="A56" s="13"/>
      <c r="B56" s="10"/>
      <c r="D56" s="4"/>
    </row>
    <row r="57" spans="1:4" x14ac:dyDescent="0.25">
      <c r="A57" s="13"/>
      <c r="B57" s="10"/>
      <c r="D57" s="4"/>
    </row>
    <row r="58" spans="1:4" x14ac:dyDescent="0.25">
      <c r="A58" s="13"/>
      <c r="B58" s="10"/>
      <c r="D58" s="4"/>
    </row>
    <row r="59" spans="1:4" x14ac:dyDescent="0.25">
      <c r="A59" s="13"/>
      <c r="B59" s="10"/>
      <c r="D59" s="4"/>
    </row>
    <row r="60" spans="1:4" x14ac:dyDescent="0.25">
      <c r="A60" s="13"/>
      <c r="B60" s="10"/>
      <c r="D60" s="4"/>
    </row>
    <row r="61" spans="1:4" x14ac:dyDescent="0.25">
      <c r="A61" s="13"/>
      <c r="B61" s="10"/>
      <c r="D61" s="4"/>
    </row>
    <row r="62" spans="1:4" x14ac:dyDescent="0.25">
      <c r="A62" s="13"/>
      <c r="B62" s="4"/>
      <c r="D62" s="4"/>
    </row>
  </sheetData>
  <mergeCells count="1">
    <mergeCell ref="A1:C1"/>
  </mergeCells>
  <phoneticPr fontId="1" type="noConversion"/>
  <printOptions headings="1" gridLines="1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宏2">
                <anchor moveWithCells="1" sizeWithCells="1">
                  <from>
                    <xdr:col>13</xdr:col>
                    <xdr:colOff>365760</xdr:colOff>
                    <xdr:row>4</xdr:row>
                    <xdr:rowOff>22860</xdr:rowOff>
                  </from>
                  <to>
                    <xdr:col>16</xdr:col>
                    <xdr:colOff>381000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Page 570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2024-12-04T09:41:19Z</dcterms:modified>
</cp:coreProperties>
</file>