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EADD2397-7FC8-4E86-A8E0-2CD0B310D3A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Sheet1!$C$29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0" i="1"/>
  <c r="B16" i="1" s="1"/>
  <c r="C19" i="1"/>
  <c r="C10" i="1"/>
  <c r="C12" i="1"/>
  <c r="B15" i="1" l="1"/>
  <c r="B19" i="1"/>
  <c r="B17" i="1" l="1"/>
</calcChain>
</file>

<file path=xl/sharedStrings.xml><?xml version="1.0" encoding="utf-8"?>
<sst xmlns="http://schemas.openxmlformats.org/spreadsheetml/2006/main" count="21" uniqueCount="21">
  <si>
    <t>INSURING TOTAL PORTFOLIO RETURNS</t>
  </si>
  <si>
    <t>z</t>
  </si>
  <si>
    <t>Insurance level</t>
  </si>
  <si>
    <r>
      <t>S</t>
    </r>
    <r>
      <rPr>
        <vertAlign val="subscript"/>
        <sz val="10"/>
        <rFont val="Arial"/>
        <family val="2"/>
      </rPr>
      <t>0</t>
    </r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</si>
  <si>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</si>
  <si>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</si>
  <si>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</si>
  <si>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</si>
  <si>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</si>
  <si>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</si>
  <si>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</si>
  <si>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SOLVER SCREEN FOR SOLUTION:</t>
  </si>
  <si>
    <t>Sigma</t>
  </si>
  <si>
    <t>Stock volatility</t>
  </si>
  <si>
    <t>Alpha</t>
  </si>
  <si>
    <t>Equation to be solved</t>
  </si>
  <si>
    <t>Check</t>
  </si>
  <si>
    <t>Cost of shares</t>
  </si>
  <si>
    <t>Cost of puts</t>
  </si>
  <si>
    <t>Total cost</t>
  </si>
  <si>
    <t>Minimum portfolio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</si>
</sst>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4" fillId="0" borderId="0" xfId="1" applyFont="1" applyAlignment="1"/>
    <xf numFmtId="9" fontId="5" fillId="0" borderId="0" xfId="1" applyFont="1" applyAlignment="1">
      <alignment horizontal="centerContinuous"/>
    </xf>
    <xf numFmtId="9" fontId="3" fillId="2" borderId="0" xfId="1" applyFont="1" applyFill="1" applyAlignment="1">
      <alignment horizontal="left"/>
    </xf>
    <xf numFmtId="176" fontId="3" fillId="2" borderId="0" xfId="1" applyNumberFormat="1" applyFont="1" applyFill="1" applyAlignment="1">
      <alignment horizontal="right"/>
    </xf>
    <xf numFmtId="9" fontId="3" fillId="0" borderId="0" xfId="1" applyFont="1" applyAlignment="1">
      <alignment horizontal="left"/>
    </xf>
    <xf numFmtId="9" fontId="3" fillId="0" borderId="0" xfId="1" applyFont="1" applyAlignment="1"/>
    <xf numFmtId="0" fontId="2" fillId="0" borderId="0" xfId="1" applyNumberFormat="1" applyAlignment="1"/>
    <xf numFmtId="9" fontId="2" fillId="0" borderId="0" xfId="1" applyAlignment="1"/>
    <xf numFmtId="9" fontId="2" fillId="2" borderId="0" xfId="1" applyFill="1" applyAlignment="1"/>
    <xf numFmtId="176" fontId="2" fillId="2" borderId="0" xfId="1" applyNumberFormat="1" applyFill="1" applyAlignment="1"/>
    <xf numFmtId="9" fontId="2" fillId="0" borderId="0" xfId="1" quotePrefix="1" applyAlignment="1"/>
    <xf numFmtId="0" fontId="3" fillId="0" borderId="0" xfId="1" applyNumberFormat="1" applyFont="1" applyAlignment="1"/>
    <xf numFmtId="10" fontId="2" fillId="0" borderId="0" xfId="1" applyNumberFormat="1" applyAlignment="1"/>
    <xf numFmtId="9" fontId="7" fillId="0" borderId="0" xfId="1" applyFont="1" applyAlignment="1"/>
    <xf numFmtId="176" fontId="2" fillId="0" borderId="0" xfId="1" applyNumberFormat="1" applyAlignment="1"/>
    <xf numFmtId="0" fontId="3" fillId="2" borderId="0" xfId="1" applyNumberFormat="1" applyFont="1" applyFill="1" applyAlignment="1"/>
    <xf numFmtId="0" fontId="0" fillId="0" borderId="0" xfId="0" applyAlignment="1"/>
    <xf numFmtId="2" fontId="3" fillId="0" borderId="0" xfId="1" applyNumberFormat="1" applyFont="1" applyAlignment="1"/>
    <xf numFmtId="0" fontId="0" fillId="2" borderId="0" xfId="0" applyFill="1" applyAlignment="1"/>
    <xf numFmtId="2" fontId="3" fillId="2" borderId="0" xfId="1" applyNumberFormat="1" applyFont="1" applyFill="1" applyAlignment="1"/>
    <xf numFmtId="176" fontId="0" fillId="0" borderId="0" xfId="0" applyNumberFormat="1" applyAlignment="1"/>
    <xf numFmtId="2" fontId="2" fillId="0" borderId="0" xfId="1" applyNumberFormat="1" applyAlignment="1"/>
    <xf numFmtId="0" fontId="3" fillId="0" borderId="0" xfId="1" applyNumberFormat="1" applyFont="1" applyAlignment="1">
      <alignment horizontal="left" inden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5</xdr:col>
      <xdr:colOff>167640</xdr:colOff>
      <xdr:row>23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4997F7-5725-4226-B528-FA6DEEE431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29200" y="1485900"/>
          <a:ext cx="3609975" cy="2647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6</xdr:col>
      <xdr:colOff>361950</xdr:colOff>
      <xdr:row>1</xdr:row>
      <xdr:rowOff>95250</xdr:rowOff>
    </xdr:from>
    <xdr:to>
      <xdr:col>23</xdr:col>
      <xdr:colOff>111902</xdr:colOff>
      <xdr:row>31</xdr:row>
      <xdr:rowOff>55967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B0914E2-1096-E39A-E799-040F3DAEF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8800" y="314325"/>
          <a:ext cx="10113152" cy="517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1143000</xdr:colOff>
      <xdr:row>25</xdr:row>
      <xdr:rowOff>152400</xdr:rowOff>
    </xdr:from>
    <xdr:to>
      <xdr:col>3</xdr:col>
      <xdr:colOff>1732429</xdr:colOff>
      <xdr:row>55</xdr:row>
      <xdr:rowOff>153118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15568FCB-612E-BAF0-DB13-78D87B5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0" y="4552950"/>
          <a:ext cx="5618629" cy="514421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19"/>
  <sheetViews>
    <sheetView tabSelected="1" workbookViewId="0">
      <selection activeCell="I44" sqref="I44"/>
    </sheetView>
  </sheetViews>
  <sheetFormatPr defaultRowHeight="13.8" x14ac:dyDescent="0.25"/>
  <cols>
    <col min="1" max="1" width="21.109375" style="18" bestFit="1" customWidth="1"/>
    <col min="2" max="2" width="9.5546875" style="18" bestFit="1" customWidth="1"/>
    <col min="3" max="3" width="42.6640625" style="18" bestFit="1" customWidth="1"/>
    <col min="4" max="4" width="27.6640625" style="18" customWidth="1"/>
    <col min="5" max="5" width="22.6640625" style="18" customWidth="1"/>
    <col min="6" max="7" width="8.88671875" style="18"/>
  </cols>
  <sheetData>
    <row r="1" spans="1:7" ht="17.399999999999999" x14ac:dyDescent="0.3">
      <c r="A1" s="1" t="s">
        <v>0</v>
      </c>
      <c r="B1" s="1"/>
      <c r="C1" s="1"/>
      <c r="D1" s="2"/>
      <c r="E1" s="2"/>
      <c r="F1" s="3"/>
      <c r="G1" s="3"/>
    </row>
    <row r="2" spans="1:7" ht="15" x14ac:dyDescent="0.25">
      <c r="A2" s="4" t="s">
        <v>1</v>
      </c>
      <c r="B2" s="5">
        <v>1.08</v>
      </c>
      <c r="C2" s="6" t="s">
        <v>2</v>
      </c>
      <c r="D2" s="6"/>
      <c r="E2" s="6"/>
      <c r="F2" s="3"/>
      <c r="G2" s="3"/>
    </row>
    <row r="3" spans="1:7" ht="15" x14ac:dyDescent="0.25">
      <c r="A3" s="6"/>
      <c r="B3" s="6"/>
      <c r="C3" s="6"/>
      <c r="D3" s="6"/>
      <c r="E3" s="6"/>
      <c r="F3" s="3"/>
      <c r="G3" s="3"/>
    </row>
    <row r="4" spans="1:7" ht="15.6" x14ac:dyDescent="0.35">
      <c r="A4" s="7" t="s">
        <v>3</v>
      </c>
      <c r="B4" s="8">
        <v>56</v>
      </c>
      <c r="C4" s="7" t="s">
        <v>4</v>
      </c>
      <c r="D4" s="9"/>
      <c r="E4" s="9"/>
      <c r="F4" s="9"/>
      <c r="G4" s="9"/>
    </row>
    <row r="5" spans="1:7" x14ac:dyDescent="0.25">
      <c r="A5" s="10" t="s">
        <v>5</v>
      </c>
      <c r="B5" s="11">
        <v>104.83681036556689</v>
      </c>
      <c r="C5" s="7" t="s">
        <v>6</v>
      </c>
      <c r="D5" s="12"/>
      <c r="E5" s="9"/>
      <c r="F5" s="9"/>
      <c r="G5" s="9"/>
    </row>
    <row r="6" spans="1:7" x14ac:dyDescent="0.25">
      <c r="A6" s="9" t="s">
        <v>7</v>
      </c>
      <c r="B6" s="13">
        <v>1</v>
      </c>
      <c r="C6" s="7" t="s">
        <v>8</v>
      </c>
      <c r="D6" s="9"/>
      <c r="E6" s="9"/>
      <c r="F6" s="9"/>
      <c r="G6" s="9"/>
    </row>
    <row r="7" spans="1:7" x14ac:dyDescent="0.25">
      <c r="A7" s="9" t="s">
        <v>9</v>
      </c>
      <c r="B7" s="14">
        <v>0.08</v>
      </c>
      <c r="C7" s="7" t="s">
        <v>10</v>
      </c>
      <c r="D7" s="15" t="s">
        <v>11</v>
      </c>
      <c r="E7" s="9"/>
      <c r="F7" s="9"/>
      <c r="G7" s="9"/>
    </row>
    <row r="8" spans="1:7" x14ac:dyDescent="0.25">
      <c r="A8" s="7" t="s">
        <v>12</v>
      </c>
      <c r="B8" s="7">
        <v>0.3</v>
      </c>
      <c r="C8" s="7" t="s">
        <v>13</v>
      </c>
      <c r="D8" s="9"/>
      <c r="E8" s="9"/>
      <c r="F8" s="9"/>
      <c r="G8" s="9"/>
    </row>
    <row r="9" spans="1:7" x14ac:dyDescent="0.25">
      <c r="A9" s="9"/>
      <c r="B9" s="16"/>
      <c r="C9" s="9"/>
      <c r="D9" s="9"/>
      <c r="E9" s="9"/>
      <c r="F9" s="9"/>
      <c r="G9" s="9"/>
    </row>
    <row r="10" spans="1:7" x14ac:dyDescent="0.25">
      <c r="A10" s="17" t="s">
        <v>14</v>
      </c>
      <c r="B10" s="11">
        <f>1000/(B4+[1]!BSPut(B4,B5,B6,B7,B8))</f>
        <v>10.301725095577572</v>
      </c>
      <c r="C10" s="16" t="str">
        <f ca="1">_xlfn.FORMULATEXT(B10)</f>
        <v>=1000/(B4+BSPut(B4,B5,B6,B7,B8))</v>
      </c>
      <c r="F10" s="8"/>
      <c r="G10" s="8"/>
    </row>
    <row r="11" spans="1:7" x14ac:dyDescent="0.25">
      <c r="A11" s="13"/>
      <c r="B11" s="19"/>
      <c r="C11" s="16"/>
      <c r="F11" s="8"/>
      <c r="G11" s="8"/>
    </row>
    <row r="12" spans="1:7" x14ac:dyDescent="0.25">
      <c r="A12" s="20" t="s">
        <v>15</v>
      </c>
      <c r="B12" s="21">
        <f>B4+[1]!BSPut(B4,B5,B6,B7,B8)-B5/B2</f>
        <v>-2.5460252572884201E-8</v>
      </c>
      <c r="C12" s="22" t="str">
        <f ca="1">_xlfn.FORMULATEXT(B12)</f>
        <v>=B4+BSPut(B4,B5,B6,B7,B8)-B5/B2</v>
      </c>
    </row>
    <row r="13" spans="1:7" x14ac:dyDescent="0.25">
      <c r="B13" s="23"/>
      <c r="C13" s="22"/>
    </row>
    <row r="14" spans="1:7" x14ac:dyDescent="0.25">
      <c r="A14" s="13" t="s">
        <v>16</v>
      </c>
      <c r="B14" s="23"/>
      <c r="C14" s="16"/>
    </row>
    <row r="15" spans="1:7" x14ac:dyDescent="0.25">
      <c r="A15" s="24" t="s">
        <v>17</v>
      </c>
      <c r="B15" s="19">
        <f>B10*B4</f>
        <v>576.89660535234407</v>
      </c>
      <c r="C15" s="16"/>
    </row>
    <row r="16" spans="1:7" x14ac:dyDescent="0.25">
      <c r="A16" s="24" t="s">
        <v>18</v>
      </c>
      <c r="B16" s="23">
        <f>B10*[1]!BSPut(B4,B5,B6,B7,B8)</f>
        <v>423.10339464765605</v>
      </c>
      <c r="C16" s="22"/>
    </row>
    <row r="17" spans="1:3" x14ac:dyDescent="0.25">
      <c r="A17" s="13" t="s">
        <v>19</v>
      </c>
      <c r="B17" s="19">
        <f>B15+B16</f>
        <v>1000.0000000000001</v>
      </c>
      <c r="C17" s="22"/>
    </row>
    <row r="18" spans="1:3" x14ac:dyDescent="0.25">
      <c r="B18" s="23"/>
      <c r="C18" s="22"/>
    </row>
    <row r="19" spans="1:3" x14ac:dyDescent="0.25">
      <c r="A19" s="20" t="s">
        <v>20</v>
      </c>
      <c r="B19" s="21">
        <f>B10*B5</f>
        <v>1080.0000002832674</v>
      </c>
      <c r="C19" s="22" t="str">
        <f ca="1">_xlfn.FORMULATEXT(B19)</f>
        <v>=B10*B5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2024-12-06T08:15:37Z</dcterms:modified>
</cp:coreProperties>
</file>