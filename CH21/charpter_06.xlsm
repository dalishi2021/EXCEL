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1\"/>
    </mc:Choice>
  </mc:AlternateContent>
  <xr:revisionPtr revIDLastSave="0" documentId="13_ncr:1_{BED65DE0-9D5E-48A2-9458-3FCFA379E29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" l="1"/>
  <c r="B12" i="1"/>
  <c r="B10" i="1"/>
  <c r="C19" i="1"/>
  <c r="C12" i="1"/>
  <c r="C10" i="1"/>
  <c r="B19" i="1" l="1"/>
  <c r="B15" i="1"/>
  <c r="B17" i="1" l="1"/>
</calcChain>
</file>

<file path=xl/sharedStrings.xml><?xml version="1.0" encoding="utf-8"?>
<sst xmlns="http://schemas.openxmlformats.org/spreadsheetml/2006/main" count="20" uniqueCount="20">
  <si>
    <t>INSURING TOTAL PORTFOLIO RETURNS</t>
  </si>
  <si>
    <t>z</t>
  </si>
  <si>
    <t>Insurance level</t>
  </si>
  <si>
    <r>
      <t>S</t>
    </r>
    <r>
      <rPr>
        <vertAlign val="subscript"/>
        <sz val="10"/>
        <rFont val="Arial"/>
        <family val="2"/>
      </rPr>
      <t>0</t>
    </r>
  </si>
  <si>
    <t>Current stock price</t>
  </si>
  <si>
    <t>X</t>
  </si>
  <si>
    <t>Exercise price</t>
  </si>
  <si>
    <t>T</t>
  </si>
  <si>
    <t>Time to maturity of option (in years)</t>
  </si>
  <si>
    <t>r</t>
  </si>
  <si>
    <t>Risk-free rate of interest</t>
  </si>
  <si>
    <t>Sigma</t>
  </si>
  <si>
    <t>Stock volatility</t>
  </si>
  <si>
    <t>Alpha</t>
  </si>
  <si>
    <t>Equation to be solved</t>
  </si>
  <si>
    <t>Check</t>
  </si>
  <si>
    <t>Cost of shares</t>
  </si>
  <si>
    <t>Cost of puts</t>
  </si>
  <si>
    <t>Total cost</t>
  </si>
  <si>
    <t>Minimum portfolio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</si>
</sst>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9" fontId="4" fillId="0" borderId="0" xfId="1" applyFont="1" applyAlignment="1">
      <alignment horizontal="center"/>
    </xf>
    <xf numFmtId="9" fontId="3" fillId="0" borderId="0" xfId="1" applyFont="1" applyAlignment="1">
      <alignment horizontal="left"/>
    </xf>
    <xf numFmtId="176" fontId="3" fillId="0" borderId="0" xfId="1" applyNumberFormat="1" applyFont="1" applyAlignment="1">
      <alignment horizontal="right"/>
    </xf>
    <xf numFmtId="9" fontId="3" fillId="0" borderId="0" xfId="1" applyFont="1" applyAlignment="1"/>
    <xf numFmtId="0" fontId="2" fillId="0" borderId="0" xfId="1" applyNumberFormat="1" applyAlignment="1"/>
    <xf numFmtId="9" fontId="2" fillId="2" borderId="0" xfId="1" applyFill="1" applyAlignment="1"/>
    <xf numFmtId="176" fontId="2" fillId="2" borderId="0" xfId="1" applyNumberFormat="1" applyFill="1" applyAlignment="1"/>
    <xf numFmtId="9" fontId="2" fillId="0" borderId="0" xfId="1" applyAlignment="1"/>
    <xf numFmtId="0" fontId="3" fillId="0" borderId="0" xfId="1" applyNumberFormat="1" applyFont="1" applyAlignment="1"/>
    <xf numFmtId="10" fontId="2" fillId="0" borderId="0" xfId="1" applyNumberFormat="1" applyAlignment="1"/>
    <xf numFmtId="176" fontId="2" fillId="0" borderId="0" xfId="1" applyNumberFormat="1" applyAlignment="1"/>
    <xf numFmtId="0" fontId="3" fillId="2" borderId="0" xfId="1" applyNumberFormat="1" applyFont="1" applyFill="1" applyAlignment="1"/>
    <xf numFmtId="2" fontId="3" fillId="0" borderId="0" xfId="1" applyNumberFormat="1" applyFont="1" applyAlignment="1"/>
    <xf numFmtId="0" fontId="0" fillId="2" borderId="0" xfId="0" applyFill="1" applyAlignment="1"/>
    <xf numFmtId="2" fontId="3" fillId="2" borderId="0" xfId="1" applyNumberFormat="1" applyFont="1" applyFill="1" applyAlignment="1"/>
    <xf numFmtId="176" fontId="0" fillId="0" borderId="0" xfId="0" applyNumberFormat="1" applyAlignment="1"/>
    <xf numFmtId="0" fontId="0" fillId="0" borderId="0" xfId="0" applyAlignment="1"/>
    <xf numFmtId="2" fontId="2" fillId="0" borderId="0" xfId="1" applyNumberFormat="1" applyAlignment="1"/>
    <xf numFmtId="0" fontId="3" fillId="0" borderId="0" xfId="1" applyNumberFormat="1" applyFont="1" applyAlignment="1">
      <alignment horizontal="left" inden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0</xdr:row>
      <xdr:rowOff>209550</xdr:rowOff>
    </xdr:from>
    <xdr:to>
      <xdr:col>15</xdr:col>
      <xdr:colOff>155338</xdr:colOff>
      <xdr:row>30</xdr:row>
      <xdr:rowOff>92151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A0663F8-1EF4-769A-9182-975A1EBF1D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95875" y="209550"/>
          <a:ext cx="7403863" cy="509849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C19"/>
  <sheetViews>
    <sheetView tabSelected="1" workbookViewId="0">
      <selection activeCell="B10" sqref="B10"/>
    </sheetView>
  </sheetViews>
  <sheetFormatPr defaultRowHeight="13.8" x14ac:dyDescent="0.25"/>
  <cols>
    <col min="1" max="1" width="21.109375" style="17" bestFit="1" customWidth="1"/>
    <col min="2" max="2" width="9.5546875" style="17" bestFit="1" customWidth="1"/>
    <col min="3" max="3" width="42.6640625" style="17" bestFit="1" customWidth="1"/>
  </cols>
  <sheetData>
    <row r="1" spans="1:3" ht="17.399999999999999" x14ac:dyDescent="0.3">
      <c r="A1" s="1" t="s">
        <v>0</v>
      </c>
      <c r="B1" s="1"/>
      <c r="C1" s="1"/>
    </row>
    <row r="2" spans="1:3" x14ac:dyDescent="0.25">
      <c r="A2" s="2" t="s">
        <v>1</v>
      </c>
      <c r="B2" s="3">
        <v>0.93</v>
      </c>
      <c r="C2" s="2" t="s">
        <v>2</v>
      </c>
    </row>
    <row r="3" spans="1:3" x14ac:dyDescent="0.25">
      <c r="A3" s="2"/>
      <c r="B3" s="2"/>
      <c r="C3" s="2"/>
    </row>
    <row r="4" spans="1:3" ht="15.6" x14ac:dyDescent="0.35">
      <c r="A4" s="4" t="s">
        <v>3</v>
      </c>
      <c r="B4" s="5">
        <v>56</v>
      </c>
      <c r="C4" s="4" t="s">
        <v>4</v>
      </c>
    </row>
    <row r="5" spans="1:3" x14ac:dyDescent="0.25">
      <c r="A5" s="6" t="s">
        <v>5</v>
      </c>
      <c r="B5" s="7">
        <v>56.426103627773266</v>
      </c>
      <c r="C5" s="4" t="s">
        <v>6</v>
      </c>
    </row>
    <row r="6" spans="1:3" x14ac:dyDescent="0.25">
      <c r="A6" s="8" t="s">
        <v>7</v>
      </c>
      <c r="B6" s="9">
        <v>1</v>
      </c>
      <c r="C6" s="4" t="s">
        <v>8</v>
      </c>
    </row>
    <row r="7" spans="1:3" x14ac:dyDescent="0.25">
      <c r="A7" s="8" t="s">
        <v>9</v>
      </c>
      <c r="B7" s="10">
        <v>0.08</v>
      </c>
      <c r="C7" s="4" t="s">
        <v>10</v>
      </c>
    </row>
    <row r="8" spans="1:3" x14ac:dyDescent="0.25">
      <c r="A8" s="4" t="s">
        <v>11</v>
      </c>
      <c r="B8" s="4">
        <v>0.3</v>
      </c>
      <c r="C8" s="4" t="s">
        <v>12</v>
      </c>
    </row>
    <row r="9" spans="1:3" x14ac:dyDescent="0.25">
      <c r="A9" s="8"/>
      <c r="B9" s="11"/>
      <c r="C9" s="8"/>
    </row>
    <row r="10" spans="1:3" x14ac:dyDescent="0.25">
      <c r="A10" s="12" t="s">
        <v>13</v>
      </c>
      <c r="B10" s="7">
        <f>1000/(B4+[1]!BSPut(B4,B5,B6,B7,B8))</f>
        <v>16.481733548740589</v>
      </c>
      <c r="C10" s="11" t="str">
        <f ca="1">_xlfn.FORMULATEXT(B10)</f>
        <v>=1000/(B4+BSPut(B4,B5,B6,B7,B8))</v>
      </c>
    </row>
    <row r="11" spans="1:3" x14ac:dyDescent="0.25">
      <c r="A11" s="9"/>
      <c r="B11" s="13"/>
      <c r="C11" s="11"/>
    </row>
    <row r="12" spans="1:3" x14ac:dyDescent="0.25">
      <c r="A12" s="14" t="s">
        <v>14</v>
      </c>
      <c r="B12" s="15">
        <f>B4+[1]!BSPut(B4,B5,B6,B7,B8)-B5/B2</f>
        <v>-3.3837287816140815E-7</v>
      </c>
      <c r="C12" s="16" t="str">
        <f ca="1">_xlfn.FORMULATEXT(B12)</f>
        <v>=B4+BSPut(B4,B5,B6,B7,B8)-B5/B2</v>
      </c>
    </row>
    <row r="13" spans="1:3" x14ac:dyDescent="0.25">
      <c r="B13" s="18"/>
      <c r="C13" s="16"/>
    </row>
    <row r="14" spans="1:3" x14ac:dyDescent="0.25">
      <c r="A14" s="9" t="s">
        <v>15</v>
      </c>
      <c r="B14" s="18"/>
      <c r="C14" s="11"/>
    </row>
    <row r="15" spans="1:3" x14ac:dyDescent="0.25">
      <c r="A15" s="19" t="s">
        <v>16</v>
      </c>
      <c r="B15" s="13">
        <f>B10*B4</f>
        <v>922.97707872947296</v>
      </c>
      <c r="C15" s="11"/>
    </row>
    <row r="16" spans="1:3" x14ac:dyDescent="0.25">
      <c r="A16" s="19" t="s">
        <v>17</v>
      </c>
      <c r="B16" s="18">
        <f>B10*[1]!BSPut(B4,B5,B6,B7,B8)</f>
        <v>77.02292127052705</v>
      </c>
      <c r="C16" s="16"/>
    </row>
    <row r="17" spans="1:3" x14ac:dyDescent="0.25">
      <c r="A17" s="9" t="s">
        <v>18</v>
      </c>
      <c r="B17" s="13">
        <f>B15+B16</f>
        <v>1000</v>
      </c>
      <c r="C17" s="16"/>
    </row>
    <row r="18" spans="1:3" x14ac:dyDescent="0.25">
      <c r="B18" s="18"/>
      <c r="C18" s="16"/>
    </row>
    <row r="19" spans="1:3" x14ac:dyDescent="0.25">
      <c r="A19" s="14" t="s">
        <v>19</v>
      </c>
      <c r="B19" s="15">
        <f>B10*B5</f>
        <v>930.00000518658373</v>
      </c>
      <c r="C19" s="16" t="str">
        <f ca="1">_xlfn.FORMULATEXT(B19)</f>
        <v>=B10*B5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2024-12-06T08:12:48Z</dcterms:modified>
</cp:coreProperties>
</file>