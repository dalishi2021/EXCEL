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03168D3D-583E-47A9-86D2-94D1427797D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1" i="1" s="1"/>
  <c r="E14" i="1"/>
  <c r="E15" i="1"/>
  <c r="D15" i="1"/>
  <c r="D14" i="1"/>
  <c r="B9" i="1" l="1"/>
  <c r="B12" i="1" s="1"/>
  <c r="B14" i="1" s="1"/>
  <c r="B15" i="1" s="1"/>
</calcChain>
</file>

<file path=xl/sharedStrings.xml><?xml version="1.0" encoding="utf-8"?>
<sst xmlns="http://schemas.openxmlformats.org/spreadsheetml/2006/main" count="24" uniqueCount="24">
  <si>
    <t>Black-Scholes Option Pricing Formula
Applied to General Pills Put</t>
  </si>
  <si>
    <t>S</t>
  </si>
  <si>
    <t>Stock price</t>
  </si>
  <si>
    <t>X</t>
  </si>
  <si>
    <t>Exercise price</t>
  </si>
  <si>
    <t>T</t>
  </si>
  <si>
    <t xml:space="preserve">Time remaining </t>
  </si>
  <si>
    <t>r</t>
  </si>
  <si>
    <t>Risk-free rate of interest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</si>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</sst>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9" fontId="3" fillId="0" borderId="0" xfId="1" applyFont="1" applyAlignment="1">
      <alignment horizontal="center" vertical="center" wrapText="1"/>
    </xf>
    <xf numFmtId="9" fontId="0" fillId="0" borderId="0" xfId="1" applyFont="1" applyAlignment="1"/>
    <xf numFmtId="0" fontId="0" fillId="0" borderId="0" xfId="1" applyNumberFormat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2" fontId="0" fillId="0" borderId="0" xfId="1" applyNumberFormat="1" applyFont="1" applyAlignment="1"/>
    <xf numFmtId="9" fontId="0" fillId="2" borderId="0" xfId="1" applyFont="1" applyFill="1" applyAlignment="1"/>
    <xf numFmtId="2" fontId="0" fillId="2" borderId="0" xfId="1" quotePrefix="1" applyNumberFormat="1" applyFont="1" applyFill="1" applyAlignment="1"/>
    <xf numFmtId="0" fontId="0" fillId="0" borderId="0" xfId="0" applyAlignment="1"/>
    <xf numFmtId="0" fontId="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centerContinuous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274321</xdr:colOff>
      <xdr:row>0</xdr:row>
      <xdr:rowOff>119777</xdr:rowOff>
    </xdr:from>
    <xdr:to>
      <xdr:col>15</xdr:col>
      <xdr:colOff>362335</xdr:colOff>
      <xdr:row>25</xdr:row>
      <xdr:rowOff>93727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7C5A041-F710-6794-A327-B7504A473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67852" y="119777"/>
          <a:ext cx="6146867" cy="44826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7"/>
  <sheetViews>
    <sheetView tabSelected="1" zoomScale="160" zoomScaleNormal="160" workbookViewId="0">
      <selection activeCell="C24" sqref="C24"/>
    </sheetView>
  </sheetViews>
  <sheetFormatPr defaultRowHeight="13.8" x14ac:dyDescent="0.25"/>
  <cols>
    <col min="1" max="1" width="9.44140625" style="10" customWidth="1"/>
    <col min="2" max="2" width="8.88671875" style="10"/>
    <col min="3" max="3" width="42.6640625" style="10" bestFit="1" customWidth="1"/>
  </cols>
  <sheetData>
    <row r="1" spans="1:5" ht="17.399999999999999" x14ac:dyDescent="0.25">
      <c r="A1" s="1" t="s">
        <v>0</v>
      </c>
      <c r="B1" s="1"/>
      <c r="C1" s="1"/>
    </row>
    <row r="2" spans="1:5" x14ac:dyDescent="0.25">
      <c r="A2" s="2" t="s">
        <v>1</v>
      </c>
      <c r="B2" s="3">
        <v>56</v>
      </c>
      <c r="C2" s="2" t="s">
        <v>2</v>
      </c>
    </row>
    <row r="3" spans="1:5" x14ac:dyDescent="0.25">
      <c r="A3" s="2" t="s">
        <v>3</v>
      </c>
      <c r="B3" s="3">
        <v>50</v>
      </c>
      <c r="C3" s="2" t="s">
        <v>4</v>
      </c>
    </row>
    <row r="4" spans="1:5" x14ac:dyDescent="0.25">
      <c r="A4" s="2" t="s">
        <v>5</v>
      </c>
      <c r="B4" s="3">
        <v>1</v>
      </c>
      <c r="C4" s="2" t="s">
        <v>6</v>
      </c>
    </row>
    <row r="5" spans="1:5" x14ac:dyDescent="0.25">
      <c r="A5" s="2" t="s">
        <v>7</v>
      </c>
      <c r="B5" s="4">
        <v>0.08</v>
      </c>
      <c r="C5" s="2" t="s">
        <v>8</v>
      </c>
    </row>
    <row r="6" spans="1:5" x14ac:dyDescent="0.25">
      <c r="A6" s="2" t="s">
        <v>9</v>
      </c>
      <c r="B6" s="2">
        <v>0.3</v>
      </c>
      <c r="C6" s="2" t="s">
        <v>10</v>
      </c>
    </row>
    <row r="7" spans="1:5" x14ac:dyDescent="0.25">
      <c r="A7" s="2"/>
      <c r="B7" s="2"/>
      <c r="C7" s="2"/>
    </row>
    <row r="8" spans="1:5" ht="15.6" x14ac:dyDescent="0.35">
      <c r="A8" s="2" t="s">
        <v>11</v>
      </c>
      <c r="B8" s="5">
        <f>(LN(B2/B3)+(B5+0.5*B6^2)*B4)/(B6*SQRT(B4))</f>
        <v>0.79442895102334421</v>
      </c>
      <c r="C8" s="2" t="s">
        <v>12</v>
      </c>
    </row>
    <row r="9" spans="1:5" ht="15.6" x14ac:dyDescent="0.35">
      <c r="A9" s="2" t="s">
        <v>13</v>
      </c>
      <c r="B9" s="5">
        <f>B8-SQRT(B4)*B6</f>
        <v>0.49442895102334422</v>
      </c>
      <c r="C9" s="2" t="s">
        <v>14</v>
      </c>
    </row>
    <row r="10" spans="1:5" x14ac:dyDescent="0.25">
      <c r="A10" s="2"/>
      <c r="B10" s="6"/>
      <c r="C10" s="2"/>
    </row>
    <row r="11" spans="1:5" ht="15.6" x14ac:dyDescent="0.35">
      <c r="A11" s="2" t="s">
        <v>15</v>
      </c>
      <c r="B11" s="6">
        <f>NORMSDIST(B8)</f>
        <v>0.78652712220057619</v>
      </c>
      <c r="C11" s="2" t="s">
        <v>16</v>
      </c>
    </row>
    <row r="12" spans="1:5" ht="15.6" x14ac:dyDescent="0.35">
      <c r="A12" s="2" t="s">
        <v>17</v>
      </c>
      <c r="B12" s="6">
        <f>NORMSDIST(B9)</f>
        <v>0.68949836399781328</v>
      </c>
      <c r="C12" s="2" t="s">
        <v>18</v>
      </c>
    </row>
    <row r="13" spans="1:5" x14ac:dyDescent="0.25">
      <c r="A13" s="2"/>
      <c r="B13" s="6"/>
      <c r="C13" s="2"/>
      <c r="D13" s="15" t="s">
        <v>23</v>
      </c>
    </row>
    <row r="14" spans="1:5" ht="15.6" x14ac:dyDescent="0.35">
      <c r="A14" s="2" t="s">
        <v>19</v>
      </c>
      <c r="B14" s="7">
        <f>B2*B11-B3*EXP(-B5*B4)*B12</f>
        <v>12.221158312571063</v>
      </c>
      <c r="C14" s="2" t="s">
        <v>20</v>
      </c>
      <c r="D14">
        <f>[1]!BSCall(B2,B3,B4,B5,B6)</f>
        <v>12.221158312571063</v>
      </c>
      <c r="E14" t="str">
        <f t="shared" ref="E14:E15" ca="1" si="0">_xlfn.FORMULATEXT(D14)</f>
        <v>=BSCall(B2,B3,B4,B5,B6)</v>
      </c>
    </row>
    <row r="15" spans="1:5" x14ac:dyDescent="0.25">
      <c r="A15" s="8" t="s">
        <v>21</v>
      </c>
      <c r="B15" s="9">
        <f>B14-B2+B3*EXP(-B5*B4)</f>
        <v>2.3769756319028517</v>
      </c>
      <c r="C15" s="2" t="s">
        <v>22</v>
      </c>
      <c r="D15">
        <f>[1]!BSPut(B2,B3,B4,B5,B6)</f>
        <v>2.3769756319028517</v>
      </c>
      <c r="E15" t="str">
        <f t="shared" ca="1" si="0"/>
        <v>=BSPut(B2,B3,B4,B5,B6)</v>
      </c>
    </row>
    <row r="16" spans="1:5" x14ac:dyDescent="0.25">
      <c r="A16" s="2"/>
      <c r="B16" s="7"/>
      <c r="C16" s="2"/>
    </row>
    <row r="20" spans="1:3" x14ac:dyDescent="0.25">
      <c r="C20" s="11"/>
    </row>
    <row r="21" spans="1:3" x14ac:dyDescent="0.25">
      <c r="C21" s="12"/>
    </row>
    <row r="23" spans="1:3" x14ac:dyDescent="0.25">
      <c r="A23" s="13"/>
    </row>
    <row r="24" spans="1:3" x14ac:dyDescent="0.25">
      <c r="C24" s="14"/>
    </row>
    <row r="25" spans="1:3" x14ac:dyDescent="0.25">
      <c r="C25" s="14"/>
    </row>
    <row r="26" spans="1:3" x14ac:dyDescent="0.25">
      <c r="C26" s="11"/>
    </row>
    <row r="27" spans="1:3" x14ac:dyDescent="0.25">
      <c r="C27" s="12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2024-12-06T05:27:31Z</dcterms:modified>
</cp:coreProperties>
</file>