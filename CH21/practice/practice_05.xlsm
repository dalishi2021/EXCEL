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1\practice\"/>
    </mc:Choice>
  </mc:AlternateContent>
  <xr:revisionPtr revIDLastSave="0" documentId="13_ncr:1_{344190A5-F151-4843-BF9D-1E0E6075433E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Exercise 5" sheetId="2" r:id="rId2"/>
  </sheets>
  <externalReferences>
    <externalReference r:id="rId3"/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6" i="2" l="1"/>
  <c r="B66" i="2"/>
  <c r="I65" i="2"/>
  <c r="B65" i="2"/>
  <c r="I64" i="2"/>
  <c r="B64" i="2"/>
  <c r="I63" i="2"/>
  <c r="B63" i="2"/>
  <c r="I62" i="2"/>
  <c r="B62" i="2"/>
  <c r="I61" i="2"/>
  <c r="B61" i="2"/>
  <c r="I60" i="2"/>
  <c r="B60" i="2"/>
  <c r="I59" i="2"/>
  <c r="B59" i="2"/>
  <c r="I58" i="2"/>
  <c r="B58" i="2"/>
  <c r="I57" i="2"/>
  <c r="B57" i="2"/>
  <c r="I56" i="2"/>
  <c r="B56" i="2"/>
  <c r="I55" i="2"/>
  <c r="B55" i="2"/>
  <c r="I54" i="2"/>
  <c r="B54" i="2"/>
  <c r="I53" i="2"/>
  <c r="B53" i="2"/>
  <c r="I52" i="2"/>
  <c r="B52" i="2"/>
  <c r="I51" i="2"/>
  <c r="B51" i="2"/>
  <c r="I50" i="2"/>
  <c r="B50" i="2"/>
  <c r="I49" i="2"/>
  <c r="B49" i="2"/>
  <c r="I48" i="2"/>
  <c r="B48" i="2"/>
  <c r="I47" i="2"/>
  <c r="B47" i="2"/>
  <c r="I46" i="2"/>
  <c r="B46" i="2"/>
  <c r="I45" i="2"/>
  <c r="B45" i="2"/>
  <c r="I44" i="2"/>
  <c r="B44" i="2"/>
  <c r="I43" i="2"/>
  <c r="B43" i="2"/>
  <c r="I42" i="2"/>
  <c r="B42" i="2"/>
  <c r="I41" i="2"/>
  <c r="B41" i="2"/>
  <c r="I40" i="2"/>
  <c r="B40" i="2"/>
  <c r="I39" i="2"/>
  <c r="B39" i="2"/>
  <c r="I38" i="2"/>
  <c r="B38" i="2"/>
  <c r="I37" i="2"/>
  <c r="B37" i="2"/>
  <c r="I36" i="2"/>
  <c r="B36" i="2"/>
  <c r="I35" i="2"/>
  <c r="B35" i="2"/>
  <c r="I34" i="2"/>
  <c r="B34" i="2"/>
  <c r="I33" i="2"/>
  <c r="B33" i="2"/>
  <c r="I32" i="2"/>
  <c r="B32" i="2"/>
  <c r="I31" i="2"/>
  <c r="B31" i="2"/>
  <c r="I30" i="2"/>
  <c r="B30" i="2"/>
  <c r="I29" i="2"/>
  <c r="B29" i="2"/>
  <c r="I28" i="2"/>
  <c r="B28" i="2"/>
  <c r="I27" i="2"/>
  <c r="B27" i="2"/>
  <c r="I26" i="2"/>
  <c r="B26" i="2"/>
  <c r="I25" i="2"/>
  <c r="B25" i="2"/>
  <c r="I24" i="2"/>
  <c r="B24" i="2"/>
  <c r="I23" i="2"/>
  <c r="B23" i="2"/>
  <c r="I22" i="2"/>
  <c r="B22" i="2"/>
  <c r="I21" i="2"/>
  <c r="B21" i="2"/>
  <c r="I20" i="2"/>
  <c r="B20" i="2"/>
  <c r="I19" i="2"/>
  <c r="B19" i="2"/>
  <c r="I18" i="2"/>
  <c r="B18" i="2"/>
  <c r="I17" i="2"/>
  <c r="B17" i="2"/>
  <c r="I16" i="2"/>
  <c r="B16" i="2"/>
  <c r="I15" i="2"/>
  <c r="J15" i="2" s="1"/>
  <c r="C16" i="2" s="1"/>
  <c r="C15" i="2"/>
  <c r="B15" i="2"/>
  <c r="D15" i="2" s="1"/>
  <c r="F15" i="2" s="1"/>
  <c r="C11" i="2"/>
  <c r="C10" i="2"/>
  <c r="C7" i="2"/>
  <c r="C8" i="2"/>
  <c r="B7" i="2"/>
  <c r="B8" i="2" l="1"/>
  <c r="E15" i="2"/>
  <c r="J16" i="2"/>
  <c r="C17" i="2" s="1"/>
  <c r="D16" i="2"/>
  <c r="E16" i="2" s="1"/>
  <c r="K15" i="2" l="1"/>
  <c r="F16" i="2" s="1"/>
  <c r="K16" i="2" s="1"/>
  <c r="G15" i="2"/>
  <c r="J17" i="2"/>
  <c r="C18" i="2" s="1"/>
  <c r="D17" i="2"/>
  <c r="E17" i="2" s="1"/>
  <c r="F17" i="2" l="1"/>
  <c r="K17" i="2" s="1"/>
  <c r="J18" i="2"/>
  <c r="C19" i="2" s="1"/>
  <c r="D18" i="2"/>
  <c r="E18" i="2" s="1"/>
  <c r="G16" i="2"/>
  <c r="F18" i="2" l="1"/>
  <c r="K18" i="2" s="1"/>
  <c r="J19" i="2"/>
  <c r="C20" i="2" s="1"/>
  <c r="D19" i="2"/>
  <c r="E19" i="2" s="1"/>
  <c r="G17" i="2"/>
  <c r="F19" i="2" l="1"/>
  <c r="K19" i="2" s="1"/>
  <c r="G18" i="2"/>
  <c r="D20" i="2"/>
  <c r="E20" i="2" s="1"/>
  <c r="J20" i="2"/>
  <c r="C21" i="2" s="1"/>
  <c r="F20" i="2" l="1"/>
  <c r="G20" i="2" s="1"/>
  <c r="J21" i="2"/>
  <c r="C22" i="2" s="1"/>
  <c r="D21" i="2"/>
  <c r="E21" i="2" s="1"/>
  <c r="G19" i="2"/>
  <c r="K20" i="2" l="1"/>
  <c r="F21" i="2" s="1"/>
  <c r="K21" i="2" s="1"/>
  <c r="D22" i="2"/>
  <c r="E22" i="2" s="1"/>
  <c r="J22" i="2"/>
  <c r="C23" i="2" s="1"/>
  <c r="F22" i="2" l="1"/>
  <c r="K22" i="2" s="1"/>
  <c r="G22" i="2"/>
  <c r="J23" i="2"/>
  <c r="C24" i="2" s="1"/>
  <c r="D23" i="2"/>
  <c r="E23" i="2" s="1"/>
  <c r="G21" i="2"/>
  <c r="D24" i="2" l="1"/>
  <c r="E24" i="2" s="1"/>
  <c r="J24" i="2"/>
  <c r="C25" i="2" s="1"/>
  <c r="F23" i="2"/>
  <c r="G23" i="2" s="1"/>
  <c r="K23" i="2" l="1"/>
  <c r="J25" i="2"/>
  <c r="C26" i="2" s="1"/>
  <c r="D25" i="2"/>
  <c r="E25" i="2" s="1"/>
  <c r="F24" i="2"/>
  <c r="K24" i="2" s="1"/>
  <c r="F25" i="2" l="1"/>
  <c r="K25" i="2" s="1"/>
  <c r="J26" i="2"/>
  <c r="C27" i="2" s="1"/>
  <c r="D26" i="2"/>
  <c r="E26" i="2" s="1"/>
  <c r="G24" i="2"/>
  <c r="G25" i="2" l="1"/>
  <c r="J27" i="2"/>
  <c r="C28" i="2" s="1"/>
  <c r="D27" i="2"/>
  <c r="E27" i="2" s="1"/>
  <c r="F26" i="2"/>
  <c r="K26" i="2" s="1"/>
  <c r="F27" i="2" l="1"/>
  <c r="G27" i="2" s="1"/>
  <c r="J28" i="2"/>
  <c r="C29" i="2" s="1"/>
  <c r="D28" i="2"/>
  <c r="E28" i="2" s="1"/>
  <c r="G26" i="2"/>
  <c r="K27" i="2" l="1"/>
  <c r="F28" i="2" s="1"/>
  <c r="K28" i="2" s="1"/>
  <c r="D29" i="2"/>
  <c r="E29" i="2" s="1"/>
  <c r="J29" i="2"/>
  <c r="C30" i="2" s="1"/>
  <c r="F29" i="2" l="1"/>
  <c r="G29" i="2" s="1"/>
  <c r="J30" i="2"/>
  <c r="C31" i="2" s="1"/>
  <c r="D30" i="2"/>
  <c r="E30" i="2" s="1"/>
  <c r="G28" i="2"/>
  <c r="K29" i="2" l="1"/>
  <c r="D31" i="2"/>
  <c r="E31" i="2" s="1"/>
  <c r="J31" i="2"/>
  <c r="C32" i="2" s="1"/>
  <c r="F30" i="2"/>
  <c r="K30" i="2" s="1"/>
  <c r="F31" i="2" l="1"/>
  <c r="K31" i="2" s="1"/>
  <c r="J32" i="2"/>
  <c r="C33" i="2" s="1"/>
  <c r="D32" i="2"/>
  <c r="E32" i="2" s="1"/>
  <c r="G30" i="2"/>
  <c r="F32" i="2" l="1"/>
  <c r="K32" i="2" s="1"/>
  <c r="J33" i="2"/>
  <c r="C34" i="2" s="1"/>
  <c r="D33" i="2"/>
  <c r="E33" i="2" s="1"/>
  <c r="G31" i="2"/>
  <c r="F33" i="2" l="1"/>
  <c r="K33" i="2" s="1"/>
  <c r="J34" i="2"/>
  <c r="C35" i="2" s="1"/>
  <c r="D34" i="2"/>
  <c r="E34" i="2" s="1"/>
  <c r="G32" i="2"/>
  <c r="G33" i="2" l="1"/>
  <c r="J35" i="2"/>
  <c r="C36" i="2" s="1"/>
  <c r="D35" i="2"/>
  <c r="E35" i="2" s="1"/>
  <c r="F34" i="2"/>
  <c r="G34" i="2" s="1"/>
  <c r="K34" i="2" l="1"/>
  <c r="F35" i="2" s="1"/>
  <c r="K35" i="2" s="1"/>
  <c r="F36" i="2" s="1"/>
  <c r="D36" i="2"/>
  <c r="E36" i="2" s="1"/>
  <c r="J36" i="2"/>
  <c r="C37" i="2" s="1"/>
  <c r="G36" i="2" l="1"/>
  <c r="K36" i="2"/>
  <c r="J37" i="2"/>
  <c r="C38" i="2" s="1"/>
  <c r="D37" i="2"/>
  <c r="E37" i="2" s="1"/>
  <c r="G35" i="2"/>
  <c r="D38" i="2" l="1"/>
  <c r="E38" i="2" s="1"/>
  <c r="J38" i="2"/>
  <c r="C39" i="2" s="1"/>
  <c r="F37" i="2"/>
  <c r="K37" i="2" s="1"/>
  <c r="F38" i="2" l="1"/>
  <c r="K38" i="2" s="1"/>
  <c r="J39" i="2"/>
  <c r="C40" i="2" s="1"/>
  <c r="D39" i="2"/>
  <c r="E39" i="2" s="1"/>
  <c r="G37" i="2"/>
  <c r="F39" i="2" l="1"/>
  <c r="G39" i="2" s="1"/>
  <c r="D40" i="2"/>
  <c r="E40" i="2" s="1"/>
  <c r="J40" i="2"/>
  <c r="C41" i="2" s="1"/>
  <c r="G38" i="2"/>
  <c r="K39" i="2" l="1"/>
  <c r="F40" i="2" s="1"/>
  <c r="G40" i="2" s="1"/>
  <c r="J41" i="2"/>
  <c r="C42" i="2" s="1"/>
  <c r="D41" i="2"/>
  <c r="E41" i="2" s="1"/>
  <c r="K40" i="2" l="1"/>
  <c r="F41" i="2" s="1"/>
  <c r="K41" i="2" s="1"/>
  <c r="J42" i="2"/>
  <c r="C43" i="2" s="1"/>
  <c r="D42" i="2"/>
  <c r="E42" i="2" s="1"/>
  <c r="F42" i="2" l="1"/>
  <c r="K42" i="2" s="1"/>
  <c r="J43" i="2"/>
  <c r="C44" i="2" s="1"/>
  <c r="D43" i="2"/>
  <c r="E43" i="2" s="1"/>
  <c r="G41" i="2"/>
  <c r="F43" i="2" l="1"/>
  <c r="G43" i="2" s="1"/>
  <c r="J44" i="2"/>
  <c r="C45" i="2" s="1"/>
  <c r="D44" i="2"/>
  <c r="E44" i="2" s="1"/>
  <c r="G42" i="2"/>
  <c r="K43" i="2" l="1"/>
  <c r="F44" i="2" s="1"/>
  <c r="K44" i="2" s="1"/>
  <c r="D45" i="2"/>
  <c r="E45" i="2" s="1"/>
  <c r="J45" i="2"/>
  <c r="C46" i="2" s="1"/>
  <c r="F45" i="2" l="1"/>
  <c r="G45" i="2" s="1"/>
  <c r="J46" i="2"/>
  <c r="C47" i="2" s="1"/>
  <c r="D46" i="2"/>
  <c r="E46" i="2" s="1"/>
  <c r="G44" i="2"/>
  <c r="K45" i="2" l="1"/>
  <c r="F46" i="2" s="1"/>
  <c r="K46" i="2" s="1"/>
  <c r="D47" i="2"/>
  <c r="E47" i="2" s="1"/>
  <c r="J47" i="2"/>
  <c r="C48" i="2" s="1"/>
  <c r="F47" i="2" l="1"/>
  <c r="K47" i="2" s="1"/>
  <c r="J48" i="2"/>
  <c r="C49" i="2" s="1"/>
  <c r="D48" i="2"/>
  <c r="E48" i="2" s="1"/>
  <c r="G46" i="2"/>
  <c r="F48" i="2" l="1"/>
  <c r="K48" i="2" s="1"/>
  <c r="J49" i="2"/>
  <c r="C50" i="2" s="1"/>
  <c r="D49" i="2"/>
  <c r="E49" i="2" s="1"/>
  <c r="G47" i="2"/>
  <c r="F49" i="2" l="1"/>
  <c r="K49" i="2" s="1"/>
  <c r="J50" i="2"/>
  <c r="C51" i="2" s="1"/>
  <c r="D50" i="2"/>
  <c r="E50" i="2" s="1"/>
  <c r="G48" i="2"/>
  <c r="F50" i="2" l="1"/>
  <c r="K50" i="2" s="1"/>
  <c r="J51" i="2"/>
  <c r="C52" i="2" s="1"/>
  <c r="D51" i="2"/>
  <c r="E51" i="2" s="1"/>
  <c r="G49" i="2"/>
  <c r="F51" i="2" l="1"/>
  <c r="G51" i="2" s="1"/>
  <c r="D52" i="2"/>
  <c r="E52" i="2" s="1"/>
  <c r="J52" i="2"/>
  <c r="C53" i="2" s="1"/>
  <c r="G50" i="2"/>
  <c r="K51" i="2" l="1"/>
  <c r="F52" i="2" s="1"/>
  <c r="G52" i="2" s="1"/>
  <c r="J53" i="2"/>
  <c r="C54" i="2" s="1"/>
  <c r="D53" i="2"/>
  <c r="E53" i="2" s="1"/>
  <c r="D54" i="2" l="1"/>
  <c r="E54" i="2" s="1"/>
  <c r="J54" i="2"/>
  <c r="C55" i="2" s="1"/>
  <c r="K52" i="2"/>
  <c r="F53" i="2" s="1"/>
  <c r="K53" i="2" s="1"/>
  <c r="F54" i="2" l="1"/>
  <c r="K54" i="2" s="1"/>
  <c r="G53" i="2"/>
  <c r="J55" i="2"/>
  <c r="C56" i="2" s="1"/>
  <c r="D55" i="2"/>
  <c r="E55" i="2" s="1"/>
  <c r="F55" i="2" l="1"/>
  <c r="K55" i="2" s="1"/>
  <c r="D56" i="2"/>
  <c r="E56" i="2" s="1"/>
  <c r="J56" i="2"/>
  <c r="C57" i="2" s="1"/>
  <c r="G54" i="2"/>
  <c r="G55" i="2" l="1"/>
  <c r="J57" i="2"/>
  <c r="C58" i="2" s="1"/>
  <c r="D57" i="2"/>
  <c r="E57" i="2" s="1"/>
  <c r="F56" i="2"/>
  <c r="K56" i="2" s="1"/>
  <c r="F57" i="2" l="1"/>
  <c r="K57" i="2" s="1"/>
  <c r="G56" i="2"/>
  <c r="J58" i="2"/>
  <c r="C59" i="2" s="1"/>
  <c r="D58" i="2"/>
  <c r="E58" i="2" s="1"/>
  <c r="G57" i="2" l="1"/>
  <c r="J59" i="2"/>
  <c r="C60" i="2" s="1"/>
  <c r="D59" i="2"/>
  <c r="E59" i="2" s="1"/>
  <c r="F58" i="2"/>
  <c r="K58" i="2" s="1"/>
  <c r="F59" i="2" l="1"/>
  <c r="G59" i="2"/>
  <c r="K59" i="2"/>
  <c r="J60" i="2"/>
  <c r="C61" i="2" s="1"/>
  <c r="D60" i="2"/>
  <c r="E60" i="2" s="1"/>
  <c r="G58" i="2"/>
  <c r="D61" i="2" l="1"/>
  <c r="E61" i="2" s="1"/>
  <c r="J61" i="2"/>
  <c r="C62" i="2" s="1"/>
  <c r="F60" i="2"/>
  <c r="K60" i="2" s="1"/>
  <c r="F61" i="2" l="1"/>
  <c r="K61" i="2" s="1"/>
  <c r="G61" i="2"/>
  <c r="J62" i="2"/>
  <c r="C63" i="2" s="1"/>
  <c r="D62" i="2"/>
  <c r="E62" i="2" s="1"/>
  <c r="G60" i="2"/>
  <c r="D63" i="2" l="1"/>
  <c r="E63" i="2" s="1"/>
  <c r="J63" i="2"/>
  <c r="C64" i="2" s="1"/>
  <c r="F62" i="2"/>
  <c r="K62" i="2" s="1"/>
  <c r="F63" i="2" l="1"/>
  <c r="K63" i="2" s="1"/>
  <c r="G63" i="2"/>
  <c r="J64" i="2"/>
  <c r="C65" i="2" s="1"/>
  <c r="D64" i="2"/>
  <c r="E64" i="2" s="1"/>
  <c r="G62" i="2"/>
  <c r="J65" i="2" l="1"/>
  <c r="C66" i="2" s="1"/>
  <c r="D65" i="2"/>
  <c r="E65" i="2" s="1"/>
  <c r="F64" i="2"/>
  <c r="K64" i="2" s="1"/>
  <c r="F65" i="2" l="1"/>
  <c r="G65" i="2" s="1"/>
  <c r="K65" i="2"/>
  <c r="G64" i="2"/>
  <c r="J66" i="2"/>
  <c r="B11" i="2" s="1"/>
  <c r="D66" i="2"/>
  <c r="E66" i="2" s="1"/>
  <c r="F66" i="2" l="1"/>
  <c r="K66" i="2" s="1"/>
  <c r="B10" i="2" s="1"/>
  <c r="G66" i="2" l="1"/>
</calcChain>
</file>

<file path=xl/sharedStrings.xml><?xml version="1.0" encoding="utf-8"?>
<sst xmlns="http://schemas.openxmlformats.org/spreadsheetml/2006/main" count="20" uniqueCount="20">
  <si>
    <t>COVERED CALL SIMULATION</t>
  </si>
  <si>
    <t>X</t>
  </si>
  <si>
    <t>Mean stock return</t>
  </si>
  <si>
    <t>Sigma</t>
  </si>
  <si>
    <t>r</t>
  </si>
  <si>
    <r>
      <t>Initial stock price, S</t>
    </r>
    <r>
      <rPr>
        <vertAlign val="subscript"/>
        <sz val="10"/>
        <rFont val="Arial"/>
        <family val="2"/>
      </rPr>
      <t>0</t>
    </r>
  </si>
  <si>
    <t>Initial call price</t>
  </si>
  <si>
    <t>Initial investment in covered call</t>
  </si>
  <si>
    <t>Simulated payoff
of strategy</t>
  </si>
  <si>
    <t>Payoff of covered call strategy</t>
  </si>
  <si>
    <t>Week</t>
  </si>
  <si>
    <t>Time</t>
  </si>
  <si>
    <t>Stock price</t>
  </si>
  <si>
    <r>
      <t>d</t>
    </r>
    <r>
      <rPr>
        <vertAlign val="subscript"/>
        <sz val="10"/>
        <rFont val="Arial"/>
        <family val="2"/>
      </rPr>
      <t>1</t>
    </r>
  </si>
  <si>
    <t>Invested
in stock</t>
  </si>
  <si>
    <t>Invested
in bond</t>
  </si>
  <si>
    <t>Total investment
at beginning of week</t>
  </si>
  <si>
    <t>Random Z at end of week</t>
  </si>
  <si>
    <t>Stock price at end of week</t>
  </si>
  <si>
    <t>Investment at the end of 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</si>
</sst>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</cellStyleXfs>
  <cellXfs count="17">
    <xf numFmtId="0" fontId="0" fillId="0" borderId="0" xfId="0">
      <alignment vertical="center"/>
    </xf>
    <xf numFmtId="2" fontId="3" fillId="0" borderId="0" xfId="1" applyNumberFormat="1" applyFont="1" applyAlignment="1">
      <alignment horizontal="center"/>
    </xf>
    <xf numFmtId="0" fontId="2" fillId="0" borderId="0" xfId="1"/>
    <xf numFmtId="0" fontId="2" fillId="0" borderId="0" xfId="1" applyAlignment="1">
      <alignment wrapText="1"/>
    </xf>
    <xf numFmtId="2" fontId="2" fillId="0" borderId="0" xfId="1" applyNumberFormat="1"/>
    <xf numFmtId="9" fontId="2" fillId="0" borderId="0" xfId="1" applyNumberFormat="1"/>
    <xf numFmtId="0" fontId="2" fillId="0" borderId="0" xfId="1" applyAlignment="1">
      <alignment horizontal="left" wrapText="1"/>
    </xf>
    <xf numFmtId="9" fontId="0" fillId="0" borderId="0" xfId="2" applyFont="1"/>
    <xf numFmtId="176" fontId="2" fillId="0" borderId="0" xfId="1" applyNumberFormat="1"/>
    <xf numFmtId="0" fontId="2" fillId="2" borderId="0" xfId="1" applyFill="1" applyAlignment="1">
      <alignment wrapText="1"/>
    </xf>
    <xf numFmtId="176" fontId="2" fillId="2" borderId="0" xfId="1" applyNumberFormat="1" applyFill="1"/>
    <xf numFmtId="0" fontId="5" fillId="0" borderId="0" xfId="1" applyFont="1"/>
    <xf numFmtId="2" fontId="5" fillId="0" borderId="0" xfId="1" applyNumberFormat="1" applyFont="1" applyAlignment="1">
      <alignment horizontal="center"/>
    </xf>
    <xf numFmtId="0" fontId="5" fillId="0" borderId="0" xfId="1" applyFont="1" applyAlignment="1">
      <alignment horizontal="center" vertical="center" wrapText="1"/>
    </xf>
    <xf numFmtId="2" fontId="5" fillId="0" borderId="0" xfId="1" applyNumberFormat="1" applyFont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2" fillId="0" borderId="0" xfId="1" applyAlignment="1">
      <alignment horizontal="center"/>
    </xf>
  </cellXfs>
  <cellStyles count="3">
    <cellStyle name="百分比 2" xfId="2" xr:uid="{D75EC0D7-C5DE-4370-8C07-6A6FA8C0B8FC}"/>
    <cellStyle name="常规" xfId="0" builtinId="0"/>
    <cellStyle name="常规 2" xfId="1" xr:uid="{169F9675-62AA-4D24-B091-A1C178B93DB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381000</xdr:colOff>
      <xdr:row>1</xdr:row>
      <xdr:rowOff>76200</xdr:rowOff>
    </xdr:from>
    <xdr:to>
      <xdr:col>11</xdr:col>
      <xdr:colOff>373380</xdr:colOff>
      <xdr:row>5</xdr:row>
      <xdr:rowOff>76200</xdr:rowOff>
    </xdr:to>
    <xdr:pic>
      <xdr:nvPicPr>
        <xdr:cNvPr id="2" name="Picture 674">
          <a:extLst>
            <a:ext uri="{FF2B5EF4-FFF2-40B4-BE49-F238E27FC236}">
              <a16:creationId xmlns:a16="http://schemas.microsoft.com/office/drawing/2014/main" id="{AB0E42B8-F581-49A5-8563-DEB5AF4936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19600" y="295275"/>
          <a:ext cx="3952875" cy="6667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CCFF" mc:Ignorable="a14" a14:legacySpreadsheetColorIndex="3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0</xdr:colOff>
      <xdr:row>2</xdr:row>
      <xdr:rowOff>114300</xdr:rowOff>
    </xdr:from>
    <xdr:to>
      <xdr:col>27</xdr:col>
      <xdr:colOff>95250</xdr:colOff>
      <xdr:row>68</xdr:row>
      <xdr:rowOff>114300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A1DFF653-8866-1E1E-3CEC-7D0332B670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220200" y="495300"/>
          <a:ext cx="8620125" cy="123158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21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21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中文"/>
      <sheetName val="Exercise 2"/>
      <sheetName val="Exercise 2 中文"/>
      <sheetName val="Exercise 3"/>
      <sheetName val="Exercise 3 中文"/>
      <sheetName val="Exercise 4"/>
      <sheetName val="Exercise 4 中文"/>
      <sheetName val="Exercise 5"/>
      <sheetName val="Sheet1"/>
      <sheetName val="Exercise 5 中文"/>
      <sheetName val="Exercise 5 template"/>
      <sheetName val="Exercise 5 template 中文"/>
      <sheetName val="VBA, Exer. 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call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E7A6A-511B-476F-A405-C47A99C785CD}">
  <sheetPr codeName="Sheet5"/>
  <dimension ref="A1:K313"/>
  <sheetViews>
    <sheetView tabSelected="1" zoomScale="115" zoomScaleNormal="115" workbookViewId="0">
      <selection activeCell="I17" sqref="I17"/>
    </sheetView>
  </sheetViews>
  <sheetFormatPr defaultRowHeight="13.2" x14ac:dyDescent="0.25"/>
  <cols>
    <col min="1" max="1" width="19.33203125" style="2" customWidth="1"/>
    <col min="2" max="2" width="8.88671875" style="2"/>
    <col min="3" max="3" width="12.88671875" style="4" customWidth="1"/>
    <col min="4" max="6" width="8.88671875" style="2"/>
    <col min="7" max="7" width="11.5546875" style="2" customWidth="1"/>
    <col min="8" max="8" width="8.88671875" style="2"/>
    <col min="9" max="9" width="9.33203125" style="2" bestFit="1" customWidth="1"/>
    <col min="10" max="11" width="9.5546875" style="2" bestFit="1" customWidth="1"/>
    <col min="12" max="256" width="8.88671875" style="2"/>
    <col min="257" max="257" width="19.33203125" style="2" customWidth="1"/>
    <col min="258" max="258" width="8.88671875" style="2"/>
    <col min="259" max="259" width="12.88671875" style="2" customWidth="1"/>
    <col min="260" max="262" width="8.88671875" style="2"/>
    <col min="263" max="263" width="11.5546875" style="2" customWidth="1"/>
    <col min="264" max="264" width="8.88671875" style="2"/>
    <col min="265" max="265" width="9.33203125" style="2" bestFit="1" customWidth="1"/>
    <col min="266" max="267" width="9.5546875" style="2" bestFit="1" customWidth="1"/>
    <col min="268" max="512" width="8.88671875" style="2"/>
    <col min="513" max="513" width="19.33203125" style="2" customWidth="1"/>
    <col min="514" max="514" width="8.88671875" style="2"/>
    <col min="515" max="515" width="12.88671875" style="2" customWidth="1"/>
    <col min="516" max="518" width="8.88671875" style="2"/>
    <col min="519" max="519" width="11.5546875" style="2" customWidth="1"/>
    <col min="520" max="520" width="8.88671875" style="2"/>
    <col min="521" max="521" width="9.33203125" style="2" bestFit="1" customWidth="1"/>
    <col min="522" max="523" width="9.5546875" style="2" bestFit="1" customWidth="1"/>
    <col min="524" max="768" width="8.88671875" style="2"/>
    <col min="769" max="769" width="19.33203125" style="2" customWidth="1"/>
    <col min="770" max="770" width="8.88671875" style="2"/>
    <col min="771" max="771" width="12.88671875" style="2" customWidth="1"/>
    <col min="772" max="774" width="8.88671875" style="2"/>
    <col min="775" max="775" width="11.5546875" style="2" customWidth="1"/>
    <col min="776" max="776" width="8.88671875" style="2"/>
    <col min="777" max="777" width="9.33203125" style="2" bestFit="1" customWidth="1"/>
    <col min="778" max="779" width="9.5546875" style="2" bestFit="1" customWidth="1"/>
    <col min="780" max="1024" width="8.88671875" style="2"/>
    <col min="1025" max="1025" width="19.33203125" style="2" customWidth="1"/>
    <col min="1026" max="1026" width="8.88671875" style="2"/>
    <col min="1027" max="1027" width="12.88671875" style="2" customWidth="1"/>
    <col min="1028" max="1030" width="8.88671875" style="2"/>
    <col min="1031" max="1031" width="11.5546875" style="2" customWidth="1"/>
    <col min="1032" max="1032" width="8.88671875" style="2"/>
    <col min="1033" max="1033" width="9.33203125" style="2" bestFit="1" customWidth="1"/>
    <col min="1034" max="1035" width="9.5546875" style="2" bestFit="1" customWidth="1"/>
    <col min="1036" max="1280" width="8.88671875" style="2"/>
    <col min="1281" max="1281" width="19.33203125" style="2" customWidth="1"/>
    <col min="1282" max="1282" width="8.88671875" style="2"/>
    <col min="1283" max="1283" width="12.88671875" style="2" customWidth="1"/>
    <col min="1284" max="1286" width="8.88671875" style="2"/>
    <col min="1287" max="1287" width="11.5546875" style="2" customWidth="1"/>
    <col min="1288" max="1288" width="8.88671875" style="2"/>
    <col min="1289" max="1289" width="9.33203125" style="2" bestFit="1" customWidth="1"/>
    <col min="1290" max="1291" width="9.5546875" style="2" bestFit="1" customWidth="1"/>
    <col min="1292" max="1536" width="8.88671875" style="2"/>
    <col min="1537" max="1537" width="19.33203125" style="2" customWidth="1"/>
    <col min="1538" max="1538" width="8.88671875" style="2"/>
    <col min="1539" max="1539" width="12.88671875" style="2" customWidth="1"/>
    <col min="1540" max="1542" width="8.88671875" style="2"/>
    <col min="1543" max="1543" width="11.5546875" style="2" customWidth="1"/>
    <col min="1544" max="1544" width="8.88671875" style="2"/>
    <col min="1545" max="1545" width="9.33203125" style="2" bestFit="1" customWidth="1"/>
    <col min="1546" max="1547" width="9.5546875" style="2" bestFit="1" customWidth="1"/>
    <col min="1548" max="1792" width="8.88671875" style="2"/>
    <col min="1793" max="1793" width="19.33203125" style="2" customWidth="1"/>
    <col min="1794" max="1794" width="8.88671875" style="2"/>
    <col min="1795" max="1795" width="12.88671875" style="2" customWidth="1"/>
    <col min="1796" max="1798" width="8.88671875" style="2"/>
    <col min="1799" max="1799" width="11.5546875" style="2" customWidth="1"/>
    <col min="1800" max="1800" width="8.88671875" style="2"/>
    <col min="1801" max="1801" width="9.33203125" style="2" bestFit="1" customWidth="1"/>
    <col min="1802" max="1803" width="9.5546875" style="2" bestFit="1" customWidth="1"/>
    <col min="1804" max="2048" width="8.88671875" style="2"/>
    <col min="2049" max="2049" width="19.33203125" style="2" customWidth="1"/>
    <col min="2050" max="2050" width="8.88671875" style="2"/>
    <col min="2051" max="2051" width="12.88671875" style="2" customWidth="1"/>
    <col min="2052" max="2054" width="8.88671875" style="2"/>
    <col min="2055" max="2055" width="11.5546875" style="2" customWidth="1"/>
    <col min="2056" max="2056" width="8.88671875" style="2"/>
    <col min="2057" max="2057" width="9.33203125" style="2" bestFit="1" customWidth="1"/>
    <col min="2058" max="2059" width="9.5546875" style="2" bestFit="1" customWidth="1"/>
    <col min="2060" max="2304" width="8.88671875" style="2"/>
    <col min="2305" max="2305" width="19.33203125" style="2" customWidth="1"/>
    <col min="2306" max="2306" width="8.88671875" style="2"/>
    <col min="2307" max="2307" width="12.88671875" style="2" customWidth="1"/>
    <col min="2308" max="2310" width="8.88671875" style="2"/>
    <col min="2311" max="2311" width="11.5546875" style="2" customWidth="1"/>
    <col min="2312" max="2312" width="8.88671875" style="2"/>
    <col min="2313" max="2313" width="9.33203125" style="2" bestFit="1" customWidth="1"/>
    <col min="2314" max="2315" width="9.5546875" style="2" bestFit="1" customWidth="1"/>
    <col min="2316" max="2560" width="8.88671875" style="2"/>
    <col min="2561" max="2561" width="19.33203125" style="2" customWidth="1"/>
    <col min="2562" max="2562" width="8.88671875" style="2"/>
    <col min="2563" max="2563" width="12.88671875" style="2" customWidth="1"/>
    <col min="2564" max="2566" width="8.88671875" style="2"/>
    <col min="2567" max="2567" width="11.5546875" style="2" customWidth="1"/>
    <col min="2568" max="2568" width="8.88671875" style="2"/>
    <col min="2569" max="2569" width="9.33203125" style="2" bestFit="1" customWidth="1"/>
    <col min="2570" max="2571" width="9.5546875" style="2" bestFit="1" customWidth="1"/>
    <col min="2572" max="2816" width="8.88671875" style="2"/>
    <col min="2817" max="2817" width="19.33203125" style="2" customWidth="1"/>
    <col min="2818" max="2818" width="8.88671875" style="2"/>
    <col min="2819" max="2819" width="12.88671875" style="2" customWidth="1"/>
    <col min="2820" max="2822" width="8.88671875" style="2"/>
    <col min="2823" max="2823" width="11.5546875" style="2" customWidth="1"/>
    <col min="2824" max="2824" width="8.88671875" style="2"/>
    <col min="2825" max="2825" width="9.33203125" style="2" bestFit="1" customWidth="1"/>
    <col min="2826" max="2827" width="9.5546875" style="2" bestFit="1" customWidth="1"/>
    <col min="2828" max="3072" width="8.88671875" style="2"/>
    <col min="3073" max="3073" width="19.33203125" style="2" customWidth="1"/>
    <col min="3074" max="3074" width="8.88671875" style="2"/>
    <col min="3075" max="3075" width="12.88671875" style="2" customWidth="1"/>
    <col min="3076" max="3078" width="8.88671875" style="2"/>
    <col min="3079" max="3079" width="11.5546875" style="2" customWidth="1"/>
    <col min="3080" max="3080" width="8.88671875" style="2"/>
    <col min="3081" max="3081" width="9.33203125" style="2" bestFit="1" customWidth="1"/>
    <col min="3082" max="3083" width="9.5546875" style="2" bestFit="1" customWidth="1"/>
    <col min="3084" max="3328" width="8.88671875" style="2"/>
    <col min="3329" max="3329" width="19.33203125" style="2" customWidth="1"/>
    <col min="3330" max="3330" width="8.88671875" style="2"/>
    <col min="3331" max="3331" width="12.88671875" style="2" customWidth="1"/>
    <col min="3332" max="3334" width="8.88671875" style="2"/>
    <col min="3335" max="3335" width="11.5546875" style="2" customWidth="1"/>
    <col min="3336" max="3336" width="8.88671875" style="2"/>
    <col min="3337" max="3337" width="9.33203125" style="2" bestFit="1" customWidth="1"/>
    <col min="3338" max="3339" width="9.5546875" style="2" bestFit="1" customWidth="1"/>
    <col min="3340" max="3584" width="8.88671875" style="2"/>
    <col min="3585" max="3585" width="19.33203125" style="2" customWidth="1"/>
    <col min="3586" max="3586" width="8.88671875" style="2"/>
    <col min="3587" max="3587" width="12.88671875" style="2" customWidth="1"/>
    <col min="3588" max="3590" width="8.88671875" style="2"/>
    <col min="3591" max="3591" width="11.5546875" style="2" customWidth="1"/>
    <col min="3592" max="3592" width="8.88671875" style="2"/>
    <col min="3593" max="3593" width="9.33203125" style="2" bestFit="1" customWidth="1"/>
    <col min="3594" max="3595" width="9.5546875" style="2" bestFit="1" customWidth="1"/>
    <col min="3596" max="3840" width="8.88671875" style="2"/>
    <col min="3841" max="3841" width="19.33203125" style="2" customWidth="1"/>
    <col min="3842" max="3842" width="8.88671875" style="2"/>
    <col min="3843" max="3843" width="12.88671875" style="2" customWidth="1"/>
    <col min="3844" max="3846" width="8.88671875" style="2"/>
    <col min="3847" max="3847" width="11.5546875" style="2" customWidth="1"/>
    <col min="3848" max="3848" width="8.88671875" style="2"/>
    <col min="3849" max="3849" width="9.33203125" style="2" bestFit="1" customWidth="1"/>
    <col min="3850" max="3851" width="9.5546875" style="2" bestFit="1" customWidth="1"/>
    <col min="3852" max="4096" width="8.88671875" style="2"/>
    <col min="4097" max="4097" width="19.33203125" style="2" customWidth="1"/>
    <col min="4098" max="4098" width="8.88671875" style="2"/>
    <col min="4099" max="4099" width="12.88671875" style="2" customWidth="1"/>
    <col min="4100" max="4102" width="8.88671875" style="2"/>
    <col min="4103" max="4103" width="11.5546875" style="2" customWidth="1"/>
    <col min="4104" max="4104" width="8.88671875" style="2"/>
    <col min="4105" max="4105" width="9.33203125" style="2" bestFit="1" customWidth="1"/>
    <col min="4106" max="4107" width="9.5546875" style="2" bestFit="1" customWidth="1"/>
    <col min="4108" max="4352" width="8.88671875" style="2"/>
    <col min="4353" max="4353" width="19.33203125" style="2" customWidth="1"/>
    <col min="4354" max="4354" width="8.88671875" style="2"/>
    <col min="4355" max="4355" width="12.88671875" style="2" customWidth="1"/>
    <col min="4356" max="4358" width="8.88671875" style="2"/>
    <col min="4359" max="4359" width="11.5546875" style="2" customWidth="1"/>
    <col min="4360" max="4360" width="8.88671875" style="2"/>
    <col min="4361" max="4361" width="9.33203125" style="2" bestFit="1" customWidth="1"/>
    <col min="4362" max="4363" width="9.5546875" style="2" bestFit="1" customWidth="1"/>
    <col min="4364" max="4608" width="8.88671875" style="2"/>
    <col min="4609" max="4609" width="19.33203125" style="2" customWidth="1"/>
    <col min="4610" max="4610" width="8.88671875" style="2"/>
    <col min="4611" max="4611" width="12.88671875" style="2" customWidth="1"/>
    <col min="4612" max="4614" width="8.88671875" style="2"/>
    <col min="4615" max="4615" width="11.5546875" style="2" customWidth="1"/>
    <col min="4616" max="4616" width="8.88671875" style="2"/>
    <col min="4617" max="4617" width="9.33203125" style="2" bestFit="1" customWidth="1"/>
    <col min="4618" max="4619" width="9.5546875" style="2" bestFit="1" customWidth="1"/>
    <col min="4620" max="4864" width="8.88671875" style="2"/>
    <col min="4865" max="4865" width="19.33203125" style="2" customWidth="1"/>
    <col min="4866" max="4866" width="8.88671875" style="2"/>
    <col min="4867" max="4867" width="12.88671875" style="2" customWidth="1"/>
    <col min="4868" max="4870" width="8.88671875" style="2"/>
    <col min="4871" max="4871" width="11.5546875" style="2" customWidth="1"/>
    <col min="4872" max="4872" width="8.88671875" style="2"/>
    <col min="4873" max="4873" width="9.33203125" style="2" bestFit="1" customWidth="1"/>
    <col min="4874" max="4875" width="9.5546875" style="2" bestFit="1" customWidth="1"/>
    <col min="4876" max="5120" width="8.88671875" style="2"/>
    <col min="5121" max="5121" width="19.33203125" style="2" customWidth="1"/>
    <col min="5122" max="5122" width="8.88671875" style="2"/>
    <col min="5123" max="5123" width="12.88671875" style="2" customWidth="1"/>
    <col min="5124" max="5126" width="8.88671875" style="2"/>
    <col min="5127" max="5127" width="11.5546875" style="2" customWidth="1"/>
    <col min="5128" max="5128" width="8.88671875" style="2"/>
    <col min="5129" max="5129" width="9.33203125" style="2" bestFit="1" customWidth="1"/>
    <col min="5130" max="5131" width="9.5546875" style="2" bestFit="1" customWidth="1"/>
    <col min="5132" max="5376" width="8.88671875" style="2"/>
    <col min="5377" max="5377" width="19.33203125" style="2" customWidth="1"/>
    <col min="5378" max="5378" width="8.88671875" style="2"/>
    <col min="5379" max="5379" width="12.88671875" style="2" customWidth="1"/>
    <col min="5380" max="5382" width="8.88671875" style="2"/>
    <col min="5383" max="5383" width="11.5546875" style="2" customWidth="1"/>
    <col min="5384" max="5384" width="8.88671875" style="2"/>
    <col min="5385" max="5385" width="9.33203125" style="2" bestFit="1" customWidth="1"/>
    <col min="5386" max="5387" width="9.5546875" style="2" bestFit="1" customWidth="1"/>
    <col min="5388" max="5632" width="8.88671875" style="2"/>
    <col min="5633" max="5633" width="19.33203125" style="2" customWidth="1"/>
    <col min="5634" max="5634" width="8.88671875" style="2"/>
    <col min="5635" max="5635" width="12.88671875" style="2" customWidth="1"/>
    <col min="5636" max="5638" width="8.88671875" style="2"/>
    <col min="5639" max="5639" width="11.5546875" style="2" customWidth="1"/>
    <col min="5640" max="5640" width="8.88671875" style="2"/>
    <col min="5641" max="5641" width="9.33203125" style="2" bestFit="1" customWidth="1"/>
    <col min="5642" max="5643" width="9.5546875" style="2" bestFit="1" customWidth="1"/>
    <col min="5644" max="5888" width="8.88671875" style="2"/>
    <col min="5889" max="5889" width="19.33203125" style="2" customWidth="1"/>
    <col min="5890" max="5890" width="8.88671875" style="2"/>
    <col min="5891" max="5891" width="12.88671875" style="2" customWidth="1"/>
    <col min="5892" max="5894" width="8.88671875" style="2"/>
    <col min="5895" max="5895" width="11.5546875" style="2" customWidth="1"/>
    <col min="5896" max="5896" width="8.88671875" style="2"/>
    <col min="5897" max="5897" width="9.33203125" style="2" bestFit="1" customWidth="1"/>
    <col min="5898" max="5899" width="9.5546875" style="2" bestFit="1" customWidth="1"/>
    <col min="5900" max="6144" width="8.88671875" style="2"/>
    <col min="6145" max="6145" width="19.33203125" style="2" customWidth="1"/>
    <col min="6146" max="6146" width="8.88671875" style="2"/>
    <col min="6147" max="6147" width="12.88671875" style="2" customWidth="1"/>
    <col min="6148" max="6150" width="8.88671875" style="2"/>
    <col min="6151" max="6151" width="11.5546875" style="2" customWidth="1"/>
    <col min="6152" max="6152" width="8.88671875" style="2"/>
    <col min="6153" max="6153" width="9.33203125" style="2" bestFit="1" customWidth="1"/>
    <col min="6154" max="6155" width="9.5546875" style="2" bestFit="1" customWidth="1"/>
    <col min="6156" max="6400" width="8.88671875" style="2"/>
    <col min="6401" max="6401" width="19.33203125" style="2" customWidth="1"/>
    <col min="6402" max="6402" width="8.88671875" style="2"/>
    <col min="6403" max="6403" width="12.88671875" style="2" customWidth="1"/>
    <col min="6404" max="6406" width="8.88671875" style="2"/>
    <col min="6407" max="6407" width="11.5546875" style="2" customWidth="1"/>
    <col min="6408" max="6408" width="8.88671875" style="2"/>
    <col min="6409" max="6409" width="9.33203125" style="2" bestFit="1" customWidth="1"/>
    <col min="6410" max="6411" width="9.5546875" style="2" bestFit="1" customWidth="1"/>
    <col min="6412" max="6656" width="8.88671875" style="2"/>
    <col min="6657" max="6657" width="19.33203125" style="2" customWidth="1"/>
    <col min="6658" max="6658" width="8.88671875" style="2"/>
    <col min="6659" max="6659" width="12.88671875" style="2" customWidth="1"/>
    <col min="6660" max="6662" width="8.88671875" style="2"/>
    <col min="6663" max="6663" width="11.5546875" style="2" customWidth="1"/>
    <col min="6664" max="6664" width="8.88671875" style="2"/>
    <col min="6665" max="6665" width="9.33203125" style="2" bestFit="1" customWidth="1"/>
    <col min="6666" max="6667" width="9.5546875" style="2" bestFit="1" customWidth="1"/>
    <col min="6668" max="6912" width="8.88671875" style="2"/>
    <col min="6913" max="6913" width="19.33203125" style="2" customWidth="1"/>
    <col min="6914" max="6914" width="8.88671875" style="2"/>
    <col min="6915" max="6915" width="12.88671875" style="2" customWidth="1"/>
    <col min="6916" max="6918" width="8.88671875" style="2"/>
    <col min="6919" max="6919" width="11.5546875" style="2" customWidth="1"/>
    <col min="6920" max="6920" width="8.88671875" style="2"/>
    <col min="6921" max="6921" width="9.33203125" style="2" bestFit="1" customWidth="1"/>
    <col min="6922" max="6923" width="9.5546875" style="2" bestFit="1" customWidth="1"/>
    <col min="6924" max="7168" width="8.88671875" style="2"/>
    <col min="7169" max="7169" width="19.33203125" style="2" customWidth="1"/>
    <col min="7170" max="7170" width="8.88671875" style="2"/>
    <col min="7171" max="7171" width="12.88671875" style="2" customWidth="1"/>
    <col min="7172" max="7174" width="8.88671875" style="2"/>
    <col min="7175" max="7175" width="11.5546875" style="2" customWidth="1"/>
    <col min="7176" max="7176" width="8.88671875" style="2"/>
    <col min="7177" max="7177" width="9.33203125" style="2" bestFit="1" customWidth="1"/>
    <col min="7178" max="7179" width="9.5546875" style="2" bestFit="1" customWidth="1"/>
    <col min="7180" max="7424" width="8.88671875" style="2"/>
    <col min="7425" max="7425" width="19.33203125" style="2" customWidth="1"/>
    <col min="7426" max="7426" width="8.88671875" style="2"/>
    <col min="7427" max="7427" width="12.88671875" style="2" customWidth="1"/>
    <col min="7428" max="7430" width="8.88671875" style="2"/>
    <col min="7431" max="7431" width="11.5546875" style="2" customWidth="1"/>
    <col min="7432" max="7432" width="8.88671875" style="2"/>
    <col min="7433" max="7433" width="9.33203125" style="2" bestFit="1" customWidth="1"/>
    <col min="7434" max="7435" width="9.5546875" style="2" bestFit="1" customWidth="1"/>
    <col min="7436" max="7680" width="8.88671875" style="2"/>
    <col min="7681" max="7681" width="19.33203125" style="2" customWidth="1"/>
    <col min="7682" max="7682" width="8.88671875" style="2"/>
    <col min="7683" max="7683" width="12.88671875" style="2" customWidth="1"/>
    <col min="7684" max="7686" width="8.88671875" style="2"/>
    <col min="7687" max="7687" width="11.5546875" style="2" customWidth="1"/>
    <col min="7688" max="7688" width="8.88671875" style="2"/>
    <col min="7689" max="7689" width="9.33203125" style="2" bestFit="1" customWidth="1"/>
    <col min="7690" max="7691" width="9.5546875" style="2" bestFit="1" customWidth="1"/>
    <col min="7692" max="7936" width="8.88671875" style="2"/>
    <col min="7937" max="7937" width="19.33203125" style="2" customWidth="1"/>
    <col min="7938" max="7938" width="8.88671875" style="2"/>
    <col min="7939" max="7939" width="12.88671875" style="2" customWidth="1"/>
    <col min="7940" max="7942" width="8.88671875" style="2"/>
    <col min="7943" max="7943" width="11.5546875" style="2" customWidth="1"/>
    <col min="7944" max="7944" width="8.88671875" style="2"/>
    <col min="7945" max="7945" width="9.33203125" style="2" bestFit="1" customWidth="1"/>
    <col min="7946" max="7947" width="9.5546875" style="2" bestFit="1" customWidth="1"/>
    <col min="7948" max="8192" width="8.88671875" style="2"/>
    <col min="8193" max="8193" width="19.33203125" style="2" customWidth="1"/>
    <col min="8194" max="8194" width="8.88671875" style="2"/>
    <col min="8195" max="8195" width="12.88671875" style="2" customWidth="1"/>
    <col min="8196" max="8198" width="8.88671875" style="2"/>
    <col min="8199" max="8199" width="11.5546875" style="2" customWidth="1"/>
    <col min="8200" max="8200" width="8.88671875" style="2"/>
    <col min="8201" max="8201" width="9.33203125" style="2" bestFit="1" customWidth="1"/>
    <col min="8202" max="8203" width="9.5546875" style="2" bestFit="1" customWidth="1"/>
    <col min="8204" max="8448" width="8.88671875" style="2"/>
    <col min="8449" max="8449" width="19.33203125" style="2" customWidth="1"/>
    <col min="8450" max="8450" width="8.88671875" style="2"/>
    <col min="8451" max="8451" width="12.88671875" style="2" customWidth="1"/>
    <col min="8452" max="8454" width="8.88671875" style="2"/>
    <col min="8455" max="8455" width="11.5546875" style="2" customWidth="1"/>
    <col min="8456" max="8456" width="8.88671875" style="2"/>
    <col min="8457" max="8457" width="9.33203125" style="2" bestFit="1" customWidth="1"/>
    <col min="8458" max="8459" width="9.5546875" style="2" bestFit="1" customWidth="1"/>
    <col min="8460" max="8704" width="8.88671875" style="2"/>
    <col min="8705" max="8705" width="19.33203125" style="2" customWidth="1"/>
    <col min="8706" max="8706" width="8.88671875" style="2"/>
    <col min="8707" max="8707" width="12.88671875" style="2" customWidth="1"/>
    <col min="8708" max="8710" width="8.88671875" style="2"/>
    <col min="8711" max="8711" width="11.5546875" style="2" customWidth="1"/>
    <col min="8712" max="8712" width="8.88671875" style="2"/>
    <col min="8713" max="8713" width="9.33203125" style="2" bestFit="1" customWidth="1"/>
    <col min="8714" max="8715" width="9.5546875" style="2" bestFit="1" customWidth="1"/>
    <col min="8716" max="8960" width="8.88671875" style="2"/>
    <col min="8961" max="8961" width="19.33203125" style="2" customWidth="1"/>
    <col min="8962" max="8962" width="8.88671875" style="2"/>
    <col min="8963" max="8963" width="12.88671875" style="2" customWidth="1"/>
    <col min="8964" max="8966" width="8.88671875" style="2"/>
    <col min="8967" max="8967" width="11.5546875" style="2" customWidth="1"/>
    <col min="8968" max="8968" width="8.88671875" style="2"/>
    <col min="8969" max="8969" width="9.33203125" style="2" bestFit="1" customWidth="1"/>
    <col min="8970" max="8971" width="9.5546875" style="2" bestFit="1" customWidth="1"/>
    <col min="8972" max="9216" width="8.88671875" style="2"/>
    <col min="9217" max="9217" width="19.33203125" style="2" customWidth="1"/>
    <col min="9218" max="9218" width="8.88671875" style="2"/>
    <col min="9219" max="9219" width="12.88671875" style="2" customWidth="1"/>
    <col min="9220" max="9222" width="8.88671875" style="2"/>
    <col min="9223" max="9223" width="11.5546875" style="2" customWidth="1"/>
    <col min="9224" max="9224" width="8.88671875" style="2"/>
    <col min="9225" max="9225" width="9.33203125" style="2" bestFit="1" customWidth="1"/>
    <col min="9226" max="9227" width="9.5546875" style="2" bestFit="1" customWidth="1"/>
    <col min="9228" max="9472" width="8.88671875" style="2"/>
    <col min="9473" max="9473" width="19.33203125" style="2" customWidth="1"/>
    <col min="9474" max="9474" width="8.88671875" style="2"/>
    <col min="9475" max="9475" width="12.88671875" style="2" customWidth="1"/>
    <col min="9476" max="9478" width="8.88671875" style="2"/>
    <col min="9479" max="9479" width="11.5546875" style="2" customWidth="1"/>
    <col min="9480" max="9480" width="8.88671875" style="2"/>
    <col min="9481" max="9481" width="9.33203125" style="2" bestFit="1" customWidth="1"/>
    <col min="9482" max="9483" width="9.5546875" style="2" bestFit="1" customWidth="1"/>
    <col min="9484" max="9728" width="8.88671875" style="2"/>
    <col min="9729" max="9729" width="19.33203125" style="2" customWidth="1"/>
    <col min="9730" max="9730" width="8.88671875" style="2"/>
    <col min="9731" max="9731" width="12.88671875" style="2" customWidth="1"/>
    <col min="9732" max="9734" width="8.88671875" style="2"/>
    <col min="9735" max="9735" width="11.5546875" style="2" customWidth="1"/>
    <col min="9736" max="9736" width="8.88671875" style="2"/>
    <col min="9737" max="9737" width="9.33203125" style="2" bestFit="1" customWidth="1"/>
    <col min="9738" max="9739" width="9.5546875" style="2" bestFit="1" customWidth="1"/>
    <col min="9740" max="9984" width="8.88671875" style="2"/>
    <col min="9985" max="9985" width="19.33203125" style="2" customWidth="1"/>
    <col min="9986" max="9986" width="8.88671875" style="2"/>
    <col min="9987" max="9987" width="12.88671875" style="2" customWidth="1"/>
    <col min="9988" max="9990" width="8.88671875" style="2"/>
    <col min="9991" max="9991" width="11.5546875" style="2" customWidth="1"/>
    <col min="9992" max="9992" width="8.88671875" style="2"/>
    <col min="9993" max="9993" width="9.33203125" style="2" bestFit="1" customWidth="1"/>
    <col min="9994" max="9995" width="9.5546875" style="2" bestFit="1" customWidth="1"/>
    <col min="9996" max="10240" width="8.88671875" style="2"/>
    <col min="10241" max="10241" width="19.33203125" style="2" customWidth="1"/>
    <col min="10242" max="10242" width="8.88671875" style="2"/>
    <col min="10243" max="10243" width="12.88671875" style="2" customWidth="1"/>
    <col min="10244" max="10246" width="8.88671875" style="2"/>
    <col min="10247" max="10247" width="11.5546875" style="2" customWidth="1"/>
    <col min="10248" max="10248" width="8.88671875" style="2"/>
    <col min="10249" max="10249" width="9.33203125" style="2" bestFit="1" customWidth="1"/>
    <col min="10250" max="10251" width="9.5546875" style="2" bestFit="1" customWidth="1"/>
    <col min="10252" max="10496" width="8.88671875" style="2"/>
    <col min="10497" max="10497" width="19.33203125" style="2" customWidth="1"/>
    <col min="10498" max="10498" width="8.88671875" style="2"/>
    <col min="10499" max="10499" width="12.88671875" style="2" customWidth="1"/>
    <col min="10500" max="10502" width="8.88671875" style="2"/>
    <col min="10503" max="10503" width="11.5546875" style="2" customWidth="1"/>
    <col min="10504" max="10504" width="8.88671875" style="2"/>
    <col min="10505" max="10505" width="9.33203125" style="2" bestFit="1" customWidth="1"/>
    <col min="10506" max="10507" width="9.5546875" style="2" bestFit="1" customWidth="1"/>
    <col min="10508" max="10752" width="8.88671875" style="2"/>
    <col min="10753" max="10753" width="19.33203125" style="2" customWidth="1"/>
    <col min="10754" max="10754" width="8.88671875" style="2"/>
    <col min="10755" max="10755" width="12.88671875" style="2" customWidth="1"/>
    <col min="10756" max="10758" width="8.88671875" style="2"/>
    <col min="10759" max="10759" width="11.5546875" style="2" customWidth="1"/>
    <col min="10760" max="10760" width="8.88671875" style="2"/>
    <col min="10761" max="10761" width="9.33203125" style="2" bestFit="1" customWidth="1"/>
    <col min="10762" max="10763" width="9.5546875" style="2" bestFit="1" customWidth="1"/>
    <col min="10764" max="11008" width="8.88671875" style="2"/>
    <col min="11009" max="11009" width="19.33203125" style="2" customWidth="1"/>
    <col min="11010" max="11010" width="8.88671875" style="2"/>
    <col min="11011" max="11011" width="12.88671875" style="2" customWidth="1"/>
    <col min="11012" max="11014" width="8.88671875" style="2"/>
    <col min="11015" max="11015" width="11.5546875" style="2" customWidth="1"/>
    <col min="11016" max="11016" width="8.88671875" style="2"/>
    <col min="11017" max="11017" width="9.33203125" style="2" bestFit="1" customWidth="1"/>
    <col min="11018" max="11019" width="9.5546875" style="2" bestFit="1" customWidth="1"/>
    <col min="11020" max="11264" width="8.88671875" style="2"/>
    <col min="11265" max="11265" width="19.33203125" style="2" customWidth="1"/>
    <col min="11266" max="11266" width="8.88671875" style="2"/>
    <col min="11267" max="11267" width="12.88671875" style="2" customWidth="1"/>
    <col min="11268" max="11270" width="8.88671875" style="2"/>
    <col min="11271" max="11271" width="11.5546875" style="2" customWidth="1"/>
    <col min="11272" max="11272" width="8.88671875" style="2"/>
    <col min="11273" max="11273" width="9.33203125" style="2" bestFit="1" customWidth="1"/>
    <col min="11274" max="11275" width="9.5546875" style="2" bestFit="1" customWidth="1"/>
    <col min="11276" max="11520" width="8.88671875" style="2"/>
    <col min="11521" max="11521" width="19.33203125" style="2" customWidth="1"/>
    <col min="11522" max="11522" width="8.88671875" style="2"/>
    <col min="11523" max="11523" width="12.88671875" style="2" customWidth="1"/>
    <col min="11524" max="11526" width="8.88671875" style="2"/>
    <col min="11527" max="11527" width="11.5546875" style="2" customWidth="1"/>
    <col min="11528" max="11528" width="8.88671875" style="2"/>
    <col min="11529" max="11529" width="9.33203125" style="2" bestFit="1" customWidth="1"/>
    <col min="11530" max="11531" width="9.5546875" style="2" bestFit="1" customWidth="1"/>
    <col min="11532" max="11776" width="8.88671875" style="2"/>
    <col min="11777" max="11777" width="19.33203125" style="2" customWidth="1"/>
    <col min="11778" max="11778" width="8.88671875" style="2"/>
    <col min="11779" max="11779" width="12.88671875" style="2" customWidth="1"/>
    <col min="11780" max="11782" width="8.88671875" style="2"/>
    <col min="11783" max="11783" width="11.5546875" style="2" customWidth="1"/>
    <col min="11784" max="11784" width="8.88671875" style="2"/>
    <col min="11785" max="11785" width="9.33203125" style="2" bestFit="1" customWidth="1"/>
    <col min="11786" max="11787" width="9.5546875" style="2" bestFit="1" customWidth="1"/>
    <col min="11788" max="12032" width="8.88671875" style="2"/>
    <col min="12033" max="12033" width="19.33203125" style="2" customWidth="1"/>
    <col min="12034" max="12034" width="8.88671875" style="2"/>
    <col min="12035" max="12035" width="12.88671875" style="2" customWidth="1"/>
    <col min="12036" max="12038" width="8.88671875" style="2"/>
    <col min="12039" max="12039" width="11.5546875" style="2" customWidth="1"/>
    <col min="12040" max="12040" width="8.88671875" style="2"/>
    <col min="12041" max="12041" width="9.33203125" style="2" bestFit="1" customWidth="1"/>
    <col min="12042" max="12043" width="9.5546875" style="2" bestFit="1" customWidth="1"/>
    <col min="12044" max="12288" width="8.88671875" style="2"/>
    <col min="12289" max="12289" width="19.33203125" style="2" customWidth="1"/>
    <col min="12290" max="12290" width="8.88671875" style="2"/>
    <col min="12291" max="12291" width="12.88671875" style="2" customWidth="1"/>
    <col min="12292" max="12294" width="8.88671875" style="2"/>
    <col min="12295" max="12295" width="11.5546875" style="2" customWidth="1"/>
    <col min="12296" max="12296" width="8.88671875" style="2"/>
    <col min="12297" max="12297" width="9.33203125" style="2" bestFit="1" customWidth="1"/>
    <col min="12298" max="12299" width="9.5546875" style="2" bestFit="1" customWidth="1"/>
    <col min="12300" max="12544" width="8.88671875" style="2"/>
    <col min="12545" max="12545" width="19.33203125" style="2" customWidth="1"/>
    <col min="12546" max="12546" width="8.88671875" style="2"/>
    <col min="12547" max="12547" width="12.88671875" style="2" customWidth="1"/>
    <col min="12548" max="12550" width="8.88671875" style="2"/>
    <col min="12551" max="12551" width="11.5546875" style="2" customWidth="1"/>
    <col min="12552" max="12552" width="8.88671875" style="2"/>
    <col min="12553" max="12553" width="9.33203125" style="2" bestFit="1" customWidth="1"/>
    <col min="12554" max="12555" width="9.5546875" style="2" bestFit="1" customWidth="1"/>
    <col min="12556" max="12800" width="8.88671875" style="2"/>
    <col min="12801" max="12801" width="19.33203125" style="2" customWidth="1"/>
    <col min="12802" max="12802" width="8.88671875" style="2"/>
    <col min="12803" max="12803" width="12.88671875" style="2" customWidth="1"/>
    <col min="12804" max="12806" width="8.88671875" style="2"/>
    <col min="12807" max="12807" width="11.5546875" style="2" customWidth="1"/>
    <col min="12808" max="12808" width="8.88671875" style="2"/>
    <col min="12809" max="12809" width="9.33203125" style="2" bestFit="1" customWidth="1"/>
    <col min="12810" max="12811" width="9.5546875" style="2" bestFit="1" customWidth="1"/>
    <col min="12812" max="13056" width="8.88671875" style="2"/>
    <col min="13057" max="13057" width="19.33203125" style="2" customWidth="1"/>
    <col min="13058" max="13058" width="8.88671875" style="2"/>
    <col min="13059" max="13059" width="12.88671875" style="2" customWidth="1"/>
    <col min="13060" max="13062" width="8.88671875" style="2"/>
    <col min="13063" max="13063" width="11.5546875" style="2" customWidth="1"/>
    <col min="13064" max="13064" width="8.88671875" style="2"/>
    <col min="13065" max="13065" width="9.33203125" style="2" bestFit="1" customWidth="1"/>
    <col min="13066" max="13067" width="9.5546875" style="2" bestFit="1" customWidth="1"/>
    <col min="13068" max="13312" width="8.88671875" style="2"/>
    <col min="13313" max="13313" width="19.33203125" style="2" customWidth="1"/>
    <col min="13314" max="13314" width="8.88671875" style="2"/>
    <col min="13315" max="13315" width="12.88671875" style="2" customWidth="1"/>
    <col min="13316" max="13318" width="8.88671875" style="2"/>
    <col min="13319" max="13319" width="11.5546875" style="2" customWidth="1"/>
    <col min="13320" max="13320" width="8.88671875" style="2"/>
    <col min="13321" max="13321" width="9.33203125" style="2" bestFit="1" customWidth="1"/>
    <col min="13322" max="13323" width="9.5546875" style="2" bestFit="1" customWidth="1"/>
    <col min="13324" max="13568" width="8.88671875" style="2"/>
    <col min="13569" max="13569" width="19.33203125" style="2" customWidth="1"/>
    <col min="13570" max="13570" width="8.88671875" style="2"/>
    <col min="13571" max="13571" width="12.88671875" style="2" customWidth="1"/>
    <col min="13572" max="13574" width="8.88671875" style="2"/>
    <col min="13575" max="13575" width="11.5546875" style="2" customWidth="1"/>
    <col min="13576" max="13576" width="8.88671875" style="2"/>
    <col min="13577" max="13577" width="9.33203125" style="2" bestFit="1" customWidth="1"/>
    <col min="13578" max="13579" width="9.5546875" style="2" bestFit="1" customWidth="1"/>
    <col min="13580" max="13824" width="8.88671875" style="2"/>
    <col min="13825" max="13825" width="19.33203125" style="2" customWidth="1"/>
    <col min="13826" max="13826" width="8.88671875" style="2"/>
    <col min="13827" max="13827" width="12.88671875" style="2" customWidth="1"/>
    <col min="13828" max="13830" width="8.88671875" style="2"/>
    <col min="13831" max="13831" width="11.5546875" style="2" customWidth="1"/>
    <col min="13832" max="13832" width="8.88671875" style="2"/>
    <col min="13833" max="13833" width="9.33203125" style="2" bestFit="1" customWidth="1"/>
    <col min="13834" max="13835" width="9.5546875" style="2" bestFit="1" customWidth="1"/>
    <col min="13836" max="14080" width="8.88671875" style="2"/>
    <col min="14081" max="14081" width="19.33203125" style="2" customWidth="1"/>
    <col min="14082" max="14082" width="8.88671875" style="2"/>
    <col min="14083" max="14083" width="12.88671875" style="2" customWidth="1"/>
    <col min="14084" max="14086" width="8.88671875" style="2"/>
    <col min="14087" max="14087" width="11.5546875" style="2" customWidth="1"/>
    <col min="14088" max="14088" width="8.88671875" style="2"/>
    <col min="14089" max="14089" width="9.33203125" style="2" bestFit="1" customWidth="1"/>
    <col min="14090" max="14091" width="9.5546875" style="2" bestFit="1" customWidth="1"/>
    <col min="14092" max="14336" width="8.88671875" style="2"/>
    <col min="14337" max="14337" width="19.33203125" style="2" customWidth="1"/>
    <col min="14338" max="14338" width="8.88671875" style="2"/>
    <col min="14339" max="14339" width="12.88671875" style="2" customWidth="1"/>
    <col min="14340" max="14342" width="8.88671875" style="2"/>
    <col min="14343" max="14343" width="11.5546875" style="2" customWidth="1"/>
    <col min="14344" max="14344" width="8.88671875" style="2"/>
    <col min="14345" max="14345" width="9.33203125" style="2" bestFit="1" customWidth="1"/>
    <col min="14346" max="14347" width="9.5546875" style="2" bestFit="1" customWidth="1"/>
    <col min="14348" max="14592" width="8.88671875" style="2"/>
    <col min="14593" max="14593" width="19.33203125" style="2" customWidth="1"/>
    <col min="14594" max="14594" width="8.88671875" style="2"/>
    <col min="14595" max="14595" width="12.88671875" style="2" customWidth="1"/>
    <col min="14596" max="14598" width="8.88671875" style="2"/>
    <col min="14599" max="14599" width="11.5546875" style="2" customWidth="1"/>
    <col min="14600" max="14600" width="8.88671875" style="2"/>
    <col min="14601" max="14601" width="9.33203125" style="2" bestFit="1" customWidth="1"/>
    <col min="14602" max="14603" width="9.5546875" style="2" bestFit="1" customWidth="1"/>
    <col min="14604" max="14848" width="8.88671875" style="2"/>
    <col min="14849" max="14849" width="19.33203125" style="2" customWidth="1"/>
    <col min="14850" max="14850" width="8.88671875" style="2"/>
    <col min="14851" max="14851" width="12.88671875" style="2" customWidth="1"/>
    <col min="14852" max="14854" width="8.88671875" style="2"/>
    <col min="14855" max="14855" width="11.5546875" style="2" customWidth="1"/>
    <col min="14856" max="14856" width="8.88671875" style="2"/>
    <col min="14857" max="14857" width="9.33203125" style="2" bestFit="1" customWidth="1"/>
    <col min="14858" max="14859" width="9.5546875" style="2" bestFit="1" customWidth="1"/>
    <col min="14860" max="15104" width="8.88671875" style="2"/>
    <col min="15105" max="15105" width="19.33203125" style="2" customWidth="1"/>
    <col min="15106" max="15106" width="8.88671875" style="2"/>
    <col min="15107" max="15107" width="12.88671875" style="2" customWidth="1"/>
    <col min="15108" max="15110" width="8.88671875" style="2"/>
    <col min="15111" max="15111" width="11.5546875" style="2" customWidth="1"/>
    <col min="15112" max="15112" width="8.88671875" style="2"/>
    <col min="15113" max="15113" width="9.33203125" style="2" bestFit="1" customWidth="1"/>
    <col min="15114" max="15115" width="9.5546875" style="2" bestFit="1" customWidth="1"/>
    <col min="15116" max="15360" width="8.88671875" style="2"/>
    <col min="15361" max="15361" width="19.33203125" style="2" customWidth="1"/>
    <col min="15362" max="15362" width="8.88671875" style="2"/>
    <col min="15363" max="15363" width="12.88671875" style="2" customWidth="1"/>
    <col min="15364" max="15366" width="8.88671875" style="2"/>
    <col min="15367" max="15367" width="11.5546875" style="2" customWidth="1"/>
    <col min="15368" max="15368" width="8.88671875" style="2"/>
    <col min="15369" max="15369" width="9.33203125" style="2" bestFit="1" customWidth="1"/>
    <col min="15370" max="15371" width="9.5546875" style="2" bestFit="1" customWidth="1"/>
    <col min="15372" max="15616" width="8.88671875" style="2"/>
    <col min="15617" max="15617" width="19.33203125" style="2" customWidth="1"/>
    <col min="15618" max="15618" width="8.88671875" style="2"/>
    <col min="15619" max="15619" width="12.88671875" style="2" customWidth="1"/>
    <col min="15620" max="15622" width="8.88671875" style="2"/>
    <col min="15623" max="15623" width="11.5546875" style="2" customWidth="1"/>
    <col min="15624" max="15624" width="8.88671875" style="2"/>
    <col min="15625" max="15625" width="9.33203125" style="2" bestFit="1" customWidth="1"/>
    <col min="15626" max="15627" width="9.5546875" style="2" bestFit="1" customWidth="1"/>
    <col min="15628" max="15872" width="8.88671875" style="2"/>
    <col min="15873" max="15873" width="19.33203125" style="2" customWidth="1"/>
    <col min="15874" max="15874" width="8.88671875" style="2"/>
    <col min="15875" max="15875" width="12.88671875" style="2" customWidth="1"/>
    <col min="15876" max="15878" width="8.88671875" style="2"/>
    <col min="15879" max="15879" width="11.5546875" style="2" customWidth="1"/>
    <col min="15880" max="15880" width="8.88671875" style="2"/>
    <col min="15881" max="15881" width="9.33203125" style="2" bestFit="1" customWidth="1"/>
    <col min="15882" max="15883" width="9.5546875" style="2" bestFit="1" customWidth="1"/>
    <col min="15884" max="16128" width="8.88671875" style="2"/>
    <col min="16129" max="16129" width="19.33203125" style="2" customWidth="1"/>
    <col min="16130" max="16130" width="8.88671875" style="2"/>
    <col min="16131" max="16131" width="12.88671875" style="2" customWidth="1"/>
    <col min="16132" max="16134" width="8.88671875" style="2"/>
    <col min="16135" max="16135" width="11.5546875" style="2" customWidth="1"/>
    <col min="16136" max="16136" width="8.88671875" style="2"/>
    <col min="16137" max="16137" width="9.33203125" style="2" bestFit="1" customWidth="1"/>
    <col min="16138" max="16139" width="9.5546875" style="2" bestFit="1" customWidth="1"/>
    <col min="16140" max="16384" width="8.88671875" style="2"/>
  </cols>
  <sheetData>
    <row r="1" spans="1:11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</row>
    <row r="2" spans="1:11" ht="12.75" customHeight="1" x14ac:dyDescent="0.25">
      <c r="A2" s="3" t="s">
        <v>1</v>
      </c>
      <c r="B2" s="2">
        <v>45</v>
      </c>
    </row>
    <row r="3" spans="1:11" ht="12.75" customHeight="1" x14ac:dyDescent="0.25">
      <c r="A3" s="3" t="s">
        <v>2</v>
      </c>
      <c r="B3" s="5">
        <v>0.12</v>
      </c>
    </row>
    <row r="4" spans="1:11" x14ac:dyDescent="0.25">
      <c r="A4" s="3" t="s">
        <v>3</v>
      </c>
      <c r="B4" s="5">
        <v>0.4</v>
      </c>
    </row>
    <row r="5" spans="1:11" x14ac:dyDescent="0.25">
      <c r="A5" s="3" t="s">
        <v>4</v>
      </c>
      <c r="B5" s="5">
        <v>0.06</v>
      </c>
    </row>
    <row r="6" spans="1:11" ht="15.6" x14ac:dyDescent="0.35">
      <c r="A6" s="6" t="s">
        <v>5</v>
      </c>
      <c r="B6" s="2">
        <v>50</v>
      </c>
      <c r="E6" s="7"/>
    </row>
    <row r="7" spans="1:11" x14ac:dyDescent="0.25">
      <c r="A7" s="3" t="s">
        <v>6</v>
      </c>
      <c r="B7" s="8">
        <f>[2]!bscall(B6,B2,1,B5,B4)</f>
        <v>11.739258636484458</v>
      </c>
      <c r="C7" s="4" t="str">
        <f t="shared" ref="C7:C11" ca="1" si="0">_xlfn.FORMULATEXT(B7)</f>
        <v>=bscall(B6,B2,1,B5,B4)</v>
      </c>
    </row>
    <row r="8" spans="1:11" ht="26.4" x14ac:dyDescent="0.25">
      <c r="A8" s="3" t="s">
        <v>7</v>
      </c>
      <c r="B8" s="8">
        <f>B6-B7</f>
        <v>38.260741363515542</v>
      </c>
      <c r="C8" s="4" t="str">
        <f t="shared" ca="1" si="0"/>
        <v>=B6-B7</v>
      </c>
    </row>
    <row r="9" spans="1:11" x14ac:dyDescent="0.25">
      <c r="A9" s="3"/>
    </row>
    <row r="10" spans="1:11" ht="26.4" x14ac:dyDescent="0.25">
      <c r="A10" s="9" t="s">
        <v>8</v>
      </c>
      <c r="B10" s="10">
        <f ca="1">K66</f>
        <v>44.847842899451564</v>
      </c>
      <c r="C10" s="4" t="str">
        <f t="shared" ca="1" si="0"/>
        <v>=K66</v>
      </c>
    </row>
    <row r="11" spans="1:11" ht="26.4" x14ac:dyDescent="0.25">
      <c r="A11" s="9" t="s">
        <v>9</v>
      </c>
      <c r="B11" s="10">
        <f ca="1">J66-MAX(J66-B2,0)</f>
        <v>45</v>
      </c>
      <c r="C11" s="4" t="str">
        <f t="shared" ca="1" si="0"/>
        <v>=J66-MAX(J66-B2,0)</v>
      </c>
    </row>
    <row r="13" spans="1:11" x14ac:dyDescent="0.25">
      <c r="B13" s="11"/>
      <c r="C13" s="12"/>
    </row>
    <row r="14" spans="1:11" s="15" customFormat="1" ht="52.8" x14ac:dyDescent="0.25">
      <c r="A14" s="13" t="s">
        <v>10</v>
      </c>
      <c r="B14" s="13" t="s">
        <v>11</v>
      </c>
      <c r="C14" s="14" t="s">
        <v>12</v>
      </c>
      <c r="D14" s="15" t="s">
        <v>13</v>
      </c>
      <c r="E14" s="15" t="s">
        <v>14</v>
      </c>
      <c r="F14" s="15" t="s">
        <v>15</v>
      </c>
      <c r="G14" s="15" t="s">
        <v>16</v>
      </c>
      <c r="I14" s="15" t="s">
        <v>17</v>
      </c>
      <c r="J14" s="15" t="s">
        <v>18</v>
      </c>
      <c r="K14" s="15" t="s">
        <v>19</v>
      </c>
    </row>
    <row r="15" spans="1:11" x14ac:dyDescent="0.25">
      <c r="A15" s="16">
        <v>0</v>
      </c>
      <c r="B15" s="8">
        <f t="shared" ref="B15:B66" si="1">A15/52</f>
        <v>0</v>
      </c>
      <c r="C15" s="4">
        <f>B6</f>
        <v>50</v>
      </c>
      <c r="D15" s="8">
        <f>(LN(C15/$B$2)+($B$5+0.5*$B$4^2)*(1-B15))/($B$4*SQRT((1-B15)))</f>
        <v>0.61340128914456582</v>
      </c>
      <c r="E15" s="8">
        <f>C15*(1-NORMSDIST(D15))</f>
        <v>13.490275846506517</v>
      </c>
      <c r="F15" s="8">
        <f>B2*EXP(-B5*(1-B15))*NORMSDIST(D15-B4*SQRT(1-B15))</f>
        <v>24.770465517009029</v>
      </c>
      <c r="G15" s="8">
        <f>E15+F15</f>
        <v>38.26074136351555</v>
      </c>
      <c r="I15" s="8">
        <f ca="1">NORMSINV(RAND())</f>
        <v>-0.41251837810156644</v>
      </c>
      <c r="J15" s="8">
        <f ca="1">C15*EXP($B$3*(1/52)+$B$4*SQRT(1/52)*I15)</f>
        <v>48.981775247806588</v>
      </c>
      <c r="K15" s="8">
        <f ca="1">E15*J15/C15+F15*EXP($B$5*(1/52))</f>
        <v>38.014616509823782</v>
      </c>
    </row>
    <row r="16" spans="1:11" x14ac:dyDescent="0.25">
      <c r="A16" s="16">
        <v>1</v>
      </c>
      <c r="B16" s="8">
        <f t="shared" si="1"/>
        <v>1.9230769230769232E-2</v>
      </c>
      <c r="C16" s="4">
        <f ca="1">J15</f>
        <v>48.981775247806588</v>
      </c>
      <c r="D16" s="8">
        <f t="shared" ref="D16:D66" ca="1" si="2">(LN(C16/$B$2)+($B$5+0.5*$B$4^2)*(1-B16))/($B$4*SQRT((1-B16)))</f>
        <v>0.56065078722009398</v>
      </c>
      <c r="E16" s="8">
        <f ca="1">C16*(1-NORMSDIST(D16))</f>
        <v>14.083132801208189</v>
      </c>
      <c r="F16" s="8">
        <f ca="1">K15-E16</f>
        <v>23.931483708615595</v>
      </c>
      <c r="G16" s="8">
        <f ca="1">E16+F16</f>
        <v>38.014616509823782</v>
      </c>
      <c r="I16" s="8">
        <f ca="1">NORMSINV(RAND())</f>
        <v>1.2824343857247855</v>
      </c>
      <c r="J16" s="8">
        <f ca="1">C16*EXP($B$3*(1/52)+$B$4*SQRT(1/52)*I16)</f>
        <v>52.714610070032826</v>
      </c>
      <c r="K16" s="8">
        <f t="shared" ref="K16:K66" ca="1" si="3">E16*J16/C16+F16*EXP($B$5*(1/52))</f>
        <v>39.115502194251803</v>
      </c>
    </row>
    <row r="17" spans="1:11" x14ac:dyDescent="0.25">
      <c r="A17" s="16">
        <v>2</v>
      </c>
      <c r="B17" s="8">
        <f t="shared" si="1"/>
        <v>3.8461538461538464E-2</v>
      </c>
      <c r="C17" s="4">
        <f ca="1">J16</f>
        <v>52.714610070032826</v>
      </c>
      <c r="D17" s="8">
        <f t="shared" ca="1" si="2"/>
        <v>0.74661256886146132</v>
      </c>
      <c r="E17" s="8">
        <f ca="1">C17*(1-NORMSDIST(D17))</f>
        <v>12.000414015488335</v>
      </c>
      <c r="F17" s="8">
        <f ca="1">K16-E17</f>
        <v>27.115088178763468</v>
      </c>
      <c r="G17" s="8">
        <f ca="1">E17+F17</f>
        <v>39.115502194251803</v>
      </c>
      <c r="I17" s="8">
        <f t="shared" ref="I17:I66" ca="1" si="4">NORMSINV(RAND())</f>
        <v>-1.1405347920517839</v>
      </c>
      <c r="J17" s="8">
        <f ca="1">C17*EXP($B$3*(1/52)+$B$4*SQRT(1/52)*I17)</f>
        <v>49.597223436875765</v>
      </c>
      <c r="K17" s="8">
        <f t="shared" ca="1" si="3"/>
        <v>38.437137784577175</v>
      </c>
    </row>
    <row r="18" spans="1:11" x14ac:dyDescent="0.25">
      <c r="A18" s="16">
        <v>3</v>
      </c>
      <c r="B18" s="8">
        <f t="shared" si="1"/>
        <v>5.7692307692307696E-2</v>
      </c>
      <c r="C18" s="4">
        <f t="shared" ref="C18:C66" ca="1" si="5">J17</f>
        <v>49.597223436875765</v>
      </c>
      <c r="D18" s="8">
        <f t="shared" ca="1" si="2"/>
        <v>0.59026850844369638</v>
      </c>
      <c r="E18" s="8">
        <f t="shared" ref="E18:E66" ca="1" si="6">C18*(1-NORMSDIST(D18))</f>
        <v>13.763493574684487</v>
      </c>
      <c r="F18" s="8">
        <f t="shared" ref="F18:F66" ca="1" si="7">K17-E18</f>
        <v>24.673644209892686</v>
      </c>
      <c r="G18" s="8">
        <f t="shared" ref="G18:G66" ca="1" si="8">E18+F18</f>
        <v>38.437137784577175</v>
      </c>
      <c r="I18" s="8">
        <f t="shared" ca="1" si="4"/>
        <v>-0.79089662036509778</v>
      </c>
      <c r="J18" s="8">
        <f t="shared" ref="J18:J66" ca="1" si="9">C18*EXP($B$3*(1/52)+$B$4*SQRT(1/52)*I18)</f>
        <v>47.57804875807004</v>
      </c>
      <c r="K18" s="8">
        <f t="shared" ca="1" si="3"/>
        <v>37.905292081053474</v>
      </c>
    </row>
    <row r="19" spans="1:11" x14ac:dyDescent="0.25">
      <c r="A19" s="16">
        <v>4</v>
      </c>
      <c r="B19" s="8">
        <f t="shared" si="1"/>
        <v>7.6923076923076927E-2</v>
      </c>
      <c r="C19" s="4">
        <f t="shared" ca="1" si="5"/>
        <v>47.57804875807004</v>
      </c>
      <c r="D19" s="8">
        <f t="shared" ca="1" si="2"/>
        <v>0.48122854879870236</v>
      </c>
      <c r="E19" s="8">
        <f t="shared" ca="1" si="6"/>
        <v>14.995508401834996</v>
      </c>
      <c r="F19" s="8">
        <f t="shared" ca="1" si="7"/>
        <v>22.909783679218478</v>
      </c>
      <c r="G19" s="8">
        <f t="shared" ca="1" si="8"/>
        <v>37.905292081053474</v>
      </c>
      <c r="I19" s="8">
        <f t="shared" ca="1" si="4"/>
        <v>-0.61247842423603727</v>
      </c>
      <c r="J19" s="8">
        <f t="shared" ca="1" si="9"/>
        <v>46.095023608564716</v>
      </c>
      <c r="K19" s="8">
        <f t="shared" ca="1" si="3"/>
        <v>37.464326231879248</v>
      </c>
    </row>
    <row r="20" spans="1:11" x14ac:dyDescent="0.25">
      <c r="A20" s="16">
        <v>5</v>
      </c>
      <c r="B20" s="8">
        <f t="shared" si="1"/>
        <v>9.6153846153846159E-2</v>
      </c>
      <c r="C20" s="4">
        <f t="shared" ca="1" si="5"/>
        <v>46.095023608564716</v>
      </c>
      <c r="D20" s="8">
        <f t="shared" ca="1" si="2"/>
        <v>0.39597050432504416</v>
      </c>
      <c r="E20" s="8">
        <f t="shared" ca="1" si="6"/>
        <v>15.951800309932979</v>
      </c>
      <c r="F20" s="8">
        <f t="shared" ca="1" si="7"/>
        <v>21.512525921946271</v>
      </c>
      <c r="G20" s="8">
        <f t="shared" ca="1" si="8"/>
        <v>37.464326231879248</v>
      </c>
      <c r="I20" s="8">
        <f t="shared" ca="1" si="4"/>
        <v>0.64938895953809883</v>
      </c>
      <c r="J20" s="8">
        <f t="shared" ca="1" si="9"/>
        <v>47.896110804421347</v>
      </c>
      <c r="K20" s="8">
        <f t="shared" ca="1" si="3"/>
        <v>38.112453050783586</v>
      </c>
    </row>
    <row r="21" spans="1:11" x14ac:dyDescent="0.25">
      <c r="A21" s="16">
        <v>6</v>
      </c>
      <c r="B21" s="8">
        <f t="shared" si="1"/>
        <v>0.11538461538461539</v>
      </c>
      <c r="C21" s="4">
        <f t="shared" ca="1" si="5"/>
        <v>47.896110804421347</v>
      </c>
      <c r="D21" s="8">
        <f t="shared" ca="1" si="2"/>
        <v>0.49497624342032737</v>
      </c>
      <c r="E21" s="8">
        <f t="shared" ca="1" si="6"/>
        <v>14.862567665401407</v>
      </c>
      <c r="F21" s="8">
        <f t="shared" ca="1" si="7"/>
        <v>23.249885385382179</v>
      </c>
      <c r="G21" s="8">
        <f t="shared" ca="1" si="8"/>
        <v>38.112453050783586</v>
      </c>
      <c r="I21" s="8">
        <f t="shared" ca="1" si="4"/>
        <v>0.75765525684521651</v>
      </c>
      <c r="J21" s="8">
        <f t="shared" ca="1" si="9"/>
        <v>50.067352618160939</v>
      </c>
      <c r="K21" s="8">
        <f t="shared" ca="1" si="3"/>
        <v>38.813049995508564</v>
      </c>
    </row>
    <row r="22" spans="1:11" x14ac:dyDescent="0.25">
      <c r="A22" s="16">
        <v>7</v>
      </c>
      <c r="B22" s="8">
        <f t="shared" si="1"/>
        <v>0.13461538461538461</v>
      </c>
      <c r="C22" s="4">
        <f t="shared" ca="1" si="5"/>
        <v>50.067352618160939</v>
      </c>
      <c r="D22" s="8">
        <f t="shared" ca="1" si="2"/>
        <v>0.61235671461560592</v>
      </c>
      <c r="E22" s="8">
        <f t="shared" ca="1" si="6"/>
        <v>13.52573971135344</v>
      </c>
      <c r="F22" s="8">
        <f t="shared" ca="1" si="7"/>
        <v>25.287310284155126</v>
      </c>
      <c r="G22" s="8">
        <f t="shared" ca="1" si="8"/>
        <v>38.813049995508564</v>
      </c>
      <c r="I22" s="8">
        <f t="shared" ca="1" si="4"/>
        <v>-1.1406923101330113</v>
      </c>
      <c r="J22" s="8">
        <f t="shared" ca="1" si="9"/>
        <v>47.106105393549107</v>
      </c>
      <c r="K22" s="8">
        <f t="shared" ca="1" si="3"/>
        <v>38.042260937094838</v>
      </c>
    </row>
    <row r="23" spans="1:11" x14ac:dyDescent="0.25">
      <c r="A23" s="16">
        <v>8</v>
      </c>
      <c r="B23" s="8">
        <f t="shared" si="1"/>
        <v>0.15384615384615385</v>
      </c>
      <c r="C23" s="4">
        <f t="shared" ca="1" si="5"/>
        <v>47.106105393549107</v>
      </c>
      <c r="D23" s="8">
        <f t="shared" ca="1" si="2"/>
        <v>0.44626508055705749</v>
      </c>
      <c r="E23" s="8">
        <f t="shared" ca="1" si="6"/>
        <v>15.436806804526441</v>
      </c>
      <c r="F23" s="8">
        <f t="shared" ca="1" si="7"/>
        <v>22.605454132568397</v>
      </c>
      <c r="G23" s="8">
        <f t="shared" ca="1" si="8"/>
        <v>38.042260937094838</v>
      </c>
      <c r="I23" s="8">
        <f t="shared" ca="1" si="4"/>
        <v>0.71575649758247328</v>
      </c>
      <c r="J23" s="8">
        <f t="shared" ca="1" si="9"/>
        <v>49.127223835712073</v>
      </c>
      <c r="K23" s="8">
        <f t="shared" ca="1" si="3"/>
        <v>38.730685558743971</v>
      </c>
    </row>
    <row r="24" spans="1:11" x14ac:dyDescent="0.25">
      <c r="A24" s="16">
        <v>9</v>
      </c>
      <c r="B24" s="8">
        <f t="shared" si="1"/>
        <v>0.17307692307692307</v>
      </c>
      <c r="C24" s="4">
        <f t="shared" ca="1" si="5"/>
        <v>49.127223835712073</v>
      </c>
      <c r="D24" s="8">
        <f t="shared" ca="1" si="2"/>
        <v>0.55951884108759931</v>
      </c>
      <c r="E24" s="8">
        <f t="shared" ca="1" si="6"/>
        <v>14.143916301101868</v>
      </c>
      <c r="F24" s="8">
        <f t="shared" ca="1" si="7"/>
        <v>24.586769257642104</v>
      </c>
      <c r="G24" s="8">
        <f t="shared" ca="1" si="8"/>
        <v>38.730685558743971</v>
      </c>
      <c r="I24" s="8">
        <f t="shared" ca="1" si="4"/>
        <v>0.96342858428304334</v>
      </c>
      <c r="J24" s="8">
        <f t="shared" ca="1" si="9"/>
        <v>51.943803530593641</v>
      </c>
      <c r="K24" s="8">
        <f t="shared" ca="1" si="3"/>
        <v>39.569975385793867</v>
      </c>
    </row>
    <row r="25" spans="1:11" x14ac:dyDescent="0.25">
      <c r="A25" s="16">
        <v>10</v>
      </c>
      <c r="B25" s="8">
        <f t="shared" si="1"/>
        <v>0.19230769230769232</v>
      </c>
      <c r="C25" s="4">
        <f t="shared" ca="1" si="5"/>
        <v>51.943803530593641</v>
      </c>
      <c r="D25" s="8">
        <f t="shared" ca="1" si="2"/>
        <v>0.71373095309726242</v>
      </c>
      <c r="E25" s="8">
        <f t="shared" ca="1" si="6"/>
        <v>12.346874904145498</v>
      </c>
      <c r="F25" s="8">
        <f t="shared" ca="1" si="7"/>
        <v>27.22310048164837</v>
      </c>
      <c r="G25" s="8">
        <f t="shared" ca="1" si="8"/>
        <v>39.569975385793867</v>
      </c>
      <c r="I25" s="8">
        <f t="shared" ca="1" si="4"/>
        <v>-0.56656710473781646</v>
      </c>
      <c r="J25" s="8">
        <f t="shared" ca="1" si="9"/>
        <v>50.453021538896948</v>
      </c>
      <c r="K25" s="8">
        <f t="shared" ca="1" si="3"/>
        <v>39.247050703494523</v>
      </c>
    </row>
    <row r="26" spans="1:11" x14ac:dyDescent="0.25">
      <c r="A26" s="16">
        <v>11</v>
      </c>
      <c r="B26" s="8">
        <f t="shared" si="1"/>
        <v>0.21153846153846154</v>
      </c>
      <c r="C26" s="4">
        <f t="shared" ca="1" si="5"/>
        <v>50.453021538896948</v>
      </c>
      <c r="D26" s="8">
        <f t="shared" ca="1" si="2"/>
        <v>0.63281676694200217</v>
      </c>
      <c r="E26" s="8">
        <f t="shared" ca="1" si="6"/>
        <v>13.290670602067145</v>
      </c>
      <c r="F26" s="8">
        <f t="shared" ca="1" si="7"/>
        <v>25.956380101427378</v>
      </c>
      <c r="G26" s="8">
        <f t="shared" ca="1" si="8"/>
        <v>39.247050703494523</v>
      </c>
      <c r="I26" s="8">
        <f t="shared" ca="1" si="4"/>
        <v>-0.11266747940280994</v>
      </c>
      <c r="J26" s="8">
        <f t="shared" ca="1" si="9"/>
        <v>50.254528474424738</v>
      </c>
      <c r="K26" s="8">
        <f t="shared" ca="1" si="3"/>
        <v>39.224729294510574</v>
      </c>
    </row>
    <row r="27" spans="1:11" x14ac:dyDescent="0.25">
      <c r="A27" s="16">
        <v>12</v>
      </c>
      <c r="B27" s="8">
        <f t="shared" si="1"/>
        <v>0.23076923076923078</v>
      </c>
      <c r="C27" s="4">
        <f t="shared" ca="1" si="5"/>
        <v>50.254528474424738</v>
      </c>
      <c r="D27" s="8">
        <f t="shared" ca="1" si="2"/>
        <v>0.62176753103255589</v>
      </c>
      <c r="E27" s="8">
        <f t="shared" ca="1" si="6"/>
        <v>13.420339639635548</v>
      </c>
      <c r="F27" s="8">
        <f t="shared" ca="1" si="7"/>
        <v>25.804389654875024</v>
      </c>
      <c r="G27" s="8">
        <f t="shared" ca="1" si="8"/>
        <v>39.224729294510574</v>
      </c>
      <c r="I27" s="8">
        <f t="shared" ca="1" si="4"/>
        <v>-0.84922094186738528</v>
      </c>
      <c r="J27" s="8">
        <f t="shared" ca="1" si="9"/>
        <v>48.052879067103483</v>
      </c>
      <c r="K27" s="8">
        <f t="shared" ca="1" si="3"/>
        <v>38.666576091344325</v>
      </c>
    </row>
    <row r="28" spans="1:11" x14ac:dyDescent="0.25">
      <c r="A28" s="16">
        <v>13</v>
      </c>
      <c r="B28" s="8">
        <f t="shared" si="1"/>
        <v>0.25</v>
      </c>
      <c r="C28" s="4">
        <f t="shared" ca="1" si="5"/>
        <v>48.052879067103483</v>
      </c>
      <c r="D28" s="8">
        <f t="shared" ca="1" si="2"/>
        <v>0.49259398527803211</v>
      </c>
      <c r="E28" s="8">
        <f t="shared" ca="1" si="6"/>
        <v>14.951641279407207</v>
      </c>
      <c r="F28" s="8">
        <f t="shared" ca="1" si="7"/>
        <v>23.71493481193712</v>
      </c>
      <c r="G28" s="8">
        <f t="shared" ca="1" si="8"/>
        <v>38.666576091344325</v>
      </c>
      <c r="I28" s="8">
        <f t="shared" ca="1" si="4"/>
        <v>-0.72061907594067931</v>
      </c>
      <c r="J28" s="8">
        <f t="shared" ca="1" si="9"/>
        <v>46.276625731155022</v>
      </c>
      <c r="K28" s="8">
        <f t="shared" ca="1" si="3"/>
        <v>38.14127448996706</v>
      </c>
    </row>
    <row r="29" spans="1:11" x14ac:dyDescent="0.25">
      <c r="A29" s="16">
        <v>14</v>
      </c>
      <c r="B29" s="8">
        <f t="shared" si="1"/>
        <v>0.26923076923076922</v>
      </c>
      <c r="C29" s="4">
        <f t="shared" ca="1" si="5"/>
        <v>46.276625731155022</v>
      </c>
      <c r="D29" s="8">
        <f t="shared" ca="1" si="2"/>
        <v>0.38100874187874179</v>
      </c>
      <c r="E29" s="8">
        <f t="shared" ca="1" si="6"/>
        <v>16.270786681799361</v>
      </c>
      <c r="F29" s="8">
        <f t="shared" ca="1" si="7"/>
        <v>21.870487808167699</v>
      </c>
      <c r="G29" s="8">
        <f t="shared" ca="1" si="8"/>
        <v>38.14127448996706</v>
      </c>
      <c r="I29" s="8">
        <f t="shared" ca="1" si="4"/>
        <v>1.497876067864047</v>
      </c>
      <c r="J29" s="8">
        <f t="shared" ca="1" si="9"/>
        <v>50.402052425699821</v>
      </c>
      <c r="K29" s="8">
        <f t="shared" ca="1" si="3"/>
        <v>39.617017578996524</v>
      </c>
    </row>
    <row r="30" spans="1:11" x14ac:dyDescent="0.25">
      <c r="A30" s="16">
        <v>15</v>
      </c>
      <c r="B30" s="8">
        <f t="shared" si="1"/>
        <v>0.28846153846153844</v>
      </c>
      <c r="C30" s="4">
        <f t="shared" ca="1" si="5"/>
        <v>50.402052425699821</v>
      </c>
      <c r="D30" s="8">
        <f t="shared" ca="1" si="2"/>
        <v>0.6312325888076209</v>
      </c>
      <c r="E30" s="8">
        <f t="shared" ca="1" si="6"/>
        <v>13.303330831617847</v>
      </c>
      <c r="F30" s="8">
        <f t="shared" ca="1" si="7"/>
        <v>26.313686747378675</v>
      </c>
      <c r="G30" s="8">
        <f t="shared" ca="1" si="8"/>
        <v>39.617017578996524</v>
      </c>
      <c r="I30" s="8">
        <f t="shared" ca="1" si="4"/>
        <v>-9.2229495051698043E-2</v>
      </c>
      <c r="J30" s="8">
        <f t="shared" ca="1" si="9"/>
        <v>50.260707930769847</v>
      </c>
      <c r="K30" s="8">
        <f t="shared" ca="1" si="3"/>
        <v>39.610089984853005</v>
      </c>
    </row>
    <row r="31" spans="1:11" x14ac:dyDescent="0.25">
      <c r="A31" s="16">
        <v>16</v>
      </c>
      <c r="B31" s="8">
        <f t="shared" si="1"/>
        <v>0.30769230769230771</v>
      </c>
      <c r="C31" s="4">
        <f t="shared" ca="1" si="5"/>
        <v>50.260707930769847</v>
      </c>
      <c r="D31" s="8">
        <f t="shared" ca="1" si="2"/>
        <v>0.6234124485996041</v>
      </c>
      <c r="E31" s="8">
        <f t="shared" ca="1" si="6"/>
        <v>13.394818414873663</v>
      </c>
      <c r="F31" s="8">
        <f t="shared" ca="1" si="7"/>
        <v>26.215271569979343</v>
      </c>
      <c r="G31" s="8">
        <f t="shared" ca="1" si="8"/>
        <v>39.610089984853005</v>
      </c>
      <c r="I31" s="8">
        <f t="shared" ca="1" si="4"/>
        <v>-1.1377071803569743</v>
      </c>
      <c r="J31" s="8">
        <f t="shared" ca="1" si="9"/>
        <v>47.295855499144302</v>
      </c>
      <c r="K31" s="8">
        <f t="shared" ca="1" si="3"/>
        <v>38.850202618056208</v>
      </c>
    </row>
    <row r="32" spans="1:11" x14ac:dyDescent="0.25">
      <c r="A32" s="16">
        <v>17</v>
      </c>
      <c r="B32" s="8">
        <f t="shared" si="1"/>
        <v>0.32692307692307693</v>
      </c>
      <c r="C32" s="4">
        <f t="shared" ca="1" si="5"/>
        <v>47.295855499144302</v>
      </c>
      <c r="D32" s="8">
        <f t="shared" ca="1" si="2"/>
        <v>0.4387759891614918</v>
      </c>
      <c r="E32" s="8">
        <f t="shared" ca="1" si="6"/>
        <v>15.627114894282705</v>
      </c>
      <c r="F32" s="8">
        <f t="shared" ca="1" si="7"/>
        <v>23.223087723773503</v>
      </c>
      <c r="G32" s="8">
        <f t="shared" ca="1" si="8"/>
        <v>38.850202618056208</v>
      </c>
      <c r="I32" s="8">
        <f t="shared" ca="1" si="4"/>
        <v>-1.2767786890222041</v>
      </c>
      <c r="J32" s="8">
        <f t="shared" ca="1" si="9"/>
        <v>44.163887199698671</v>
      </c>
      <c r="K32" s="8">
        <f t="shared" ca="1" si="3"/>
        <v>37.842174263236714</v>
      </c>
    </row>
    <row r="33" spans="1:11" x14ac:dyDescent="0.25">
      <c r="A33" s="16">
        <v>18</v>
      </c>
      <c r="B33" s="8">
        <f t="shared" si="1"/>
        <v>0.34615384615384615</v>
      </c>
      <c r="C33" s="4">
        <f t="shared" ca="1" si="5"/>
        <v>44.163887199698671</v>
      </c>
      <c r="D33" s="8">
        <f t="shared" ca="1" si="2"/>
        <v>0.22502694945447319</v>
      </c>
      <c r="E33" s="8">
        <f t="shared" ca="1" si="6"/>
        <v>18.150437025734373</v>
      </c>
      <c r="F33" s="8">
        <f t="shared" ca="1" si="7"/>
        <v>19.691737237502341</v>
      </c>
      <c r="G33" s="8">
        <f t="shared" ca="1" si="8"/>
        <v>37.842174263236714</v>
      </c>
      <c r="I33" s="8">
        <f t="shared" ca="1" si="4"/>
        <v>0.27508972966149864</v>
      </c>
      <c r="J33" s="8">
        <f t="shared" ca="1" si="9"/>
        <v>44.946565391268216</v>
      </c>
      <c r="K33" s="8">
        <f t="shared" ca="1" si="3"/>
        <v>38.186573033463773</v>
      </c>
    </row>
    <row r="34" spans="1:11" x14ac:dyDescent="0.25">
      <c r="A34" s="16">
        <v>19</v>
      </c>
      <c r="B34" s="8">
        <f t="shared" si="1"/>
        <v>0.36538461538461536</v>
      </c>
      <c r="C34" s="4">
        <f t="shared" ca="1" si="5"/>
        <v>44.946565391268216</v>
      </c>
      <c r="D34" s="8">
        <f t="shared" ca="1" si="2"/>
        <v>0.27509096719031506</v>
      </c>
      <c r="E34" s="8">
        <f t="shared" ca="1" si="6"/>
        <v>17.602116668725127</v>
      </c>
      <c r="F34" s="8">
        <f t="shared" ca="1" si="7"/>
        <v>20.584456364738646</v>
      </c>
      <c r="G34" s="8">
        <f t="shared" ca="1" si="8"/>
        <v>38.186573033463773</v>
      </c>
      <c r="I34" s="8">
        <f t="shared" ca="1" si="4"/>
        <v>1.7941840176066577</v>
      </c>
      <c r="J34" s="8">
        <f t="shared" ca="1" si="9"/>
        <v>49.764678406323092</v>
      </c>
      <c r="K34" s="8">
        <f t="shared" ca="1" si="3"/>
        <v>40.097222756340287</v>
      </c>
    </row>
    <row r="35" spans="1:11" x14ac:dyDescent="0.25">
      <c r="A35" s="16">
        <v>20</v>
      </c>
      <c r="B35" s="8">
        <f t="shared" si="1"/>
        <v>0.38461538461538464</v>
      </c>
      <c r="C35" s="4">
        <f t="shared" ca="1" si="5"/>
        <v>49.764678406323092</v>
      </c>
      <c r="D35" s="8">
        <f t="shared" ca="1" si="2"/>
        <v>0.59530039331975559</v>
      </c>
      <c r="E35" s="8">
        <f t="shared" ca="1" si="6"/>
        <v>13.726160607645964</v>
      </c>
      <c r="F35" s="8">
        <f t="shared" ca="1" si="7"/>
        <v>26.371062148694321</v>
      </c>
      <c r="G35" s="8">
        <f t="shared" ca="1" si="8"/>
        <v>40.097222756340287</v>
      </c>
      <c r="I35" s="8">
        <f t="shared" ca="1" si="4"/>
        <v>0.75507474777111605</v>
      </c>
      <c r="J35" s="8">
        <f t="shared" ca="1" si="9"/>
        <v>52.013180978375175</v>
      </c>
      <c r="K35" s="8">
        <f t="shared" ca="1" si="3"/>
        <v>40.747853473527023</v>
      </c>
    </row>
    <row r="36" spans="1:11" x14ac:dyDescent="0.25">
      <c r="A36" s="16">
        <v>21</v>
      </c>
      <c r="B36" s="8">
        <f t="shared" si="1"/>
        <v>0.40384615384615385</v>
      </c>
      <c r="C36" s="4">
        <f t="shared" ca="1" si="5"/>
        <v>52.013180978375175</v>
      </c>
      <c r="D36" s="8">
        <f t="shared" ca="1" si="2"/>
        <v>0.73919589386173357</v>
      </c>
      <c r="E36" s="8">
        <f t="shared" ca="1" si="6"/>
        <v>11.957519628048031</v>
      </c>
      <c r="F36" s="8">
        <f t="shared" ca="1" si="7"/>
        <v>28.79033384547899</v>
      </c>
      <c r="G36" s="8">
        <f t="shared" ca="1" si="8"/>
        <v>40.747853473527023</v>
      </c>
      <c r="I36" s="8">
        <f t="shared" ca="1" si="4"/>
        <v>-1.0337061461984409</v>
      </c>
      <c r="J36" s="8">
        <f t="shared" ca="1" si="9"/>
        <v>49.228127579358123</v>
      </c>
      <c r="K36" s="8">
        <f t="shared" ca="1" si="3"/>
        <v>40.140825120951149</v>
      </c>
    </row>
    <row r="37" spans="1:11" x14ac:dyDescent="0.25">
      <c r="A37" s="16">
        <v>22</v>
      </c>
      <c r="B37" s="8">
        <f t="shared" si="1"/>
        <v>0.42307692307692307</v>
      </c>
      <c r="C37" s="4">
        <f t="shared" ca="1" si="5"/>
        <v>49.228127579358123</v>
      </c>
      <c r="D37" s="8">
        <f t="shared" ca="1" si="2"/>
        <v>0.56142085335117531</v>
      </c>
      <c r="E37" s="8">
        <f t="shared" ca="1" si="6"/>
        <v>14.141042313316644</v>
      </c>
      <c r="F37" s="8">
        <f t="shared" ca="1" si="7"/>
        <v>25.999782807634503</v>
      </c>
      <c r="G37" s="8">
        <f t="shared" ca="1" si="8"/>
        <v>40.140825120951149</v>
      </c>
      <c r="I37" s="8">
        <f t="shared" ca="1" si="4"/>
        <v>-1.8906910220216127</v>
      </c>
      <c r="J37" s="8">
        <f t="shared" ca="1" si="9"/>
        <v>44.429167664015225</v>
      </c>
      <c r="K37" s="8">
        <f t="shared" ca="1" si="3"/>
        <v>38.792315343094792</v>
      </c>
    </row>
    <row r="38" spans="1:11" x14ac:dyDescent="0.25">
      <c r="A38" s="16">
        <v>23</v>
      </c>
      <c r="B38" s="8">
        <f t="shared" si="1"/>
        <v>0.44230769230769229</v>
      </c>
      <c r="C38" s="4">
        <f t="shared" ca="1" si="5"/>
        <v>44.429167664015225</v>
      </c>
      <c r="D38" s="8">
        <f t="shared" ca="1" si="2"/>
        <v>0.21863841201444428</v>
      </c>
      <c r="E38" s="8">
        <f t="shared" ca="1" si="6"/>
        <v>18.36994419887111</v>
      </c>
      <c r="F38" s="8">
        <f t="shared" ca="1" si="7"/>
        <v>20.422371144223682</v>
      </c>
      <c r="G38" s="8">
        <f t="shared" ca="1" si="8"/>
        <v>38.792315343094792</v>
      </c>
      <c r="I38" s="8">
        <f t="shared" ca="1" si="4"/>
        <v>-0.3010615023024904</v>
      </c>
      <c r="J38" s="8">
        <f t="shared" ca="1" si="9"/>
        <v>43.794313841807643</v>
      </c>
      <c r="K38" s="8">
        <f t="shared" ca="1" si="3"/>
        <v>38.553402833327901</v>
      </c>
    </row>
    <row r="39" spans="1:11" x14ac:dyDescent="0.25">
      <c r="A39" s="16">
        <v>24</v>
      </c>
      <c r="B39" s="8">
        <f t="shared" si="1"/>
        <v>0.46153846153846156</v>
      </c>
      <c r="C39" s="4">
        <f t="shared" ca="1" si="5"/>
        <v>43.794313841807643</v>
      </c>
      <c r="D39" s="8">
        <f t="shared" ca="1" si="2"/>
        <v>0.16430278678815513</v>
      </c>
      <c r="E39" s="8">
        <f t="shared" ca="1" si="6"/>
        <v>19.039420019748608</v>
      </c>
      <c r="F39" s="8">
        <f t="shared" ca="1" si="7"/>
        <v>19.513982813579293</v>
      </c>
      <c r="G39" s="8">
        <f t="shared" ca="1" si="8"/>
        <v>38.553402833327901</v>
      </c>
      <c r="I39" s="8">
        <f t="shared" ca="1" si="4"/>
        <v>1.2903713870475009</v>
      </c>
      <c r="J39" s="8">
        <f t="shared" ca="1" si="9"/>
        <v>47.152574336729501</v>
      </c>
      <c r="K39" s="8">
        <f t="shared" ca="1" si="3"/>
        <v>40.035923602646179</v>
      </c>
    </row>
    <row r="40" spans="1:11" x14ac:dyDescent="0.25">
      <c r="A40" s="16">
        <v>25</v>
      </c>
      <c r="B40" s="8">
        <f t="shared" si="1"/>
        <v>0.48076923076923078</v>
      </c>
      <c r="C40" s="4">
        <f t="shared" ca="1" si="5"/>
        <v>47.152574336729501</v>
      </c>
      <c r="D40" s="8">
        <f t="shared" ca="1" si="2"/>
        <v>0.41431545624020444</v>
      </c>
      <c r="E40" s="8">
        <f t="shared" ca="1" si="6"/>
        <v>15.999884512319252</v>
      </c>
      <c r="F40" s="8">
        <f t="shared" ca="1" si="7"/>
        <v>24.036039090326927</v>
      </c>
      <c r="G40" s="8">
        <f t="shared" ca="1" si="8"/>
        <v>40.035923602646179</v>
      </c>
      <c r="I40" s="8">
        <f t="shared" ca="1" si="4"/>
        <v>0.7386290730627465</v>
      </c>
      <c r="J40" s="8">
        <f t="shared" ca="1" si="9"/>
        <v>49.238117424711632</v>
      </c>
      <c r="K40" s="8">
        <f t="shared" ca="1" si="3"/>
        <v>40.771343209248386</v>
      </c>
    </row>
    <row r="41" spans="1:11" x14ac:dyDescent="0.25">
      <c r="A41" s="16">
        <v>26</v>
      </c>
      <c r="B41" s="8">
        <f t="shared" si="1"/>
        <v>0.5</v>
      </c>
      <c r="C41" s="4">
        <f t="shared" ca="1" si="5"/>
        <v>49.238117424711632</v>
      </c>
      <c r="D41" s="8">
        <f t="shared" ca="1" si="2"/>
        <v>0.56570514676944483</v>
      </c>
      <c r="E41" s="8">
        <f t="shared" ca="1" si="6"/>
        <v>14.072112053723135</v>
      </c>
      <c r="F41" s="8">
        <f t="shared" ca="1" si="7"/>
        <v>26.699231155525251</v>
      </c>
      <c r="G41" s="8">
        <f t="shared" ca="1" si="8"/>
        <v>40.771343209248386</v>
      </c>
      <c r="I41" s="8">
        <f t="shared" ca="1" si="4"/>
        <v>-0.5785368814295595</v>
      </c>
      <c r="J41" s="8">
        <f t="shared" ca="1" si="9"/>
        <v>47.793244835898705</v>
      </c>
      <c r="K41" s="8">
        <f t="shared" ca="1" si="3"/>
        <v>40.389227372721379</v>
      </c>
    </row>
    <row r="42" spans="1:11" x14ac:dyDescent="0.25">
      <c r="A42" s="16">
        <v>27</v>
      </c>
      <c r="B42" s="8">
        <f t="shared" si="1"/>
        <v>0.51923076923076927</v>
      </c>
      <c r="C42" s="4">
        <f t="shared" ca="1" si="5"/>
        <v>47.793244835898705</v>
      </c>
      <c r="D42" s="8">
        <f t="shared" ca="1" si="2"/>
        <v>0.45981418968697957</v>
      </c>
      <c r="E42" s="8">
        <f t="shared" ca="1" si="6"/>
        <v>15.428844639414358</v>
      </c>
      <c r="F42" s="8">
        <f t="shared" ca="1" si="7"/>
        <v>24.960382733307021</v>
      </c>
      <c r="G42" s="8">
        <f t="shared" ca="1" si="8"/>
        <v>40.389227372721379</v>
      </c>
      <c r="I42" s="8">
        <f t="shared" ca="1" si="4"/>
        <v>0.32206593330248845</v>
      </c>
      <c r="J42" s="8">
        <f t="shared" ca="1" si="9"/>
        <v>48.767153588446348</v>
      </c>
      <c r="K42" s="8">
        <f t="shared" ca="1" si="3"/>
        <v>40.732446333281388</v>
      </c>
    </row>
    <row r="43" spans="1:11" x14ac:dyDescent="0.25">
      <c r="A43" s="16">
        <v>28</v>
      </c>
      <c r="B43" s="8">
        <f t="shared" si="1"/>
        <v>0.53846153846153844</v>
      </c>
      <c r="C43" s="4">
        <f t="shared" ca="1" si="5"/>
        <v>48.767153588446348</v>
      </c>
      <c r="D43" s="8">
        <f t="shared" ca="1" si="2"/>
        <v>0.53362197922785315</v>
      </c>
      <c r="E43" s="8">
        <f t="shared" ca="1" si="6"/>
        <v>14.474166737945136</v>
      </c>
      <c r="F43" s="8">
        <f t="shared" ca="1" si="7"/>
        <v>26.258279595336251</v>
      </c>
      <c r="G43" s="8">
        <f t="shared" ca="1" si="8"/>
        <v>40.732446333281388</v>
      </c>
      <c r="I43" s="8">
        <f t="shared" ca="1" si="4"/>
        <v>0.64687282832900239</v>
      </c>
      <c r="J43" s="8">
        <f t="shared" ca="1" si="9"/>
        <v>50.665577985650188</v>
      </c>
      <c r="K43" s="8">
        <f t="shared" ca="1" si="3"/>
        <v>41.326217136786894</v>
      </c>
    </row>
    <row r="44" spans="1:11" x14ac:dyDescent="0.25">
      <c r="A44" s="16">
        <v>29</v>
      </c>
      <c r="B44" s="8">
        <f t="shared" si="1"/>
        <v>0.55769230769230771</v>
      </c>
      <c r="C44" s="4">
        <f t="shared" ca="1" si="5"/>
        <v>50.665577985650188</v>
      </c>
      <c r="D44" s="8">
        <f t="shared" ca="1" si="2"/>
        <v>0.67853555516749153</v>
      </c>
      <c r="E44" s="8">
        <f t="shared" ca="1" si="6"/>
        <v>12.601344659887774</v>
      </c>
      <c r="F44" s="8">
        <f t="shared" ca="1" si="7"/>
        <v>28.724872476899122</v>
      </c>
      <c r="G44" s="8">
        <f t="shared" ca="1" si="8"/>
        <v>41.326217136786894</v>
      </c>
      <c r="I44" s="8">
        <f t="shared" ca="1" si="4"/>
        <v>0.55159286797011653</v>
      </c>
      <c r="J44" s="8">
        <f t="shared" ca="1" si="9"/>
        <v>52.360437904110725</v>
      </c>
      <c r="K44" s="8">
        <f t="shared" ca="1" si="3"/>
        <v>41.78091928825588</v>
      </c>
    </row>
    <row r="45" spans="1:11" x14ac:dyDescent="0.25">
      <c r="A45" s="16">
        <v>30</v>
      </c>
      <c r="B45" s="8">
        <f t="shared" si="1"/>
        <v>0.57692307692307687</v>
      </c>
      <c r="C45" s="4">
        <f t="shared" ca="1" si="5"/>
        <v>52.360437904110725</v>
      </c>
      <c r="D45" s="8">
        <f t="shared" ca="1" si="2"/>
        <v>0.80990716286120068</v>
      </c>
      <c r="E45" s="8">
        <f t="shared" ca="1" si="6"/>
        <v>10.943162260604948</v>
      </c>
      <c r="F45" s="8">
        <f t="shared" ca="1" si="7"/>
        <v>30.83775702765093</v>
      </c>
      <c r="G45" s="8">
        <f t="shared" ca="1" si="8"/>
        <v>41.78091928825588</v>
      </c>
      <c r="I45" s="8">
        <f t="shared" ca="1" si="4"/>
        <v>-0.37859230158159574</v>
      </c>
      <c r="J45" s="8">
        <f t="shared" ca="1" si="9"/>
        <v>51.390764341771131</v>
      </c>
      <c r="K45" s="8">
        <f t="shared" ca="1" si="3"/>
        <v>41.613863211642219</v>
      </c>
    </row>
    <row r="46" spans="1:11" x14ac:dyDescent="0.25">
      <c r="A46" s="16">
        <v>31</v>
      </c>
      <c r="B46" s="8">
        <f t="shared" si="1"/>
        <v>0.59615384615384615</v>
      </c>
      <c r="C46" s="4">
        <f t="shared" ca="1" si="5"/>
        <v>51.390764341771131</v>
      </c>
      <c r="D46" s="8">
        <f t="shared" ca="1" si="2"/>
        <v>0.74483772748167076</v>
      </c>
      <c r="E46" s="8">
        <f t="shared" ca="1" si="6"/>
        <v>11.726597050033456</v>
      </c>
      <c r="F46" s="8">
        <f t="shared" ca="1" si="7"/>
        <v>29.887266161608764</v>
      </c>
      <c r="G46" s="8">
        <f t="shared" ca="1" si="8"/>
        <v>41.613863211642219</v>
      </c>
      <c r="I46" s="8">
        <f t="shared" ca="1" si="4"/>
        <v>1.0092237342688133</v>
      </c>
      <c r="J46" s="8">
        <f t="shared" ca="1" si="9"/>
        <v>54.475323913130012</v>
      </c>
      <c r="K46" s="8">
        <f t="shared" ca="1" si="3"/>
        <v>42.352218376790674</v>
      </c>
    </row>
    <row r="47" spans="1:11" x14ac:dyDescent="0.25">
      <c r="A47" s="16">
        <v>32</v>
      </c>
      <c r="B47" s="8">
        <f t="shared" si="1"/>
        <v>0.61538461538461542</v>
      </c>
      <c r="C47" s="4">
        <f t="shared" ca="1" si="5"/>
        <v>54.475323913130012</v>
      </c>
      <c r="D47" s="8">
        <f t="shared" ca="1" si="2"/>
        <v>0.98735040546415098</v>
      </c>
      <c r="E47" s="8">
        <f t="shared" ca="1" si="6"/>
        <v>8.8105907059978215</v>
      </c>
      <c r="F47" s="8">
        <f t="shared" ca="1" si="7"/>
        <v>33.541627670792849</v>
      </c>
      <c r="G47" s="8">
        <f t="shared" ca="1" si="8"/>
        <v>42.352218376790674</v>
      </c>
      <c r="I47" s="8">
        <f t="shared" ca="1" si="4"/>
        <v>8.0592390498625058E-2</v>
      </c>
      <c r="J47" s="8">
        <f t="shared" ca="1" si="9"/>
        <v>54.845820258494811</v>
      </c>
      <c r="K47" s="8">
        <f t="shared" ca="1" si="3"/>
        <v>42.45086498242695</v>
      </c>
    </row>
    <row r="48" spans="1:11" x14ac:dyDescent="0.25">
      <c r="A48" s="16">
        <v>33</v>
      </c>
      <c r="B48" s="8">
        <f t="shared" si="1"/>
        <v>0.63461538461538458</v>
      </c>
      <c r="C48" s="4">
        <f t="shared" ca="1" si="5"/>
        <v>54.845820258494811</v>
      </c>
      <c r="D48" s="8">
        <f t="shared" ca="1" si="2"/>
        <v>1.0298985924319042</v>
      </c>
      <c r="E48" s="8">
        <f t="shared" ca="1" si="6"/>
        <v>8.3107216459799336</v>
      </c>
      <c r="F48" s="8">
        <f t="shared" ca="1" si="7"/>
        <v>34.140143336447018</v>
      </c>
      <c r="G48" s="8">
        <f t="shared" ca="1" si="8"/>
        <v>42.45086498242695</v>
      </c>
      <c r="I48" s="8">
        <f t="shared" ca="1" si="4"/>
        <v>-0.86984535039139521</v>
      </c>
      <c r="J48" s="8">
        <f t="shared" ca="1" si="9"/>
        <v>52.383064071553981</v>
      </c>
      <c r="K48" s="8">
        <f t="shared" ca="1" si="3"/>
        <v>42.117101686734912</v>
      </c>
    </row>
    <row r="49" spans="1:11" x14ac:dyDescent="0.25">
      <c r="A49" s="16">
        <v>34</v>
      </c>
      <c r="B49" s="8">
        <f t="shared" si="1"/>
        <v>0.65384615384615385</v>
      </c>
      <c r="C49" s="4">
        <f t="shared" ca="1" si="5"/>
        <v>52.383064071553981</v>
      </c>
      <c r="D49" s="8">
        <f t="shared" ca="1" si="2"/>
        <v>0.85146140106294488</v>
      </c>
      <c r="E49" s="8">
        <f t="shared" ca="1" si="6"/>
        <v>10.332902396244695</v>
      </c>
      <c r="F49" s="8">
        <f t="shared" ca="1" si="7"/>
        <v>31.784199290490218</v>
      </c>
      <c r="G49" s="8">
        <f t="shared" ca="1" si="8"/>
        <v>42.117101686734912</v>
      </c>
      <c r="I49" s="8">
        <f t="shared" ca="1" si="4"/>
        <v>-0.71629904629690966</v>
      </c>
      <c r="J49" s="8">
        <f t="shared" ca="1" si="9"/>
        <v>50.45883747982495</v>
      </c>
      <c r="K49" s="8">
        <f t="shared" ca="1" si="3"/>
        <v>41.774230633905383</v>
      </c>
    </row>
    <row r="50" spans="1:11" x14ac:dyDescent="0.25">
      <c r="A50" s="16">
        <v>35</v>
      </c>
      <c r="B50" s="8">
        <f t="shared" si="1"/>
        <v>0.67307692307692313</v>
      </c>
      <c r="C50" s="4">
        <f t="shared" ca="1" si="5"/>
        <v>50.45883747982495</v>
      </c>
      <c r="D50" s="8">
        <f t="shared" ca="1" si="2"/>
        <v>0.70073683462297998</v>
      </c>
      <c r="E50" s="8">
        <f t="shared" ca="1" si="6"/>
        <v>12.197598053528882</v>
      </c>
      <c r="F50" s="8">
        <f t="shared" ca="1" si="7"/>
        <v>29.576632580376501</v>
      </c>
      <c r="G50" s="8">
        <f t="shared" ca="1" si="8"/>
        <v>41.774230633905383</v>
      </c>
      <c r="I50" s="8">
        <f t="shared" ca="1" si="4"/>
        <v>1.237564586936118</v>
      </c>
      <c r="J50" s="8">
        <f t="shared" ca="1" si="9"/>
        <v>54.169245907773579</v>
      </c>
      <c r="K50" s="8">
        <f t="shared" ca="1" si="3"/>
        <v>42.70530771952793</v>
      </c>
    </row>
    <row r="51" spans="1:11" x14ac:dyDescent="0.25">
      <c r="A51" s="16">
        <v>36</v>
      </c>
      <c r="B51" s="8">
        <f t="shared" si="1"/>
        <v>0.69230769230769229</v>
      </c>
      <c r="C51" s="4">
        <f t="shared" ca="1" si="5"/>
        <v>54.169245907773579</v>
      </c>
      <c r="D51" s="8">
        <f t="shared" ca="1" si="2"/>
        <v>1.0299607048487049</v>
      </c>
      <c r="E51" s="8">
        <f t="shared" ca="1" si="6"/>
        <v>8.20741137147904</v>
      </c>
      <c r="F51" s="8">
        <f t="shared" ca="1" si="7"/>
        <v>34.49789634804889</v>
      </c>
      <c r="G51" s="8">
        <f t="shared" ca="1" si="8"/>
        <v>42.70530771952793</v>
      </c>
      <c r="I51" s="8">
        <f t="shared" ca="1" si="4"/>
        <v>0.39738750613020041</v>
      </c>
      <c r="J51" s="8">
        <f t="shared" ca="1" si="9"/>
        <v>55.504500846490295</v>
      </c>
      <c r="K51" s="8">
        <f t="shared" ca="1" si="3"/>
        <v>42.94744607662561</v>
      </c>
    </row>
    <row r="52" spans="1:11" x14ac:dyDescent="0.25">
      <c r="A52" s="16">
        <v>37</v>
      </c>
      <c r="B52" s="8">
        <f t="shared" si="1"/>
        <v>0.71153846153846156</v>
      </c>
      <c r="C52" s="4">
        <f t="shared" ca="1" si="5"/>
        <v>55.504500846490295</v>
      </c>
      <c r="D52" s="8">
        <f t="shared" ca="1" si="2"/>
        <v>1.1645535675976686</v>
      </c>
      <c r="E52" s="8">
        <f t="shared" ca="1" si="6"/>
        <v>6.7770925635456978</v>
      </c>
      <c r="F52" s="8">
        <f t="shared" ca="1" si="7"/>
        <v>36.17035351307991</v>
      </c>
      <c r="G52" s="8">
        <f t="shared" ca="1" si="8"/>
        <v>42.94744607662561</v>
      </c>
      <c r="I52" s="8">
        <f t="shared" ca="1" si="4"/>
        <v>3.8126674751491323E-3</v>
      </c>
      <c r="J52" s="8">
        <f t="shared" ca="1" si="9"/>
        <v>55.644503004415988</v>
      </c>
      <c r="K52" s="8">
        <f t="shared" ca="1" si="3"/>
        <v>43.006299432923313</v>
      </c>
    </row>
    <row r="53" spans="1:11" x14ac:dyDescent="0.25">
      <c r="A53" s="16">
        <v>38</v>
      </c>
      <c r="B53" s="8">
        <f t="shared" si="1"/>
        <v>0.73076923076923073</v>
      </c>
      <c r="C53" s="4">
        <f t="shared" ca="1" si="5"/>
        <v>55.644503004415988</v>
      </c>
      <c r="D53" s="8">
        <f t="shared" ca="1" si="2"/>
        <v>1.2045933184653834</v>
      </c>
      <c r="E53" s="8">
        <f t="shared" ca="1" si="6"/>
        <v>6.3534987387255777</v>
      </c>
      <c r="F53" s="8">
        <f t="shared" ca="1" si="7"/>
        <v>36.652800694197737</v>
      </c>
      <c r="G53" s="8">
        <f t="shared" ca="1" si="8"/>
        <v>43.006299432923313</v>
      </c>
      <c r="I53" s="8">
        <f t="shared" ca="1" si="4"/>
        <v>-7.2769596434107339E-2</v>
      </c>
      <c r="J53" s="8">
        <f t="shared" ca="1" si="9"/>
        <v>55.548385747382227</v>
      </c>
      <c r="K53" s="8">
        <f t="shared" ca="1" si="3"/>
        <v>43.037640849852259</v>
      </c>
    </row>
    <row r="54" spans="1:11" x14ac:dyDescent="0.25">
      <c r="A54" s="16">
        <v>39</v>
      </c>
      <c r="B54" s="8">
        <f t="shared" si="1"/>
        <v>0.75</v>
      </c>
      <c r="C54" s="4">
        <f t="shared" ca="1" si="5"/>
        <v>55.548385747382227</v>
      </c>
      <c r="D54" s="8">
        <f t="shared" ca="1" si="2"/>
        <v>1.2279598322000993</v>
      </c>
      <c r="E54" s="8">
        <f t="shared" ca="1" si="6"/>
        <v>6.0953812228708886</v>
      </c>
      <c r="F54" s="8">
        <f t="shared" ca="1" si="7"/>
        <v>36.942259626981368</v>
      </c>
      <c r="G54" s="8">
        <f t="shared" ca="1" si="8"/>
        <v>43.037640849852259</v>
      </c>
      <c r="I54" s="8">
        <f t="shared" ca="1" si="4"/>
        <v>2.7614052951981272</v>
      </c>
      <c r="J54" s="8">
        <f t="shared" ca="1" si="9"/>
        <v>64.892843918177235</v>
      </c>
      <c r="K54" s="8">
        <f t="shared" ca="1" si="3"/>
        <v>44.105668094548065</v>
      </c>
    </row>
    <row r="55" spans="1:11" x14ac:dyDescent="0.25">
      <c r="A55" s="16">
        <v>40</v>
      </c>
      <c r="B55" s="8">
        <f t="shared" si="1"/>
        <v>0.76923076923076927</v>
      </c>
      <c r="C55" s="4">
        <f t="shared" ca="1" si="5"/>
        <v>64.892843918177235</v>
      </c>
      <c r="D55" s="8">
        <f t="shared" ca="1" si="2"/>
        <v>2.0732485590401271</v>
      </c>
      <c r="E55" s="8">
        <f t="shared" ca="1" si="6"/>
        <v>1.2378035269235874</v>
      </c>
      <c r="F55" s="8">
        <f t="shared" ca="1" si="7"/>
        <v>42.86786456762448</v>
      </c>
      <c r="G55" s="8">
        <f t="shared" ca="1" si="8"/>
        <v>44.105668094548065</v>
      </c>
      <c r="I55" s="8">
        <f t="shared" ca="1" si="4"/>
        <v>1.182401663764969</v>
      </c>
      <c r="J55" s="8">
        <f t="shared" ca="1" si="9"/>
        <v>69.451793293442449</v>
      </c>
      <c r="K55" s="8">
        <f t="shared" ca="1" si="3"/>
        <v>44.242119591894316</v>
      </c>
    </row>
    <row r="56" spans="1:11" x14ac:dyDescent="0.25">
      <c r="A56" s="16">
        <v>41</v>
      </c>
      <c r="B56" s="8">
        <f t="shared" si="1"/>
        <v>0.78846153846153844</v>
      </c>
      <c r="C56" s="4">
        <f t="shared" ca="1" si="5"/>
        <v>69.451793293442449</v>
      </c>
      <c r="D56" s="8">
        <f t="shared" ca="1" si="2"/>
        <v>2.5198544066751443</v>
      </c>
      <c r="E56" s="8">
        <f t="shared" ca="1" si="6"/>
        <v>0.40769377898872089</v>
      </c>
      <c r="F56" s="8">
        <f t="shared" ca="1" si="7"/>
        <v>43.834425812905593</v>
      </c>
      <c r="G56" s="8">
        <f t="shared" ca="1" si="8"/>
        <v>44.242119591894316</v>
      </c>
      <c r="I56" s="8">
        <f t="shared" ca="1" si="4"/>
        <v>1.7227430568294739</v>
      </c>
      <c r="J56" s="8">
        <f t="shared" ca="1" si="9"/>
        <v>76.592654178993683</v>
      </c>
      <c r="K56" s="8">
        <f t="shared" ca="1" si="3"/>
        <v>44.334645028218382</v>
      </c>
    </row>
    <row r="57" spans="1:11" x14ac:dyDescent="0.25">
      <c r="A57" s="16">
        <v>42</v>
      </c>
      <c r="B57" s="8">
        <f t="shared" si="1"/>
        <v>0.80769230769230771</v>
      </c>
      <c r="C57" s="4">
        <f t="shared" ca="1" si="5"/>
        <v>76.592654178993683</v>
      </c>
      <c r="D57" s="8">
        <f t="shared" ca="1" si="2"/>
        <v>3.1854321410553736</v>
      </c>
      <c r="E57" s="8">
        <f t="shared" ca="1" si="6"/>
        <v>5.535274411596218E-2</v>
      </c>
      <c r="F57" s="8">
        <f t="shared" ca="1" si="7"/>
        <v>44.279292284102418</v>
      </c>
      <c r="G57" s="8">
        <f t="shared" ca="1" si="8"/>
        <v>44.334645028218382</v>
      </c>
      <c r="I57" s="8">
        <f t="shared" ca="1" si="4"/>
        <v>-0.3447209769256917</v>
      </c>
      <c r="J57" s="8">
        <f t="shared" ca="1" si="9"/>
        <v>75.315592618408132</v>
      </c>
      <c r="K57" s="8">
        <f t="shared" ca="1" si="3"/>
        <v>44.384843086915481</v>
      </c>
    </row>
    <row r="58" spans="1:11" x14ac:dyDescent="0.25">
      <c r="A58" s="16">
        <v>43</v>
      </c>
      <c r="B58" s="8">
        <f t="shared" si="1"/>
        <v>0.82692307692307687</v>
      </c>
      <c r="C58" s="4">
        <f t="shared" ca="1" si="5"/>
        <v>75.315592618408132</v>
      </c>
      <c r="D58" s="8">
        <f t="shared" ca="1" si="2"/>
        <v>3.2405220560877441</v>
      </c>
      <c r="E58" s="8">
        <f t="shared" ca="1" si="6"/>
        <v>4.4929909069456354E-2</v>
      </c>
      <c r="F58" s="8">
        <f t="shared" ca="1" si="7"/>
        <v>44.339913177846022</v>
      </c>
      <c r="G58" s="8">
        <f t="shared" ca="1" si="8"/>
        <v>44.384843086915481</v>
      </c>
      <c r="I58" s="8">
        <f t="shared" ca="1" si="4"/>
        <v>0.31592081591963822</v>
      </c>
      <c r="J58" s="8">
        <f t="shared" ca="1" si="9"/>
        <v>76.82414761630649</v>
      </c>
      <c r="K58" s="8">
        <f t="shared" ca="1" si="3"/>
        <v>44.436933989109207</v>
      </c>
    </row>
    <row r="59" spans="1:11" x14ac:dyDescent="0.25">
      <c r="A59" s="16">
        <v>44</v>
      </c>
      <c r="B59" s="8">
        <f t="shared" si="1"/>
        <v>0.84615384615384615</v>
      </c>
      <c r="C59" s="4">
        <f t="shared" ca="1" si="5"/>
        <v>76.82414761630649</v>
      </c>
      <c r="D59" s="8">
        <f t="shared" ca="1" si="2"/>
        <v>3.5463361046044803</v>
      </c>
      <c r="E59" s="8">
        <f t="shared" ca="1" si="6"/>
        <v>1.5004817850203973E-2</v>
      </c>
      <c r="F59" s="8">
        <f t="shared" ca="1" si="7"/>
        <v>44.421929171259002</v>
      </c>
      <c r="G59" s="8">
        <f t="shared" ca="1" si="8"/>
        <v>44.436933989109207</v>
      </c>
      <c r="I59" s="8">
        <f t="shared" ca="1" si="4"/>
        <v>-0.66635435752626559</v>
      </c>
      <c r="J59" s="8">
        <f t="shared" ca="1" si="9"/>
        <v>74.20741040254525</v>
      </c>
      <c r="K59" s="8">
        <f t="shared" ca="1" si="3"/>
        <v>44.487708558472463</v>
      </c>
    </row>
    <row r="60" spans="1:11" x14ac:dyDescent="0.25">
      <c r="A60" s="16">
        <v>45</v>
      </c>
      <c r="B60" s="8">
        <f t="shared" si="1"/>
        <v>0.86538461538461542</v>
      </c>
      <c r="C60" s="4">
        <f t="shared" ca="1" si="5"/>
        <v>74.20741040254525</v>
      </c>
      <c r="D60" s="8">
        <f t="shared" ca="1" si="2"/>
        <v>3.5367137805502296</v>
      </c>
      <c r="E60" s="8">
        <f t="shared" ca="1" si="6"/>
        <v>1.5032138221242384E-2</v>
      </c>
      <c r="F60" s="8">
        <f t="shared" ca="1" si="7"/>
        <v>44.472676420251219</v>
      </c>
      <c r="G60" s="8">
        <f t="shared" ca="1" si="8"/>
        <v>44.487708558472463</v>
      </c>
      <c r="I60" s="8">
        <f t="shared" ca="1" si="4"/>
        <v>-0.55977959563939594</v>
      </c>
      <c r="J60" s="8">
        <f t="shared" ca="1" si="9"/>
        <v>72.104807694786189</v>
      </c>
      <c r="K60" s="8">
        <f t="shared" ca="1" si="3"/>
        <v>44.538626878474993</v>
      </c>
    </row>
    <row r="61" spans="1:11" x14ac:dyDescent="0.25">
      <c r="A61" s="16">
        <v>46</v>
      </c>
      <c r="B61" s="8">
        <f t="shared" si="1"/>
        <v>0.88461538461538458</v>
      </c>
      <c r="C61" s="4">
        <f t="shared" ca="1" si="5"/>
        <v>72.104807694786189</v>
      </c>
      <c r="D61" s="8">
        <f t="shared" ca="1" si="2"/>
        <v>3.5887277338302677</v>
      </c>
      <c r="E61" s="8">
        <f t="shared" ca="1" si="6"/>
        <v>1.1980056948590927E-2</v>
      </c>
      <c r="F61" s="8">
        <f t="shared" ca="1" si="7"/>
        <v>44.526646821526406</v>
      </c>
      <c r="G61" s="8">
        <f t="shared" ca="1" si="8"/>
        <v>44.538626878474993</v>
      </c>
      <c r="I61" s="8">
        <f t="shared" ca="1" si="4"/>
        <v>-0.8158194919451357</v>
      </c>
      <c r="J61" s="8">
        <f t="shared" ca="1" si="9"/>
        <v>69.073758130092401</v>
      </c>
      <c r="K61" s="8">
        <f t="shared" ca="1" si="3"/>
        <v>44.589529828284789</v>
      </c>
    </row>
    <row r="62" spans="1:11" x14ac:dyDescent="0.25">
      <c r="A62" s="16">
        <v>47</v>
      </c>
      <c r="B62" s="8">
        <f t="shared" si="1"/>
        <v>0.90384615384615385</v>
      </c>
      <c r="C62" s="4">
        <f t="shared" ca="1" si="5"/>
        <v>69.073758130092401</v>
      </c>
      <c r="D62" s="8">
        <f t="shared" ca="1" si="2"/>
        <v>3.5633078284900042</v>
      </c>
      <c r="E62" s="8">
        <f t="shared" ca="1" si="6"/>
        <v>1.2647778571109172E-2</v>
      </c>
      <c r="F62" s="8">
        <f t="shared" ca="1" si="7"/>
        <v>44.576882049713682</v>
      </c>
      <c r="G62" s="8">
        <f t="shared" ca="1" si="8"/>
        <v>44.589529828284789</v>
      </c>
      <c r="I62" s="8">
        <f t="shared" ca="1" si="4"/>
        <v>0.37644030153768276</v>
      </c>
      <c r="J62" s="8">
        <f t="shared" ca="1" si="9"/>
        <v>70.694214317956735</v>
      </c>
      <c r="K62" s="8">
        <f t="shared" ca="1" si="3"/>
        <v>44.641291091853837</v>
      </c>
    </row>
    <row r="63" spans="1:11" x14ac:dyDescent="0.25">
      <c r="A63" s="16">
        <v>48</v>
      </c>
      <c r="B63" s="8">
        <f t="shared" si="1"/>
        <v>0.92307692307692313</v>
      </c>
      <c r="C63" s="4">
        <f t="shared" ca="1" si="5"/>
        <v>70.694214317956735</v>
      </c>
      <c r="D63" s="8">
        <f t="shared" ca="1" si="2"/>
        <v>4.1686525391728413</v>
      </c>
      <c r="E63" s="8">
        <f t="shared" ca="1" si="6"/>
        <v>1.0830554038688085E-3</v>
      </c>
      <c r="F63" s="8">
        <f t="shared" ca="1" si="7"/>
        <v>44.64020803644997</v>
      </c>
      <c r="G63" s="8">
        <f t="shared" ca="1" si="8"/>
        <v>44.641291091853837</v>
      </c>
      <c r="I63" s="8">
        <f t="shared" ca="1" si="4"/>
        <v>0.61063686394809069</v>
      </c>
      <c r="J63" s="8">
        <f t="shared" ca="1" si="9"/>
        <v>73.298743468188661</v>
      </c>
      <c r="K63" s="8">
        <f t="shared" ca="1" si="3"/>
        <v>44.692868653875898</v>
      </c>
    </row>
    <row r="64" spans="1:11" x14ac:dyDescent="0.25">
      <c r="A64" s="16">
        <v>49</v>
      </c>
      <c r="B64" s="8">
        <f t="shared" si="1"/>
        <v>0.94230769230769229</v>
      </c>
      <c r="C64" s="4">
        <f t="shared" ca="1" si="5"/>
        <v>73.298743468188661</v>
      </c>
      <c r="D64" s="8">
        <f t="shared" ca="1" si="2"/>
        <v>5.1620934852313214</v>
      </c>
      <c r="E64" s="8">
        <f t="shared" ca="1" si="6"/>
        <v>8.949896561087724E-6</v>
      </c>
      <c r="F64" s="8">
        <f t="shared" ca="1" si="7"/>
        <v>44.692859703979337</v>
      </c>
      <c r="G64" s="8">
        <f t="shared" ca="1" si="8"/>
        <v>44.692868653875898</v>
      </c>
      <c r="I64" s="8">
        <f t="shared" ca="1" si="4"/>
        <v>0.161843722645545</v>
      </c>
      <c r="J64" s="8">
        <f t="shared" ca="1" si="9"/>
        <v>74.130617100645111</v>
      </c>
      <c r="K64" s="8">
        <f t="shared" ca="1" si="3"/>
        <v>44.74446720233292</v>
      </c>
    </row>
    <row r="65" spans="1:11" x14ac:dyDescent="0.25">
      <c r="A65" s="16">
        <v>50</v>
      </c>
      <c r="B65" s="8">
        <f t="shared" si="1"/>
        <v>0.96153846153846156</v>
      </c>
      <c r="C65" s="4">
        <f t="shared" ca="1" si="5"/>
        <v>74.130617100645111</v>
      </c>
      <c r="D65" s="8">
        <f t="shared" ca="1" si="2"/>
        <v>6.4317854120776836</v>
      </c>
      <c r="E65" s="8">
        <f t="shared" ca="1" si="6"/>
        <v>4.6744463935360916E-9</v>
      </c>
      <c r="F65" s="8">
        <f t="shared" ca="1" si="7"/>
        <v>44.744467197658473</v>
      </c>
      <c r="G65" s="8">
        <f t="shared" ca="1" si="8"/>
        <v>44.74446720233292</v>
      </c>
      <c r="I65" s="8">
        <f t="shared" ca="1" si="4"/>
        <v>2.0522092773527887</v>
      </c>
      <c r="J65" s="8">
        <f t="shared" ca="1" si="9"/>
        <v>83.260347414130152</v>
      </c>
      <c r="K65" s="8">
        <f t="shared" ca="1" si="3"/>
        <v>44.796125231267901</v>
      </c>
    </row>
    <row r="66" spans="1:11" x14ac:dyDescent="0.25">
      <c r="A66" s="16">
        <v>51</v>
      </c>
      <c r="B66" s="8">
        <f t="shared" si="1"/>
        <v>0.98076923076923073</v>
      </c>
      <c r="C66" s="4">
        <f t="shared" ca="1" si="5"/>
        <v>83.260347414130152</v>
      </c>
      <c r="D66" s="8">
        <f t="shared" ca="1" si="2"/>
        <v>11.141193684933643</v>
      </c>
      <c r="E66" s="8">
        <f t="shared" ca="1" si="6"/>
        <v>0</v>
      </c>
      <c r="F66" s="8">
        <f t="shared" ca="1" si="7"/>
        <v>44.796125231267901</v>
      </c>
      <c r="G66" s="8">
        <f t="shared" ca="1" si="8"/>
        <v>44.796125231267901</v>
      </c>
      <c r="I66" s="8">
        <f t="shared" ca="1" si="4"/>
        <v>0.70671199839821708</v>
      </c>
      <c r="J66" s="8">
        <f t="shared" ca="1" si="9"/>
        <v>86.789134488417076</v>
      </c>
      <c r="K66" s="8">
        <f t="shared" ca="1" si="3"/>
        <v>44.847842899451564</v>
      </c>
    </row>
    <row r="67" spans="1:11" x14ac:dyDescent="0.25">
      <c r="B67" s="8"/>
    </row>
    <row r="68" spans="1:11" x14ac:dyDescent="0.25">
      <c r="B68" s="8"/>
    </row>
    <row r="69" spans="1:11" x14ac:dyDescent="0.25">
      <c r="B69" s="8"/>
    </row>
    <row r="70" spans="1:11" x14ac:dyDescent="0.25">
      <c r="B70" s="8"/>
    </row>
    <row r="71" spans="1:11" x14ac:dyDescent="0.25">
      <c r="B71" s="8"/>
    </row>
    <row r="72" spans="1:11" x14ac:dyDescent="0.25">
      <c r="B72" s="8"/>
    </row>
    <row r="73" spans="1:11" x14ac:dyDescent="0.25">
      <c r="B73" s="8"/>
    </row>
    <row r="74" spans="1:11" x14ac:dyDescent="0.25">
      <c r="B74" s="8"/>
    </row>
    <row r="75" spans="1:11" x14ac:dyDescent="0.25">
      <c r="B75" s="8"/>
    </row>
    <row r="76" spans="1:11" x14ac:dyDescent="0.25">
      <c r="B76" s="8"/>
    </row>
    <row r="77" spans="1:11" x14ac:dyDescent="0.25">
      <c r="B77" s="8"/>
    </row>
    <row r="78" spans="1:11" x14ac:dyDescent="0.25">
      <c r="B78" s="8"/>
    </row>
    <row r="79" spans="1:11" x14ac:dyDescent="0.25">
      <c r="B79" s="8"/>
    </row>
    <row r="80" spans="1:11" x14ac:dyDescent="0.25">
      <c r="B80" s="8"/>
    </row>
    <row r="81" spans="2:2" x14ac:dyDescent="0.25">
      <c r="B81" s="8"/>
    </row>
    <row r="82" spans="2:2" x14ac:dyDescent="0.25">
      <c r="B82" s="8"/>
    </row>
    <row r="83" spans="2:2" x14ac:dyDescent="0.25">
      <c r="B83" s="8"/>
    </row>
    <row r="84" spans="2:2" x14ac:dyDescent="0.25">
      <c r="B84" s="8"/>
    </row>
    <row r="85" spans="2:2" x14ac:dyDescent="0.25">
      <c r="B85" s="8"/>
    </row>
    <row r="86" spans="2:2" x14ac:dyDescent="0.25">
      <c r="B86" s="8"/>
    </row>
    <row r="87" spans="2:2" x14ac:dyDescent="0.25">
      <c r="B87" s="8"/>
    </row>
    <row r="88" spans="2:2" x14ac:dyDescent="0.25">
      <c r="B88" s="8"/>
    </row>
    <row r="89" spans="2:2" x14ac:dyDescent="0.25">
      <c r="B89" s="8"/>
    </row>
    <row r="90" spans="2:2" x14ac:dyDescent="0.25">
      <c r="B90" s="8"/>
    </row>
    <row r="91" spans="2:2" x14ac:dyDescent="0.25">
      <c r="B91" s="8"/>
    </row>
    <row r="92" spans="2:2" x14ac:dyDescent="0.25">
      <c r="B92" s="8"/>
    </row>
    <row r="93" spans="2:2" x14ac:dyDescent="0.25">
      <c r="B93" s="8"/>
    </row>
    <row r="94" spans="2:2" x14ac:dyDescent="0.25">
      <c r="B94" s="8"/>
    </row>
    <row r="95" spans="2:2" x14ac:dyDescent="0.25">
      <c r="B95" s="8"/>
    </row>
    <row r="96" spans="2:2" x14ac:dyDescent="0.25">
      <c r="B96" s="8"/>
    </row>
    <row r="97" spans="2:2" x14ac:dyDescent="0.25">
      <c r="B97" s="8"/>
    </row>
    <row r="98" spans="2:2" x14ac:dyDescent="0.25">
      <c r="B98" s="8"/>
    </row>
    <row r="99" spans="2:2" x14ac:dyDescent="0.25">
      <c r="B99" s="8"/>
    </row>
    <row r="100" spans="2:2" x14ac:dyDescent="0.25">
      <c r="B100" s="8"/>
    </row>
    <row r="101" spans="2:2" x14ac:dyDescent="0.25">
      <c r="B101" s="8"/>
    </row>
    <row r="102" spans="2:2" x14ac:dyDescent="0.25">
      <c r="B102" s="8"/>
    </row>
    <row r="103" spans="2:2" x14ac:dyDescent="0.25">
      <c r="B103" s="8"/>
    </row>
    <row r="104" spans="2:2" x14ac:dyDescent="0.25">
      <c r="B104" s="8"/>
    </row>
    <row r="105" spans="2:2" x14ac:dyDescent="0.25">
      <c r="B105" s="8"/>
    </row>
    <row r="106" spans="2:2" x14ac:dyDescent="0.25">
      <c r="B106" s="8"/>
    </row>
    <row r="107" spans="2:2" x14ac:dyDescent="0.25">
      <c r="B107" s="8"/>
    </row>
    <row r="108" spans="2:2" x14ac:dyDescent="0.25">
      <c r="B108" s="8"/>
    </row>
    <row r="109" spans="2:2" x14ac:dyDescent="0.25">
      <c r="B109" s="8"/>
    </row>
    <row r="110" spans="2:2" x14ac:dyDescent="0.25">
      <c r="B110" s="8"/>
    </row>
    <row r="111" spans="2:2" x14ac:dyDescent="0.25">
      <c r="B111" s="8"/>
    </row>
    <row r="112" spans="2:2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  <row r="165" spans="2:2" x14ac:dyDescent="0.25">
      <c r="B165" s="8"/>
    </row>
    <row r="166" spans="2:2" x14ac:dyDescent="0.25">
      <c r="B166" s="8"/>
    </row>
    <row r="167" spans="2:2" x14ac:dyDescent="0.25">
      <c r="B167" s="8"/>
    </row>
    <row r="168" spans="2:2" x14ac:dyDescent="0.25">
      <c r="B168" s="8"/>
    </row>
    <row r="169" spans="2:2" x14ac:dyDescent="0.25">
      <c r="B169" s="8"/>
    </row>
    <row r="170" spans="2:2" x14ac:dyDescent="0.25">
      <c r="B170" s="8"/>
    </row>
    <row r="171" spans="2:2" x14ac:dyDescent="0.25">
      <c r="B171" s="8"/>
    </row>
    <row r="172" spans="2:2" x14ac:dyDescent="0.25">
      <c r="B172" s="8"/>
    </row>
    <row r="173" spans="2:2" x14ac:dyDescent="0.25">
      <c r="B173" s="8"/>
    </row>
    <row r="174" spans="2:2" x14ac:dyDescent="0.25">
      <c r="B174" s="8"/>
    </row>
    <row r="175" spans="2:2" x14ac:dyDescent="0.25">
      <c r="B175" s="8"/>
    </row>
    <row r="176" spans="2:2" x14ac:dyDescent="0.25">
      <c r="B176" s="8"/>
    </row>
    <row r="177" spans="2:2" x14ac:dyDescent="0.25">
      <c r="B177" s="8"/>
    </row>
    <row r="178" spans="2:2" x14ac:dyDescent="0.25">
      <c r="B178" s="8"/>
    </row>
    <row r="179" spans="2:2" x14ac:dyDescent="0.25">
      <c r="B179" s="8"/>
    </row>
    <row r="180" spans="2:2" x14ac:dyDescent="0.25">
      <c r="B180" s="8"/>
    </row>
    <row r="181" spans="2:2" x14ac:dyDescent="0.25">
      <c r="B181" s="8"/>
    </row>
    <row r="182" spans="2:2" x14ac:dyDescent="0.25">
      <c r="B182" s="8"/>
    </row>
    <row r="183" spans="2:2" x14ac:dyDescent="0.25">
      <c r="B183" s="8"/>
    </row>
    <row r="184" spans="2:2" x14ac:dyDescent="0.25">
      <c r="B184" s="8"/>
    </row>
    <row r="185" spans="2:2" x14ac:dyDescent="0.25">
      <c r="B185" s="8"/>
    </row>
    <row r="186" spans="2:2" x14ac:dyDescent="0.25">
      <c r="B186" s="8"/>
    </row>
    <row r="187" spans="2:2" x14ac:dyDescent="0.25">
      <c r="B187" s="8"/>
    </row>
    <row r="188" spans="2:2" x14ac:dyDescent="0.25">
      <c r="B188" s="8"/>
    </row>
    <row r="189" spans="2:2" x14ac:dyDescent="0.25">
      <c r="B189" s="8"/>
    </row>
    <row r="190" spans="2:2" x14ac:dyDescent="0.25">
      <c r="B190" s="8"/>
    </row>
    <row r="191" spans="2:2" x14ac:dyDescent="0.25">
      <c r="B191" s="8"/>
    </row>
    <row r="192" spans="2:2" x14ac:dyDescent="0.25">
      <c r="B192" s="8"/>
    </row>
    <row r="193" spans="2:2" x14ac:dyDescent="0.25">
      <c r="B193" s="8"/>
    </row>
    <row r="194" spans="2:2" x14ac:dyDescent="0.25">
      <c r="B194" s="8"/>
    </row>
    <row r="195" spans="2:2" x14ac:dyDescent="0.25">
      <c r="B195" s="8"/>
    </row>
    <row r="196" spans="2:2" x14ac:dyDescent="0.25">
      <c r="B196" s="8"/>
    </row>
    <row r="197" spans="2:2" x14ac:dyDescent="0.25">
      <c r="B197" s="8"/>
    </row>
    <row r="198" spans="2:2" x14ac:dyDescent="0.25">
      <c r="B198" s="8"/>
    </row>
    <row r="199" spans="2:2" x14ac:dyDescent="0.25">
      <c r="B199" s="8"/>
    </row>
    <row r="200" spans="2:2" x14ac:dyDescent="0.25">
      <c r="B200" s="8"/>
    </row>
    <row r="201" spans="2:2" x14ac:dyDescent="0.25">
      <c r="B201" s="8"/>
    </row>
    <row r="202" spans="2:2" x14ac:dyDescent="0.25">
      <c r="B202" s="8"/>
    </row>
    <row r="203" spans="2:2" x14ac:dyDescent="0.25">
      <c r="B203" s="8"/>
    </row>
    <row r="204" spans="2:2" x14ac:dyDescent="0.25">
      <c r="B204" s="8"/>
    </row>
    <row r="205" spans="2:2" x14ac:dyDescent="0.25">
      <c r="B205" s="8"/>
    </row>
    <row r="206" spans="2:2" x14ac:dyDescent="0.25">
      <c r="B206" s="8"/>
    </row>
    <row r="207" spans="2:2" x14ac:dyDescent="0.25">
      <c r="B207" s="8"/>
    </row>
    <row r="208" spans="2:2" x14ac:dyDescent="0.25">
      <c r="B208" s="8"/>
    </row>
    <row r="209" spans="2:2" x14ac:dyDescent="0.25">
      <c r="B209" s="8"/>
    </row>
    <row r="210" spans="2:2" x14ac:dyDescent="0.25">
      <c r="B210" s="8"/>
    </row>
    <row r="211" spans="2:2" x14ac:dyDescent="0.25">
      <c r="B211" s="8"/>
    </row>
    <row r="212" spans="2:2" x14ac:dyDescent="0.25">
      <c r="B212" s="8"/>
    </row>
    <row r="213" spans="2:2" x14ac:dyDescent="0.25">
      <c r="B213" s="8"/>
    </row>
    <row r="214" spans="2:2" x14ac:dyDescent="0.25">
      <c r="B214" s="8"/>
    </row>
    <row r="215" spans="2:2" x14ac:dyDescent="0.25">
      <c r="B215" s="8"/>
    </row>
    <row r="216" spans="2:2" x14ac:dyDescent="0.25">
      <c r="B216" s="8"/>
    </row>
    <row r="217" spans="2:2" x14ac:dyDescent="0.25">
      <c r="B217" s="8"/>
    </row>
    <row r="218" spans="2:2" x14ac:dyDescent="0.25">
      <c r="B218" s="8"/>
    </row>
    <row r="219" spans="2:2" x14ac:dyDescent="0.25">
      <c r="B219" s="8"/>
    </row>
    <row r="220" spans="2:2" x14ac:dyDescent="0.25">
      <c r="B220" s="8"/>
    </row>
    <row r="221" spans="2:2" x14ac:dyDescent="0.25">
      <c r="B221" s="8"/>
    </row>
    <row r="222" spans="2:2" x14ac:dyDescent="0.25">
      <c r="B222" s="8"/>
    </row>
    <row r="223" spans="2:2" x14ac:dyDescent="0.25">
      <c r="B223" s="8"/>
    </row>
    <row r="224" spans="2:2" x14ac:dyDescent="0.25">
      <c r="B224" s="8"/>
    </row>
    <row r="225" spans="2:2" x14ac:dyDescent="0.25">
      <c r="B225" s="8"/>
    </row>
    <row r="226" spans="2:2" x14ac:dyDescent="0.25">
      <c r="B226" s="8"/>
    </row>
    <row r="227" spans="2:2" x14ac:dyDescent="0.25">
      <c r="B227" s="8"/>
    </row>
    <row r="228" spans="2:2" x14ac:dyDescent="0.25">
      <c r="B228" s="8"/>
    </row>
    <row r="229" spans="2:2" x14ac:dyDescent="0.25">
      <c r="B229" s="8"/>
    </row>
    <row r="230" spans="2:2" x14ac:dyDescent="0.25">
      <c r="B230" s="8"/>
    </row>
    <row r="231" spans="2:2" x14ac:dyDescent="0.25">
      <c r="B231" s="8"/>
    </row>
    <row r="232" spans="2:2" x14ac:dyDescent="0.25">
      <c r="B232" s="8"/>
    </row>
    <row r="233" spans="2:2" x14ac:dyDescent="0.25">
      <c r="B233" s="8"/>
    </row>
    <row r="234" spans="2:2" x14ac:dyDescent="0.25">
      <c r="B234" s="8"/>
    </row>
    <row r="235" spans="2:2" x14ac:dyDescent="0.25">
      <c r="B235" s="8"/>
    </row>
    <row r="236" spans="2:2" x14ac:dyDescent="0.25">
      <c r="B236" s="8"/>
    </row>
    <row r="237" spans="2:2" x14ac:dyDescent="0.25">
      <c r="B237" s="8"/>
    </row>
    <row r="238" spans="2:2" x14ac:dyDescent="0.25">
      <c r="B238" s="8"/>
    </row>
    <row r="239" spans="2:2" x14ac:dyDescent="0.25">
      <c r="B239" s="8"/>
    </row>
    <row r="240" spans="2:2" x14ac:dyDescent="0.25">
      <c r="B240" s="8"/>
    </row>
    <row r="241" spans="2:2" x14ac:dyDescent="0.25">
      <c r="B241" s="8"/>
    </row>
    <row r="242" spans="2:2" x14ac:dyDescent="0.25">
      <c r="B242" s="8"/>
    </row>
    <row r="243" spans="2:2" x14ac:dyDescent="0.25">
      <c r="B243" s="8"/>
    </row>
    <row r="244" spans="2:2" x14ac:dyDescent="0.25">
      <c r="B244" s="8"/>
    </row>
    <row r="245" spans="2:2" x14ac:dyDescent="0.25">
      <c r="B245" s="8"/>
    </row>
    <row r="246" spans="2:2" x14ac:dyDescent="0.25">
      <c r="B246" s="8"/>
    </row>
    <row r="247" spans="2:2" x14ac:dyDescent="0.25">
      <c r="B247" s="8"/>
    </row>
    <row r="248" spans="2:2" x14ac:dyDescent="0.25">
      <c r="B248" s="8"/>
    </row>
    <row r="249" spans="2:2" x14ac:dyDescent="0.25">
      <c r="B249" s="8"/>
    </row>
    <row r="250" spans="2:2" x14ac:dyDescent="0.25">
      <c r="B250" s="8"/>
    </row>
    <row r="251" spans="2:2" x14ac:dyDescent="0.25">
      <c r="B251" s="8"/>
    </row>
    <row r="252" spans="2:2" x14ac:dyDescent="0.25">
      <c r="B252" s="8"/>
    </row>
    <row r="253" spans="2:2" x14ac:dyDescent="0.25">
      <c r="B253" s="8"/>
    </row>
    <row r="254" spans="2:2" x14ac:dyDescent="0.25">
      <c r="B254" s="8"/>
    </row>
    <row r="255" spans="2:2" x14ac:dyDescent="0.25">
      <c r="B255" s="8"/>
    </row>
    <row r="256" spans="2:2" x14ac:dyDescent="0.25">
      <c r="B256" s="8"/>
    </row>
    <row r="257" spans="2:2" x14ac:dyDescent="0.25">
      <c r="B257" s="8"/>
    </row>
    <row r="258" spans="2:2" x14ac:dyDescent="0.25">
      <c r="B258" s="8"/>
    </row>
    <row r="259" spans="2:2" x14ac:dyDescent="0.25">
      <c r="B259" s="8"/>
    </row>
    <row r="260" spans="2:2" x14ac:dyDescent="0.25">
      <c r="B260" s="8"/>
    </row>
    <row r="261" spans="2:2" x14ac:dyDescent="0.25">
      <c r="B261" s="8"/>
    </row>
    <row r="262" spans="2:2" x14ac:dyDescent="0.25">
      <c r="B262" s="8"/>
    </row>
    <row r="263" spans="2:2" x14ac:dyDescent="0.25">
      <c r="B263" s="8"/>
    </row>
    <row r="264" spans="2:2" x14ac:dyDescent="0.25">
      <c r="B264" s="8"/>
    </row>
    <row r="265" spans="2:2" x14ac:dyDescent="0.25">
      <c r="B265" s="8"/>
    </row>
    <row r="266" spans="2:2" x14ac:dyDescent="0.25">
      <c r="B266" s="8"/>
    </row>
    <row r="267" spans="2:2" x14ac:dyDescent="0.25">
      <c r="B267" s="8"/>
    </row>
    <row r="268" spans="2:2" x14ac:dyDescent="0.25">
      <c r="B268" s="8"/>
    </row>
    <row r="269" spans="2:2" x14ac:dyDescent="0.25">
      <c r="B269" s="8"/>
    </row>
    <row r="270" spans="2:2" x14ac:dyDescent="0.25">
      <c r="B270" s="8"/>
    </row>
    <row r="271" spans="2:2" x14ac:dyDescent="0.25">
      <c r="B271" s="8"/>
    </row>
    <row r="272" spans="2:2" x14ac:dyDescent="0.25">
      <c r="B272" s="8"/>
    </row>
    <row r="273" spans="2:2" x14ac:dyDescent="0.25">
      <c r="B273" s="8"/>
    </row>
    <row r="274" spans="2:2" x14ac:dyDescent="0.25">
      <c r="B274" s="8"/>
    </row>
    <row r="275" spans="2:2" x14ac:dyDescent="0.25">
      <c r="B275" s="8"/>
    </row>
    <row r="276" spans="2:2" x14ac:dyDescent="0.25">
      <c r="B276" s="8"/>
    </row>
    <row r="277" spans="2:2" x14ac:dyDescent="0.25">
      <c r="B277" s="8"/>
    </row>
    <row r="278" spans="2:2" x14ac:dyDescent="0.25">
      <c r="B278" s="8"/>
    </row>
    <row r="279" spans="2:2" x14ac:dyDescent="0.25">
      <c r="B279" s="8"/>
    </row>
    <row r="280" spans="2:2" x14ac:dyDescent="0.25">
      <c r="B280" s="8"/>
    </row>
    <row r="281" spans="2:2" x14ac:dyDescent="0.25">
      <c r="B281" s="8"/>
    </row>
    <row r="282" spans="2:2" x14ac:dyDescent="0.25">
      <c r="B282" s="8"/>
    </row>
    <row r="283" spans="2:2" x14ac:dyDescent="0.25">
      <c r="B283" s="8"/>
    </row>
    <row r="284" spans="2:2" x14ac:dyDescent="0.25">
      <c r="B284" s="8"/>
    </row>
    <row r="285" spans="2:2" x14ac:dyDescent="0.25">
      <c r="B285" s="8"/>
    </row>
    <row r="286" spans="2:2" x14ac:dyDescent="0.25">
      <c r="B286" s="8"/>
    </row>
    <row r="287" spans="2:2" x14ac:dyDescent="0.25">
      <c r="B287" s="8"/>
    </row>
    <row r="288" spans="2:2" x14ac:dyDescent="0.25">
      <c r="B288" s="8"/>
    </row>
    <row r="289" spans="2:2" x14ac:dyDescent="0.25">
      <c r="B289" s="8"/>
    </row>
    <row r="290" spans="2:2" x14ac:dyDescent="0.25">
      <c r="B290" s="8"/>
    </row>
    <row r="291" spans="2:2" x14ac:dyDescent="0.25">
      <c r="B291" s="8"/>
    </row>
    <row r="292" spans="2:2" x14ac:dyDescent="0.25">
      <c r="B292" s="8"/>
    </row>
    <row r="293" spans="2:2" x14ac:dyDescent="0.25">
      <c r="B293" s="8"/>
    </row>
    <row r="294" spans="2:2" x14ac:dyDescent="0.25">
      <c r="B294" s="8"/>
    </row>
    <row r="295" spans="2:2" x14ac:dyDescent="0.25">
      <c r="B295" s="8"/>
    </row>
    <row r="296" spans="2:2" x14ac:dyDescent="0.25">
      <c r="B296" s="8"/>
    </row>
    <row r="297" spans="2:2" x14ac:dyDescent="0.25">
      <c r="B297" s="8"/>
    </row>
    <row r="298" spans="2:2" x14ac:dyDescent="0.25">
      <c r="B298" s="8"/>
    </row>
    <row r="299" spans="2:2" x14ac:dyDescent="0.25">
      <c r="B299" s="8"/>
    </row>
    <row r="300" spans="2:2" x14ac:dyDescent="0.25">
      <c r="B300" s="8"/>
    </row>
    <row r="301" spans="2:2" x14ac:dyDescent="0.25">
      <c r="B301" s="8"/>
    </row>
    <row r="302" spans="2:2" x14ac:dyDescent="0.25">
      <c r="B302" s="8"/>
    </row>
    <row r="303" spans="2:2" x14ac:dyDescent="0.25">
      <c r="B303" s="8"/>
    </row>
    <row r="304" spans="2:2" x14ac:dyDescent="0.25">
      <c r="B304" s="8"/>
    </row>
    <row r="305" spans="2:2" x14ac:dyDescent="0.25">
      <c r="B305" s="8"/>
    </row>
    <row r="306" spans="2:2" x14ac:dyDescent="0.25">
      <c r="B306" s="8"/>
    </row>
    <row r="307" spans="2:2" x14ac:dyDescent="0.25">
      <c r="B307" s="8"/>
    </row>
    <row r="308" spans="2:2" x14ac:dyDescent="0.25">
      <c r="B308" s="8"/>
    </row>
    <row r="309" spans="2:2" x14ac:dyDescent="0.25">
      <c r="B309" s="8"/>
    </row>
    <row r="310" spans="2:2" x14ac:dyDescent="0.25">
      <c r="B310" s="8"/>
    </row>
    <row r="311" spans="2:2" x14ac:dyDescent="0.25">
      <c r="B311" s="8"/>
    </row>
    <row r="312" spans="2:2" x14ac:dyDescent="0.25">
      <c r="B312" s="8"/>
    </row>
    <row r="313" spans="2:2" x14ac:dyDescent="0.25">
      <c r="B313" s="8"/>
    </row>
  </sheetData>
  <mergeCells count="1">
    <mergeCell ref="A1:K1"/>
  </mergeCells>
  <phoneticPr fontId="1" type="noConversion"/>
  <pageMargins left="0.75" right="0.75" top="1" bottom="1" header="0.5" footer="0.5"/>
  <pageSetup orientation="portrait" r:id="rId1"/>
  <headerFooter alignWithMargins="0">
    <oddHeader>&amp;A</oddHeader>
    <oddFooter>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Exercise 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2024-12-09T06:01:13Z</dcterms:modified>
</cp:coreProperties>
</file>