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1\practice\"/>
    </mc:Choice>
  </mc:AlternateContent>
  <xr:revisionPtr revIDLastSave="0" documentId="13_ncr:1_{5B57F8AA-A974-4415-8A78-3833661B326C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2" sheetId="2" r:id="rId2"/>
  </sheets>
  <externalReferences>
    <externalReference r:id="rId3"/>
    <externalReference r:id="rId4"/>
    <externalReference r:id="rId5"/>
  </externalReferences>
  <definedNames>
    <definedName name="Initial" localSheetId="1">'Exercise 2'!$B$6</definedName>
    <definedName name="r_" localSheetId="1">'Exercise 2'!$B$5</definedName>
    <definedName name="Sigma" localSheetId="1">'Exercise 2'!$B$4</definedName>
    <definedName name="X" localSheetId="1">'Exercise 2'!$B$3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2" l="1"/>
  <c r="F10" i="2"/>
  <c r="B3" i="2"/>
  <c r="P61" i="2"/>
  <c r="B61" i="2"/>
  <c r="P60" i="2"/>
  <c r="B60" i="2"/>
  <c r="P59" i="2"/>
  <c r="B59" i="2"/>
  <c r="P58" i="2"/>
  <c r="B58" i="2"/>
  <c r="P57" i="2"/>
  <c r="B57" i="2"/>
  <c r="P56" i="2"/>
  <c r="B56" i="2"/>
  <c r="P55" i="2"/>
  <c r="B55" i="2"/>
  <c r="P54" i="2"/>
  <c r="B54" i="2"/>
  <c r="P53" i="2"/>
  <c r="B53" i="2"/>
  <c r="P52" i="2"/>
  <c r="B52" i="2"/>
  <c r="P51" i="2"/>
  <c r="B51" i="2"/>
  <c r="P50" i="2"/>
  <c r="B50" i="2"/>
  <c r="P49" i="2"/>
  <c r="B49" i="2"/>
  <c r="P48" i="2"/>
  <c r="B48" i="2"/>
  <c r="P47" i="2"/>
  <c r="B47" i="2"/>
  <c r="P46" i="2"/>
  <c r="B46" i="2"/>
  <c r="P45" i="2"/>
  <c r="B45" i="2"/>
  <c r="P44" i="2"/>
  <c r="B44" i="2"/>
  <c r="P43" i="2"/>
  <c r="B43" i="2"/>
  <c r="P42" i="2"/>
  <c r="B42" i="2"/>
  <c r="P41" i="2"/>
  <c r="B41" i="2"/>
  <c r="P40" i="2"/>
  <c r="B40" i="2"/>
  <c r="P39" i="2"/>
  <c r="B39" i="2"/>
  <c r="P38" i="2"/>
  <c r="B38" i="2"/>
  <c r="P37" i="2"/>
  <c r="B37" i="2"/>
  <c r="P36" i="2"/>
  <c r="B36" i="2"/>
  <c r="P35" i="2"/>
  <c r="B35" i="2"/>
  <c r="P34" i="2"/>
  <c r="B34" i="2"/>
  <c r="P33" i="2"/>
  <c r="B33" i="2"/>
  <c r="P32" i="2"/>
  <c r="B32" i="2"/>
  <c r="P31" i="2"/>
  <c r="B31" i="2"/>
  <c r="P30" i="2"/>
  <c r="B30" i="2"/>
  <c r="P29" i="2"/>
  <c r="B29" i="2"/>
  <c r="P28" i="2"/>
  <c r="B28" i="2"/>
  <c r="P27" i="2"/>
  <c r="B27" i="2"/>
  <c r="P26" i="2"/>
  <c r="B26" i="2"/>
  <c r="P25" i="2"/>
  <c r="B25" i="2"/>
  <c r="P24" i="2"/>
  <c r="B24" i="2"/>
  <c r="P23" i="2"/>
  <c r="B23" i="2"/>
  <c r="P22" i="2"/>
  <c r="B22" i="2"/>
  <c r="P21" i="2"/>
  <c r="B21" i="2"/>
  <c r="P20" i="2"/>
  <c r="B20" i="2"/>
  <c r="P19" i="2"/>
  <c r="B19" i="2"/>
  <c r="P18" i="2"/>
  <c r="B18" i="2"/>
  <c r="P17" i="2"/>
  <c r="B17" i="2"/>
  <c r="P16" i="2"/>
  <c r="B16" i="2"/>
  <c r="P15" i="2"/>
  <c r="B15" i="2"/>
  <c r="P14" i="2"/>
  <c r="B14" i="2"/>
  <c r="P13" i="2"/>
  <c r="B13" i="2"/>
  <c r="P12" i="2"/>
  <c r="B12" i="2"/>
  <c r="P11" i="2"/>
  <c r="B11" i="2"/>
  <c r="P10" i="2"/>
  <c r="C11" i="2" s="1"/>
  <c r="B10" i="2"/>
  <c r="D10" i="2"/>
  <c r="Q10" i="2"/>
  <c r="E11" i="2"/>
  <c r="E10" i="2"/>
  <c r="C12" i="2" l="1"/>
  <c r="D11" i="2"/>
  <c r="F11" i="2" s="1"/>
  <c r="E12" i="2"/>
  <c r="D12" i="2" l="1"/>
  <c r="F12" i="2" s="1"/>
  <c r="C13" i="2"/>
  <c r="I10" i="2"/>
  <c r="L10" i="2"/>
  <c r="E13" i="2"/>
  <c r="D13" i="2" l="1"/>
  <c r="F13" i="2" s="1"/>
  <c r="C14" i="2"/>
  <c r="C15" i="2" s="1"/>
  <c r="M10" i="2"/>
  <c r="N10" i="2" s="1"/>
  <c r="J10" i="2"/>
  <c r="E14" i="2"/>
  <c r="E15" i="2"/>
  <c r="D14" i="2" l="1"/>
  <c r="F14" i="2" s="1"/>
  <c r="I11" i="2"/>
  <c r="H11" i="2"/>
  <c r="L11" i="2" s="1"/>
  <c r="C16" i="2"/>
  <c r="D15" i="2"/>
  <c r="F15" i="2" s="1"/>
  <c r="E16" i="2"/>
  <c r="D16" i="2" l="1"/>
  <c r="F16" i="2" s="1"/>
  <c r="C17" i="2"/>
  <c r="M11" i="2"/>
  <c r="N11" i="2" s="1"/>
  <c r="J11" i="2"/>
  <c r="E17" i="2"/>
  <c r="D17" i="2" l="1"/>
  <c r="F17" i="2" s="1"/>
  <c r="C18" i="2"/>
  <c r="I12" i="2"/>
  <c r="H12" i="2"/>
  <c r="L12" i="2" s="1"/>
  <c r="E18" i="2"/>
  <c r="M12" i="2" l="1"/>
  <c r="N12" i="2" s="1"/>
  <c r="J12" i="2"/>
  <c r="D18" i="2"/>
  <c r="F18" i="2" s="1"/>
  <c r="C19" i="2"/>
  <c r="E19" i="2"/>
  <c r="C20" i="2" l="1"/>
  <c r="D19" i="2"/>
  <c r="F19" i="2" s="1"/>
  <c r="I13" i="2"/>
  <c r="H13" i="2"/>
  <c r="L13" i="2" s="1"/>
  <c r="E20" i="2"/>
  <c r="J13" i="2" l="1"/>
  <c r="M13" i="2"/>
  <c r="N13" i="2" s="1"/>
  <c r="D20" i="2"/>
  <c r="F20" i="2" s="1"/>
  <c r="C21" i="2"/>
  <c r="E21" i="2"/>
  <c r="D21" i="2" l="1"/>
  <c r="F21" i="2" s="1"/>
  <c r="C22" i="2"/>
  <c r="I14" i="2"/>
  <c r="H14" i="2"/>
  <c r="L14" i="2" s="1"/>
  <c r="E22" i="2"/>
  <c r="M14" i="2" l="1"/>
  <c r="N14" i="2" s="1"/>
  <c r="J14" i="2"/>
  <c r="D22" i="2"/>
  <c r="F22" i="2" s="1"/>
  <c r="C23" i="2"/>
  <c r="E23" i="2"/>
  <c r="C24" i="2" l="1"/>
  <c r="D23" i="2"/>
  <c r="F23" i="2" s="1"/>
  <c r="I15" i="2"/>
  <c r="H15" i="2"/>
  <c r="L15" i="2" s="1"/>
  <c r="E24" i="2"/>
  <c r="M15" i="2" l="1"/>
  <c r="N15" i="2" s="1"/>
  <c r="J15" i="2"/>
  <c r="D24" i="2"/>
  <c r="F24" i="2" s="1"/>
  <c r="C25" i="2"/>
  <c r="E25" i="2"/>
  <c r="D25" i="2" l="1"/>
  <c r="F25" i="2" s="1"/>
  <c r="C26" i="2"/>
  <c r="I16" i="2"/>
  <c r="H16" i="2"/>
  <c r="L16" i="2" s="1"/>
  <c r="E26" i="2"/>
  <c r="M16" i="2" l="1"/>
  <c r="N16" i="2" s="1"/>
  <c r="J16" i="2"/>
  <c r="D26" i="2"/>
  <c r="F26" i="2" s="1"/>
  <c r="C27" i="2"/>
  <c r="E27" i="2"/>
  <c r="C28" i="2" l="1"/>
  <c r="D27" i="2"/>
  <c r="F27" i="2" s="1"/>
  <c r="I17" i="2"/>
  <c r="H17" i="2"/>
  <c r="L17" i="2" s="1"/>
  <c r="E28" i="2"/>
  <c r="J17" i="2" l="1"/>
  <c r="M17" i="2"/>
  <c r="N17" i="2" s="1"/>
  <c r="D28" i="2"/>
  <c r="F28" i="2" s="1"/>
  <c r="C29" i="2"/>
  <c r="E29" i="2"/>
  <c r="D29" i="2" l="1"/>
  <c r="F29" i="2" s="1"/>
  <c r="C30" i="2"/>
  <c r="I18" i="2"/>
  <c r="H18" i="2"/>
  <c r="L18" i="2" s="1"/>
  <c r="E30" i="2"/>
  <c r="M18" i="2" l="1"/>
  <c r="N18" i="2" s="1"/>
  <c r="J18" i="2"/>
  <c r="D30" i="2"/>
  <c r="F30" i="2" s="1"/>
  <c r="C31" i="2"/>
  <c r="E31" i="2"/>
  <c r="C32" i="2" l="1"/>
  <c r="D31" i="2"/>
  <c r="F31" i="2" s="1"/>
  <c r="I19" i="2"/>
  <c r="H19" i="2"/>
  <c r="L19" i="2" s="1"/>
  <c r="E32" i="2"/>
  <c r="M19" i="2" l="1"/>
  <c r="N19" i="2" s="1"/>
  <c r="J19" i="2"/>
  <c r="D32" i="2"/>
  <c r="F32" i="2" s="1"/>
  <c r="C33" i="2"/>
  <c r="E33" i="2"/>
  <c r="D33" i="2" l="1"/>
  <c r="F33" i="2" s="1"/>
  <c r="C34" i="2"/>
  <c r="I20" i="2"/>
  <c r="H20" i="2"/>
  <c r="L20" i="2" s="1"/>
  <c r="E34" i="2"/>
  <c r="M20" i="2" l="1"/>
  <c r="N20" i="2" s="1"/>
  <c r="J20" i="2"/>
  <c r="D34" i="2"/>
  <c r="F34" i="2" s="1"/>
  <c r="C35" i="2"/>
  <c r="E35" i="2"/>
  <c r="C36" i="2" l="1"/>
  <c r="D35" i="2"/>
  <c r="F35" i="2" s="1"/>
  <c r="I21" i="2"/>
  <c r="H21" i="2"/>
  <c r="L21" i="2" s="1"/>
  <c r="E36" i="2"/>
  <c r="J21" i="2" l="1"/>
  <c r="M21" i="2"/>
  <c r="N21" i="2" s="1"/>
  <c r="D36" i="2"/>
  <c r="F36" i="2" s="1"/>
  <c r="C37" i="2"/>
  <c r="E37" i="2"/>
  <c r="D37" i="2" l="1"/>
  <c r="F37" i="2" s="1"/>
  <c r="C38" i="2"/>
  <c r="I22" i="2"/>
  <c r="H22" i="2"/>
  <c r="L22" i="2" s="1"/>
  <c r="E38" i="2"/>
  <c r="D38" i="2" l="1"/>
  <c r="F38" i="2" s="1"/>
  <c r="C39" i="2"/>
  <c r="M22" i="2"/>
  <c r="N22" i="2" s="1"/>
  <c r="J22" i="2"/>
  <c r="E39" i="2"/>
  <c r="C40" i="2" l="1"/>
  <c r="D39" i="2"/>
  <c r="F39" i="2" s="1"/>
  <c r="I23" i="2"/>
  <c r="H23" i="2"/>
  <c r="L23" i="2" s="1"/>
  <c r="E40" i="2"/>
  <c r="M23" i="2" l="1"/>
  <c r="N23" i="2" s="1"/>
  <c r="J23" i="2"/>
  <c r="D40" i="2"/>
  <c r="F40" i="2" s="1"/>
  <c r="C41" i="2"/>
  <c r="E41" i="2"/>
  <c r="D41" i="2" l="1"/>
  <c r="F41" i="2" s="1"/>
  <c r="C42" i="2"/>
  <c r="I24" i="2"/>
  <c r="H24" i="2"/>
  <c r="L24" i="2" s="1"/>
  <c r="E42" i="2"/>
  <c r="M24" i="2" l="1"/>
  <c r="N24" i="2" s="1"/>
  <c r="J24" i="2"/>
  <c r="D42" i="2"/>
  <c r="F42" i="2" s="1"/>
  <c r="C43" i="2"/>
  <c r="E43" i="2"/>
  <c r="C44" i="2" l="1"/>
  <c r="D43" i="2"/>
  <c r="F43" i="2" s="1"/>
  <c r="I25" i="2"/>
  <c r="H25" i="2"/>
  <c r="L25" i="2" s="1"/>
  <c r="E44" i="2"/>
  <c r="J25" i="2" l="1"/>
  <c r="M25" i="2"/>
  <c r="N25" i="2" s="1"/>
  <c r="D44" i="2"/>
  <c r="F44" i="2" s="1"/>
  <c r="C45" i="2"/>
  <c r="E45" i="2"/>
  <c r="D45" i="2" l="1"/>
  <c r="F45" i="2" s="1"/>
  <c r="C46" i="2"/>
  <c r="I26" i="2"/>
  <c r="H26" i="2"/>
  <c r="L26" i="2" s="1"/>
  <c r="E46" i="2"/>
  <c r="M26" i="2" l="1"/>
  <c r="N26" i="2" s="1"/>
  <c r="J26" i="2"/>
  <c r="D46" i="2"/>
  <c r="F46" i="2" s="1"/>
  <c r="C47" i="2"/>
  <c r="E47" i="2"/>
  <c r="C48" i="2" l="1"/>
  <c r="D47" i="2"/>
  <c r="F47" i="2" s="1"/>
  <c r="I27" i="2"/>
  <c r="H27" i="2"/>
  <c r="L27" i="2" s="1"/>
  <c r="E48" i="2"/>
  <c r="M27" i="2" l="1"/>
  <c r="N27" i="2" s="1"/>
  <c r="J27" i="2"/>
  <c r="D48" i="2"/>
  <c r="F48" i="2" s="1"/>
  <c r="C49" i="2"/>
  <c r="E49" i="2"/>
  <c r="D49" i="2" l="1"/>
  <c r="F49" i="2" s="1"/>
  <c r="C50" i="2"/>
  <c r="I28" i="2"/>
  <c r="H28" i="2"/>
  <c r="L28" i="2" s="1"/>
  <c r="E50" i="2"/>
  <c r="M28" i="2" l="1"/>
  <c r="N28" i="2" s="1"/>
  <c r="J28" i="2"/>
  <c r="D50" i="2"/>
  <c r="F50" i="2" s="1"/>
  <c r="C51" i="2"/>
  <c r="E51" i="2"/>
  <c r="C52" i="2" l="1"/>
  <c r="D51" i="2"/>
  <c r="F51" i="2" s="1"/>
  <c r="I29" i="2"/>
  <c r="H29" i="2"/>
  <c r="L29" i="2" s="1"/>
  <c r="E52" i="2"/>
  <c r="J29" i="2" l="1"/>
  <c r="M29" i="2"/>
  <c r="N29" i="2" s="1"/>
  <c r="D52" i="2"/>
  <c r="F52" i="2" s="1"/>
  <c r="C53" i="2"/>
  <c r="E53" i="2"/>
  <c r="D53" i="2" l="1"/>
  <c r="F53" i="2" s="1"/>
  <c r="C54" i="2"/>
  <c r="I30" i="2"/>
  <c r="H30" i="2"/>
  <c r="L30" i="2" s="1"/>
  <c r="E54" i="2"/>
  <c r="M30" i="2" l="1"/>
  <c r="N30" i="2" s="1"/>
  <c r="J30" i="2"/>
  <c r="D54" i="2"/>
  <c r="F54" i="2" s="1"/>
  <c r="C55" i="2"/>
  <c r="E55" i="2"/>
  <c r="C56" i="2" l="1"/>
  <c r="D55" i="2"/>
  <c r="F55" i="2" s="1"/>
  <c r="I31" i="2"/>
  <c r="H31" i="2"/>
  <c r="L31" i="2" s="1"/>
  <c r="E56" i="2"/>
  <c r="D56" i="2" l="1"/>
  <c r="F56" i="2" s="1"/>
  <c r="C57" i="2"/>
  <c r="M31" i="2"/>
  <c r="N31" i="2" s="1"/>
  <c r="J31" i="2"/>
  <c r="E57" i="2"/>
  <c r="D57" i="2" l="1"/>
  <c r="F57" i="2" s="1"/>
  <c r="C58" i="2"/>
  <c r="I32" i="2"/>
  <c r="H32" i="2"/>
  <c r="L32" i="2" s="1"/>
  <c r="E58" i="2"/>
  <c r="M32" i="2" l="1"/>
  <c r="N32" i="2" s="1"/>
  <c r="J32" i="2"/>
  <c r="D58" i="2"/>
  <c r="F58" i="2" s="1"/>
  <c r="C59" i="2"/>
  <c r="E59" i="2"/>
  <c r="C60" i="2" l="1"/>
  <c r="D59" i="2"/>
  <c r="F59" i="2" s="1"/>
  <c r="I33" i="2"/>
  <c r="H33" i="2"/>
  <c r="L33" i="2" s="1"/>
  <c r="E60" i="2"/>
  <c r="J33" i="2" l="1"/>
  <c r="M33" i="2"/>
  <c r="N33" i="2" s="1"/>
  <c r="D60" i="2"/>
  <c r="F60" i="2" s="1"/>
  <c r="C61" i="2"/>
  <c r="E61" i="2"/>
  <c r="I34" i="2" l="1"/>
  <c r="H34" i="2"/>
  <c r="L34" i="2" s="1"/>
  <c r="D61" i="2"/>
  <c r="F61" i="2" s="1"/>
  <c r="M34" i="2" l="1"/>
  <c r="N34" i="2" s="1"/>
  <c r="J34" i="2"/>
  <c r="I35" i="2" l="1"/>
  <c r="H35" i="2"/>
  <c r="L35" i="2" s="1"/>
  <c r="M35" i="2" l="1"/>
  <c r="N35" i="2" s="1"/>
  <c r="J35" i="2"/>
  <c r="I36" i="2" l="1"/>
  <c r="H36" i="2"/>
  <c r="L36" i="2" s="1"/>
  <c r="M36" i="2" l="1"/>
  <c r="N36" i="2" s="1"/>
  <c r="J36" i="2"/>
  <c r="I37" i="2" l="1"/>
  <c r="H37" i="2"/>
  <c r="L37" i="2" s="1"/>
  <c r="J37" i="2" l="1"/>
  <c r="M37" i="2"/>
  <c r="N37" i="2" s="1"/>
  <c r="I38" i="2" l="1"/>
  <c r="H38" i="2"/>
  <c r="L38" i="2" s="1"/>
  <c r="M38" i="2" l="1"/>
  <c r="N38" i="2" s="1"/>
  <c r="J38" i="2"/>
  <c r="I39" i="2" l="1"/>
  <c r="H39" i="2"/>
  <c r="L39" i="2" s="1"/>
  <c r="M39" i="2" l="1"/>
  <c r="N39" i="2" s="1"/>
  <c r="J39" i="2"/>
  <c r="I40" i="2" l="1"/>
  <c r="H40" i="2"/>
  <c r="L40" i="2" s="1"/>
  <c r="M40" i="2" l="1"/>
  <c r="N40" i="2" s="1"/>
  <c r="J40" i="2"/>
  <c r="I41" i="2" l="1"/>
  <c r="H41" i="2"/>
  <c r="L41" i="2" s="1"/>
  <c r="J41" i="2" l="1"/>
  <c r="M41" i="2"/>
  <c r="N41" i="2" s="1"/>
  <c r="I42" i="2" l="1"/>
  <c r="H42" i="2"/>
  <c r="L42" i="2" s="1"/>
  <c r="M42" i="2" l="1"/>
  <c r="N42" i="2" s="1"/>
  <c r="J42" i="2"/>
  <c r="I43" i="2" l="1"/>
  <c r="H43" i="2"/>
  <c r="L43" i="2" s="1"/>
  <c r="M43" i="2" l="1"/>
  <c r="N43" i="2" s="1"/>
  <c r="J43" i="2"/>
  <c r="I44" i="2" l="1"/>
  <c r="H44" i="2"/>
  <c r="L44" i="2" s="1"/>
  <c r="M44" i="2" l="1"/>
  <c r="N44" i="2" s="1"/>
  <c r="J44" i="2"/>
  <c r="I45" i="2" l="1"/>
  <c r="H45" i="2"/>
  <c r="L45" i="2" s="1"/>
  <c r="J45" i="2" l="1"/>
  <c r="M45" i="2"/>
  <c r="N45" i="2" s="1"/>
  <c r="I46" i="2" l="1"/>
  <c r="H46" i="2"/>
  <c r="L46" i="2" s="1"/>
  <c r="M46" i="2" l="1"/>
  <c r="N46" i="2" s="1"/>
  <c r="J46" i="2"/>
  <c r="I47" i="2" l="1"/>
  <c r="H47" i="2"/>
  <c r="L47" i="2" s="1"/>
  <c r="M47" i="2" l="1"/>
  <c r="N47" i="2" s="1"/>
  <c r="J47" i="2"/>
  <c r="I48" i="2" l="1"/>
  <c r="H48" i="2"/>
  <c r="L48" i="2" s="1"/>
  <c r="M48" i="2" l="1"/>
  <c r="N48" i="2" s="1"/>
  <c r="J48" i="2"/>
  <c r="I49" i="2" l="1"/>
  <c r="H49" i="2"/>
  <c r="L49" i="2" s="1"/>
  <c r="J49" i="2" l="1"/>
  <c r="M49" i="2"/>
  <c r="N49" i="2" s="1"/>
  <c r="I50" i="2" l="1"/>
  <c r="H50" i="2"/>
  <c r="L50" i="2" s="1"/>
  <c r="M50" i="2" l="1"/>
  <c r="N50" i="2" s="1"/>
  <c r="J50" i="2"/>
  <c r="I51" i="2" l="1"/>
  <c r="H51" i="2"/>
  <c r="L51" i="2" s="1"/>
  <c r="M51" i="2" l="1"/>
  <c r="N51" i="2" s="1"/>
  <c r="J51" i="2"/>
  <c r="I52" i="2" l="1"/>
  <c r="H52" i="2"/>
  <c r="L52" i="2" s="1"/>
  <c r="M52" i="2" l="1"/>
  <c r="N52" i="2" s="1"/>
  <c r="J52" i="2"/>
  <c r="I53" i="2" l="1"/>
  <c r="H53" i="2"/>
  <c r="L53" i="2" s="1"/>
  <c r="J53" i="2" l="1"/>
  <c r="M53" i="2"/>
  <c r="N53" i="2" s="1"/>
  <c r="I54" i="2" l="1"/>
  <c r="H54" i="2"/>
  <c r="L54" i="2" s="1"/>
  <c r="M54" i="2" l="1"/>
  <c r="N54" i="2" s="1"/>
  <c r="J54" i="2"/>
  <c r="I55" i="2" l="1"/>
  <c r="H55" i="2"/>
  <c r="L55" i="2" s="1"/>
  <c r="M55" i="2" l="1"/>
  <c r="N55" i="2" s="1"/>
  <c r="J55" i="2"/>
  <c r="I56" i="2" l="1"/>
  <c r="H56" i="2"/>
  <c r="L56" i="2" s="1"/>
  <c r="M56" i="2" l="1"/>
  <c r="N56" i="2" s="1"/>
  <c r="J56" i="2"/>
  <c r="I57" i="2" l="1"/>
  <c r="H57" i="2"/>
  <c r="L57" i="2" s="1"/>
  <c r="J57" i="2" l="1"/>
  <c r="M57" i="2"/>
  <c r="N57" i="2" s="1"/>
  <c r="I58" i="2" l="1"/>
  <c r="H58" i="2"/>
  <c r="L58" i="2" s="1"/>
  <c r="M58" i="2" l="1"/>
  <c r="N58" i="2" s="1"/>
  <c r="J58" i="2"/>
  <c r="I59" i="2" l="1"/>
  <c r="H59" i="2"/>
  <c r="L59" i="2" s="1"/>
  <c r="M59" i="2" l="1"/>
  <c r="N59" i="2" s="1"/>
  <c r="J59" i="2"/>
  <c r="I60" i="2" l="1"/>
  <c r="H60" i="2"/>
  <c r="L60" i="2" s="1"/>
  <c r="M60" i="2" l="1"/>
  <c r="N60" i="2" s="1"/>
  <c r="J60" i="2"/>
  <c r="I61" i="2" l="1"/>
  <c r="H61" i="2"/>
  <c r="J61" i="2" l="1"/>
</calcChain>
</file>

<file path=xl/sharedStrings.xml><?xml version="1.0" encoding="utf-8"?>
<sst xmlns="http://schemas.openxmlformats.org/spreadsheetml/2006/main" count="25" uniqueCount="21">
  <si>
    <t>PORTFOLIO INSURANCE SIMULATION</t>
  </si>
  <si>
    <t>X</t>
  </si>
  <si>
    <t>The cells in column P have the function NormSInv(rand()) to simulate the standard normal deviates.  Each press of F9 produces a new simulation.</t>
  </si>
  <si>
    <t>Sigma</t>
  </si>
  <si>
    <t>r</t>
  </si>
  <si>
    <t>Initial</t>
  </si>
  <si>
    <t>Portfolio value,</t>
  </si>
  <si>
    <t>Standard</t>
  </si>
  <si>
    <t>beginning of week</t>
  </si>
  <si>
    <t>end of week</t>
  </si>
  <si>
    <t>normal</t>
  </si>
  <si>
    <t>Week</t>
  </si>
  <si>
    <t>Time</t>
  </si>
  <si>
    <t>Stock price</t>
  </si>
  <si>
    <r>
      <t>d</t>
    </r>
    <r>
      <rPr>
        <b/>
        <vertAlign val="subscript"/>
        <sz val="10"/>
        <rFont val="Arial"/>
        <family val="2"/>
      </rPr>
      <t>1</t>
    </r>
  </si>
  <si>
    <t>Put price</t>
  </si>
  <si>
    <t>Omega</t>
  </si>
  <si>
    <t>Stocks</t>
  </si>
  <si>
    <t>Bonds</t>
  </si>
  <si>
    <t>Portfolio val.</t>
  </si>
  <si>
    <t>deviates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</si>
</sst>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6">
    <xf numFmtId="0" fontId="0" fillId="0" borderId="0" xfId="0">
      <alignment vertical="center"/>
    </xf>
    <xf numFmtId="2" fontId="3" fillId="0" borderId="0" xfId="1" applyNumberFormat="1" applyFont="1" applyAlignment="1">
      <alignment horizontal="centerContinuous"/>
    </xf>
    <xf numFmtId="0" fontId="2" fillId="0" borderId="0" xfId="1" applyAlignment="1">
      <alignment horizontal="centerContinuous"/>
    </xf>
    <xf numFmtId="2" fontId="2" fillId="0" borderId="0" xfId="1" applyNumberFormat="1" applyAlignment="1">
      <alignment horizontal="centerContinuous"/>
    </xf>
    <xf numFmtId="0" fontId="2" fillId="0" borderId="0" xfId="1"/>
    <xf numFmtId="2" fontId="2" fillId="0" borderId="0" xfId="1" applyNumberFormat="1"/>
    <xf numFmtId="0" fontId="2" fillId="0" borderId="0" xfId="1" applyAlignment="1">
      <alignment horizontal="center" vertical="center" wrapText="1"/>
    </xf>
    <xf numFmtId="2" fontId="2" fillId="0" borderId="0" xfId="1" applyNumberFormat="1" applyAlignment="1">
      <alignment horizontal="center"/>
    </xf>
    <xf numFmtId="9" fontId="2" fillId="0" borderId="0" xfId="1" applyNumberFormat="1"/>
    <xf numFmtId="0" fontId="4" fillId="0" borderId="0" xfId="1" applyFont="1" applyAlignment="1">
      <alignment horizontal="centerContinuous"/>
    </xf>
    <xf numFmtId="2" fontId="4" fillId="0" borderId="0" xfId="1" applyNumberFormat="1" applyFont="1" applyAlignment="1">
      <alignment horizontal="centerContinuous"/>
    </xf>
    <xf numFmtId="0" fontId="4" fillId="0" borderId="0" xfId="1" applyFont="1"/>
    <xf numFmtId="0" fontId="4" fillId="0" borderId="0" xfId="1" applyFont="1" applyAlignment="1">
      <alignment horizontal="center"/>
    </xf>
    <xf numFmtId="2" fontId="4" fillId="0" borderId="0" xfId="1" applyNumberFormat="1" applyFont="1" applyAlignment="1">
      <alignment horizontal="center"/>
    </xf>
    <xf numFmtId="0" fontId="2" fillId="0" borderId="0" xfId="1" applyAlignment="1">
      <alignment horizontal="center"/>
    </xf>
    <xf numFmtId="176" fontId="2" fillId="0" borderId="0" xfId="1" applyNumberFormat="1"/>
  </cellXfs>
  <cellStyles count="2">
    <cellStyle name="常规" xfId="0" builtinId="0"/>
    <cellStyle name="常规 2" xfId="1" xr:uid="{B007E581-9807-4775-8F28-3639497E504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Portfolio Insurance Simulation</a:t>
            </a:r>
          </a:p>
        </c:rich>
      </c:tx>
      <c:layout>
        <c:manualLayout>
          <c:xMode val="edge"/>
          <c:yMode val="edge"/>
          <c:x val="0.2525263423322559"/>
          <c:y val="4.4368656137498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02107386580467"/>
          <c:y val="0.24232112198172442"/>
          <c:w val="0.75252850015012251"/>
          <c:h val="0.50512008525767915"/>
        </c:manualLayout>
      </c:layout>
      <c:lineChart>
        <c:grouping val="standard"/>
        <c:varyColors val="0"/>
        <c:ser>
          <c:idx val="0"/>
          <c:order val="0"/>
          <c:tx>
            <c:strRef>
              <c:f>'Exercise 2'!$J$9</c:f>
              <c:strCache>
                <c:ptCount val="1"/>
                <c:pt idx="0">
                  <c:v>Portfolio val.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'Exercise 2'!$A$10:$A$61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cat>
          <c:val>
            <c:numRef>
              <c:f>'Exercise 2'!$N$10:$N$61</c:f>
              <c:numCache>
                <c:formatCode>0.00</c:formatCode>
                <c:ptCount val="52"/>
                <c:pt idx="0">
                  <c:v>1012.267688626067</c:v>
                </c:pt>
                <c:pt idx="1">
                  <c:v>1072.7928223806566</c:v>
                </c:pt>
                <c:pt idx="2">
                  <c:v>1062.4351299735104</c:v>
                </c:pt>
                <c:pt idx="3">
                  <c:v>1112.416312273476</c:v>
                </c:pt>
                <c:pt idx="4">
                  <c:v>1116.3966227950232</c:v>
                </c:pt>
                <c:pt idx="5">
                  <c:v>1136.1664647009882</c:v>
                </c:pt>
                <c:pt idx="6">
                  <c:v>1154.4860843827189</c:v>
                </c:pt>
                <c:pt idx="7">
                  <c:v>1160.1710383316915</c:v>
                </c:pt>
                <c:pt idx="8">
                  <c:v>1133.6257064039244</c:v>
                </c:pt>
                <c:pt idx="9">
                  <c:v>1089.5664168486605</c:v>
                </c:pt>
                <c:pt idx="10">
                  <c:v>1088.7888191313652</c:v>
                </c:pt>
                <c:pt idx="11">
                  <c:v>1086.1846025188215</c:v>
                </c:pt>
                <c:pt idx="12">
                  <c:v>1039.8915399388497</c:v>
                </c:pt>
                <c:pt idx="13">
                  <c:v>1140.8782167410868</c:v>
                </c:pt>
                <c:pt idx="14">
                  <c:v>1160.4574703506519</c:v>
                </c:pt>
                <c:pt idx="15">
                  <c:v>1093.1830727056472</c:v>
                </c:pt>
                <c:pt idx="16">
                  <c:v>1129.9924821959953</c:v>
                </c:pt>
                <c:pt idx="17">
                  <c:v>1144.7422422704242</c:v>
                </c:pt>
                <c:pt idx="18">
                  <c:v>1176.9935349173236</c:v>
                </c:pt>
                <c:pt idx="19">
                  <c:v>1261.7104686226664</c:v>
                </c:pt>
                <c:pt idx="20">
                  <c:v>1257.9702975681462</c:v>
                </c:pt>
                <c:pt idx="21">
                  <c:v>1303.5490760924424</c:v>
                </c:pt>
                <c:pt idx="22">
                  <c:v>1162.5288409991754</c:v>
                </c:pt>
                <c:pt idx="23">
                  <c:v>1096.3127649109367</c:v>
                </c:pt>
                <c:pt idx="24">
                  <c:v>994.68197794143703</c:v>
                </c:pt>
                <c:pt idx="25">
                  <c:v>1024.3868085027921</c:v>
                </c:pt>
                <c:pt idx="26">
                  <c:v>1095.1228853276089</c:v>
                </c:pt>
                <c:pt idx="27">
                  <c:v>1141.1333286394165</c:v>
                </c:pt>
                <c:pt idx="28">
                  <c:v>1209.7974654540701</c:v>
                </c:pt>
                <c:pt idx="29">
                  <c:v>1210.8360521184727</c:v>
                </c:pt>
                <c:pt idx="30">
                  <c:v>1219.9217280997473</c:v>
                </c:pt>
                <c:pt idx="31">
                  <c:v>1099.1893440627962</c:v>
                </c:pt>
                <c:pt idx="32">
                  <c:v>1077.2013915152656</c:v>
                </c:pt>
                <c:pt idx="33">
                  <c:v>1066.3055911565714</c:v>
                </c:pt>
                <c:pt idx="34">
                  <c:v>1062.7268412242302</c:v>
                </c:pt>
                <c:pt idx="35">
                  <c:v>1063.0665922146432</c:v>
                </c:pt>
                <c:pt idx="36">
                  <c:v>1063.1925053515661</c:v>
                </c:pt>
                <c:pt idx="37">
                  <c:v>1091.2269621622902</c:v>
                </c:pt>
                <c:pt idx="38">
                  <c:v>1034.5711550769468</c:v>
                </c:pt>
                <c:pt idx="39">
                  <c:v>1021.7521154562112</c:v>
                </c:pt>
                <c:pt idx="40">
                  <c:v>994.05616742031839</c:v>
                </c:pt>
                <c:pt idx="41">
                  <c:v>1041.0697150989702</c:v>
                </c:pt>
                <c:pt idx="42">
                  <c:v>1070.3463728561046</c:v>
                </c:pt>
                <c:pt idx="43">
                  <c:v>1079.0291139790265</c:v>
                </c:pt>
                <c:pt idx="44">
                  <c:v>1076.9080323499295</c:v>
                </c:pt>
                <c:pt idx="45">
                  <c:v>1098.5391878031608</c:v>
                </c:pt>
                <c:pt idx="46">
                  <c:v>1104.0826695837582</c:v>
                </c:pt>
                <c:pt idx="47">
                  <c:v>1106.234629287874</c:v>
                </c:pt>
                <c:pt idx="48">
                  <c:v>1117.3360391856356</c:v>
                </c:pt>
                <c:pt idx="49">
                  <c:v>1161.6996391117229</c:v>
                </c:pt>
                <c:pt idx="50">
                  <c:v>1219.8619618448483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A5-4EFD-AFCA-84935F89C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538416"/>
        <c:axId val="1"/>
      </c:lineChart>
      <c:catAx>
        <c:axId val="834538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Week</a:t>
                </a:r>
              </a:p>
            </c:rich>
          </c:tx>
          <c:layout>
            <c:manualLayout>
              <c:xMode val="edge"/>
              <c:yMode val="edge"/>
              <c:x val="0.53535584574438244"/>
              <c:y val="0.8498304137105545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1"/>
        <c:scaling>
          <c:orientation val="minMax"/>
          <c:min val="9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Portfolio value at end of week</a:t>
                </a:r>
              </a:p>
            </c:rich>
          </c:tx>
          <c:layout>
            <c:manualLayout>
              <c:xMode val="edge"/>
              <c:yMode val="edge"/>
              <c:x val="6.565684900638652E-2"/>
              <c:y val="0.20819138649134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3453841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400050</xdr:colOff>
      <xdr:row>12</xdr:row>
      <xdr:rowOff>0</xdr:rowOff>
    </xdr:from>
    <xdr:to>
      <xdr:col>21</xdr:col>
      <xdr:colOff>133350</xdr:colOff>
      <xdr:row>28</xdr:row>
      <xdr:rowOff>47625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DE4B65E-6C7F-44A3-9B8E-465A8D4AF2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590550</xdr:colOff>
      <xdr:row>3</xdr:row>
      <xdr:rowOff>28575</xdr:rowOff>
    </xdr:from>
    <xdr:to>
      <xdr:col>45</xdr:col>
      <xdr:colOff>266700</xdr:colOff>
      <xdr:row>65</xdr:row>
      <xdr:rowOff>15240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A23118D2-EF28-30D2-7DA1-7C13B20C2C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4878050" y="581025"/>
          <a:ext cx="14306550" cy="106489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1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21\practice\practice_01.xlsm" TargetMode="External"/><Relationship Id="rId1" Type="http://schemas.openxmlformats.org/officeDocument/2006/relationships/externalLinkPath" Target="practice_01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Sheet1"/>
      <sheetName val="Exercise 5 中文"/>
      <sheetName val="Exercise 5 template"/>
      <sheetName val="Exercise 5 template 中文"/>
      <sheetName val="VBA, Exer. 5"/>
    </sheetNames>
    <sheetDataSet>
      <sheetData sheetId="0"/>
      <sheetData sheetId="1"/>
      <sheetData sheetId="2">
        <row r="9">
          <cell r="J9" t="str">
            <v>Portfolio val.</v>
          </cell>
        </row>
        <row r="10">
          <cell r="A10">
            <v>0</v>
          </cell>
          <cell r="N10">
            <v>1015.9829591484018</v>
          </cell>
        </row>
        <row r="11">
          <cell r="A11">
            <v>1</v>
          </cell>
          <cell r="N11">
            <v>1009.7365396098719</v>
          </cell>
        </row>
        <row r="12">
          <cell r="A12">
            <v>2</v>
          </cell>
          <cell r="N12">
            <v>1025.2289739395449</v>
          </cell>
        </row>
        <row r="13">
          <cell r="A13">
            <v>3</v>
          </cell>
          <cell r="N13">
            <v>1027.9967855931277</v>
          </cell>
        </row>
        <row r="14">
          <cell r="A14">
            <v>4</v>
          </cell>
          <cell r="N14">
            <v>1009.8965510882915</v>
          </cell>
        </row>
        <row r="15">
          <cell r="A15">
            <v>5</v>
          </cell>
          <cell r="N15">
            <v>1042.4286155486304</v>
          </cell>
        </row>
        <row r="16">
          <cell r="A16">
            <v>6</v>
          </cell>
          <cell r="N16">
            <v>1020.2595111797148</v>
          </cell>
        </row>
        <row r="17">
          <cell r="A17">
            <v>7</v>
          </cell>
          <cell r="N17">
            <v>1033.8991496604756</v>
          </cell>
        </row>
        <row r="18">
          <cell r="A18">
            <v>8</v>
          </cell>
          <cell r="N18">
            <v>1088.6659532273156</v>
          </cell>
        </row>
        <row r="19">
          <cell r="A19">
            <v>9</v>
          </cell>
          <cell r="N19">
            <v>1097.8901654373783</v>
          </cell>
        </row>
        <row r="20">
          <cell r="A20">
            <v>10</v>
          </cell>
          <cell r="N20">
            <v>1113.2679880318074</v>
          </cell>
        </row>
        <row r="21">
          <cell r="A21">
            <v>11</v>
          </cell>
          <cell r="N21">
            <v>1035.2625676613388</v>
          </cell>
        </row>
        <row r="22">
          <cell r="A22">
            <v>12</v>
          </cell>
          <cell r="N22">
            <v>1051.9628744955696</v>
          </cell>
        </row>
        <row r="23">
          <cell r="A23">
            <v>13</v>
          </cell>
          <cell r="N23">
            <v>1059.0083893368021</v>
          </cell>
        </row>
        <row r="24">
          <cell r="A24">
            <v>14</v>
          </cell>
          <cell r="N24">
            <v>1097.6194392072512</v>
          </cell>
        </row>
        <row r="25">
          <cell r="A25">
            <v>15</v>
          </cell>
          <cell r="N25">
            <v>1126.6737084043975</v>
          </cell>
        </row>
        <row r="26">
          <cell r="A26">
            <v>16</v>
          </cell>
          <cell r="N26">
            <v>1142.4855920584569</v>
          </cell>
        </row>
        <row r="27">
          <cell r="A27">
            <v>17</v>
          </cell>
          <cell r="N27">
            <v>1130.0147060114384</v>
          </cell>
        </row>
        <row r="28">
          <cell r="A28">
            <v>18</v>
          </cell>
          <cell r="N28">
            <v>1070.774370351065</v>
          </cell>
        </row>
        <row r="29">
          <cell r="A29">
            <v>19</v>
          </cell>
          <cell r="N29">
            <v>1125.8796976313802</v>
          </cell>
        </row>
        <row r="30">
          <cell r="A30">
            <v>20</v>
          </cell>
          <cell r="N30">
            <v>1116.3894863896032</v>
          </cell>
        </row>
        <row r="31">
          <cell r="A31">
            <v>21</v>
          </cell>
          <cell r="N31">
            <v>1100.1420271754996</v>
          </cell>
        </row>
        <row r="32">
          <cell r="A32">
            <v>22</v>
          </cell>
          <cell r="N32">
            <v>1067.1446272995559</v>
          </cell>
        </row>
        <row r="33">
          <cell r="A33">
            <v>23</v>
          </cell>
          <cell r="N33">
            <v>1092.9194311375065</v>
          </cell>
        </row>
        <row r="34">
          <cell r="A34">
            <v>24</v>
          </cell>
          <cell r="N34">
            <v>1143.6550088830304</v>
          </cell>
        </row>
        <row r="35">
          <cell r="A35">
            <v>25</v>
          </cell>
          <cell r="N35">
            <v>1069.8329209845811</v>
          </cell>
        </row>
        <row r="36">
          <cell r="A36">
            <v>26</v>
          </cell>
          <cell r="N36">
            <v>1108.3929477720396</v>
          </cell>
        </row>
        <row r="37">
          <cell r="A37">
            <v>27</v>
          </cell>
          <cell r="N37">
            <v>1108.6328486226339</v>
          </cell>
        </row>
        <row r="38">
          <cell r="A38">
            <v>28</v>
          </cell>
          <cell r="N38">
            <v>1105.6606460820631</v>
          </cell>
        </row>
        <row r="39">
          <cell r="A39">
            <v>29</v>
          </cell>
          <cell r="N39">
            <v>1088.8487207900162</v>
          </cell>
        </row>
        <row r="40">
          <cell r="A40">
            <v>30</v>
          </cell>
          <cell r="N40">
            <v>1147.7630497113551</v>
          </cell>
        </row>
        <row r="41">
          <cell r="A41">
            <v>31</v>
          </cell>
          <cell r="N41">
            <v>1145.6513700967521</v>
          </cell>
        </row>
        <row r="42">
          <cell r="A42">
            <v>32</v>
          </cell>
          <cell r="N42">
            <v>1074.4000119117238</v>
          </cell>
        </row>
        <row r="43">
          <cell r="A43">
            <v>33</v>
          </cell>
          <cell r="N43">
            <v>1035.2380539600879</v>
          </cell>
        </row>
        <row r="44">
          <cell r="A44">
            <v>34</v>
          </cell>
          <cell r="N44">
            <v>1022.9233903384983</v>
          </cell>
        </row>
        <row r="45">
          <cell r="A45">
            <v>35</v>
          </cell>
          <cell r="N45">
            <v>1011.6862431588696</v>
          </cell>
        </row>
        <row r="46">
          <cell r="A46">
            <v>36</v>
          </cell>
          <cell r="N46">
            <v>1000.7950171940075</v>
          </cell>
        </row>
        <row r="47">
          <cell r="A47">
            <v>37</v>
          </cell>
          <cell r="N47">
            <v>989.44831285108751</v>
          </cell>
        </row>
        <row r="48">
          <cell r="A48">
            <v>38</v>
          </cell>
          <cell r="N48">
            <v>1001.7112278735161</v>
          </cell>
        </row>
        <row r="49">
          <cell r="A49">
            <v>39</v>
          </cell>
          <cell r="N49">
            <v>1000.7663128067106</v>
          </cell>
        </row>
        <row r="50">
          <cell r="A50">
            <v>40</v>
          </cell>
          <cell r="N50">
            <v>1002.0166063065326</v>
          </cell>
        </row>
        <row r="51">
          <cell r="A51">
            <v>41</v>
          </cell>
          <cell r="N51">
            <v>989.56530247569617</v>
          </cell>
        </row>
        <row r="52">
          <cell r="A52">
            <v>42</v>
          </cell>
          <cell r="N52">
            <v>1019.614827381881</v>
          </cell>
        </row>
        <row r="53">
          <cell r="A53">
            <v>43</v>
          </cell>
          <cell r="N53">
            <v>1042.1286800443936</v>
          </cell>
        </row>
        <row r="54">
          <cell r="A54">
            <v>44</v>
          </cell>
          <cell r="N54">
            <v>1001.8681423905633</v>
          </cell>
        </row>
        <row r="55">
          <cell r="A55">
            <v>45</v>
          </cell>
          <cell r="N55">
            <v>985.48205503597092</v>
          </cell>
        </row>
        <row r="56">
          <cell r="A56">
            <v>46</v>
          </cell>
          <cell r="N56">
            <v>944.24299149296917</v>
          </cell>
        </row>
        <row r="57">
          <cell r="A57">
            <v>47</v>
          </cell>
          <cell r="N57">
            <v>936.56743696404283</v>
          </cell>
        </row>
        <row r="58">
          <cell r="A58">
            <v>48</v>
          </cell>
          <cell r="N58">
            <v>934.55655720117545</v>
          </cell>
        </row>
        <row r="59">
          <cell r="A59">
            <v>49</v>
          </cell>
          <cell r="N59">
            <v>936.00807981840501</v>
          </cell>
        </row>
        <row r="60">
          <cell r="A60">
            <v>50</v>
          </cell>
          <cell r="N60">
            <v>937.9346306854776</v>
          </cell>
        </row>
        <row r="61">
          <cell r="A61">
            <v>51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5">
          <cell r="B5">
            <v>114.842871562479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EEF17-EC27-4824-9120-622073B661D1}">
  <sheetPr codeName="Sheet2"/>
  <dimension ref="A1:Q308"/>
  <sheetViews>
    <sheetView tabSelected="1" workbookViewId="0">
      <selection activeCell="D12" sqref="D12"/>
    </sheetView>
  </sheetViews>
  <sheetFormatPr defaultRowHeight="13.2" x14ac:dyDescent="0.25"/>
  <cols>
    <col min="1" max="2" width="8.88671875" style="4"/>
    <col min="3" max="3" width="12.88671875" style="5" customWidth="1"/>
    <col min="4" max="4" width="8.88671875" style="4"/>
    <col min="5" max="5" width="10.5546875" style="4" customWidth="1"/>
    <col min="6" max="6" width="8.88671875" style="4"/>
    <col min="7" max="7" width="4.44140625" style="4" customWidth="1"/>
    <col min="8" max="8" width="10.88671875" style="4" customWidth="1"/>
    <col min="9" max="9" width="8.88671875" style="4"/>
    <col min="10" max="10" width="14.6640625" style="7" customWidth="1"/>
    <col min="11" max="11" width="4.44140625" style="4" customWidth="1"/>
    <col min="12" max="12" width="10.33203125" style="4" customWidth="1"/>
    <col min="13" max="13" width="8.88671875" style="4"/>
    <col min="14" max="14" width="13.6640625" style="7" customWidth="1"/>
    <col min="15" max="15" width="5.44140625" style="4" customWidth="1"/>
    <col min="16" max="16" width="8.88671875" style="4"/>
    <col min="17" max="17" width="23.33203125" style="4" bestFit="1" customWidth="1"/>
    <col min="18" max="258" width="8.88671875" style="4"/>
    <col min="259" max="259" width="12.88671875" style="4" customWidth="1"/>
    <col min="260" max="260" width="8.88671875" style="4"/>
    <col min="261" max="261" width="10.5546875" style="4" customWidth="1"/>
    <col min="262" max="262" width="8.88671875" style="4"/>
    <col min="263" max="263" width="4.44140625" style="4" customWidth="1"/>
    <col min="264" max="264" width="10.88671875" style="4" customWidth="1"/>
    <col min="265" max="265" width="8.88671875" style="4"/>
    <col min="266" max="266" width="14.6640625" style="4" customWidth="1"/>
    <col min="267" max="267" width="4.44140625" style="4" customWidth="1"/>
    <col min="268" max="268" width="10.33203125" style="4" customWidth="1"/>
    <col min="269" max="269" width="8.88671875" style="4"/>
    <col min="270" max="270" width="13.6640625" style="4" customWidth="1"/>
    <col min="271" max="271" width="5.44140625" style="4" customWidth="1"/>
    <col min="272" max="272" width="8.88671875" style="4"/>
    <col min="273" max="273" width="23.33203125" style="4" bestFit="1" customWidth="1"/>
    <col min="274" max="514" width="8.88671875" style="4"/>
    <col min="515" max="515" width="12.88671875" style="4" customWidth="1"/>
    <col min="516" max="516" width="8.88671875" style="4"/>
    <col min="517" max="517" width="10.5546875" style="4" customWidth="1"/>
    <col min="518" max="518" width="8.88671875" style="4"/>
    <col min="519" max="519" width="4.44140625" style="4" customWidth="1"/>
    <col min="520" max="520" width="10.88671875" style="4" customWidth="1"/>
    <col min="521" max="521" width="8.88671875" style="4"/>
    <col min="522" max="522" width="14.6640625" style="4" customWidth="1"/>
    <col min="523" max="523" width="4.44140625" style="4" customWidth="1"/>
    <col min="524" max="524" width="10.33203125" style="4" customWidth="1"/>
    <col min="525" max="525" width="8.88671875" style="4"/>
    <col min="526" max="526" width="13.6640625" style="4" customWidth="1"/>
    <col min="527" max="527" width="5.44140625" style="4" customWidth="1"/>
    <col min="528" max="528" width="8.88671875" style="4"/>
    <col min="529" max="529" width="23.33203125" style="4" bestFit="1" customWidth="1"/>
    <col min="530" max="770" width="8.88671875" style="4"/>
    <col min="771" max="771" width="12.88671875" style="4" customWidth="1"/>
    <col min="772" max="772" width="8.88671875" style="4"/>
    <col min="773" max="773" width="10.5546875" style="4" customWidth="1"/>
    <col min="774" max="774" width="8.88671875" style="4"/>
    <col min="775" max="775" width="4.44140625" style="4" customWidth="1"/>
    <col min="776" max="776" width="10.88671875" style="4" customWidth="1"/>
    <col min="777" max="777" width="8.88671875" style="4"/>
    <col min="778" max="778" width="14.6640625" style="4" customWidth="1"/>
    <col min="779" max="779" width="4.44140625" style="4" customWidth="1"/>
    <col min="780" max="780" width="10.33203125" style="4" customWidth="1"/>
    <col min="781" max="781" width="8.88671875" style="4"/>
    <col min="782" max="782" width="13.6640625" style="4" customWidth="1"/>
    <col min="783" max="783" width="5.44140625" style="4" customWidth="1"/>
    <col min="784" max="784" width="8.88671875" style="4"/>
    <col min="785" max="785" width="23.33203125" style="4" bestFit="1" customWidth="1"/>
    <col min="786" max="1026" width="8.88671875" style="4"/>
    <col min="1027" max="1027" width="12.88671875" style="4" customWidth="1"/>
    <col min="1028" max="1028" width="8.88671875" style="4"/>
    <col min="1029" max="1029" width="10.5546875" style="4" customWidth="1"/>
    <col min="1030" max="1030" width="8.88671875" style="4"/>
    <col min="1031" max="1031" width="4.44140625" style="4" customWidth="1"/>
    <col min="1032" max="1032" width="10.88671875" style="4" customWidth="1"/>
    <col min="1033" max="1033" width="8.88671875" style="4"/>
    <col min="1034" max="1034" width="14.6640625" style="4" customWidth="1"/>
    <col min="1035" max="1035" width="4.44140625" style="4" customWidth="1"/>
    <col min="1036" max="1036" width="10.33203125" style="4" customWidth="1"/>
    <col min="1037" max="1037" width="8.88671875" style="4"/>
    <col min="1038" max="1038" width="13.6640625" style="4" customWidth="1"/>
    <col min="1039" max="1039" width="5.44140625" style="4" customWidth="1"/>
    <col min="1040" max="1040" width="8.88671875" style="4"/>
    <col min="1041" max="1041" width="23.33203125" style="4" bestFit="1" customWidth="1"/>
    <col min="1042" max="1282" width="8.88671875" style="4"/>
    <col min="1283" max="1283" width="12.88671875" style="4" customWidth="1"/>
    <col min="1284" max="1284" width="8.88671875" style="4"/>
    <col min="1285" max="1285" width="10.5546875" style="4" customWidth="1"/>
    <col min="1286" max="1286" width="8.88671875" style="4"/>
    <col min="1287" max="1287" width="4.44140625" style="4" customWidth="1"/>
    <col min="1288" max="1288" width="10.88671875" style="4" customWidth="1"/>
    <col min="1289" max="1289" width="8.88671875" style="4"/>
    <col min="1290" max="1290" width="14.6640625" style="4" customWidth="1"/>
    <col min="1291" max="1291" width="4.44140625" style="4" customWidth="1"/>
    <col min="1292" max="1292" width="10.33203125" style="4" customWidth="1"/>
    <col min="1293" max="1293" width="8.88671875" style="4"/>
    <col min="1294" max="1294" width="13.6640625" style="4" customWidth="1"/>
    <col min="1295" max="1295" width="5.44140625" style="4" customWidth="1"/>
    <col min="1296" max="1296" width="8.88671875" style="4"/>
    <col min="1297" max="1297" width="23.33203125" style="4" bestFit="1" customWidth="1"/>
    <col min="1298" max="1538" width="8.88671875" style="4"/>
    <col min="1539" max="1539" width="12.88671875" style="4" customWidth="1"/>
    <col min="1540" max="1540" width="8.88671875" style="4"/>
    <col min="1541" max="1541" width="10.5546875" style="4" customWidth="1"/>
    <col min="1542" max="1542" width="8.88671875" style="4"/>
    <col min="1543" max="1543" width="4.44140625" style="4" customWidth="1"/>
    <col min="1544" max="1544" width="10.88671875" style="4" customWidth="1"/>
    <col min="1545" max="1545" width="8.88671875" style="4"/>
    <col min="1546" max="1546" width="14.6640625" style="4" customWidth="1"/>
    <col min="1547" max="1547" width="4.44140625" style="4" customWidth="1"/>
    <col min="1548" max="1548" width="10.33203125" style="4" customWidth="1"/>
    <col min="1549" max="1549" width="8.88671875" style="4"/>
    <col min="1550" max="1550" width="13.6640625" style="4" customWidth="1"/>
    <col min="1551" max="1551" width="5.44140625" style="4" customWidth="1"/>
    <col min="1552" max="1552" width="8.88671875" style="4"/>
    <col min="1553" max="1553" width="23.33203125" style="4" bestFit="1" customWidth="1"/>
    <col min="1554" max="1794" width="8.88671875" style="4"/>
    <col min="1795" max="1795" width="12.88671875" style="4" customWidth="1"/>
    <col min="1796" max="1796" width="8.88671875" style="4"/>
    <col min="1797" max="1797" width="10.5546875" style="4" customWidth="1"/>
    <col min="1798" max="1798" width="8.88671875" style="4"/>
    <col min="1799" max="1799" width="4.44140625" style="4" customWidth="1"/>
    <col min="1800" max="1800" width="10.88671875" style="4" customWidth="1"/>
    <col min="1801" max="1801" width="8.88671875" style="4"/>
    <col min="1802" max="1802" width="14.6640625" style="4" customWidth="1"/>
    <col min="1803" max="1803" width="4.44140625" style="4" customWidth="1"/>
    <col min="1804" max="1804" width="10.33203125" style="4" customWidth="1"/>
    <col min="1805" max="1805" width="8.88671875" style="4"/>
    <col min="1806" max="1806" width="13.6640625" style="4" customWidth="1"/>
    <col min="1807" max="1807" width="5.44140625" style="4" customWidth="1"/>
    <col min="1808" max="1808" width="8.88671875" style="4"/>
    <col min="1809" max="1809" width="23.33203125" style="4" bestFit="1" customWidth="1"/>
    <col min="1810" max="2050" width="8.88671875" style="4"/>
    <col min="2051" max="2051" width="12.88671875" style="4" customWidth="1"/>
    <col min="2052" max="2052" width="8.88671875" style="4"/>
    <col min="2053" max="2053" width="10.5546875" style="4" customWidth="1"/>
    <col min="2054" max="2054" width="8.88671875" style="4"/>
    <col min="2055" max="2055" width="4.44140625" style="4" customWidth="1"/>
    <col min="2056" max="2056" width="10.88671875" style="4" customWidth="1"/>
    <col min="2057" max="2057" width="8.88671875" style="4"/>
    <col min="2058" max="2058" width="14.6640625" style="4" customWidth="1"/>
    <col min="2059" max="2059" width="4.44140625" style="4" customWidth="1"/>
    <col min="2060" max="2060" width="10.33203125" style="4" customWidth="1"/>
    <col min="2061" max="2061" width="8.88671875" style="4"/>
    <col min="2062" max="2062" width="13.6640625" style="4" customWidth="1"/>
    <col min="2063" max="2063" width="5.44140625" style="4" customWidth="1"/>
    <col min="2064" max="2064" width="8.88671875" style="4"/>
    <col min="2065" max="2065" width="23.33203125" style="4" bestFit="1" customWidth="1"/>
    <col min="2066" max="2306" width="8.88671875" style="4"/>
    <col min="2307" max="2307" width="12.88671875" style="4" customWidth="1"/>
    <col min="2308" max="2308" width="8.88671875" style="4"/>
    <col min="2309" max="2309" width="10.5546875" style="4" customWidth="1"/>
    <col min="2310" max="2310" width="8.88671875" style="4"/>
    <col min="2311" max="2311" width="4.44140625" style="4" customWidth="1"/>
    <col min="2312" max="2312" width="10.88671875" style="4" customWidth="1"/>
    <col min="2313" max="2313" width="8.88671875" style="4"/>
    <col min="2314" max="2314" width="14.6640625" style="4" customWidth="1"/>
    <col min="2315" max="2315" width="4.44140625" style="4" customWidth="1"/>
    <col min="2316" max="2316" width="10.33203125" style="4" customWidth="1"/>
    <col min="2317" max="2317" width="8.88671875" style="4"/>
    <col min="2318" max="2318" width="13.6640625" style="4" customWidth="1"/>
    <col min="2319" max="2319" width="5.44140625" style="4" customWidth="1"/>
    <col min="2320" max="2320" width="8.88671875" style="4"/>
    <col min="2321" max="2321" width="23.33203125" style="4" bestFit="1" customWidth="1"/>
    <col min="2322" max="2562" width="8.88671875" style="4"/>
    <col min="2563" max="2563" width="12.88671875" style="4" customWidth="1"/>
    <col min="2564" max="2564" width="8.88671875" style="4"/>
    <col min="2565" max="2565" width="10.5546875" style="4" customWidth="1"/>
    <col min="2566" max="2566" width="8.88671875" style="4"/>
    <col min="2567" max="2567" width="4.44140625" style="4" customWidth="1"/>
    <col min="2568" max="2568" width="10.88671875" style="4" customWidth="1"/>
    <col min="2569" max="2569" width="8.88671875" style="4"/>
    <col min="2570" max="2570" width="14.6640625" style="4" customWidth="1"/>
    <col min="2571" max="2571" width="4.44140625" style="4" customWidth="1"/>
    <col min="2572" max="2572" width="10.33203125" style="4" customWidth="1"/>
    <col min="2573" max="2573" width="8.88671875" style="4"/>
    <col min="2574" max="2574" width="13.6640625" style="4" customWidth="1"/>
    <col min="2575" max="2575" width="5.44140625" style="4" customWidth="1"/>
    <col min="2576" max="2576" width="8.88671875" style="4"/>
    <col min="2577" max="2577" width="23.33203125" style="4" bestFit="1" customWidth="1"/>
    <col min="2578" max="2818" width="8.88671875" style="4"/>
    <col min="2819" max="2819" width="12.88671875" style="4" customWidth="1"/>
    <col min="2820" max="2820" width="8.88671875" style="4"/>
    <col min="2821" max="2821" width="10.5546875" style="4" customWidth="1"/>
    <col min="2822" max="2822" width="8.88671875" style="4"/>
    <col min="2823" max="2823" width="4.44140625" style="4" customWidth="1"/>
    <col min="2824" max="2824" width="10.88671875" style="4" customWidth="1"/>
    <col min="2825" max="2825" width="8.88671875" style="4"/>
    <col min="2826" max="2826" width="14.6640625" style="4" customWidth="1"/>
    <col min="2827" max="2827" width="4.44140625" style="4" customWidth="1"/>
    <col min="2828" max="2828" width="10.33203125" style="4" customWidth="1"/>
    <col min="2829" max="2829" width="8.88671875" style="4"/>
    <col min="2830" max="2830" width="13.6640625" style="4" customWidth="1"/>
    <col min="2831" max="2831" width="5.44140625" style="4" customWidth="1"/>
    <col min="2832" max="2832" width="8.88671875" style="4"/>
    <col min="2833" max="2833" width="23.33203125" style="4" bestFit="1" customWidth="1"/>
    <col min="2834" max="3074" width="8.88671875" style="4"/>
    <col min="3075" max="3075" width="12.88671875" style="4" customWidth="1"/>
    <col min="3076" max="3076" width="8.88671875" style="4"/>
    <col min="3077" max="3077" width="10.5546875" style="4" customWidth="1"/>
    <col min="3078" max="3078" width="8.88671875" style="4"/>
    <col min="3079" max="3079" width="4.44140625" style="4" customWidth="1"/>
    <col min="3080" max="3080" width="10.88671875" style="4" customWidth="1"/>
    <col min="3081" max="3081" width="8.88671875" style="4"/>
    <col min="3082" max="3082" width="14.6640625" style="4" customWidth="1"/>
    <col min="3083" max="3083" width="4.44140625" style="4" customWidth="1"/>
    <col min="3084" max="3084" width="10.33203125" style="4" customWidth="1"/>
    <col min="3085" max="3085" width="8.88671875" style="4"/>
    <col min="3086" max="3086" width="13.6640625" style="4" customWidth="1"/>
    <col min="3087" max="3087" width="5.44140625" style="4" customWidth="1"/>
    <col min="3088" max="3088" width="8.88671875" style="4"/>
    <col min="3089" max="3089" width="23.33203125" style="4" bestFit="1" customWidth="1"/>
    <col min="3090" max="3330" width="8.88671875" style="4"/>
    <col min="3331" max="3331" width="12.88671875" style="4" customWidth="1"/>
    <col min="3332" max="3332" width="8.88671875" style="4"/>
    <col min="3333" max="3333" width="10.5546875" style="4" customWidth="1"/>
    <col min="3334" max="3334" width="8.88671875" style="4"/>
    <col min="3335" max="3335" width="4.44140625" style="4" customWidth="1"/>
    <col min="3336" max="3336" width="10.88671875" style="4" customWidth="1"/>
    <col min="3337" max="3337" width="8.88671875" style="4"/>
    <col min="3338" max="3338" width="14.6640625" style="4" customWidth="1"/>
    <col min="3339" max="3339" width="4.44140625" style="4" customWidth="1"/>
    <col min="3340" max="3340" width="10.33203125" style="4" customWidth="1"/>
    <col min="3341" max="3341" width="8.88671875" style="4"/>
    <col min="3342" max="3342" width="13.6640625" style="4" customWidth="1"/>
    <col min="3343" max="3343" width="5.44140625" style="4" customWidth="1"/>
    <col min="3344" max="3344" width="8.88671875" style="4"/>
    <col min="3345" max="3345" width="23.33203125" style="4" bestFit="1" customWidth="1"/>
    <col min="3346" max="3586" width="8.88671875" style="4"/>
    <col min="3587" max="3587" width="12.88671875" style="4" customWidth="1"/>
    <col min="3588" max="3588" width="8.88671875" style="4"/>
    <col min="3589" max="3589" width="10.5546875" style="4" customWidth="1"/>
    <col min="3590" max="3590" width="8.88671875" style="4"/>
    <col min="3591" max="3591" width="4.44140625" style="4" customWidth="1"/>
    <col min="3592" max="3592" width="10.88671875" style="4" customWidth="1"/>
    <col min="3593" max="3593" width="8.88671875" style="4"/>
    <col min="3594" max="3594" width="14.6640625" style="4" customWidth="1"/>
    <col min="3595" max="3595" width="4.44140625" style="4" customWidth="1"/>
    <col min="3596" max="3596" width="10.33203125" style="4" customWidth="1"/>
    <col min="3597" max="3597" width="8.88671875" style="4"/>
    <col min="3598" max="3598" width="13.6640625" style="4" customWidth="1"/>
    <col min="3599" max="3599" width="5.44140625" style="4" customWidth="1"/>
    <col min="3600" max="3600" width="8.88671875" style="4"/>
    <col min="3601" max="3601" width="23.33203125" style="4" bestFit="1" customWidth="1"/>
    <col min="3602" max="3842" width="8.88671875" style="4"/>
    <col min="3843" max="3843" width="12.88671875" style="4" customWidth="1"/>
    <col min="3844" max="3844" width="8.88671875" style="4"/>
    <col min="3845" max="3845" width="10.5546875" style="4" customWidth="1"/>
    <col min="3846" max="3846" width="8.88671875" style="4"/>
    <col min="3847" max="3847" width="4.44140625" style="4" customWidth="1"/>
    <col min="3848" max="3848" width="10.88671875" style="4" customWidth="1"/>
    <col min="3849" max="3849" width="8.88671875" style="4"/>
    <col min="3850" max="3850" width="14.6640625" style="4" customWidth="1"/>
    <col min="3851" max="3851" width="4.44140625" style="4" customWidth="1"/>
    <col min="3852" max="3852" width="10.33203125" style="4" customWidth="1"/>
    <col min="3853" max="3853" width="8.88671875" style="4"/>
    <col min="3854" max="3854" width="13.6640625" style="4" customWidth="1"/>
    <col min="3855" max="3855" width="5.44140625" style="4" customWidth="1"/>
    <col min="3856" max="3856" width="8.88671875" style="4"/>
    <col min="3857" max="3857" width="23.33203125" style="4" bestFit="1" customWidth="1"/>
    <col min="3858" max="4098" width="8.88671875" style="4"/>
    <col min="4099" max="4099" width="12.88671875" style="4" customWidth="1"/>
    <col min="4100" max="4100" width="8.88671875" style="4"/>
    <col min="4101" max="4101" width="10.5546875" style="4" customWidth="1"/>
    <col min="4102" max="4102" width="8.88671875" style="4"/>
    <col min="4103" max="4103" width="4.44140625" style="4" customWidth="1"/>
    <col min="4104" max="4104" width="10.88671875" style="4" customWidth="1"/>
    <col min="4105" max="4105" width="8.88671875" style="4"/>
    <col min="4106" max="4106" width="14.6640625" style="4" customWidth="1"/>
    <col min="4107" max="4107" width="4.44140625" style="4" customWidth="1"/>
    <col min="4108" max="4108" width="10.33203125" style="4" customWidth="1"/>
    <col min="4109" max="4109" width="8.88671875" style="4"/>
    <col min="4110" max="4110" width="13.6640625" style="4" customWidth="1"/>
    <col min="4111" max="4111" width="5.44140625" style="4" customWidth="1"/>
    <col min="4112" max="4112" width="8.88671875" style="4"/>
    <col min="4113" max="4113" width="23.33203125" style="4" bestFit="1" customWidth="1"/>
    <col min="4114" max="4354" width="8.88671875" style="4"/>
    <col min="4355" max="4355" width="12.88671875" style="4" customWidth="1"/>
    <col min="4356" max="4356" width="8.88671875" style="4"/>
    <col min="4357" max="4357" width="10.5546875" style="4" customWidth="1"/>
    <col min="4358" max="4358" width="8.88671875" style="4"/>
    <col min="4359" max="4359" width="4.44140625" style="4" customWidth="1"/>
    <col min="4360" max="4360" width="10.88671875" style="4" customWidth="1"/>
    <col min="4361" max="4361" width="8.88671875" style="4"/>
    <col min="4362" max="4362" width="14.6640625" style="4" customWidth="1"/>
    <col min="4363" max="4363" width="4.44140625" style="4" customWidth="1"/>
    <col min="4364" max="4364" width="10.33203125" style="4" customWidth="1"/>
    <col min="4365" max="4365" width="8.88671875" style="4"/>
    <col min="4366" max="4366" width="13.6640625" style="4" customWidth="1"/>
    <col min="4367" max="4367" width="5.44140625" style="4" customWidth="1"/>
    <col min="4368" max="4368" width="8.88671875" style="4"/>
    <col min="4369" max="4369" width="23.33203125" style="4" bestFit="1" customWidth="1"/>
    <col min="4370" max="4610" width="8.88671875" style="4"/>
    <col min="4611" max="4611" width="12.88671875" style="4" customWidth="1"/>
    <col min="4612" max="4612" width="8.88671875" style="4"/>
    <col min="4613" max="4613" width="10.5546875" style="4" customWidth="1"/>
    <col min="4614" max="4614" width="8.88671875" style="4"/>
    <col min="4615" max="4615" width="4.44140625" style="4" customWidth="1"/>
    <col min="4616" max="4616" width="10.88671875" style="4" customWidth="1"/>
    <col min="4617" max="4617" width="8.88671875" style="4"/>
    <col min="4618" max="4618" width="14.6640625" style="4" customWidth="1"/>
    <col min="4619" max="4619" width="4.44140625" style="4" customWidth="1"/>
    <col min="4620" max="4620" width="10.33203125" style="4" customWidth="1"/>
    <col min="4621" max="4621" width="8.88671875" style="4"/>
    <col min="4622" max="4622" width="13.6640625" style="4" customWidth="1"/>
    <col min="4623" max="4623" width="5.44140625" style="4" customWidth="1"/>
    <col min="4624" max="4624" width="8.88671875" style="4"/>
    <col min="4625" max="4625" width="23.33203125" style="4" bestFit="1" customWidth="1"/>
    <col min="4626" max="4866" width="8.88671875" style="4"/>
    <col min="4867" max="4867" width="12.88671875" style="4" customWidth="1"/>
    <col min="4868" max="4868" width="8.88671875" style="4"/>
    <col min="4869" max="4869" width="10.5546875" style="4" customWidth="1"/>
    <col min="4870" max="4870" width="8.88671875" style="4"/>
    <col min="4871" max="4871" width="4.44140625" style="4" customWidth="1"/>
    <col min="4872" max="4872" width="10.88671875" style="4" customWidth="1"/>
    <col min="4873" max="4873" width="8.88671875" style="4"/>
    <col min="4874" max="4874" width="14.6640625" style="4" customWidth="1"/>
    <col min="4875" max="4875" width="4.44140625" style="4" customWidth="1"/>
    <col min="4876" max="4876" width="10.33203125" style="4" customWidth="1"/>
    <col min="4877" max="4877" width="8.88671875" style="4"/>
    <col min="4878" max="4878" width="13.6640625" style="4" customWidth="1"/>
    <col min="4879" max="4879" width="5.44140625" style="4" customWidth="1"/>
    <col min="4880" max="4880" width="8.88671875" style="4"/>
    <col min="4881" max="4881" width="23.33203125" style="4" bestFit="1" customWidth="1"/>
    <col min="4882" max="5122" width="8.88671875" style="4"/>
    <col min="5123" max="5123" width="12.88671875" style="4" customWidth="1"/>
    <col min="5124" max="5124" width="8.88671875" style="4"/>
    <col min="5125" max="5125" width="10.5546875" style="4" customWidth="1"/>
    <col min="5126" max="5126" width="8.88671875" style="4"/>
    <col min="5127" max="5127" width="4.44140625" style="4" customWidth="1"/>
    <col min="5128" max="5128" width="10.88671875" style="4" customWidth="1"/>
    <col min="5129" max="5129" width="8.88671875" style="4"/>
    <col min="5130" max="5130" width="14.6640625" style="4" customWidth="1"/>
    <col min="5131" max="5131" width="4.44140625" style="4" customWidth="1"/>
    <col min="5132" max="5132" width="10.33203125" style="4" customWidth="1"/>
    <col min="5133" max="5133" width="8.88671875" style="4"/>
    <col min="5134" max="5134" width="13.6640625" style="4" customWidth="1"/>
    <col min="5135" max="5135" width="5.44140625" style="4" customWidth="1"/>
    <col min="5136" max="5136" width="8.88671875" style="4"/>
    <col min="5137" max="5137" width="23.33203125" style="4" bestFit="1" customWidth="1"/>
    <col min="5138" max="5378" width="8.88671875" style="4"/>
    <col min="5379" max="5379" width="12.88671875" style="4" customWidth="1"/>
    <col min="5380" max="5380" width="8.88671875" style="4"/>
    <col min="5381" max="5381" width="10.5546875" style="4" customWidth="1"/>
    <col min="5382" max="5382" width="8.88671875" style="4"/>
    <col min="5383" max="5383" width="4.44140625" style="4" customWidth="1"/>
    <col min="5384" max="5384" width="10.88671875" style="4" customWidth="1"/>
    <col min="5385" max="5385" width="8.88671875" style="4"/>
    <col min="5386" max="5386" width="14.6640625" style="4" customWidth="1"/>
    <col min="5387" max="5387" width="4.44140625" style="4" customWidth="1"/>
    <col min="5388" max="5388" width="10.33203125" style="4" customWidth="1"/>
    <col min="5389" max="5389" width="8.88671875" style="4"/>
    <col min="5390" max="5390" width="13.6640625" style="4" customWidth="1"/>
    <col min="5391" max="5391" width="5.44140625" style="4" customWidth="1"/>
    <col min="5392" max="5392" width="8.88671875" style="4"/>
    <col min="5393" max="5393" width="23.33203125" style="4" bestFit="1" customWidth="1"/>
    <col min="5394" max="5634" width="8.88671875" style="4"/>
    <col min="5635" max="5635" width="12.88671875" style="4" customWidth="1"/>
    <col min="5636" max="5636" width="8.88671875" style="4"/>
    <col min="5637" max="5637" width="10.5546875" style="4" customWidth="1"/>
    <col min="5638" max="5638" width="8.88671875" style="4"/>
    <col min="5639" max="5639" width="4.44140625" style="4" customWidth="1"/>
    <col min="5640" max="5640" width="10.88671875" style="4" customWidth="1"/>
    <col min="5641" max="5641" width="8.88671875" style="4"/>
    <col min="5642" max="5642" width="14.6640625" style="4" customWidth="1"/>
    <col min="5643" max="5643" width="4.44140625" style="4" customWidth="1"/>
    <col min="5644" max="5644" width="10.33203125" style="4" customWidth="1"/>
    <col min="5645" max="5645" width="8.88671875" style="4"/>
    <col min="5646" max="5646" width="13.6640625" style="4" customWidth="1"/>
    <col min="5647" max="5647" width="5.44140625" style="4" customWidth="1"/>
    <col min="5648" max="5648" width="8.88671875" style="4"/>
    <col min="5649" max="5649" width="23.33203125" style="4" bestFit="1" customWidth="1"/>
    <col min="5650" max="5890" width="8.88671875" style="4"/>
    <col min="5891" max="5891" width="12.88671875" style="4" customWidth="1"/>
    <col min="5892" max="5892" width="8.88671875" style="4"/>
    <col min="5893" max="5893" width="10.5546875" style="4" customWidth="1"/>
    <col min="5894" max="5894" width="8.88671875" style="4"/>
    <col min="5895" max="5895" width="4.44140625" style="4" customWidth="1"/>
    <col min="5896" max="5896" width="10.88671875" style="4" customWidth="1"/>
    <col min="5897" max="5897" width="8.88671875" style="4"/>
    <col min="5898" max="5898" width="14.6640625" style="4" customWidth="1"/>
    <col min="5899" max="5899" width="4.44140625" style="4" customWidth="1"/>
    <col min="5900" max="5900" width="10.33203125" style="4" customWidth="1"/>
    <col min="5901" max="5901" width="8.88671875" style="4"/>
    <col min="5902" max="5902" width="13.6640625" style="4" customWidth="1"/>
    <col min="5903" max="5903" width="5.44140625" style="4" customWidth="1"/>
    <col min="5904" max="5904" width="8.88671875" style="4"/>
    <col min="5905" max="5905" width="23.33203125" style="4" bestFit="1" customWidth="1"/>
    <col min="5906" max="6146" width="8.88671875" style="4"/>
    <col min="6147" max="6147" width="12.88671875" style="4" customWidth="1"/>
    <col min="6148" max="6148" width="8.88671875" style="4"/>
    <col min="6149" max="6149" width="10.5546875" style="4" customWidth="1"/>
    <col min="6150" max="6150" width="8.88671875" style="4"/>
    <col min="6151" max="6151" width="4.44140625" style="4" customWidth="1"/>
    <col min="6152" max="6152" width="10.88671875" style="4" customWidth="1"/>
    <col min="6153" max="6153" width="8.88671875" style="4"/>
    <col min="6154" max="6154" width="14.6640625" style="4" customWidth="1"/>
    <col min="6155" max="6155" width="4.44140625" style="4" customWidth="1"/>
    <col min="6156" max="6156" width="10.33203125" style="4" customWidth="1"/>
    <col min="6157" max="6157" width="8.88671875" style="4"/>
    <col min="6158" max="6158" width="13.6640625" style="4" customWidth="1"/>
    <col min="6159" max="6159" width="5.44140625" style="4" customWidth="1"/>
    <col min="6160" max="6160" width="8.88671875" style="4"/>
    <col min="6161" max="6161" width="23.33203125" style="4" bestFit="1" customWidth="1"/>
    <col min="6162" max="6402" width="8.88671875" style="4"/>
    <col min="6403" max="6403" width="12.88671875" style="4" customWidth="1"/>
    <col min="6404" max="6404" width="8.88671875" style="4"/>
    <col min="6405" max="6405" width="10.5546875" style="4" customWidth="1"/>
    <col min="6406" max="6406" width="8.88671875" style="4"/>
    <col min="6407" max="6407" width="4.44140625" style="4" customWidth="1"/>
    <col min="6408" max="6408" width="10.88671875" style="4" customWidth="1"/>
    <col min="6409" max="6409" width="8.88671875" style="4"/>
    <col min="6410" max="6410" width="14.6640625" style="4" customWidth="1"/>
    <col min="6411" max="6411" width="4.44140625" style="4" customWidth="1"/>
    <col min="6412" max="6412" width="10.33203125" style="4" customWidth="1"/>
    <col min="6413" max="6413" width="8.88671875" style="4"/>
    <col min="6414" max="6414" width="13.6640625" style="4" customWidth="1"/>
    <col min="6415" max="6415" width="5.44140625" style="4" customWidth="1"/>
    <col min="6416" max="6416" width="8.88671875" style="4"/>
    <col min="6417" max="6417" width="23.33203125" style="4" bestFit="1" customWidth="1"/>
    <col min="6418" max="6658" width="8.88671875" style="4"/>
    <col min="6659" max="6659" width="12.88671875" style="4" customWidth="1"/>
    <col min="6660" max="6660" width="8.88671875" style="4"/>
    <col min="6661" max="6661" width="10.5546875" style="4" customWidth="1"/>
    <col min="6662" max="6662" width="8.88671875" style="4"/>
    <col min="6663" max="6663" width="4.44140625" style="4" customWidth="1"/>
    <col min="6664" max="6664" width="10.88671875" style="4" customWidth="1"/>
    <col min="6665" max="6665" width="8.88671875" style="4"/>
    <col min="6666" max="6666" width="14.6640625" style="4" customWidth="1"/>
    <col min="6667" max="6667" width="4.44140625" style="4" customWidth="1"/>
    <col min="6668" max="6668" width="10.33203125" style="4" customWidth="1"/>
    <col min="6669" max="6669" width="8.88671875" style="4"/>
    <col min="6670" max="6670" width="13.6640625" style="4" customWidth="1"/>
    <col min="6671" max="6671" width="5.44140625" style="4" customWidth="1"/>
    <col min="6672" max="6672" width="8.88671875" style="4"/>
    <col min="6673" max="6673" width="23.33203125" style="4" bestFit="1" customWidth="1"/>
    <col min="6674" max="6914" width="8.88671875" style="4"/>
    <col min="6915" max="6915" width="12.88671875" style="4" customWidth="1"/>
    <col min="6916" max="6916" width="8.88671875" style="4"/>
    <col min="6917" max="6917" width="10.5546875" style="4" customWidth="1"/>
    <col min="6918" max="6918" width="8.88671875" style="4"/>
    <col min="6919" max="6919" width="4.44140625" style="4" customWidth="1"/>
    <col min="6920" max="6920" width="10.88671875" style="4" customWidth="1"/>
    <col min="6921" max="6921" width="8.88671875" style="4"/>
    <col min="6922" max="6922" width="14.6640625" style="4" customWidth="1"/>
    <col min="6923" max="6923" width="4.44140625" style="4" customWidth="1"/>
    <col min="6924" max="6924" width="10.33203125" style="4" customWidth="1"/>
    <col min="6925" max="6925" width="8.88671875" style="4"/>
    <col min="6926" max="6926" width="13.6640625" style="4" customWidth="1"/>
    <col min="6927" max="6927" width="5.44140625" style="4" customWidth="1"/>
    <col min="6928" max="6928" width="8.88671875" style="4"/>
    <col min="6929" max="6929" width="23.33203125" style="4" bestFit="1" customWidth="1"/>
    <col min="6930" max="7170" width="8.88671875" style="4"/>
    <col min="7171" max="7171" width="12.88671875" style="4" customWidth="1"/>
    <col min="7172" max="7172" width="8.88671875" style="4"/>
    <col min="7173" max="7173" width="10.5546875" style="4" customWidth="1"/>
    <col min="7174" max="7174" width="8.88671875" style="4"/>
    <col min="7175" max="7175" width="4.44140625" style="4" customWidth="1"/>
    <col min="7176" max="7176" width="10.88671875" style="4" customWidth="1"/>
    <col min="7177" max="7177" width="8.88671875" style="4"/>
    <col min="7178" max="7178" width="14.6640625" style="4" customWidth="1"/>
    <col min="7179" max="7179" width="4.44140625" style="4" customWidth="1"/>
    <col min="7180" max="7180" width="10.33203125" style="4" customWidth="1"/>
    <col min="7181" max="7181" width="8.88671875" style="4"/>
    <col min="7182" max="7182" width="13.6640625" style="4" customWidth="1"/>
    <col min="7183" max="7183" width="5.44140625" style="4" customWidth="1"/>
    <col min="7184" max="7184" width="8.88671875" style="4"/>
    <col min="7185" max="7185" width="23.33203125" style="4" bestFit="1" customWidth="1"/>
    <col min="7186" max="7426" width="8.88671875" style="4"/>
    <col min="7427" max="7427" width="12.88671875" style="4" customWidth="1"/>
    <col min="7428" max="7428" width="8.88671875" style="4"/>
    <col min="7429" max="7429" width="10.5546875" style="4" customWidth="1"/>
    <col min="7430" max="7430" width="8.88671875" style="4"/>
    <col min="7431" max="7431" width="4.44140625" style="4" customWidth="1"/>
    <col min="7432" max="7432" width="10.88671875" style="4" customWidth="1"/>
    <col min="7433" max="7433" width="8.88671875" style="4"/>
    <col min="7434" max="7434" width="14.6640625" style="4" customWidth="1"/>
    <col min="7435" max="7435" width="4.44140625" style="4" customWidth="1"/>
    <col min="7436" max="7436" width="10.33203125" style="4" customWidth="1"/>
    <col min="7437" max="7437" width="8.88671875" style="4"/>
    <col min="7438" max="7438" width="13.6640625" style="4" customWidth="1"/>
    <col min="7439" max="7439" width="5.44140625" style="4" customWidth="1"/>
    <col min="7440" max="7440" width="8.88671875" style="4"/>
    <col min="7441" max="7441" width="23.33203125" style="4" bestFit="1" customWidth="1"/>
    <col min="7442" max="7682" width="8.88671875" style="4"/>
    <col min="7683" max="7683" width="12.88671875" style="4" customWidth="1"/>
    <col min="7684" max="7684" width="8.88671875" style="4"/>
    <col min="7685" max="7685" width="10.5546875" style="4" customWidth="1"/>
    <col min="7686" max="7686" width="8.88671875" style="4"/>
    <col min="7687" max="7687" width="4.44140625" style="4" customWidth="1"/>
    <col min="7688" max="7688" width="10.88671875" style="4" customWidth="1"/>
    <col min="7689" max="7689" width="8.88671875" style="4"/>
    <col min="7690" max="7690" width="14.6640625" style="4" customWidth="1"/>
    <col min="7691" max="7691" width="4.44140625" style="4" customWidth="1"/>
    <col min="7692" max="7692" width="10.33203125" style="4" customWidth="1"/>
    <col min="7693" max="7693" width="8.88671875" style="4"/>
    <col min="7694" max="7694" width="13.6640625" style="4" customWidth="1"/>
    <col min="7695" max="7695" width="5.44140625" style="4" customWidth="1"/>
    <col min="7696" max="7696" width="8.88671875" style="4"/>
    <col min="7697" max="7697" width="23.33203125" style="4" bestFit="1" customWidth="1"/>
    <col min="7698" max="7938" width="8.88671875" style="4"/>
    <col min="7939" max="7939" width="12.88671875" style="4" customWidth="1"/>
    <col min="7940" max="7940" width="8.88671875" style="4"/>
    <col min="7941" max="7941" width="10.5546875" style="4" customWidth="1"/>
    <col min="7942" max="7942" width="8.88671875" style="4"/>
    <col min="7943" max="7943" width="4.44140625" style="4" customWidth="1"/>
    <col min="7944" max="7944" width="10.88671875" style="4" customWidth="1"/>
    <col min="7945" max="7945" width="8.88671875" style="4"/>
    <col min="7946" max="7946" width="14.6640625" style="4" customWidth="1"/>
    <col min="7947" max="7947" width="4.44140625" style="4" customWidth="1"/>
    <col min="7948" max="7948" width="10.33203125" style="4" customWidth="1"/>
    <col min="7949" max="7949" width="8.88671875" style="4"/>
    <col min="7950" max="7950" width="13.6640625" style="4" customWidth="1"/>
    <col min="7951" max="7951" width="5.44140625" style="4" customWidth="1"/>
    <col min="7952" max="7952" width="8.88671875" style="4"/>
    <col min="7953" max="7953" width="23.33203125" style="4" bestFit="1" customWidth="1"/>
    <col min="7954" max="8194" width="8.88671875" style="4"/>
    <col min="8195" max="8195" width="12.88671875" style="4" customWidth="1"/>
    <col min="8196" max="8196" width="8.88671875" style="4"/>
    <col min="8197" max="8197" width="10.5546875" style="4" customWidth="1"/>
    <col min="8198" max="8198" width="8.88671875" style="4"/>
    <col min="8199" max="8199" width="4.44140625" style="4" customWidth="1"/>
    <col min="8200" max="8200" width="10.88671875" style="4" customWidth="1"/>
    <col min="8201" max="8201" width="8.88671875" style="4"/>
    <col min="8202" max="8202" width="14.6640625" style="4" customWidth="1"/>
    <col min="8203" max="8203" width="4.44140625" style="4" customWidth="1"/>
    <col min="8204" max="8204" width="10.33203125" style="4" customWidth="1"/>
    <col min="8205" max="8205" width="8.88671875" style="4"/>
    <col min="8206" max="8206" width="13.6640625" style="4" customWidth="1"/>
    <col min="8207" max="8207" width="5.44140625" style="4" customWidth="1"/>
    <col min="8208" max="8208" width="8.88671875" style="4"/>
    <col min="8209" max="8209" width="23.33203125" style="4" bestFit="1" customWidth="1"/>
    <col min="8210" max="8450" width="8.88671875" style="4"/>
    <col min="8451" max="8451" width="12.88671875" style="4" customWidth="1"/>
    <col min="8452" max="8452" width="8.88671875" style="4"/>
    <col min="8453" max="8453" width="10.5546875" style="4" customWidth="1"/>
    <col min="8454" max="8454" width="8.88671875" style="4"/>
    <col min="8455" max="8455" width="4.44140625" style="4" customWidth="1"/>
    <col min="8456" max="8456" width="10.88671875" style="4" customWidth="1"/>
    <col min="8457" max="8457" width="8.88671875" style="4"/>
    <col min="8458" max="8458" width="14.6640625" style="4" customWidth="1"/>
    <col min="8459" max="8459" width="4.44140625" style="4" customWidth="1"/>
    <col min="8460" max="8460" width="10.33203125" style="4" customWidth="1"/>
    <col min="8461" max="8461" width="8.88671875" style="4"/>
    <col min="8462" max="8462" width="13.6640625" style="4" customWidth="1"/>
    <col min="8463" max="8463" width="5.44140625" style="4" customWidth="1"/>
    <col min="8464" max="8464" width="8.88671875" style="4"/>
    <col min="8465" max="8465" width="23.33203125" style="4" bestFit="1" customWidth="1"/>
    <col min="8466" max="8706" width="8.88671875" style="4"/>
    <col min="8707" max="8707" width="12.88671875" style="4" customWidth="1"/>
    <col min="8708" max="8708" width="8.88671875" style="4"/>
    <col min="8709" max="8709" width="10.5546875" style="4" customWidth="1"/>
    <col min="8710" max="8710" width="8.88671875" style="4"/>
    <col min="8711" max="8711" width="4.44140625" style="4" customWidth="1"/>
    <col min="8712" max="8712" width="10.88671875" style="4" customWidth="1"/>
    <col min="8713" max="8713" width="8.88671875" style="4"/>
    <col min="8714" max="8714" width="14.6640625" style="4" customWidth="1"/>
    <col min="8715" max="8715" width="4.44140625" style="4" customWidth="1"/>
    <col min="8716" max="8716" width="10.33203125" style="4" customWidth="1"/>
    <col min="8717" max="8717" width="8.88671875" style="4"/>
    <col min="8718" max="8718" width="13.6640625" style="4" customWidth="1"/>
    <col min="8719" max="8719" width="5.44140625" style="4" customWidth="1"/>
    <col min="8720" max="8720" width="8.88671875" style="4"/>
    <col min="8721" max="8721" width="23.33203125" style="4" bestFit="1" customWidth="1"/>
    <col min="8722" max="8962" width="8.88671875" style="4"/>
    <col min="8963" max="8963" width="12.88671875" style="4" customWidth="1"/>
    <col min="8964" max="8964" width="8.88671875" style="4"/>
    <col min="8965" max="8965" width="10.5546875" style="4" customWidth="1"/>
    <col min="8966" max="8966" width="8.88671875" style="4"/>
    <col min="8967" max="8967" width="4.44140625" style="4" customWidth="1"/>
    <col min="8968" max="8968" width="10.88671875" style="4" customWidth="1"/>
    <col min="8969" max="8969" width="8.88671875" style="4"/>
    <col min="8970" max="8970" width="14.6640625" style="4" customWidth="1"/>
    <col min="8971" max="8971" width="4.44140625" style="4" customWidth="1"/>
    <col min="8972" max="8972" width="10.33203125" style="4" customWidth="1"/>
    <col min="8973" max="8973" width="8.88671875" style="4"/>
    <col min="8974" max="8974" width="13.6640625" style="4" customWidth="1"/>
    <col min="8975" max="8975" width="5.44140625" style="4" customWidth="1"/>
    <col min="8976" max="8976" width="8.88671875" style="4"/>
    <col min="8977" max="8977" width="23.33203125" style="4" bestFit="1" customWidth="1"/>
    <col min="8978" max="9218" width="8.88671875" style="4"/>
    <col min="9219" max="9219" width="12.88671875" style="4" customWidth="1"/>
    <col min="9220" max="9220" width="8.88671875" style="4"/>
    <col min="9221" max="9221" width="10.5546875" style="4" customWidth="1"/>
    <col min="9222" max="9222" width="8.88671875" style="4"/>
    <col min="9223" max="9223" width="4.44140625" style="4" customWidth="1"/>
    <col min="9224" max="9224" width="10.88671875" style="4" customWidth="1"/>
    <col min="9225" max="9225" width="8.88671875" style="4"/>
    <col min="9226" max="9226" width="14.6640625" style="4" customWidth="1"/>
    <col min="9227" max="9227" width="4.44140625" style="4" customWidth="1"/>
    <col min="9228" max="9228" width="10.33203125" style="4" customWidth="1"/>
    <col min="9229" max="9229" width="8.88671875" style="4"/>
    <col min="9230" max="9230" width="13.6640625" style="4" customWidth="1"/>
    <col min="9231" max="9231" width="5.44140625" style="4" customWidth="1"/>
    <col min="9232" max="9232" width="8.88671875" style="4"/>
    <col min="9233" max="9233" width="23.33203125" style="4" bestFit="1" customWidth="1"/>
    <col min="9234" max="9474" width="8.88671875" style="4"/>
    <col min="9475" max="9475" width="12.88671875" style="4" customWidth="1"/>
    <col min="9476" max="9476" width="8.88671875" style="4"/>
    <col min="9477" max="9477" width="10.5546875" style="4" customWidth="1"/>
    <col min="9478" max="9478" width="8.88671875" style="4"/>
    <col min="9479" max="9479" width="4.44140625" style="4" customWidth="1"/>
    <col min="9480" max="9480" width="10.88671875" style="4" customWidth="1"/>
    <col min="9481" max="9481" width="8.88671875" style="4"/>
    <col min="9482" max="9482" width="14.6640625" style="4" customWidth="1"/>
    <col min="9483" max="9483" width="4.44140625" style="4" customWidth="1"/>
    <col min="9484" max="9484" width="10.33203125" style="4" customWidth="1"/>
    <col min="9485" max="9485" width="8.88671875" style="4"/>
    <col min="9486" max="9486" width="13.6640625" style="4" customWidth="1"/>
    <col min="9487" max="9487" width="5.44140625" style="4" customWidth="1"/>
    <col min="9488" max="9488" width="8.88671875" style="4"/>
    <col min="9489" max="9489" width="23.33203125" style="4" bestFit="1" customWidth="1"/>
    <col min="9490" max="9730" width="8.88671875" style="4"/>
    <col min="9731" max="9731" width="12.88671875" style="4" customWidth="1"/>
    <col min="9732" max="9732" width="8.88671875" style="4"/>
    <col min="9733" max="9733" width="10.5546875" style="4" customWidth="1"/>
    <col min="9734" max="9734" width="8.88671875" style="4"/>
    <col min="9735" max="9735" width="4.44140625" style="4" customWidth="1"/>
    <col min="9736" max="9736" width="10.88671875" style="4" customWidth="1"/>
    <col min="9737" max="9737" width="8.88671875" style="4"/>
    <col min="9738" max="9738" width="14.6640625" style="4" customWidth="1"/>
    <col min="9739" max="9739" width="4.44140625" style="4" customWidth="1"/>
    <col min="9740" max="9740" width="10.33203125" style="4" customWidth="1"/>
    <col min="9741" max="9741" width="8.88671875" style="4"/>
    <col min="9742" max="9742" width="13.6640625" style="4" customWidth="1"/>
    <col min="9743" max="9743" width="5.44140625" style="4" customWidth="1"/>
    <col min="9744" max="9744" width="8.88671875" style="4"/>
    <col min="9745" max="9745" width="23.33203125" style="4" bestFit="1" customWidth="1"/>
    <col min="9746" max="9986" width="8.88671875" style="4"/>
    <col min="9987" max="9987" width="12.88671875" style="4" customWidth="1"/>
    <col min="9988" max="9988" width="8.88671875" style="4"/>
    <col min="9989" max="9989" width="10.5546875" style="4" customWidth="1"/>
    <col min="9990" max="9990" width="8.88671875" style="4"/>
    <col min="9991" max="9991" width="4.44140625" style="4" customWidth="1"/>
    <col min="9992" max="9992" width="10.88671875" style="4" customWidth="1"/>
    <col min="9993" max="9993" width="8.88671875" style="4"/>
    <col min="9994" max="9994" width="14.6640625" style="4" customWidth="1"/>
    <col min="9995" max="9995" width="4.44140625" style="4" customWidth="1"/>
    <col min="9996" max="9996" width="10.33203125" style="4" customWidth="1"/>
    <col min="9997" max="9997" width="8.88671875" style="4"/>
    <col min="9998" max="9998" width="13.6640625" style="4" customWidth="1"/>
    <col min="9999" max="9999" width="5.44140625" style="4" customWidth="1"/>
    <col min="10000" max="10000" width="8.88671875" style="4"/>
    <col min="10001" max="10001" width="23.33203125" style="4" bestFit="1" customWidth="1"/>
    <col min="10002" max="10242" width="8.88671875" style="4"/>
    <col min="10243" max="10243" width="12.88671875" style="4" customWidth="1"/>
    <col min="10244" max="10244" width="8.88671875" style="4"/>
    <col min="10245" max="10245" width="10.5546875" style="4" customWidth="1"/>
    <col min="10246" max="10246" width="8.88671875" style="4"/>
    <col min="10247" max="10247" width="4.44140625" style="4" customWidth="1"/>
    <col min="10248" max="10248" width="10.88671875" style="4" customWidth="1"/>
    <col min="10249" max="10249" width="8.88671875" style="4"/>
    <col min="10250" max="10250" width="14.6640625" style="4" customWidth="1"/>
    <col min="10251" max="10251" width="4.44140625" style="4" customWidth="1"/>
    <col min="10252" max="10252" width="10.33203125" style="4" customWidth="1"/>
    <col min="10253" max="10253" width="8.88671875" style="4"/>
    <col min="10254" max="10254" width="13.6640625" style="4" customWidth="1"/>
    <col min="10255" max="10255" width="5.44140625" style="4" customWidth="1"/>
    <col min="10256" max="10256" width="8.88671875" style="4"/>
    <col min="10257" max="10257" width="23.33203125" style="4" bestFit="1" customWidth="1"/>
    <col min="10258" max="10498" width="8.88671875" style="4"/>
    <col min="10499" max="10499" width="12.88671875" style="4" customWidth="1"/>
    <col min="10500" max="10500" width="8.88671875" style="4"/>
    <col min="10501" max="10501" width="10.5546875" style="4" customWidth="1"/>
    <col min="10502" max="10502" width="8.88671875" style="4"/>
    <col min="10503" max="10503" width="4.44140625" style="4" customWidth="1"/>
    <col min="10504" max="10504" width="10.88671875" style="4" customWidth="1"/>
    <col min="10505" max="10505" width="8.88671875" style="4"/>
    <col min="10506" max="10506" width="14.6640625" style="4" customWidth="1"/>
    <col min="10507" max="10507" width="4.44140625" style="4" customWidth="1"/>
    <col min="10508" max="10508" width="10.33203125" style="4" customWidth="1"/>
    <col min="10509" max="10509" width="8.88671875" style="4"/>
    <col min="10510" max="10510" width="13.6640625" style="4" customWidth="1"/>
    <col min="10511" max="10511" width="5.44140625" style="4" customWidth="1"/>
    <col min="10512" max="10512" width="8.88671875" style="4"/>
    <col min="10513" max="10513" width="23.33203125" style="4" bestFit="1" customWidth="1"/>
    <col min="10514" max="10754" width="8.88671875" style="4"/>
    <col min="10755" max="10755" width="12.88671875" style="4" customWidth="1"/>
    <col min="10756" max="10756" width="8.88671875" style="4"/>
    <col min="10757" max="10757" width="10.5546875" style="4" customWidth="1"/>
    <col min="10758" max="10758" width="8.88671875" style="4"/>
    <col min="10759" max="10759" width="4.44140625" style="4" customWidth="1"/>
    <col min="10760" max="10760" width="10.88671875" style="4" customWidth="1"/>
    <col min="10761" max="10761" width="8.88671875" style="4"/>
    <col min="10762" max="10762" width="14.6640625" style="4" customWidth="1"/>
    <col min="10763" max="10763" width="4.44140625" style="4" customWidth="1"/>
    <col min="10764" max="10764" width="10.33203125" style="4" customWidth="1"/>
    <col min="10765" max="10765" width="8.88671875" style="4"/>
    <col min="10766" max="10766" width="13.6640625" style="4" customWidth="1"/>
    <col min="10767" max="10767" width="5.44140625" style="4" customWidth="1"/>
    <col min="10768" max="10768" width="8.88671875" style="4"/>
    <col min="10769" max="10769" width="23.33203125" style="4" bestFit="1" customWidth="1"/>
    <col min="10770" max="11010" width="8.88671875" style="4"/>
    <col min="11011" max="11011" width="12.88671875" style="4" customWidth="1"/>
    <col min="11012" max="11012" width="8.88671875" style="4"/>
    <col min="11013" max="11013" width="10.5546875" style="4" customWidth="1"/>
    <col min="11014" max="11014" width="8.88671875" style="4"/>
    <col min="11015" max="11015" width="4.44140625" style="4" customWidth="1"/>
    <col min="11016" max="11016" width="10.88671875" style="4" customWidth="1"/>
    <col min="11017" max="11017" width="8.88671875" style="4"/>
    <col min="11018" max="11018" width="14.6640625" style="4" customWidth="1"/>
    <col min="11019" max="11019" width="4.44140625" style="4" customWidth="1"/>
    <col min="11020" max="11020" width="10.33203125" style="4" customWidth="1"/>
    <col min="11021" max="11021" width="8.88671875" style="4"/>
    <col min="11022" max="11022" width="13.6640625" style="4" customWidth="1"/>
    <col min="11023" max="11023" width="5.44140625" style="4" customWidth="1"/>
    <col min="11024" max="11024" width="8.88671875" style="4"/>
    <col min="11025" max="11025" width="23.33203125" style="4" bestFit="1" customWidth="1"/>
    <col min="11026" max="11266" width="8.88671875" style="4"/>
    <col min="11267" max="11267" width="12.88671875" style="4" customWidth="1"/>
    <col min="11268" max="11268" width="8.88671875" style="4"/>
    <col min="11269" max="11269" width="10.5546875" style="4" customWidth="1"/>
    <col min="11270" max="11270" width="8.88671875" style="4"/>
    <col min="11271" max="11271" width="4.44140625" style="4" customWidth="1"/>
    <col min="11272" max="11272" width="10.88671875" style="4" customWidth="1"/>
    <col min="11273" max="11273" width="8.88671875" style="4"/>
    <col min="11274" max="11274" width="14.6640625" style="4" customWidth="1"/>
    <col min="11275" max="11275" width="4.44140625" style="4" customWidth="1"/>
    <col min="11276" max="11276" width="10.33203125" style="4" customWidth="1"/>
    <col min="11277" max="11277" width="8.88671875" style="4"/>
    <col min="11278" max="11278" width="13.6640625" style="4" customWidth="1"/>
    <col min="11279" max="11279" width="5.44140625" style="4" customWidth="1"/>
    <col min="11280" max="11280" width="8.88671875" style="4"/>
    <col min="11281" max="11281" width="23.33203125" style="4" bestFit="1" customWidth="1"/>
    <col min="11282" max="11522" width="8.88671875" style="4"/>
    <col min="11523" max="11523" width="12.88671875" style="4" customWidth="1"/>
    <col min="11524" max="11524" width="8.88671875" style="4"/>
    <col min="11525" max="11525" width="10.5546875" style="4" customWidth="1"/>
    <col min="11526" max="11526" width="8.88671875" style="4"/>
    <col min="11527" max="11527" width="4.44140625" style="4" customWidth="1"/>
    <col min="11528" max="11528" width="10.88671875" style="4" customWidth="1"/>
    <col min="11529" max="11529" width="8.88671875" style="4"/>
    <col min="11530" max="11530" width="14.6640625" style="4" customWidth="1"/>
    <col min="11531" max="11531" width="4.44140625" style="4" customWidth="1"/>
    <col min="11532" max="11532" width="10.33203125" style="4" customWidth="1"/>
    <col min="11533" max="11533" width="8.88671875" style="4"/>
    <col min="11534" max="11534" width="13.6640625" style="4" customWidth="1"/>
    <col min="11535" max="11535" width="5.44140625" style="4" customWidth="1"/>
    <col min="11536" max="11536" width="8.88671875" style="4"/>
    <col min="11537" max="11537" width="23.33203125" style="4" bestFit="1" customWidth="1"/>
    <col min="11538" max="11778" width="8.88671875" style="4"/>
    <col min="11779" max="11779" width="12.88671875" style="4" customWidth="1"/>
    <col min="11780" max="11780" width="8.88671875" style="4"/>
    <col min="11781" max="11781" width="10.5546875" style="4" customWidth="1"/>
    <col min="11782" max="11782" width="8.88671875" style="4"/>
    <col min="11783" max="11783" width="4.44140625" style="4" customWidth="1"/>
    <col min="11784" max="11784" width="10.88671875" style="4" customWidth="1"/>
    <col min="11785" max="11785" width="8.88671875" style="4"/>
    <col min="11786" max="11786" width="14.6640625" style="4" customWidth="1"/>
    <col min="11787" max="11787" width="4.44140625" style="4" customWidth="1"/>
    <col min="11788" max="11788" width="10.33203125" style="4" customWidth="1"/>
    <col min="11789" max="11789" width="8.88671875" style="4"/>
    <col min="11790" max="11790" width="13.6640625" style="4" customWidth="1"/>
    <col min="11791" max="11791" width="5.44140625" style="4" customWidth="1"/>
    <col min="11792" max="11792" width="8.88671875" style="4"/>
    <col min="11793" max="11793" width="23.33203125" style="4" bestFit="1" customWidth="1"/>
    <col min="11794" max="12034" width="8.88671875" style="4"/>
    <col min="12035" max="12035" width="12.88671875" style="4" customWidth="1"/>
    <col min="12036" max="12036" width="8.88671875" style="4"/>
    <col min="12037" max="12037" width="10.5546875" style="4" customWidth="1"/>
    <col min="12038" max="12038" width="8.88671875" style="4"/>
    <col min="12039" max="12039" width="4.44140625" style="4" customWidth="1"/>
    <col min="12040" max="12040" width="10.88671875" style="4" customWidth="1"/>
    <col min="12041" max="12041" width="8.88671875" style="4"/>
    <col min="12042" max="12042" width="14.6640625" style="4" customWidth="1"/>
    <col min="12043" max="12043" width="4.44140625" style="4" customWidth="1"/>
    <col min="12044" max="12044" width="10.33203125" style="4" customWidth="1"/>
    <col min="12045" max="12045" width="8.88671875" style="4"/>
    <col min="12046" max="12046" width="13.6640625" style="4" customWidth="1"/>
    <col min="12047" max="12047" width="5.44140625" style="4" customWidth="1"/>
    <col min="12048" max="12048" width="8.88671875" style="4"/>
    <col min="12049" max="12049" width="23.33203125" style="4" bestFit="1" customWidth="1"/>
    <col min="12050" max="12290" width="8.88671875" style="4"/>
    <col min="12291" max="12291" width="12.88671875" style="4" customWidth="1"/>
    <col min="12292" max="12292" width="8.88671875" style="4"/>
    <col min="12293" max="12293" width="10.5546875" style="4" customWidth="1"/>
    <col min="12294" max="12294" width="8.88671875" style="4"/>
    <col min="12295" max="12295" width="4.44140625" style="4" customWidth="1"/>
    <col min="12296" max="12296" width="10.88671875" style="4" customWidth="1"/>
    <col min="12297" max="12297" width="8.88671875" style="4"/>
    <col min="12298" max="12298" width="14.6640625" style="4" customWidth="1"/>
    <col min="12299" max="12299" width="4.44140625" style="4" customWidth="1"/>
    <col min="12300" max="12300" width="10.33203125" style="4" customWidth="1"/>
    <col min="12301" max="12301" width="8.88671875" style="4"/>
    <col min="12302" max="12302" width="13.6640625" style="4" customWidth="1"/>
    <col min="12303" max="12303" width="5.44140625" style="4" customWidth="1"/>
    <col min="12304" max="12304" width="8.88671875" style="4"/>
    <col min="12305" max="12305" width="23.33203125" style="4" bestFit="1" customWidth="1"/>
    <col min="12306" max="12546" width="8.88671875" style="4"/>
    <col min="12547" max="12547" width="12.88671875" style="4" customWidth="1"/>
    <col min="12548" max="12548" width="8.88671875" style="4"/>
    <col min="12549" max="12549" width="10.5546875" style="4" customWidth="1"/>
    <col min="12550" max="12550" width="8.88671875" style="4"/>
    <col min="12551" max="12551" width="4.44140625" style="4" customWidth="1"/>
    <col min="12552" max="12552" width="10.88671875" style="4" customWidth="1"/>
    <col min="12553" max="12553" width="8.88671875" style="4"/>
    <col min="12554" max="12554" width="14.6640625" style="4" customWidth="1"/>
    <col min="12555" max="12555" width="4.44140625" style="4" customWidth="1"/>
    <col min="12556" max="12556" width="10.33203125" style="4" customWidth="1"/>
    <col min="12557" max="12557" width="8.88671875" style="4"/>
    <col min="12558" max="12558" width="13.6640625" style="4" customWidth="1"/>
    <col min="12559" max="12559" width="5.44140625" style="4" customWidth="1"/>
    <col min="12560" max="12560" width="8.88671875" style="4"/>
    <col min="12561" max="12561" width="23.33203125" style="4" bestFit="1" customWidth="1"/>
    <col min="12562" max="12802" width="8.88671875" style="4"/>
    <col min="12803" max="12803" width="12.88671875" style="4" customWidth="1"/>
    <col min="12804" max="12804" width="8.88671875" style="4"/>
    <col min="12805" max="12805" width="10.5546875" style="4" customWidth="1"/>
    <col min="12806" max="12806" width="8.88671875" style="4"/>
    <col min="12807" max="12807" width="4.44140625" style="4" customWidth="1"/>
    <col min="12808" max="12808" width="10.88671875" style="4" customWidth="1"/>
    <col min="12809" max="12809" width="8.88671875" style="4"/>
    <col min="12810" max="12810" width="14.6640625" style="4" customWidth="1"/>
    <col min="12811" max="12811" width="4.44140625" style="4" customWidth="1"/>
    <col min="12812" max="12812" width="10.33203125" style="4" customWidth="1"/>
    <col min="12813" max="12813" width="8.88671875" style="4"/>
    <col min="12814" max="12814" width="13.6640625" style="4" customWidth="1"/>
    <col min="12815" max="12815" width="5.44140625" style="4" customWidth="1"/>
    <col min="12816" max="12816" width="8.88671875" style="4"/>
    <col min="12817" max="12817" width="23.33203125" style="4" bestFit="1" customWidth="1"/>
    <col min="12818" max="13058" width="8.88671875" style="4"/>
    <col min="13059" max="13059" width="12.88671875" style="4" customWidth="1"/>
    <col min="13060" max="13060" width="8.88671875" style="4"/>
    <col min="13061" max="13061" width="10.5546875" style="4" customWidth="1"/>
    <col min="13062" max="13062" width="8.88671875" style="4"/>
    <col min="13063" max="13063" width="4.44140625" style="4" customWidth="1"/>
    <col min="13064" max="13064" width="10.88671875" style="4" customWidth="1"/>
    <col min="13065" max="13065" width="8.88671875" style="4"/>
    <col min="13066" max="13066" width="14.6640625" style="4" customWidth="1"/>
    <col min="13067" max="13067" width="4.44140625" style="4" customWidth="1"/>
    <col min="13068" max="13068" width="10.33203125" style="4" customWidth="1"/>
    <col min="13069" max="13069" width="8.88671875" style="4"/>
    <col min="13070" max="13070" width="13.6640625" style="4" customWidth="1"/>
    <col min="13071" max="13071" width="5.44140625" style="4" customWidth="1"/>
    <col min="13072" max="13072" width="8.88671875" style="4"/>
    <col min="13073" max="13073" width="23.33203125" style="4" bestFit="1" customWidth="1"/>
    <col min="13074" max="13314" width="8.88671875" style="4"/>
    <col min="13315" max="13315" width="12.88671875" style="4" customWidth="1"/>
    <col min="13316" max="13316" width="8.88671875" style="4"/>
    <col min="13317" max="13317" width="10.5546875" style="4" customWidth="1"/>
    <col min="13318" max="13318" width="8.88671875" style="4"/>
    <col min="13319" max="13319" width="4.44140625" style="4" customWidth="1"/>
    <col min="13320" max="13320" width="10.88671875" style="4" customWidth="1"/>
    <col min="13321" max="13321" width="8.88671875" style="4"/>
    <col min="13322" max="13322" width="14.6640625" style="4" customWidth="1"/>
    <col min="13323" max="13323" width="4.44140625" style="4" customWidth="1"/>
    <col min="13324" max="13324" width="10.33203125" style="4" customWidth="1"/>
    <col min="13325" max="13325" width="8.88671875" style="4"/>
    <col min="13326" max="13326" width="13.6640625" style="4" customWidth="1"/>
    <col min="13327" max="13327" width="5.44140625" style="4" customWidth="1"/>
    <col min="13328" max="13328" width="8.88671875" style="4"/>
    <col min="13329" max="13329" width="23.33203125" style="4" bestFit="1" customWidth="1"/>
    <col min="13330" max="13570" width="8.88671875" style="4"/>
    <col min="13571" max="13571" width="12.88671875" style="4" customWidth="1"/>
    <col min="13572" max="13572" width="8.88671875" style="4"/>
    <col min="13573" max="13573" width="10.5546875" style="4" customWidth="1"/>
    <col min="13574" max="13574" width="8.88671875" style="4"/>
    <col min="13575" max="13575" width="4.44140625" style="4" customWidth="1"/>
    <col min="13576" max="13576" width="10.88671875" style="4" customWidth="1"/>
    <col min="13577" max="13577" width="8.88671875" style="4"/>
    <col min="13578" max="13578" width="14.6640625" style="4" customWidth="1"/>
    <col min="13579" max="13579" width="4.44140625" style="4" customWidth="1"/>
    <col min="13580" max="13580" width="10.33203125" style="4" customWidth="1"/>
    <col min="13581" max="13581" width="8.88671875" style="4"/>
    <col min="13582" max="13582" width="13.6640625" style="4" customWidth="1"/>
    <col min="13583" max="13583" width="5.44140625" style="4" customWidth="1"/>
    <col min="13584" max="13584" width="8.88671875" style="4"/>
    <col min="13585" max="13585" width="23.33203125" style="4" bestFit="1" customWidth="1"/>
    <col min="13586" max="13826" width="8.88671875" style="4"/>
    <col min="13827" max="13827" width="12.88671875" style="4" customWidth="1"/>
    <col min="13828" max="13828" width="8.88671875" style="4"/>
    <col min="13829" max="13829" width="10.5546875" style="4" customWidth="1"/>
    <col min="13830" max="13830" width="8.88671875" style="4"/>
    <col min="13831" max="13831" width="4.44140625" style="4" customWidth="1"/>
    <col min="13832" max="13832" width="10.88671875" style="4" customWidth="1"/>
    <col min="13833" max="13833" width="8.88671875" style="4"/>
    <col min="13834" max="13834" width="14.6640625" style="4" customWidth="1"/>
    <col min="13835" max="13835" width="4.44140625" style="4" customWidth="1"/>
    <col min="13836" max="13836" width="10.33203125" style="4" customWidth="1"/>
    <col min="13837" max="13837" width="8.88671875" style="4"/>
    <col min="13838" max="13838" width="13.6640625" style="4" customWidth="1"/>
    <col min="13839" max="13839" width="5.44140625" style="4" customWidth="1"/>
    <col min="13840" max="13840" width="8.88671875" style="4"/>
    <col min="13841" max="13841" width="23.33203125" style="4" bestFit="1" customWidth="1"/>
    <col min="13842" max="14082" width="8.88671875" style="4"/>
    <col min="14083" max="14083" width="12.88671875" style="4" customWidth="1"/>
    <col min="14084" max="14084" width="8.88671875" style="4"/>
    <col min="14085" max="14085" width="10.5546875" style="4" customWidth="1"/>
    <col min="14086" max="14086" width="8.88671875" style="4"/>
    <col min="14087" max="14087" width="4.44140625" style="4" customWidth="1"/>
    <col min="14088" max="14088" width="10.88671875" style="4" customWidth="1"/>
    <col min="14089" max="14089" width="8.88671875" style="4"/>
    <col min="14090" max="14090" width="14.6640625" style="4" customWidth="1"/>
    <col min="14091" max="14091" width="4.44140625" style="4" customWidth="1"/>
    <col min="14092" max="14092" width="10.33203125" style="4" customWidth="1"/>
    <col min="14093" max="14093" width="8.88671875" style="4"/>
    <col min="14094" max="14094" width="13.6640625" style="4" customWidth="1"/>
    <col min="14095" max="14095" width="5.44140625" style="4" customWidth="1"/>
    <col min="14096" max="14096" width="8.88671875" style="4"/>
    <col min="14097" max="14097" width="23.33203125" style="4" bestFit="1" customWidth="1"/>
    <col min="14098" max="14338" width="8.88671875" style="4"/>
    <col min="14339" max="14339" width="12.88671875" style="4" customWidth="1"/>
    <col min="14340" max="14340" width="8.88671875" style="4"/>
    <col min="14341" max="14341" width="10.5546875" style="4" customWidth="1"/>
    <col min="14342" max="14342" width="8.88671875" style="4"/>
    <col min="14343" max="14343" width="4.44140625" style="4" customWidth="1"/>
    <col min="14344" max="14344" width="10.88671875" style="4" customWidth="1"/>
    <col min="14345" max="14345" width="8.88671875" style="4"/>
    <col min="14346" max="14346" width="14.6640625" style="4" customWidth="1"/>
    <col min="14347" max="14347" width="4.44140625" style="4" customWidth="1"/>
    <col min="14348" max="14348" width="10.33203125" style="4" customWidth="1"/>
    <col min="14349" max="14349" width="8.88671875" style="4"/>
    <col min="14350" max="14350" width="13.6640625" style="4" customWidth="1"/>
    <col min="14351" max="14351" width="5.44140625" style="4" customWidth="1"/>
    <col min="14352" max="14352" width="8.88671875" style="4"/>
    <col min="14353" max="14353" width="23.33203125" style="4" bestFit="1" customWidth="1"/>
    <col min="14354" max="14594" width="8.88671875" style="4"/>
    <col min="14595" max="14595" width="12.88671875" style="4" customWidth="1"/>
    <col min="14596" max="14596" width="8.88671875" style="4"/>
    <col min="14597" max="14597" width="10.5546875" style="4" customWidth="1"/>
    <col min="14598" max="14598" width="8.88671875" style="4"/>
    <col min="14599" max="14599" width="4.44140625" style="4" customWidth="1"/>
    <col min="14600" max="14600" width="10.88671875" style="4" customWidth="1"/>
    <col min="14601" max="14601" width="8.88671875" style="4"/>
    <col min="14602" max="14602" width="14.6640625" style="4" customWidth="1"/>
    <col min="14603" max="14603" width="4.44140625" style="4" customWidth="1"/>
    <col min="14604" max="14604" width="10.33203125" style="4" customWidth="1"/>
    <col min="14605" max="14605" width="8.88671875" style="4"/>
    <col min="14606" max="14606" width="13.6640625" style="4" customWidth="1"/>
    <col min="14607" max="14607" width="5.44140625" style="4" customWidth="1"/>
    <col min="14608" max="14608" width="8.88671875" style="4"/>
    <col min="14609" max="14609" width="23.33203125" style="4" bestFit="1" customWidth="1"/>
    <col min="14610" max="14850" width="8.88671875" style="4"/>
    <col min="14851" max="14851" width="12.88671875" style="4" customWidth="1"/>
    <col min="14852" max="14852" width="8.88671875" style="4"/>
    <col min="14853" max="14853" width="10.5546875" style="4" customWidth="1"/>
    <col min="14854" max="14854" width="8.88671875" style="4"/>
    <col min="14855" max="14855" width="4.44140625" style="4" customWidth="1"/>
    <col min="14856" max="14856" width="10.88671875" style="4" customWidth="1"/>
    <col min="14857" max="14857" width="8.88671875" style="4"/>
    <col min="14858" max="14858" width="14.6640625" style="4" customWidth="1"/>
    <col min="14859" max="14859" width="4.44140625" style="4" customWidth="1"/>
    <col min="14860" max="14860" width="10.33203125" style="4" customWidth="1"/>
    <col min="14861" max="14861" width="8.88671875" style="4"/>
    <col min="14862" max="14862" width="13.6640625" style="4" customWidth="1"/>
    <col min="14863" max="14863" width="5.44140625" style="4" customWidth="1"/>
    <col min="14864" max="14864" width="8.88671875" style="4"/>
    <col min="14865" max="14865" width="23.33203125" style="4" bestFit="1" customWidth="1"/>
    <col min="14866" max="15106" width="8.88671875" style="4"/>
    <col min="15107" max="15107" width="12.88671875" style="4" customWidth="1"/>
    <col min="15108" max="15108" width="8.88671875" style="4"/>
    <col min="15109" max="15109" width="10.5546875" style="4" customWidth="1"/>
    <col min="15110" max="15110" width="8.88671875" style="4"/>
    <col min="15111" max="15111" width="4.44140625" style="4" customWidth="1"/>
    <col min="15112" max="15112" width="10.88671875" style="4" customWidth="1"/>
    <col min="15113" max="15113" width="8.88671875" style="4"/>
    <col min="15114" max="15114" width="14.6640625" style="4" customWidth="1"/>
    <col min="15115" max="15115" width="4.44140625" style="4" customWidth="1"/>
    <col min="15116" max="15116" width="10.33203125" style="4" customWidth="1"/>
    <col min="15117" max="15117" width="8.88671875" style="4"/>
    <col min="15118" max="15118" width="13.6640625" style="4" customWidth="1"/>
    <col min="15119" max="15119" width="5.44140625" style="4" customWidth="1"/>
    <col min="15120" max="15120" width="8.88671875" style="4"/>
    <col min="15121" max="15121" width="23.33203125" style="4" bestFit="1" customWidth="1"/>
    <col min="15122" max="15362" width="8.88671875" style="4"/>
    <col min="15363" max="15363" width="12.88671875" style="4" customWidth="1"/>
    <col min="15364" max="15364" width="8.88671875" style="4"/>
    <col min="15365" max="15365" width="10.5546875" style="4" customWidth="1"/>
    <col min="15366" max="15366" width="8.88671875" style="4"/>
    <col min="15367" max="15367" width="4.44140625" style="4" customWidth="1"/>
    <col min="15368" max="15368" width="10.88671875" style="4" customWidth="1"/>
    <col min="15369" max="15369" width="8.88671875" style="4"/>
    <col min="15370" max="15370" width="14.6640625" style="4" customWidth="1"/>
    <col min="15371" max="15371" width="4.44140625" style="4" customWidth="1"/>
    <col min="15372" max="15372" width="10.33203125" style="4" customWidth="1"/>
    <col min="15373" max="15373" width="8.88671875" style="4"/>
    <col min="15374" max="15374" width="13.6640625" style="4" customWidth="1"/>
    <col min="15375" max="15375" width="5.44140625" style="4" customWidth="1"/>
    <col min="15376" max="15376" width="8.88671875" style="4"/>
    <col min="15377" max="15377" width="23.33203125" style="4" bestFit="1" customWidth="1"/>
    <col min="15378" max="15618" width="8.88671875" style="4"/>
    <col min="15619" max="15619" width="12.88671875" style="4" customWidth="1"/>
    <col min="15620" max="15620" width="8.88671875" style="4"/>
    <col min="15621" max="15621" width="10.5546875" style="4" customWidth="1"/>
    <col min="15622" max="15622" width="8.88671875" style="4"/>
    <col min="15623" max="15623" width="4.44140625" style="4" customWidth="1"/>
    <col min="15624" max="15624" width="10.88671875" style="4" customWidth="1"/>
    <col min="15625" max="15625" width="8.88671875" style="4"/>
    <col min="15626" max="15626" width="14.6640625" style="4" customWidth="1"/>
    <col min="15627" max="15627" width="4.44140625" style="4" customWidth="1"/>
    <col min="15628" max="15628" width="10.33203125" style="4" customWidth="1"/>
    <col min="15629" max="15629" width="8.88671875" style="4"/>
    <col min="15630" max="15630" width="13.6640625" style="4" customWidth="1"/>
    <col min="15631" max="15631" width="5.44140625" style="4" customWidth="1"/>
    <col min="15632" max="15632" width="8.88671875" style="4"/>
    <col min="15633" max="15633" width="23.33203125" style="4" bestFit="1" customWidth="1"/>
    <col min="15634" max="15874" width="8.88671875" style="4"/>
    <col min="15875" max="15875" width="12.88671875" style="4" customWidth="1"/>
    <col min="15876" max="15876" width="8.88671875" style="4"/>
    <col min="15877" max="15877" width="10.5546875" style="4" customWidth="1"/>
    <col min="15878" max="15878" width="8.88671875" style="4"/>
    <col min="15879" max="15879" width="4.44140625" style="4" customWidth="1"/>
    <col min="15880" max="15880" width="10.88671875" style="4" customWidth="1"/>
    <col min="15881" max="15881" width="8.88671875" style="4"/>
    <col min="15882" max="15882" width="14.6640625" style="4" customWidth="1"/>
    <col min="15883" max="15883" width="4.44140625" style="4" customWidth="1"/>
    <col min="15884" max="15884" width="10.33203125" style="4" customWidth="1"/>
    <col min="15885" max="15885" width="8.88671875" style="4"/>
    <col min="15886" max="15886" width="13.6640625" style="4" customWidth="1"/>
    <col min="15887" max="15887" width="5.44140625" style="4" customWidth="1"/>
    <col min="15888" max="15888" width="8.88671875" style="4"/>
    <col min="15889" max="15889" width="23.33203125" style="4" bestFit="1" customWidth="1"/>
    <col min="15890" max="16130" width="8.88671875" style="4"/>
    <col min="16131" max="16131" width="12.88671875" style="4" customWidth="1"/>
    <col min="16132" max="16132" width="8.88671875" style="4"/>
    <col min="16133" max="16133" width="10.5546875" style="4" customWidth="1"/>
    <col min="16134" max="16134" width="8.88671875" style="4"/>
    <col min="16135" max="16135" width="4.44140625" style="4" customWidth="1"/>
    <col min="16136" max="16136" width="10.88671875" style="4" customWidth="1"/>
    <col min="16137" max="16137" width="8.88671875" style="4"/>
    <col min="16138" max="16138" width="14.6640625" style="4" customWidth="1"/>
    <col min="16139" max="16139" width="4.44140625" style="4" customWidth="1"/>
    <col min="16140" max="16140" width="10.33203125" style="4" customWidth="1"/>
    <col min="16141" max="16141" width="8.88671875" style="4"/>
    <col min="16142" max="16142" width="13.6640625" style="4" customWidth="1"/>
    <col min="16143" max="16143" width="5.44140625" style="4" customWidth="1"/>
    <col min="16144" max="16144" width="8.88671875" style="4"/>
    <col min="16145" max="16145" width="23.33203125" style="4" bestFit="1" customWidth="1"/>
    <col min="16146" max="16384" width="8.88671875" style="4"/>
  </cols>
  <sheetData>
    <row r="1" spans="1:17" ht="17.399999999999999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3"/>
      <c r="K1" s="2"/>
      <c r="L1" s="2"/>
      <c r="M1" s="2"/>
      <c r="N1" s="3"/>
      <c r="O1" s="2"/>
      <c r="P1" s="2"/>
    </row>
    <row r="3" spans="1:17" ht="12.75" customHeight="1" x14ac:dyDescent="0.25">
      <c r="A3" s="4" t="s">
        <v>1</v>
      </c>
      <c r="B3" s="4">
        <f>[2]Sheet1!$B$5</f>
        <v>114.842871562479</v>
      </c>
      <c r="F3" s="6" t="s">
        <v>2</v>
      </c>
      <c r="G3" s="6"/>
      <c r="H3" s="6"/>
      <c r="I3" s="6"/>
      <c r="J3" s="6"/>
    </row>
    <row r="4" spans="1:17" x14ac:dyDescent="0.25">
      <c r="A4" s="4" t="s">
        <v>3</v>
      </c>
      <c r="B4" s="8">
        <v>0.4</v>
      </c>
      <c r="F4" s="6"/>
      <c r="G4" s="6"/>
      <c r="H4" s="6"/>
      <c r="I4" s="6"/>
      <c r="J4" s="6"/>
    </row>
    <row r="5" spans="1:17" x14ac:dyDescent="0.25">
      <c r="A5" s="4" t="s">
        <v>4</v>
      </c>
      <c r="B5" s="8">
        <v>0.06</v>
      </c>
      <c r="F5" s="6"/>
      <c r="G5" s="6"/>
      <c r="H5" s="6"/>
      <c r="I5" s="6"/>
      <c r="J5" s="6"/>
    </row>
    <row r="6" spans="1:17" x14ac:dyDescent="0.25">
      <c r="A6" s="4" t="s">
        <v>5</v>
      </c>
      <c r="B6" s="4">
        <v>1000</v>
      </c>
    </row>
    <row r="7" spans="1:17" x14ac:dyDescent="0.25">
      <c r="H7" s="9" t="s">
        <v>6</v>
      </c>
      <c r="I7" s="9"/>
      <c r="J7" s="10"/>
      <c r="K7" s="11"/>
      <c r="L7" s="9" t="s">
        <v>6</v>
      </c>
      <c r="M7" s="9"/>
      <c r="N7" s="10"/>
      <c r="P7" s="12" t="s">
        <v>7</v>
      </c>
    </row>
    <row r="8" spans="1:17" x14ac:dyDescent="0.25">
      <c r="B8" s="11"/>
      <c r="C8" s="13"/>
      <c r="H8" s="9" t="s">
        <v>8</v>
      </c>
      <c r="I8" s="9"/>
      <c r="J8" s="10"/>
      <c r="K8" s="11"/>
      <c r="L8" s="9" t="s">
        <v>9</v>
      </c>
      <c r="M8" s="9"/>
      <c r="N8" s="10"/>
      <c r="P8" s="12" t="s">
        <v>10</v>
      </c>
    </row>
    <row r="9" spans="1:17" ht="15.6" x14ac:dyDescent="0.35">
      <c r="A9" s="12" t="s">
        <v>11</v>
      </c>
      <c r="B9" s="12" t="s">
        <v>12</v>
      </c>
      <c r="C9" s="13" t="s">
        <v>13</v>
      </c>
      <c r="D9" s="12" t="s">
        <v>14</v>
      </c>
      <c r="E9" s="11" t="s">
        <v>15</v>
      </c>
      <c r="F9" s="12" t="s">
        <v>16</v>
      </c>
      <c r="H9" s="12" t="s">
        <v>17</v>
      </c>
      <c r="I9" s="12" t="s">
        <v>18</v>
      </c>
      <c r="J9" s="13" t="s">
        <v>19</v>
      </c>
      <c r="K9" s="14"/>
      <c r="L9" s="12" t="s">
        <v>17</v>
      </c>
      <c r="M9" s="12" t="s">
        <v>18</v>
      </c>
      <c r="N9" s="13" t="s">
        <v>19</v>
      </c>
      <c r="P9" s="12" t="s">
        <v>20</v>
      </c>
    </row>
    <row r="10" spans="1:17" x14ac:dyDescent="0.25">
      <c r="A10" s="4">
        <v>0</v>
      </c>
      <c r="B10" s="15">
        <f>A10/52</f>
        <v>0</v>
      </c>
      <c r="C10" s="5">
        <v>100</v>
      </c>
      <c r="D10" s="15">
        <f>(LN(C10/X)+(r_+Sigma^2/2)*(1-B10))/(Sigma*SQRT(1-B10))</f>
        <v>4.0133153747728967E-3</v>
      </c>
      <c r="E10" s="15">
        <f>[3]!BSPut(C10,X,1,r_,Sigma)</f>
        <v>20.88722979294073</v>
      </c>
      <c r="F10" s="15">
        <f>C10*_xlfn.NORM.S.DIST(D10,TRUE)/(C10+E10)</f>
        <v>0.41493305599667341</v>
      </c>
      <c r="G10" s="15"/>
      <c r="H10" s="5">
        <f>B6*F10</f>
        <v>414.93305599667343</v>
      </c>
      <c r="I10" s="5">
        <f>Initial*(1-F10)</f>
        <v>585.06694400332663</v>
      </c>
      <c r="J10" s="7">
        <f t="shared" ref="J10:J57" si="0">I10+H10</f>
        <v>1000</v>
      </c>
      <c r="K10" s="5"/>
      <c r="L10" s="5">
        <f t="shared" ref="L10:L57" ca="1" si="1">H10*C11/C10</f>
        <v>426.52527776218085</v>
      </c>
      <c r="M10" s="5">
        <f>I10*EXP(r_/52)</f>
        <v>585.74241086388611</v>
      </c>
      <c r="N10" s="7">
        <f t="shared" ref="N10:N57" ca="1" si="2">M10+L10</f>
        <v>1012.267688626067</v>
      </c>
      <c r="O10" s="15"/>
      <c r="P10" s="4">
        <f ca="1">NORMSINV(RAND())</f>
        <v>0.42740714768024984</v>
      </c>
      <c r="Q10" s="4" t="str">
        <f ca="1">_xlfn.FORMULATEXT(P10)</f>
        <v>=NORMSINV(RAND())</v>
      </c>
    </row>
    <row r="11" spans="1:17" x14ac:dyDescent="0.25">
      <c r="A11" s="4">
        <v>1</v>
      </c>
      <c r="B11" s="15">
        <f t="shared" ref="B11:B58" si="3">A11/52</f>
        <v>1.9230769230769232E-2</v>
      </c>
      <c r="C11" s="5">
        <f t="shared" ref="C11:C26" ca="1" si="4">C10*EXP(0.2/52+Sigma*SQRT(1/52)*P10)</f>
        <v>102.7937571128583</v>
      </c>
      <c r="D11" s="15">
        <f ca="1">(LN(C11/X)+(r_+Sigma^2/2)*(1-B11))/(Sigma*SQRT(1-B11))</f>
        <v>6.681420090528821E-2</v>
      </c>
      <c r="E11" s="15">
        <f ca="1">[3]!BSPut(C11,X,1,r_,Sigma)</f>
        <v>19.533369803198141</v>
      </c>
      <c r="F11" s="15">
        <f t="shared" ref="F11:F61" ca="1" si="5">C11*_xlfn.NORM.S.DIST(D11,TRUE)/(C11+E11)</f>
        <v>0.44254133385022493</v>
      </c>
      <c r="G11" s="15"/>
      <c r="H11" s="5">
        <f ca="1">N10*F11</f>
        <v>447.97029313806382</v>
      </c>
      <c r="I11" s="5">
        <f ca="1">N10*(1-F11)</f>
        <v>564.29739548800319</v>
      </c>
      <c r="J11" s="7">
        <f t="shared" ca="1" si="0"/>
        <v>1012.267688626067</v>
      </c>
      <c r="K11" s="5"/>
      <c r="L11" s="5">
        <f t="shared" ca="1" si="1"/>
        <v>507.84393872696739</v>
      </c>
      <c r="M11" s="5">
        <f ca="1">I11*EXP(r_/52)</f>
        <v>564.94888365368911</v>
      </c>
      <c r="N11" s="7">
        <f t="shared" ca="1" si="2"/>
        <v>1072.7928223806566</v>
      </c>
      <c r="O11" s="15"/>
      <c r="P11" s="4">
        <f t="shared" ref="P11:P61" ca="1" si="6">NORMSINV(RAND())</f>
        <v>2.1921953493966835</v>
      </c>
    </row>
    <row r="12" spans="1:17" x14ac:dyDescent="0.25">
      <c r="A12" s="4">
        <v>2</v>
      </c>
      <c r="B12" s="15">
        <f t="shared" si="3"/>
        <v>3.8461538461538464E-2</v>
      </c>
      <c r="C12" s="5">
        <f t="shared" ca="1" si="4"/>
        <v>116.53269711937847</v>
      </c>
      <c r="D12" s="15">
        <f ca="1">(LN(C12/X)+(r_+Sigma^2/2)*(1-B12))/(Sigma*SQRT(1-B12))</f>
        <v>0.38044401667544164</v>
      </c>
      <c r="E12" s="15">
        <f ca="1">[3]!BSPut(C12,X,1,r_,Sigma)</f>
        <v>13.924403661286703</v>
      </c>
      <c r="F12" s="15">
        <f t="shared" ca="1" si="5"/>
        <v>0.5790069726791186</v>
      </c>
      <c r="G12" s="15"/>
      <c r="H12" s="5">
        <f t="shared" ref="H12:H59" ca="1" si="7">N11*F12</f>
        <v>621.1545243985114</v>
      </c>
      <c r="I12" s="5">
        <f t="shared" ref="I12:I59" ca="1" si="8">N11*(1-F12)</f>
        <v>451.63829798214522</v>
      </c>
      <c r="J12" s="7">
        <f t="shared" ca="1" si="0"/>
        <v>1072.7928223806566</v>
      </c>
      <c r="K12" s="5"/>
      <c r="L12" s="5">
        <f t="shared" ca="1" si="1"/>
        <v>610.27541011584594</v>
      </c>
      <c r="M12" s="5">
        <f t="shared" ref="M12:M27" ca="1" si="9">I12*EXP(r_/52)</f>
        <v>452.1597198576643</v>
      </c>
      <c r="N12" s="7">
        <f t="shared" ca="1" si="2"/>
        <v>1062.4351299735104</v>
      </c>
      <c r="O12" s="15"/>
      <c r="P12" s="4">
        <f t="shared" ca="1" si="6"/>
        <v>-0.38787960169304669</v>
      </c>
    </row>
    <row r="13" spans="1:17" x14ac:dyDescent="0.25">
      <c r="A13" s="4">
        <v>3</v>
      </c>
      <c r="B13" s="15">
        <f t="shared" si="3"/>
        <v>5.7692307692307696E-2</v>
      </c>
      <c r="C13" s="5">
        <f t="shared" ca="1" si="4"/>
        <v>114.4917033250298</v>
      </c>
      <c r="D13" s="15">
        <f t="shared" ref="D13:D28" ca="1" si="10">(LN(C13/X)+(r_+Sigma^2/2)*(1-B13))/(Sigma*SQRT(1-B13))</f>
        <v>0.33186672802798972</v>
      </c>
      <c r="E13" s="15">
        <f ca="1">[3]!BSPut(C13,X,1,r_,Sigma)</f>
        <v>14.65457939236164</v>
      </c>
      <c r="F13" s="15">
        <f t="shared" ca="1" si="5"/>
        <v>0.55851666840254577</v>
      </c>
      <c r="G13" s="15"/>
      <c r="H13" s="5">
        <f t="shared" ca="1" si="7"/>
        <v>593.38772918663074</v>
      </c>
      <c r="I13" s="5">
        <f t="shared" ca="1" si="8"/>
        <v>469.04740078687968</v>
      </c>
      <c r="J13" s="7">
        <f t="shared" ca="1" si="0"/>
        <v>1062.4351299735104</v>
      </c>
      <c r="K13" s="5"/>
      <c r="L13" s="5">
        <f t="shared" ca="1" si="1"/>
        <v>642.82739059140579</v>
      </c>
      <c r="M13" s="5">
        <f t="shared" ca="1" si="9"/>
        <v>469.58892168207024</v>
      </c>
      <c r="N13" s="7">
        <f t="shared" ca="1" si="2"/>
        <v>1112.416312273476</v>
      </c>
      <c r="O13" s="15"/>
      <c r="P13" s="4">
        <f t="shared" ca="1" si="6"/>
        <v>1.3733916479902246</v>
      </c>
    </row>
    <row r="14" spans="1:17" x14ac:dyDescent="0.25">
      <c r="A14" s="4">
        <v>4</v>
      </c>
      <c r="B14" s="15">
        <f t="shared" si="3"/>
        <v>7.6923076923076927E-2</v>
      </c>
      <c r="C14" s="5">
        <f t="shared" ca="1" si="4"/>
        <v>124.03088111322624</v>
      </c>
      <c r="D14" s="15">
        <f t="shared" ca="1" si="10"/>
        <v>0.53654026563490065</v>
      </c>
      <c r="E14" s="15">
        <f ca="1">[3]!BSPut(C14,X,1,r_,Sigma)</f>
        <v>11.517221747605291</v>
      </c>
      <c r="F14" s="15">
        <f t="shared" ca="1" si="5"/>
        <v>0.64437245170530222</v>
      </c>
      <c r="G14" s="15"/>
      <c r="H14" s="5">
        <f t="shared" ca="1" si="7"/>
        <v>716.81042645663081</v>
      </c>
      <c r="I14" s="5">
        <f t="shared" ca="1" si="8"/>
        <v>395.60588581684522</v>
      </c>
      <c r="J14" s="7">
        <f t="shared" ca="1" si="0"/>
        <v>1112.416312273476</v>
      </c>
      <c r="K14" s="5"/>
      <c r="L14" s="5">
        <f t="shared" ca="1" si="1"/>
        <v>720.33400519995939</v>
      </c>
      <c r="M14" s="5">
        <f t="shared" ca="1" si="9"/>
        <v>396.06261759506384</v>
      </c>
      <c r="N14" s="7">
        <f t="shared" ca="1" si="2"/>
        <v>1116.3966227950232</v>
      </c>
      <c r="O14" s="15"/>
      <c r="P14" s="4">
        <f t="shared" ca="1" si="6"/>
        <v>1.906325836546342E-2</v>
      </c>
    </row>
    <row r="15" spans="1:17" x14ac:dyDescent="0.25">
      <c r="A15" s="4">
        <v>5</v>
      </c>
      <c r="B15" s="15">
        <f t="shared" si="3"/>
        <v>9.6153846153846159E-2</v>
      </c>
      <c r="C15" s="5">
        <f t="shared" ca="1" si="4"/>
        <v>124.64057170933998</v>
      </c>
      <c r="D15" s="15">
        <f t="shared" ca="1" si="10"/>
        <v>0.54803293576790224</v>
      </c>
      <c r="E15" s="15">
        <f ca="1">[3]!BSPut(C15,X,1,r_,Sigma)</f>
        <v>11.3394001520156</v>
      </c>
      <c r="F15" s="15">
        <f t="shared" ca="1" si="5"/>
        <v>0.64911128918062033</v>
      </c>
      <c r="G15" s="15"/>
      <c r="H15" s="5">
        <f t="shared" ca="1" si="7"/>
        <v>724.6656510593682</v>
      </c>
      <c r="I15" s="5">
        <f t="shared" ca="1" si="8"/>
        <v>391.73097173565498</v>
      </c>
      <c r="J15" s="7">
        <f t="shared" ca="1" si="0"/>
        <v>1116.3966227950232</v>
      </c>
      <c r="K15" s="5"/>
      <c r="L15" s="5">
        <f t="shared" ca="1" si="1"/>
        <v>743.98323482227067</v>
      </c>
      <c r="M15" s="5">
        <f t="shared" ca="1" si="9"/>
        <v>392.1832298787175</v>
      </c>
      <c r="N15" s="7">
        <f t="shared" ca="1" si="2"/>
        <v>1136.1664647009882</v>
      </c>
      <c r="O15" s="15"/>
      <c r="P15" s="4">
        <f t="shared" ca="1" si="6"/>
        <v>0.40493891141229438</v>
      </c>
    </row>
    <row r="16" spans="1:17" x14ac:dyDescent="0.25">
      <c r="A16" s="4">
        <v>6</v>
      </c>
      <c r="B16" s="15">
        <f t="shared" si="3"/>
        <v>0.11538461538461539</v>
      </c>
      <c r="C16" s="5">
        <f t="shared" ca="1" si="4"/>
        <v>127.96314492739083</v>
      </c>
      <c r="D16" s="15">
        <f t="shared" ca="1" si="10"/>
        <v>0.61672975164086641</v>
      </c>
      <c r="E16" s="15">
        <f ca="1">[3]!BSPut(C16,X,1,r_,Sigma)</f>
        <v>10.414390760674507</v>
      </c>
      <c r="F16" s="15">
        <f t="shared" ca="1" si="5"/>
        <v>0.67625583915463294</v>
      </c>
      <c r="G16" s="15"/>
      <c r="H16" s="5">
        <f t="shared" ca="1" si="7"/>
        <v>768.33920600571935</v>
      </c>
      <c r="I16" s="5">
        <f t="shared" ca="1" si="8"/>
        <v>367.82725869526877</v>
      </c>
      <c r="J16" s="7">
        <f t="shared" ca="1" si="0"/>
        <v>1136.1664647009882</v>
      </c>
      <c r="K16" s="5"/>
      <c r="L16" s="5">
        <f t="shared" ca="1" si="1"/>
        <v>786.23416467009883</v>
      </c>
      <c r="M16" s="5">
        <f t="shared" ca="1" si="9"/>
        <v>368.25191971262012</v>
      </c>
      <c r="N16" s="7">
        <f t="shared" ca="1" si="2"/>
        <v>1154.4860843827189</v>
      </c>
      <c r="O16" s="15"/>
      <c r="P16" s="4">
        <f t="shared" ca="1" si="6"/>
        <v>0.34572195299660136</v>
      </c>
    </row>
    <row r="17" spans="1:16" x14ac:dyDescent="0.25">
      <c r="A17" s="4">
        <v>7</v>
      </c>
      <c r="B17" s="15">
        <f t="shared" si="3"/>
        <v>0.13461538461538461</v>
      </c>
      <c r="C17" s="5">
        <f t="shared" ca="1" si="4"/>
        <v>130.94346295768358</v>
      </c>
      <c r="D17" s="15">
        <f t="shared" ca="1" si="10"/>
        <v>0.67818270615682741</v>
      </c>
      <c r="E17" s="15">
        <f ca="1">[3]!BSPut(C17,X,1,r_,Sigma)</f>
        <v>9.6451990810961661</v>
      </c>
      <c r="F17" s="15">
        <f t="shared" ca="1" si="5"/>
        <v>0.69963730320058137</v>
      </c>
      <c r="G17" s="15"/>
      <c r="H17" s="5">
        <f t="shared" ca="1" si="7"/>
        <v>807.72153066012424</v>
      </c>
      <c r="I17" s="5">
        <f t="shared" ca="1" si="8"/>
        <v>346.7645537225946</v>
      </c>
      <c r="J17" s="7">
        <f t="shared" ca="1" si="0"/>
        <v>1154.4860843827189</v>
      </c>
      <c r="K17" s="5"/>
      <c r="L17" s="5">
        <f t="shared" ca="1" si="1"/>
        <v>813.00614073929353</v>
      </c>
      <c r="M17" s="5">
        <f t="shared" ca="1" si="9"/>
        <v>347.16489759239795</v>
      </c>
      <c r="N17" s="7">
        <f t="shared" ca="1" si="2"/>
        <v>1160.1710383316915</v>
      </c>
      <c r="O17" s="15"/>
      <c r="P17" s="4">
        <f t="shared" ca="1" si="6"/>
        <v>4.8226952673433861E-2</v>
      </c>
    </row>
    <row r="18" spans="1:16" x14ac:dyDescent="0.25">
      <c r="A18" s="4">
        <v>8</v>
      </c>
      <c r="B18" s="15">
        <f t="shared" si="3"/>
        <v>0.15384615384615385</v>
      </c>
      <c r="C18" s="5">
        <f t="shared" ca="1" si="4"/>
        <v>131.80017547292627</v>
      </c>
      <c r="D18" s="15">
        <f t="shared" ca="1" si="10"/>
        <v>0.69625242503407769</v>
      </c>
      <c r="E18" s="15">
        <f ca="1">[3]!BSPut(C18,X,1,r_,Sigma)</f>
        <v>9.4341841677908462</v>
      </c>
      <c r="F18" s="15">
        <f t="shared" ca="1" si="5"/>
        <v>0.70630751527032687</v>
      </c>
      <c r="G18" s="15"/>
      <c r="H18" s="5">
        <f t="shared" ca="1" si="7"/>
        <v>819.43752337265221</v>
      </c>
      <c r="I18" s="5">
        <f t="shared" ca="1" si="8"/>
        <v>340.73351495903933</v>
      </c>
      <c r="J18" s="7">
        <f t="shared" ca="1" si="0"/>
        <v>1160.1710383316915</v>
      </c>
      <c r="K18" s="5"/>
      <c r="L18" s="5">
        <f t="shared" ca="1" si="1"/>
        <v>792.49881048225211</v>
      </c>
      <c r="M18" s="5">
        <f t="shared" ca="1" si="9"/>
        <v>341.12689592167231</v>
      </c>
      <c r="N18" s="7">
        <f t="shared" ca="1" si="2"/>
        <v>1133.6257064039244</v>
      </c>
      <c r="O18" s="15"/>
      <c r="P18" s="4">
        <f t="shared" ca="1" si="6"/>
        <v>-0.67195409521538652</v>
      </c>
    </row>
    <row r="19" spans="1:16" x14ac:dyDescent="0.25">
      <c r="A19" s="4">
        <v>9</v>
      </c>
      <c r="B19" s="15">
        <f t="shared" si="3"/>
        <v>0.17307692307692307</v>
      </c>
      <c r="C19" s="5">
        <f t="shared" ca="1" si="4"/>
        <v>127.46729226377543</v>
      </c>
      <c r="D19" s="15">
        <f t="shared" ca="1" si="10"/>
        <v>0.60500197658986388</v>
      </c>
      <c r="E19" s="15">
        <f ca="1">[3]!BSPut(C19,X,1,r_,Sigma)</f>
        <v>10.547815878157294</v>
      </c>
      <c r="F19" s="15">
        <f t="shared" ca="1" si="5"/>
        <v>0.67181870131075572</v>
      </c>
      <c r="G19" s="15"/>
      <c r="H19" s="5">
        <f t="shared" ca="1" si="7"/>
        <v>761.59094984877254</v>
      </c>
      <c r="I19" s="5">
        <f t="shared" ca="1" si="8"/>
        <v>372.03475655515183</v>
      </c>
      <c r="J19" s="7">
        <f t="shared" ca="1" si="0"/>
        <v>1133.6257064039244</v>
      </c>
      <c r="K19" s="5"/>
      <c r="L19" s="5">
        <f t="shared" ca="1" si="1"/>
        <v>717.10214166900766</v>
      </c>
      <c r="M19" s="5">
        <f t="shared" ca="1" si="9"/>
        <v>372.46427517965287</v>
      </c>
      <c r="N19" s="7">
        <f t="shared" ca="1" si="2"/>
        <v>1089.5664168486605</v>
      </c>
      <c r="O19" s="15"/>
      <c r="P19" s="4">
        <f t="shared" ca="1" si="6"/>
        <v>-1.1544518490920188</v>
      </c>
    </row>
    <row r="20" spans="1:16" x14ac:dyDescent="0.25">
      <c r="A20" s="4">
        <v>10</v>
      </c>
      <c r="B20" s="15">
        <f t="shared" si="3"/>
        <v>0.19230769230769232</v>
      </c>
      <c r="C20" s="5">
        <f t="shared" ca="1" si="4"/>
        <v>120.02121124634319</v>
      </c>
      <c r="D20" s="15">
        <f t="shared" ca="1" si="10"/>
        <v>0.43723592853079279</v>
      </c>
      <c r="E20" s="15">
        <f ca="1">[3]!BSPut(C20,X,1,r_,Sigma)</f>
        <v>12.7523506222892</v>
      </c>
      <c r="F20" s="15">
        <f t="shared" ca="1" si="5"/>
        <v>0.60477232414285054</v>
      </c>
      <c r="G20" s="15"/>
      <c r="H20" s="5">
        <f t="shared" ca="1" si="7"/>
        <v>658.93961422556231</v>
      </c>
      <c r="I20" s="5">
        <f t="shared" ca="1" si="8"/>
        <v>430.62680262309823</v>
      </c>
      <c r="J20" s="7">
        <f t="shared" ca="1" si="0"/>
        <v>1089.5664168486605</v>
      </c>
      <c r="K20" s="5"/>
      <c r="L20" s="5">
        <f t="shared" ca="1" si="1"/>
        <v>657.66485265817778</v>
      </c>
      <c r="M20" s="5">
        <f t="shared" ca="1" si="9"/>
        <v>431.12396647318741</v>
      </c>
      <c r="N20" s="7">
        <f t="shared" ca="1" si="2"/>
        <v>1088.7888191313652</v>
      </c>
      <c r="O20" s="15"/>
      <c r="P20" s="4">
        <f t="shared" ca="1" si="6"/>
        <v>-0.10424717087254097</v>
      </c>
    </row>
    <row r="21" spans="1:16" x14ac:dyDescent="0.25">
      <c r="A21" s="4">
        <v>11</v>
      </c>
      <c r="B21" s="15">
        <f t="shared" si="3"/>
        <v>0.21153846153846154</v>
      </c>
      <c r="C21" s="5">
        <f t="shared" ca="1" si="4"/>
        <v>119.78902240222946</v>
      </c>
      <c r="D21" s="15">
        <f t="shared" ca="1" si="10"/>
        <v>0.42950388924893995</v>
      </c>
      <c r="E21" s="15">
        <f ca="1">[3]!BSPut(C21,X,1,r_,Sigma)</f>
        <v>12.827471633155042</v>
      </c>
      <c r="F21" s="15">
        <f t="shared" ca="1" si="5"/>
        <v>0.60178071268759192</v>
      </c>
      <c r="G21" s="15"/>
      <c r="H21" s="5">
        <f t="shared" ca="1" si="7"/>
        <v>655.21211154315461</v>
      </c>
      <c r="I21" s="5">
        <f t="shared" ca="1" si="8"/>
        <v>433.57670758821064</v>
      </c>
      <c r="J21" s="7">
        <f t="shared" ca="1" si="0"/>
        <v>1088.7888191313652</v>
      </c>
      <c r="K21" s="5"/>
      <c r="L21" s="5">
        <f t="shared" ca="1" si="1"/>
        <v>652.10732537957404</v>
      </c>
      <c r="M21" s="5">
        <f t="shared" ca="1" si="9"/>
        <v>434.0772771392476</v>
      </c>
      <c r="N21" s="7">
        <f t="shared" ca="1" si="2"/>
        <v>1086.1846025188215</v>
      </c>
      <c r="O21" s="15"/>
      <c r="P21" s="4">
        <f t="shared" ca="1" si="6"/>
        <v>-0.1549668393126731</v>
      </c>
    </row>
    <row r="22" spans="1:16" x14ac:dyDescent="0.25">
      <c r="A22" s="4">
        <v>12</v>
      </c>
      <c r="B22" s="15">
        <f t="shared" si="3"/>
        <v>0.23076923076923078</v>
      </c>
      <c r="C22" s="5">
        <f t="shared" ca="1" si="4"/>
        <v>119.22139049684949</v>
      </c>
      <c r="D22" s="15">
        <f t="shared" ca="1" si="10"/>
        <v>0.4136261047406008</v>
      </c>
      <c r="E22" s="15">
        <f ca="1">[3]!BSPut(C22,X,1,r_,Sigma)</f>
        <v>13.012827143243157</v>
      </c>
      <c r="F22" s="15">
        <f t="shared" ca="1" si="5"/>
        <v>0.59543520801713934</v>
      </c>
      <c r="G22" s="15"/>
      <c r="H22" s="5">
        <f t="shared" ca="1" si="7"/>
        <v>646.75255474580831</v>
      </c>
      <c r="I22" s="5">
        <f t="shared" ca="1" si="8"/>
        <v>439.43204777301321</v>
      </c>
      <c r="J22" s="7">
        <f t="shared" ca="1" si="0"/>
        <v>1086.1846025188215</v>
      </c>
      <c r="K22" s="5"/>
      <c r="L22" s="5">
        <f t="shared" ca="1" si="1"/>
        <v>599.95216255376261</v>
      </c>
      <c r="M22" s="5">
        <f t="shared" ca="1" si="9"/>
        <v>439.93937738508708</v>
      </c>
      <c r="N22" s="7">
        <f t="shared" ca="1" si="2"/>
        <v>1039.8915399388497</v>
      </c>
      <c r="O22" s="15"/>
      <c r="P22" s="4">
        <f t="shared" ca="1" si="6"/>
        <v>-1.4234716809201968</v>
      </c>
    </row>
    <row r="23" spans="1:16" x14ac:dyDescent="0.25">
      <c r="A23" s="4">
        <v>13</v>
      </c>
      <c r="B23" s="15">
        <f t="shared" si="3"/>
        <v>0.25</v>
      </c>
      <c r="C23" s="5">
        <f t="shared" ca="1" si="4"/>
        <v>110.59427678544479</v>
      </c>
      <c r="D23" s="15">
        <f t="shared" ca="1" si="10"/>
        <v>0.19428841420233578</v>
      </c>
      <c r="E23" s="15">
        <f ca="1">[3]!BSPut(C23,X,1,r_,Sigma)</f>
        <v>16.144919413237417</v>
      </c>
      <c r="F23" s="15">
        <f t="shared" ca="1" si="5"/>
        <v>0.50351952141780953</v>
      </c>
      <c r="G23" s="15"/>
      <c r="H23" s="5">
        <f t="shared" ca="1" si="7"/>
        <v>523.60569051643859</v>
      </c>
      <c r="I23" s="5">
        <f t="shared" ca="1" si="8"/>
        <v>516.28584942241116</v>
      </c>
      <c r="J23" s="7">
        <f t="shared" ca="1" si="0"/>
        <v>1039.8915399388497</v>
      </c>
      <c r="K23" s="5"/>
      <c r="L23" s="5">
        <f t="shared" ca="1" si="1"/>
        <v>623.99630906340258</v>
      </c>
      <c r="M23" s="5">
        <f t="shared" ca="1" si="9"/>
        <v>516.88190767768435</v>
      </c>
      <c r="N23" s="7">
        <f t="shared" ca="1" si="2"/>
        <v>1140.8782167410868</v>
      </c>
      <c r="O23" s="15"/>
      <c r="P23" s="4">
        <f t="shared" ca="1" si="6"/>
        <v>3.0928310224810467</v>
      </c>
    </row>
    <row r="24" spans="1:16" x14ac:dyDescent="0.25">
      <c r="A24" s="4">
        <v>14</v>
      </c>
      <c r="B24" s="15">
        <f t="shared" si="3"/>
        <v>0.26923076923076922</v>
      </c>
      <c r="C24" s="5">
        <f t="shared" ca="1" si="4"/>
        <v>131.79845400379068</v>
      </c>
      <c r="D24" s="15">
        <f t="shared" ca="1" si="10"/>
        <v>0.70192609314706611</v>
      </c>
      <c r="E24" s="15">
        <f ca="1">[3]!BSPut(C24,X,1,r_,Sigma)</f>
        <v>9.4346037767930113</v>
      </c>
      <c r="F24" s="15">
        <f t="shared" ca="1" si="5"/>
        <v>0.70795913074862205</v>
      </c>
      <c r="G24" s="15"/>
      <c r="H24" s="5">
        <f t="shared" ca="1" si="7"/>
        <v>807.69515061405787</v>
      </c>
      <c r="I24" s="5">
        <f t="shared" ca="1" si="8"/>
        <v>333.18306612702895</v>
      </c>
      <c r="J24" s="7">
        <f t="shared" ca="1" si="0"/>
        <v>1140.8782167410868</v>
      </c>
      <c r="K24" s="5"/>
      <c r="L24" s="5">
        <f t="shared" ca="1" si="1"/>
        <v>826.88974034545458</v>
      </c>
      <c r="M24" s="5">
        <f t="shared" ca="1" si="9"/>
        <v>333.56773000519729</v>
      </c>
      <c r="N24" s="7">
        <f t="shared" ca="1" si="2"/>
        <v>1160.4574703506519</v>
      </c>
      <c r="O24" s="15"/>
      <c r="P24" s="4">
        <f t="shared" ca="1" si="6"/>
        <v>0.35407431045692178</v>
      </c>
    </row>
    <row r="25" spans="1:16" x14ac:dyDescent="0.25">
      <c r="A25" s="4">
        <v>15</v>
      </c>
      <c r="B25" s="15">
        <f t="shared" si="3"/>
        <v>0.28846153846153844</v>
      </c>
      <c r="C25" s="5">
        <f t="shared" ca="1" si="4"/>
        <v>134.93059767199495</v>
      </c>
      <c r="D25" s="15">
        <f t="shared" ca="1" si="10"/>
        <v>0.77297750521093078</v>
      </c>
      <c r="E25" s="15">
        <f ca="1">[3]!BSPut(C25,X,1,r_,Sigma)</f>
        <v>8.6996687834530064</v>
      </c>
      <c r="F25" s="15">
        <f t="shared" ca="1" si="5"/>
        <v>0.73297358108126254</v>
      </c>
      <c r="G25" s="15"/>
      <c r="H25" s="5">
        <f t="shared" ca="1" si="7"/>
        <v>850.58466773542034</v>
      </c>
      <c r="I25" s="5">
        <f t="shared" ca="1" si="8"/>
        <v>309.87280261523154</v>
      </c>
      <c r="J25" s="7">
        <f t="shared" ca="1" si="0"/>
        <v>1160.4574703506519</v>
      </c>
      <c r="K25" s="5"/>
      <c r="L25" s="5">
        <f t="shared" ca="1" si="1"/>
        <v>782.95251819330258</v>
      </c>
      <c r="M25" s="5">
        <f t="shared" ca="1" si="9"/>
        <v>310.2305545123445</v>
      </c>
      <c r="N25" s="7">
        <f t="shared" ca="1" si="2"/>
        <v>1093.1830727056472</v>
      </c>
      <c r="O25" s="15"/>
      <c r="P25" s="4">
        <f t="shared" ca="1" si="6"/>
        <v>-1.5629714678941844</v>
      </c>
    </row>
    <row r="26" spans="1:16" x14ac:dyDescent="0.25">
      <c r="A26" s="4">
        <v>16</v>
      </c>
      <c r="B26" s="15">
        <f t="shared" si="3"/>
        <v>0.30769230769230771</v>
      </c>
      <c r="C26" s="5">
        <f t="shared" ca="1" si="4"/>
        <v>124.20192279021553</v>
      </c>
      <c r="D26" s="15">
        <f t="shared" ca="1" si="10"/>
        <v>0.52661139915411792</v>
      </c>
      <c r="E26" s="15">
        <f ca="1">[3]!BSPut(C26,X,1,r_,Sigma)</f>
        <v>11.46707684394157</v>
      </c>
      <c r="F26" s="15">
        <f t="shared" ca="1" si="5"/>
        <v>0.64153760923309866</v>
      </c>
      <c r="G26" s="15"/>
      <c r="H26" s="5">
        <f t="shared" ca="1" si="7"/>
        <v>701.31805491767352</v>
      </c>
      <c r="I26" s="5">
        <f t="shared" ca="1" si="8"/>
        <v>391.86501778797361</v>
      </c>
      <c r="J26" s="7">
        <f t="shared" ca="1" si="0"/>
        <v>1093.1830727056472</v>
      </c>
      <c r="K26" s="5"/>
      <c r="L26" s="5">
        <f t="shared" ca="1" si="1"/>
        <v>737.67505150717113</v>
      </c>
      <c r="M26" s="5">
        <f t="shared" ca="1" si="9"/>
        <v>392.31743068882417</v>
      </c>
      <c r="N26" s="7">
        <f t="shared" ca="1" si="2"/>
        <v>1129.9924821959953</v>
      </c>
      <c r="O26" s="15"/>
      <c r="P26" s="4">
        <f t="shared" ca="1" si="6"/>
        <v>0.84181985796059355</v>
      </c>
    </row>
    <row r="27" spans="1:16" x14ac:dyDescent="0.25">
      <c r="A27" s="4">
        <v>17</v>
      </c>
      <c r="B27" s="15">
        <f t="shared" si="3"/>
        <v>0.32692307692307693</v>
      </c>
      <c r="C27" s="5">
        <f ca="1">C26*EXP(0.2/52+Sigma*SQRT(1/52)*P26)</f>
        <v>130.64066887928206</v>
      </c>
      <c r="D27" s="15">
        <f t="shared" ca="1" si="10"/>
        <v>0.67989101866647661</v>
      </c>
      <c r="E27" s="15">
        <f ca="1">[3]!BSPut(C27,X,1,r_,Sigma)</f>
        <v>9.7208380959562817</v>
      </c>
      <c r="F27" s="15">
        <f t="shared" ca="1" si="5"/>
        <v>0.69965281745160857</v>
      </c>
      <c r="G27" s="15"/>
      <c r="H27" s="5">
        <f t="shared" ca="1" si="7"/>
        <v>790.60242386756477</v>
      </c>
      <c r="I27" s="5">
        <f t="shared" ca="1" si="8"/>
        <v>339.39005832843054</v>
      </c>
      <c r="J27" s="7">
        <f t="shared" ca="1" si="0"/>
        <v>1129.9924821959953</v>
      </c>
      <c r="K27" s="5"/>
      <c r="L27" s="5">
        <f t="shared" ca="1" si="1"/>
        <v>804.96035401628365</v>
      </c>
      <c r="M27" s="5">
        <f t="shared" ca="1" si="9"/>
        <v>339.78188825414054</v>
      </c>
      <c r="N27" s="7">
        <f t="shared" ca="1" si="2"/>
        <v>1144.7422422704242</v>
      </c>
      <c r="O27" s="15"/>
      <c r="P27" s="4">
        <f t="shared" ca="1" si="6"/>
        <v>0.25512260623880439</v>
      </c>
    </row>
    <row r="28" spans="1:16" x14ac:dyDescent="0.25">
      <c r="A28" s="4">
        <v>18</v>
      </c>
      <c r="B28" s="15">
        <f t="shared" si="3"/>
        <v>0.34615384615384615</v>
      </c>
      <c r="C28" s="5">
        <f t="shared" ref="C28:C43" ca="1" si="11">C27*EXP(0.2/52+Sigma*SQRT(1/52)*P27)</f>
        <v>133.01320094056101</v>
      </c>
      <c r="D28" s="15">
        <f t="shared" ca="1" si="10"/>
        <v>0.73713751225433999</v>
      </c>
      <c r="E28" s="15">
        <f ca="1">[3]!BSPut(C28,X,1,r_,Sigma)</f>
        <v>9.1428530686356169</v>
      </c>
      <c r="F28" s="15">
        <f t="shared" ca="1" si="5"/>
        <v>0.71999102042965502</v>
      </c>
      <c r="G28" s="15"/>
      <c r="H28" s="5">
        <f t="shared" ca="1" si="7"/>
        <v>824.20413514121412</v>
      </c>
      <c r="I28" s="5">
        <f t="shared" ca="1" si="8"/>
        <v>320.53810712921012</v>
      </c>
      <c r="J28" s="7">
        <f t="shared" ca="1" si="0"/>
        <v>1144.7422422704242</v>
      </c>
      <c r="K28" s="5"/>
      <c r="L28" s="5">
        <f t="shared" ca="1" si="1"/>
        <v>856.08536266799103</v>
      </c>
      <c r="M28" s="5">
        <f t="shared" ref="M28:M43" ca="1" si="12">I28*EXP(r_/52)</f>
        <v>320.90817224933255</v>
      </c>
      <c r="N28" s="7">
        <f t="shared" ca="1" si="2"/>
        <v>1176.9935349173236</v>
      </c>
      <c r="O28" s="15"/>
      <c r="P28" s="4">
        <f t="shared" ca="1" si="6"/>
        <v>0.61484932309459517</v>
      </c>
    </row>
    <row r="29" spans="1:16" x14ac:dyDescent="0.25">
      <c r="A29" s="4">
        <v>19</v>
      </c>
      <c r="B29" s="15">
        <f t="shared" si="3"/>
        <v>0.36538461538461536</v>
      </c>
      <c r="C29" s="5">
        <f t="shared" ca="1" si="11"/>
        <v>138.15831480549491</v>
      </c>
      <c r="D29" s="15">
        <f t="shared" ref="D29:D44" ca="1" si="13">(LN(C29/X)+(r_+Sigma^2/2)*(1-B29))/(Sigma*SQRT(1-B29))</f>
        <v>0.85887547196781544</v>
      </c>
      <c r="E29" s="15">
        <f ca="1">[3]!BSPut(C29,X,1,r_,Sigma)</f>
        <v>7.9994212426959734</v>
      </c>
      <c r="F29" s="15">
        <f t="shared" ca="1" si="5"/>
        <v>0.76074778959858658</v>
      </c>
      <c r="G29" s="15"/>
      <c r="H29" s="5">
        <f t="shared" ca="1" si="7"/>
        <v>895.39523006018078</v>
      </c>
      <c r="I29" s="5">
        <f t="shared" ca="1" si="8"/>
        <v>281.59830485714286</v>
      </c>
      <c r="J29" s="7">
        <f t="shared" ca="1" si="0"/>
        <v>1176.9935349173236</v>
      </c>
      <c r="K29" s="5"/>
      <c r="L29" s="5">
        <f t="shared" ca="1" si="1"/>
        <v>979.78705511792305</v>
      </c>
      <c r="M29" s="5">
        <f t="shared" ca="1" si="12"/>
        <v>281.92341350474345</v>
      </c>
      <c r="N29" s="7">
        <f t="shared" ca="1" si="2"/>
        <v>1261.7104686226664</v>
      </c>
      <c r="O29" s="15"/>
      <c r="P29" s="4">
        <f t="shared" ca="1" si="6"/>
        <v>1.5544231905153472</v>
      </c>
    </row>
    <row r="30" spans="1:16" x14ac:dyDescent="0.25">
      <c r="A30" s="4">
        <v>20</v>
      </c>
      <c r="B30" s="15">
        <f t="shared" si="3"/>
        <v>0.38461538461538464</v>
      </c>
      <c r="C30" s="5">
        <f t="shared" ca="1" si="11"/>
        <v>151.17986321440722</v>
      </c>
      <c r="D30" s="15">
        <f t="shared" ca="1" si="13"/>
        <v>1.1506551371288951</v>
      </c>
      <c r="E30" s="15">
        <f ca="1">[3]!BSPut(C30,X,1,r_,Sigma)</f>
        <v>5.686333936219313</v>
      </c>
      <c r="F30" s="15">
        <f t="shared" ca="1" si="5"/>
        <v>0.84334226538396773</v>
      </c>
      <c r="G30" s="15"/>
      <c r="H30" s="5">
        <f t="shared" ca="1" si="7"/>
        <v>1064.0537648669072</v>
      </c>
      <c r="I30" s="5">
        <f t="shared" ca="1" si="8"/>
        <v>197.65670375575939</v>
      </c>
      <c r="J30" s="7">
        <f t="shared" ca="1" si="0"/>
        <v>1261.7104686226667</v>
      </c>
      <c r="K30" s="5"/>
      <c r="L30" s="5">
        <f t="shared" ca="1" si="1"/>
        <v>1060.0853967581475</v>
      </c>
      <c r="M30" s="5">
        <f t="shared" ca="1" si="12"/>
        <v>197.88490080999884</v>
      </c>
      <c r="N30" s="7">
        <f t="shared" ca="1" si="2"/>
        <v>1257.9702975681462</v>
      </c>
      <c r="O30" s="15"/>
      <c r="P30" s="4">
        <f t="shared" ca="1" si="6"/>
        <v>-0.13669738305803852</v>
      </c>
    </row>
    <row r="31" spans="1:16" x14ac:dyDescent="0.25">
      <c r="A31" s="4">
        <v>21</v>
      </c>
      <c r="B31" s="15">
        <f t="shared" si="3"/>
        <v>0.40384615384615385</v>
      </c>
      <c r="C31" s="5">
        <f t="shared" ca="1" si="11"/>
        <v>150.6160408140027</v>
      </c>
      <c r="D31" s="15">
        <f t="shared" ca="1" si="13"/>
        <v>1.1482512297303216</v>
      </c>
      <c r="E31" s="15">
        <f ca="1">[3]!BSPut(C31,X,1,r_,Sigma)</f>
        <v>5.7714132745282427</v>
      </c>
      <c r="F31" s="15">
        <f t="shared" ca="1" si="5"/>
        <v>0.84229201840899803</v>
      </c>
      <c r="G31" s="15"/>
      <c r="H31" s="5">
        <f t="shared" ca="1" si="7"/>
        <v>1059.5783410372417</v>
      </c>
      <c r="I31" s="5">
        <f t="shared" ca="1" si="8"/>
        <v>198.39195653090445</v>
      </c>
      <c r="J31" s="7">
        <f t="shared" ca="1" si="0"/>
        <v>1257.9702975681462</v>
      </c>
      <c r="K31" s="5"/>
      <c r="L31" s="5">
        <f t="shared" ca="1" si="1"/>
        <v>1104.92807364908</v>
      </c>
      <c r="M31" s="5">
        <f t="shared" ca="1" si="12"/>
        <v>198.62100244336233</v>
      </c>
      <c r="N31" s="7">
        <f t="shared" ca="1" si="2"/>
        <v>1303.5490760924424</v>
      </c>
      <c r="O31" s="15"/>
      <c r="P31" s="4">
        <f t="shared" ca="1" si="6"/>
        <v>0.68619138832250792</v>
      </c>
    </row>
    <row r="32" spans="1:16" x14ac:dyDescent="0.25">
      <c r="A32" s="4">
        <v>22</v>
      </c>
      <c r="B32" s="15">
        <f t="shared" si="3"/>
        <v>0.42307692307692307</v>
      </c>
      <c r="C32" s="5">
        <f t="shared" ca="1" si="11"/>
        <v>157.06237603380563</v>
      </c>
      <c r="D32" s="15">
        <f t="shared" ca="1" si="13"/>
        <v>1.2963104814397244</v>
      </c>
      <c r="E32" s="15">
        <f ca="1">[3]!BSPut(C32,X,1,r_,Sigma)</f>
        <v>4.8687275648974548</v>
      </c>
      <c r="F32" s="15">
        <f t="shared" ca="1" si="5"/>
        <v>0.87542859286018915</v>
      </c>
      <c r="G32" s="15"/>
      <c r="H32" s="5">
        <f t="shared" ca="1" si="7"/>
        <v>1141.1641334078065</v>
      </c>
      <c r="I32" s="5">
        <f t="shared" ca="1" si="8"/>
        <v>162.38494268463592</v>
      </c>
      <c r="J32" s="7">
        <f t="shared" ca="1" si="0"/>
        <v>1303.5490760924424</v>
      </c>
      <c r="K32" s="5"/>
      <c r="L32" s="5">
        <f t="shared" ca="1" si="1"/>
        <v>999.9564229349071</v>
      </c>
      <c r="M32" s="5">
        <f t="shared" ca="1" si="12"/>
        <v>162.57241806426819</v>
      </c>
      <c r="N32" s="7">
        <f t="shared" ca="1" si="2"/>
        <v>1162.5288409991754</v>
      </c>
      <c r="O32" s="15"/>
      <c r="P32" s="4">
        <f t="shared" ca="1" si="6"/>
        <v>-2.4506687361776707</v>
      </c>
    </row>
    <row r="33" spans="1:16" x14ac:dyDescent="0.25">
      <c r="A33" s="4">
        <v>23</v>
      </c>
      <c r="B33" s="15">
        <f t="shared" si="3"/>
        <v>0.44230769230769229</v>
      </c>
      <c r="C33" s="5">
        <f t="shared" ca="1" si="11"/>
        <v>137.62746928210387</v>
      </c>
      <c r="D33" s="15">
        <f t="shared" ca="1" si="13"/>
        <v>0.86725617703334212</v>
      </c>
      <c r="E33" s="15">
        <f ca="1">[3]!BSPut(C33,X,1,r_,Sigma)</f>
        <v>8.1107680345324127</v>
      </c>
      <c r="F33" s="15">
        <f t="shared" ca="1" si="5"/>
        <v>0.76218169043489303</v>
      </c>
      <c r="G33" s="15"/>
      <c r="H33" s="5">
        <f t="shared" ca="1" si="7"/>
        <v>886.05819721206842</v>
      </c>
      <c r="I33" s="5">
        <f t="shared" ca="1" si="8"/>
        <v>276.47064378710689</v>
      </c>
      <c r="J33" s="7">
        <f t="shared" ca="1" si="0"/>
        <v>1162.5288409991754</v>
      </c>
      <c r="K33" s="5"/>
      <c r="L33" s="5">
        <f t="shared" ca="1" si="1"/>
        <v>819.52293242293013</v>
      </c>
      <c r="M33" s="5">
        <f t="shared" ca="1" si="12"/>
        <v>276.78983248800654</v>
      </c>
      <c r="N33" s="7">
        <f t="shared" ca="1" si="2"/>
        <v>1096.3127649109367</v>
      </c>
      <c r="O33" s="15"/>
      <c r="P33" s="4">
        <f t="shared" ca="1" si="6"/>
        <v>-1.4765887405036042</v>
      </c>
    </row>
    <row r="34" spans="1:16" x14ac:dyDescent="0.25">
      <c r="A34" s="4">
        <v>24</v>
      </c>
      <c r="B34" s="15">
        <f t="shared" si="3"/>
        <v>0.46153846153846156</v>
      </c>
      <c r="C34" s="5">
        <f t="shared" ca="1" si="11"/>
        <v>127.2928432499132</v>
      </c>
      <c r="D34" s="15">
        <f t="shared" ca="1" si="13"/>
        <v>0.6074890611868119</v>
      </c>
      <c r="E34" s="15">
        <f ca="1">[3]!BSPut(C34,X,1,r_,Sigma)</f>
        <v>10.595135827683777</v>
      </c>
      <c r="F34" s="15">
        <f t="shared" ca="1" si="5"/>
        <v>0.6722800164189312</v>
      </c>
      <c r="G34" s="15"/>
      <c r="H34" s="5">
        <f t="shared" ca="1" si="7"/>
        <v>737.02916359460835</v>
      </c>
      <c r="I34" s="5">
        <f t="shared" ca="1" si="8"/>
        <v>359.28360131632832</v>
      </c>
      <c r="J34" s="7">
        <f t="shared" ca="1" si="0"/>
        <v>1096.3127649109367</v>
      </c>
      <c r="K34" s="5"/>
      <c r="L34" s="5">
        <f t="shared" ca="1" si="1"/>
        <v>634.98357936349771</v>
      </c>
      <c r="M34" s="5">
        <f t="shared" ca="1" si="12"/>
        <v>359.69839857793926</v>
      </c>
      <c r="N34" s="7">
        <f t="shared" ca="1" si="2"/>
        <v>994.68197794143703</v>
      </c>
      <c r="O34" s="15"/>
      <c r="P34" s="4">
        <f t="shared" ca="1" si="6"/>
        <v>-2.7559838213387793</v>
      </c>
    </row>
    <row r="35" spans="1:16" x14ac:dyDescent="0.25">
      <c r="A35" s="4">
        <v>25</v>
      </c>
      <c r="B35" s="15">
        <f t="shared" si="3"/>
        <v>0.48076923076923078</v>
      </c>
      <c r="C35" s="5">
        <f t="shared" ca="1" si="11"/>
        <v>109.66847612918235</v>
      </c>
      <c r="D35" s="15">
        <f t="shared" ca="1" si="13"/>
        <v>9.2250449411333493E-2</v>
      </c>
      <c r="E35" s="15">
        <f ca="1">[3]!BSPut(C35,X,1,r_,Sigma)</f>
        <v>16.518134837547578</v>
      </c>
      <c r="F35" s="15">
        <f t="shared" ca="1" si="5"/>
        <v>0.46648852736063345</v>
      </c>
      <c r="G35" s="15"/>
      <c r="H35" s="5">
        <f t="shared" ca="1" si="7"/>
        <v>464.00773108206306</v>
      </c>
      <c r="I35" s="5">
        <f t="shared" ca="1" si="8"/>
        <v>530.67424685937408</v>
      </c>
      <c r="J35" s="7">
        <f t="shared" ca="1" si="0"/>
        <v>994.68197794143714</v>
      </c>
      <c r="K35" s="5"/>
      <c r="L35" s="5">
        <f t="shared" ca="1" si="1"/>
        <v>493.09989180934213</v>
      </c>
      <c r="M35" s="5">
        <f t="shared" ca="1" si="12"/>
        <v>531.28691669345005</v>
      </c>
      <c r="N35" s="7">
        <f t="shared" ca="1" si="2"/>
        <v>1024.3868085027921</v>
      </c>
      <c r="O35" s="15"/>
      <c r="P35" s="4">
        <f t="shared" ca="1" si="6"/>
        <v>1.0269404348537665</v>
      </c>
    </row>
    <row r="36" spans="1:16" x14ac:dyDescent="0.25">
      <c r="A36" s="4">
        <v>26</v>
      </c>
      <c r="B36" s="15">
        <f t="shared" si="3"/>
        <v>0.5</v>
      </c>
      <c r="C36" s="5">
        <f t="shared" ca="1" si="11"/>
        <v>116.54442392174549</v>
      </c>
      <c r="D36" s="15">
        <f t="shared" ca="1" si="13"/>
        <v>0.29948681003197281</v>
      </c>
      <c r="E36" s="15">
        <f ca="1">[3]!BSPut(C36,X,1,r_,Sigma)</f>
        <v>13.920305025163586</v>
      </c>
      <c r="F36" s="15">
        <f t="shared" ca="1" si="5"/>
        <v>0.55180675246272248</v>
      </c>
      <c r="G36" s="15"/>
      <c r="H36" s="5">
        <f t="shared" ca="1" si="7"/>
        <v>565.26355806557854</v>
      </c>
      <c r="I36" s="5">
        <f t="shared" ca="1" si="8"/>
        <v>459.12325043721358</v>
      </c>
      <c r="J36" s="7">
        <f t="shared" ca="1" si="0"/>
        <v>1024.3868085027921</v>
      </c>
      <c r="K36" s="5"/>
      <c r="L36" s="5">
        <f t="shared" ca="1" si="1"/>
        <v>635.46957154677045</v>
      </c>
      <c r="M36" s="5">
        <f t="shared" ca="1" si="12"/>
        <v>459.65331378083829</v>
      </c>
      <c r="N36" s="7">
        <f t="shared" ca="1" si="2"/>
        <v>1095.1228853276089</v>
      </c>
      <c r="O36" s="15"/>
      <c r="P36" s="4">
        <f t="shared" ca="1" si="6"/>
        <v>2.0412099806671637</v>
      </c>
    </row>
    <row r="37" spans="1:16" x14ac:dyDescent="0.25">
      <c r="A37" s="4">
        <v>27</v>
      </c>
      <c r="B37" s="15">
        <f t="shared" si="3"/>
        <v>0.51923076923076927</v>
      </c>
      <c r="C37" s="5">
        <f t="shared" ca="1" si="11"/>
        <v>131.0192990136554</v>
      </c>
      <c r="D37" s="15">
        <f t="shared" ca="1" si="13"/>
        <v>0.71782006528845854</v>
      </c>
      <c r="E37" s="15">
        <f ca="1">[3]!BSPut(C37,X,1,r_,Sigma)</f>
        <v>9.6263420032750844</v>
      </c>
      <c r="F37" s="15">
        <f t="shared" ca="1" si="5"/>
        <v>0.71130442185815301</v>
      </c>
      <c r="G37" s="15"/>
      <c r="H37" s="5">
        <f t="shared" ca="1" si="7"/>
        <v>778.96575081158721</v>
      </c>
      <c r="I37" s="5">
        <f t="shared" ca="1" si="8"/>
        <v>316.15713451602164</v>
      </c>
      <c r="J37" s="7">
        <f t="shared" ca="1" si="0"/>
        <v>1095.1228853276089</v>
      </c>
      <c r="K37" s="5"/>
      <c r="L37" s="5">
        <f t="shared" ca="1" si="1"/>
        <v>824.61118688912211</v>
      </c>
      <c r="M37" s="5">
        <f t="shared" ca="1" si="12"/>
        <v>316.52214175029434</v>
      </c>
      <c r="N37" s="7">
        <f t="shared" ca="1" si="2"/>
        <v>1141.1333286394165</v>
      </c>
      <c r="O37" s="15"/>
      <c r="P37" s="4">
        <f t="shared" ca="1" si="6"/>
        <v>0.95725139123883274</v>
      </c>
    </row>
    <row r="38" spans="1:16" x14ac:dyDescent="0.25">
      <c r="A38" s="4">
        <v>28</v>
      </c>
      <c r="B38" s="15">
        <f t="shared" si="3"/>
        <v>0.53846153846153844</v>
      </c>
      <c r="C38" s="5">
        <f t="shared" ca="1" si="11"/>
        <v>138.69670078879167</v>
      </c>
      <c r="D38" s="15">
        <f t="shared" ca="1" si="13"/>
        <v>0.93226619717342563</v>
      </c>
      <c r="E38" s="15">
        <f ca="1">[3]!BSPut(C38,X,1,r_,Sigma)</f>
        <v>7.8879869195194203</v>
      </c>
      <c r="F38" s="15">
        <f t="shared" ca="1" si="5"/>
        <v>0.78003803250926884</v>
      </c>
      <c r="G38" s="15"/>
      <c r="H38" s="5">
        <f t="shared" ca="1" si="7"/>
        <v>890.12739650264336</v>
      </c>
      <c r="I38" s="5">
        <f t="shared" ca="1" si="8"/>
        <v>251.00593213677317</v>
      </c>
      <c r="J38" s="7">
        <f t="shared" ca="1" si="0"/>
        <v>1141.1333286394165</v>
      </c>
      <c r="K38" s="5"/>
      <c r="L38" s="5">
        <f t="shared" ca="1" si="1"/>
        <v>958.50174393387681</v>
      </c>
      <c r="M38" s="5">
        <f t="shared" ca="1" si="12"/>
        <v>251.29572152019333</v>
      </c>
      <c r="N38" s="7">
        <f t="shared" ca="1" si="2"/>
        <v>1209.7974654540701</v>
      </c>
      <c r="O38" s="15"/>
      <c r="P38" s="4">
        <f t="shared" ca="1" si="6"/>
        <v>1.2648388072669416</v>
      </c>
    </row>
    <row r="39" spans="1:16" x14ac:dyDescent="0.25">
      <c r="A39" s="4">
        <v>29</v>
      </c>
      <c r="B39" s="15">
        <f t="shared" si="3"/>
        <v>0.55769230769230771</v>
      </c>
      <c r="C39" s="5">
        <f t="shared" ca="1" si="11"/>
        <v>149.35056499357745</v>
      </c>
      <c r="D39" s="15">
        <f t="shared" ca="1" si="13"/>
        <v>1.2203917112630644</v>
      </c>
      <c r="E39" s="15">
        <f ca="1">[3]!BSPut(C39,X,1,r_,Sigma)</f>
        <v>5.9669145654256681</v>
      </c>
      <c r="F39" s="15">
        <f t="shared" ca="1" si="5"/>
        <v>0.8546946811975823</v>
      </c>
      <c r="G39" s="15"/>
      <c r="H39" s="5">
        <f t="shared" ca="1" si="7"/>
        <v>1034.0074590499096</v>
      </c>
      <c r="I39" s="5">
        <f t="shared" ca="1" si="8"/>
        <v>175.79000640416058</v>
      </c>
      <c r="J39" s="7">
        <f t="shared" ca="1" si="0"/>
        <v>1209.7974654540701</v>
      </c>
      <c r="K39" s="5"/>
      <c r="L39" s="5">
        <f t="shared" ca="1" si="1"/>
        <v>1034.8430940265428</v>
      </c>
      <c r="M39" s="5">
        <f t="shared" ca="1" si="12"/>
        <v>175.99295809192995</v>
      </c>
      <c r="N39" s="7">
        <f t="shared" ca="1" si="2"/>
        <v>1210.8360521184727</v>
      </c>
      <c r="O39" s="15"/>
      <c r="P39" s="4">
        <f t="shared" ca="1" si="6"/>
        <v>-5.4774244859691075E-2</v>
      </c>
    </row>
    <row r="40" spans="1:16" x14ac:dyDescent="0.25">
      <c r="A40" s="4">
        <v>30</v>
      </c>
      <c r="B40" s="15">
        <f t="shared" si="3"/>
        <v>0.57692307692307687</v>
      </c>
      <c r="C40" s="5">
        <f t="shared" ca="1" si="11"/>
        <v>149.47126291968644</v>
      </c>
      <c r="D40" s="15">
        <f t="shared" ca="1" si="13"/>
        <v>1.240576603465694</v>
      </c>
      <c r="E40" s="15">
        <f ca="1">[3]!BSPut(C40,X,1,r_,Sigma)</f>
        <v>5.9479932319171382</v>
      </c>
      <c r="F40" s="15">
        <f t="shared" ca="1" si="5"/>
        <v>0.85845781041000169</v>
      </c>
      <c r="G40" s="15"/>
      <c r="H40" s="5">
        <f t="shared" ca="1" si="7"/>
        <v>1039.4516660671147</v>
      </c>
      <c r="I40" s="5">
        <f t="shared" ca="1" si="8"/>
        <v>171.38438605135795</v>
      </c>
      <c r="J40" s="7">
        <f t="shared" ca="1" si="0"/>
        <v>1210.8360521184727</v>
      </c>
      <c r="K40" s="5"/>
      <c r="L40" s="5">
        <f t="shared" ca="1" si="1"/>
        <v>1048.3394767025832</v>
      </c>
      <c r="M40" s="5">
        <f t="shared" ca="1" si="12"/>
        <v>171.58225139716421</v>
      </c>
      <c r="N40" s="7">
        <f t="shared" ca="1" si="2"/>
        <v>1219.9217280997473</v>
      </c>
      <c r="O40" s="15"/>
      <c r="P40" s="4">
        <f t="shared" ca="1" si="6"/>
        <v>8.4153166655080103E-2</v>
      </c>
    </row>
    <row r="41" spans="1:16" x14ac:dyDescent="0.25">
      <c r="A41" s="4">
        <v>31</v>
      </c>
      <c r="B41" s="15">
        <f t="shared" si="3"/>
        <v>0.59615384615384615</v>
      </c>
      <c r="C41" s="5">
        <f t="shared" ca="1" si="11"/>
        <v>150.74931395721174</v>
      </c>
      <c r="D41" s="15">
        <f t="shared" ca="1" si="13"/>
        <v>1.2926735684252182</v>
      </c>
      <c r="E41" s="15">
        <f ca="1">[3]!BSPut(C41,X,1,r_,Sigma)</f>
        <v>5.7511913042505114</v>
      </c>
      <c r="F41" s="15">
        <f t="shared" ca="1" si="5"/>
        <v>0.86879295229325848</v>
      </c>
      <c r="G41" s="15"/>
      <c r="H41" s="5">
        <f t="shared" ca="1" si="7"/>
        <v>1059.8593997224732</v>
      </c>
      <c r="I41" s="5">
        <f t="shared" ca="1" si="8"/>
        <v>160.0623283772741</v>
      </c>
      <c r="J41" s="7">
        <f t="shared" ca="1" si="0"/>
        <v>1219.9217280997473</v>
      </c>
      <c r="K41" s="5"/>
      <c r="L41" s="5">
        <f t="shared" ca="1" si="1"/>
        <v>938.94222179218912</v>
      </c>
      <c r="M41" s="5">
        <f t="shared" ca="1" si="12"/>
        <v>160.24712227060715</v>
      </c>
      <c r="N41" s="7">
        <f t="shared" ca="1" si="2"/>
        <v>1099.1893440627962</v>
      </c>
      <c r="O41" s="15"/>
      <c r="P41" s="4">
        <f t="shared" ca="1" si="6"/>
        <v>-2.2531765006833768</v>
      </c>
    </row>
    <row r="42" spans="1:16" x14ac:dyDescent="0.25">
      <c r="A42" s="4">
        <v>32</v>
      </c>
      <c r="B42" s="15">
        <f t="shared" si="3"/>
        <v>0.61538461538461542</v>
      </c>
      <c r="C42" s="5">
        <f t="shared" ca="1" si="11"/>
        <v>133.55063494053695</v>
      </c>
      <c r="D42" s="15">
        <f t="shared" ca="1" si="13"/>
        <v>0.82542196167483339</v>
      </c>
      <c r="E42" s="15">
        <f ca="1">[3]!BSPut(C42,X,1,r_,Sigma)</f>
        <v>9.0165181673544339</v>
      </c>
      <c r="F42" s="15">
        <f t="shared" ca="1" si="5"/>
        <v>0.74512753261201758</v>
      </c>
      <c r="G42" s="15"/>
      <c r="H42" s="5">
        <f t="shared" ca="1" si="7"/>
        <v>819.03624381493341</v>
      </c>
      <c r="I42" s="5">
        <f t="shared" ca="1" si="8"/>
        <v>280.15310024786282</v>
      </c>
      <c r="J42" s="7">
        <f t="shared" ca="1" si="0"/>
        <v>1099.1893440627962</v>
      </c>
      <c r="K42" s="5"/>
      <c r="L42" s="5">
        <f t="shared" ca="1" si="1"/>
        <v>796.72485112599679</v>
      </c>
      <c r="M42" s="5">
        <f t="shared" ca="1" si="12"/>
        <v>280.47654038926885</v>
      </c>
      <c r="N42" s="7">
        <f t="shared" ca="1" si="2"/>
        <v>1077.2013915152656</v>
      </c>
      <c r="O42" s="15"/>
      <c r="P42" s="4">
        <f t="shared" ca="1" si="6"/>
        <v>-0.56724519298437426</v>
      </c>
    </row>
    <row r="43" spans="1:16" x14ac:dyDescent="0.25">
      <c r="A43" s="4">
        <v>33</v>
      </c>
      <c r="B43" s="15">
        <f t="shared" si="3"/>
        <v>0.63461538461538458</v>
      </c>
      <c r="C43" s="5">
        <f t="shared" ca="1" si="11"/>
        <v>129.91257779408372</v>
      </c>
      <c r="D43" s="15">
        <f t="shared" ca="1" si="13"/>
        <v>0.72150222750330006</v>
      </c>
      <c r="E43" s="15">
        <f ca="1">[3]!BSPut(C43,X,1,r_,Sigma)</f>
        <v>9.9050101256557639</v>
      </c>
      <c r="F43" s="15">
        <f t="shared" ca="1" si="5"/>
        <v>0.71052657000344932</v>
      </c>
      <c r="G43" s="15"/>
      <c r="H43" s="5">
        <f t="shared" ca="1" si="7"/>
        <v>765.38020991628446</v>
      </c>
      <c r="I43" s="5">
        <f t="shared" ca="1" si="8"/>
        <v>311.82118159898124</v>
      </c>
      <c r="J43" s="7">
        <f t="shared" ca="1" si="0"/>
        <v>1077.2013915152656</v>
      </c>
      <c r="K43" s="5"/>
      <c r="L43" s="5">
        <f t="shared" ca="1" si="1"/>
        <v>754.12440823338363</v>
      </c>
      <c r="M43" s="5">
        <f t="shared" ca="1" si="12"/>
        <v>312.18118292318769</v>
      </c>
      <c r="N43" s="7">
        <f t="shared" ca="1" si="2"/>
        <v>1066.3055911565714</v>
      </c>
      <c r="O43" s="15"/>
      <c r="P43" s="4">
        <f t="shared" ca="1" si="6"/>
        <v>-0.33642531055630404</v>
      </c>
    </row>
    <row r="44" spans="1:16" x14ac:dyDescent="0.25">
      <c r="A44" s="4">
        <v>34</v>
      </c>
      <c r="B44" s="15">
        <f t="shared" si="3"/>
        <v>0.65384615384615385</v>
      </c>
      <c r="C44" s="5">
        <f t="shared" ref="C44:C59" ca="1" si="14">C43*EXP(0.2/52+Sigma*SQRT(1/52)*P43)</f>
        <v>128.0020630031087</v>
      </c>
      <c r="D44" s="15">
        <f t="shared" ca="1" si="13"/>
        <v>0.66687976962517903</v>
      </c>
      <c r="E44" s="15">
        <f ca="1">[3]!BSPut(C44,X,1,r_,Sigma)</f>
        <v>10.403985708981224</v>
      </c>
      <c r="F44" s="15">
        <f t="shared" ca="1" si="5"/>
        <v>0.69138026377027906</v>
      </c>
      <c r="G44" s="15"/>
      <c r="H44" s="5">
        <f t="shared" ca="1" si="7"/>
        <v>737.2226408735537</v>
      </c>
      <c r="I44" s="5">
        <f t="shared" ca="1" si="8"/>
        <v>329.08295028301774</v>
      </c>
      <c r="J44" s="7">
        <f t="shared" ca="1" si="0"/>
        <v>1066.3055911565714</v>
      </c>
      <c r="K44" s="5"/>
      <c r="L44" s="5">
        <f t="shared" ca="1" si="1"/>
        <v>733.26396069635814</v>
      </c>
      <c r="M44" s="5">
        <f t="shared" ref="M44:M59" ca="1" si="15">I44*EXP(r_/52)</f>
        <v>329.46288052787202</v>
      </c>
      <c r="N44" s="7">
        <f t="shared" ca="1" si="2"/>
        <v>1062.7268412242302</v>
      </c>
      <c r="O44" s="15"/>
      <c r="P44" s="4">
        <f t="shared" ca="1" si="6"/>
        <v>-0.16640239290524356</v>
      </c>
    </row>
    <row r="45" spans="1:16" x14ac:dyDescent="0.25">
      <c r="A45" s="4">
        <v>35</v>
      </c>
      <c r="B45" s="15">
        <f t="shared" si="3"/>
        <v>0.67307692307692313</v>
      </c>
      <c r="C45" s="5">
        <f t="shared" ca="1" si="14"/>
        <v>127.31472758859928</v>
      </c>
      <c r="D45" s="15">
        <f t="shared" ref="D45:D60" ca="1" si="16">(LN(C45/X)+(r_+Sigma^2/2)*(1-B45))/(Sigma*SQRT(1-B45))</f>
        <v>0.65090015928944023</v>
      </c>
      <c r="E45" s="15">
        <f ca="1">[3]!BSPut(C45,X,1,r_,Sigma)</f>
        <v>10.58918875568429</v>
      </c>
      <c r="F45" s="15">
        <f t="shared" ca="1" si="5"/>
        <v>0.68543465392449265</v>
      </c>
      <c r="G45" s="15"/>
      <c r="H45" s="5">
        <f t="shared" ca="1" si="7"/>
        <v>728.42980463079948</v>
      </c>
      <c r="I45" s="5">
        <f t="shared" ca="1" si="8"/>
        <v>334.29703659343073</v>
      </c>
      <c r="J45" s="7">
        <f t="shared" ca="1" si="0"/>
        <v>1062.7268412242302</v>
      </c>
      <c r="K45" s="5"/>
      <c r="L45" s="5">
        <f t="shared" ca="1" si="1"/>
        <v>728.38360565067239</v>
      </c>
      <c r="M45" s="5">
        <f t="shared" ca="1" si="15"/>
        <v>334.68298656397087</v>
      </c>
      <c r="N45" s="7">
        <f t="shared" ca="1" si="2"/>
        <v>1063.0665922146432</v>
      </c>
      <c r="O45" s="15"/>
      <c r="P45" s="4">
        <f t="shared" ca="1" si="6"/>
        <v>-7.0480929651986893E-2</v>
      </c>
    </row>
    <row r="46" spans="1:16" x14ac:dyDescent="0.25">
      <c r="A46" s="4">
        <v>36</v>
      </c>
      <c r="B46" s="15">
        <f t="shared" si="3"/>
        <v>0.69230769230769229</v>
      </c>
      <c r="C46" s="5">
        <f t="shared" ca="1" si="14"/>
        <v>127.30665294567231</v>
      </c>
      <c r="D46" s="15">
        <f t="shared" ca="1" si="16"/>
        <v>0.65851260904704589</v>
      </c>
      <c r="E46" s="15">
        <f ca="1">[3]!BSPut(C46,X,1,r_,Sigma)</f>
        <v>10.591382677804887</v>
      </c>
      <c r="F46" s="15">
        <f t="shared" ca="1" si="5"/>
        <v>0.68768322450095642</v>
      </c>
      <c r="G46" s="15"/>
      <c r="H46" s="5">
        <f t="shared" ca="1" si="7"/>
        <v>731.05306199340919</v>
      </c>
      <c r="I46" s="5">
        <f t="shared" ca="1" si="8"/>
        <v>332.01353022123402</v>
      </c>
      <c r="J46" s="7">
        <f t="shared" ca="1" si="0"/>
        <v>1063.0665922146432</v>
      </c>
      <c r="K46" s="5"/>
      <c r="L46" s="5">
        <f t="shared" ca="1" si="1"/>
        <v>730.79566149550703</v>
      </c>
      <c r="M46" s="5">
        <f t="shared" ca="1" si="15"/>
        <v>332.39684385605892</v>
      </c>
      <c r="N46" s="7">
        <f t="shared" ca="1" si="2"/>
        <v>1063.1925053515661</v>
      </c>
      <c r="O46" s="15"/>
      <c r="P46" s="4">
        <f t="shared" ca="1" si="6"/>
        <v>-7.5686134259073501E-2</v>
      </c>
    </row>
    <row r="47" spans="1:16" x14ac:dyDescent="0.25">
      <c r="A47" s="4">
        <v>37</v>
      </c>
      <c r="B47" s="15">
        <f t="shared" si="3"/>
        <v>0.71153846153846156</v>
      </c>
      <c r="C47" s="5">
        <f t="shared" ca="1" si="14"/>
        <v>127.26182884526416</v>
      </c>
      <c r="D47" s="15">
        <f t="shared" ca="1" si="16"/>
        <v>0.6659376838821629</v>
      </c>
      <c r="E47" s="15">
        <f ca="1">[3]!BSPut(C47,X,1,r_,Sigma)</f>
        <v>10.603569341503871</v>
      </c>
      <c r="F47" s="15">
        <f t="shared" ca="1" si="5"/>
        <v>0.68979979798614266</v>
      </c>
      <c r="G47" s="15"/>
      <c r="H47" s="5">
        <f t="shared" ca="1" si="7"/>
        <v>733.38997541189121</v>
      </c>
      <c r="I47" s="5">
        <f t="shared" ca="1" si="8"/>
        <v>329.80252993967491</v>
      </c>
      <c r="J47" s="7">
        <f t="shared" ca="1" si="0"/>
        <v>1063.1925053515661</v>
      </c>
      <c r="K47" s="5"/>
      <c r="L47" s="5">
        <f t="shared" ca="1" si="1"/>
        <v>761.04367121434746</v>
      </c>
      <c r="M47" s="5">
        <f t="shared" ca="1" si="15"/>
        <v>330.18329094794279</v>
      </c>
      <c r="N47" s="7">
        <f t="shared" ca="1" si="2"/>
        <v>1091.2269621622902</v>
      </c>
      <c r="O47" s="15"/>
      <c r="P47" s="4">
        <f t="shared" ca="1" si="6"/>
        <v>0.59792663346048713</v>
      </c>
    </row>
    <row r="48" spans="1:16" x14ac:dyDescent="0.25">
      <c r="A48" s="4">
        <v>38</v>
      </c>
      <c r="B48" s="15">
        <f t="shared" si="3"/>
        <v>0.73076923076923073</v>
      </c>
      <c r="C48" s="5">
        <f t="shared" ca="1" si="14"/>
        <v>132.06044897935405</v>
      </c>
      <c r="D48" s="15">
        <f t="shared" ca="1" si="16"/>
        <v>0.85467297497906769</v>
      </c>
      <c r="E48" s="15">
        <f ca="1">[3]!BSPut(C48,X,1,r_,Sigma)</f>
        <v>9.370944746532075</v>
      </c>
      <c r="F48" s="15">
        <f t="shared" ca="1" si="5"/>
        <v>0.75038681168038657</v>
      </c>
      <c r="G48" s="15"/>
      <c r="H48" s="5">
        <f t="shared" ca="1" si="7"/>
        <v>818.84232095663481</v>
      </c>
      <c r="I48" s="5">
        <f t="shared" ca="1" si="8"/>
        <v>272.38464120565544</v>
      </c>
      <c r="J48" s="7">
        <f t="shared" ca="1" si="0"/>
        <v>1091.2269621622902</v>
      </c>
      <c r="K48" s="5"/>
      <c r="L48" s="5">
        <f t="shared" ca="1" si="1"/>
        <v>761.87204250977345</v>
      </c>
      <c r="M48" s="5">
        <f t="shared" ca="1" si="15"/>
        <v>272.6991125671733</v>
      </c>
      <c r="N48" s="7">
        <f t="shared" ca="1" si="2"/>
        <v>1034.5711550769468</v>
      </c>
      <c r="O48" s="15"/>
      <c r="P48" s="4">
        <f t="shared" ca="1" si="6"/>
        <v>-1.3693716895296291</v>
      </c>
    </row>
    <row r="49" spans="1:16" x14ac:dyDescent="0.25">
      <c r="A49" s="4">
        <v>39</v>
      </c>
      <c r="B49" s="15">
        <f t="shared" si="3"/>
        <v>0.75</v>
      </c>
      <c r="C49" s="5">
        <f t="shared" ca="1" si="14"/>
        <v>122.87245227031516</v>
      </c>
      <c r="D49" s="15">
        <f t="shared" ca="1" si="16"/>
        <v>0.51290992046627348</v>
      </c>
      <c r="E49" s="15">
        <f ca="1">[3]!BSPut(C49,X,1,r_,Sigma)</f>
        <v>11.862221006932145</v>
      </c>
      <c r="F49" s="15">
        <f t="shared" ca="1" si="5"/>
        <v>0.63471669240881323</v>
      </c>
      <c r="G49" s="15"/>
      <c r="H49" s="5">
        <f t="shared" ca="1" si="7"/>
        <v>656.65958161200501</v>
      </c>
      <c r="I49" s="5">
        <f t="shared" ca="1" si="8"/>
        <v>377.91157346494174</v>
      </c>
      <c r="J49" s="7">
        <f t="shared" ca="1" si="0"/>
        <v>1034.5711550769468</v>
      </c>
      <c r="K49" s="5"/>
      <c r="L49" s="5">
        <f t="shared" ca="1" si="1"/>
        <v>643.40423851059279</v>
      </c>
      <c r="M49" s="5">
        <f t="shared" ca="1" si="15"/>
        <v>378.34787694561834</v>
      </c>
      <c r="N49" s="7">
        <f t="shared" ca="1" si="2"/>
        <v>1021.7521154562112</v>
      </c>
      <c r="O49" s="15"/>
      <c r="P49" s="4">
        <f t="shared" ca="1" si="6"/>
        <v>-0.43696928781482874</v>
      </c>
    </row>
    <row r="50" spans="1:16" x14ac:dyDescent="0.25">
      <c r="A50" s="4">
        <v>40</v>
      </c>
      <c r="B50" s="15">
        <f t="shared" si="3"/>
        <v>0.76923076923076927</v>
      </c>
      <c r="C50" s="5">
        <f t="shared" ca="1" si="14"/>
        <v>120.39214655611747</v>
      </c>
      <c r="D50" s="15">
        <f t="shared" ca="1" si="16"/>
        <v>0.41371620890570521</v>
      </c>
      <c r="E50" s="15">
        <f ca="1">[3]!BSPut(C50,X,1,r_,Sigma)</f>
        <v>12.633175821199131</v>
      </c>
      <c r="F50" s="15">
        <f t="shared" ca="1" si="5"/>
        <v>0.59773641597825278</v>
      </c>
      <c r="G50" s="15"/>
      <c r="H50" s="5">
        <f t="shared" ca="1" si="7"/>
        <v>610.73844751099364</v>
      </c>
      <c r="I50" s="5">
        <f t="shared" ca="1" si="8"/>
        <v>411.01366794521761</v>
      </c>
      <c r="J50" s="7">
        <f t="shared" ca="1" si="0"/>
        <v>1021.7521154562112</v>
      </c>
      <c r="K50" s="5"/>
      <c r="L50" s="5">
        <f t="shared" ca="1" si="1"/>
        <v>582.56797922612839</v>
      </c>
      <c r="M50" s="5">
        <f t="shared" ca="1" si="15"/>
        <v>411.48818819419006</v>
      </c>
      <c r="N50" s="7">
        <f t="shared" ca="1" si="2"/>
        <v>994.05616742031839</v>
      </c>
      <c r="O50" s="15"/>
      <c r="P50" s="4">
        <f t="shared" ca="1" si="6"/>
        <v>-0.92066070532790667</v>
      </c>
    </row>
    <row r="51" spans="1:16" x14ac:dyDescent="0.25">
      <c r="A51" s="4">
        <v>41</v>
      </c>
      <c r="B51" s="15">
        <f t="shared" si="3"/>
        <v>0.78846153846153844</v>
      </c>
      <c r="C51" s="5">
        <f t="shared" ca="1" si="14"/>
        <v>114.83902776995343</v>
      </c>
      <c r="D51" s="15">
        <f t="shared" ca="1" si="16"/>
        <v>0.16079465517482236</v>
      </c>
      <c r="E51" s="15">
        <f ca="1">[3]!BSPut(C51,X,1,r_,Sigma)</f>
        <v>14.527937228128096</v>
      </c>
      <c r="F51" s="15">
        <f t="shared" ca="1" si="5"/>
        <v>0.5005494403830153</v>
      </c>
      <c r="G51" s="15"/>
      <c r="H51" s="5">
        <f t="shared" ca="1" si="7"/>
        <v>497.57425831152534</v>
      </c>
      <c r="I51" s="5">
        <f t="shared" ca="1" si="8"/>
        <v>496.48190910879305</v>
      </c>
      <c r="J51" s="7">
        <f t="shared" ca="1" si="0"/>
        <v>994.05616742031839</v>
      </c>
      <c r="K51" s="5"/>
      <c r="L51" s="5">
        <f t="shared" ca="1" si="1"/>
        <v>544.01461162343401</v>
      </c>
      <c r="M51" s="5">
        <f t="shared" ca="1" si="15"/>
        <v>497.05510347553616</v>
      </c>
      <c r="N51" s="7">
        <f t="shared" ca="1" si="2"/>
        <v>1041.0697150989702</v>
      </c>
      <c r="O51" s="15"/>
      <c r="P51" s="4">
        <f t="shared" ca="1" si="6"/>
        <v>1.5393025716278002</v>
      </c>
    </row>
    <row r="52" spans="1:16" x14ac:dyDescent="0.25">
      <c r="A52" s="4">
        <v>42</v>
      </c>
      <c r="B52" s="15">
        <f t="shared" si="3"/>
        <v>0.80769230769230771</v>
      </c>
      <c r="C52" s="5">
        <f t="shared" ca="1" si="14"/>
        <v>125.5573576162971</v>
      </c>
      <c r="D52" s="15">
        <f t="shared" ca="1" si="16"/>
        <v>0.66199100568045832</v>
      </c>
      <c r="E52" s="15">
        <f ca="1">[3]!BSPut(C52,X,1,r_,Sigma)</f>
        <v>11.0768029110247</v>
      </c>
      <c r="F52" s="15">
        <f t="shared" ca="1" si="5"/>
        <v>0.68553305564075961</v>
      </c>
      <c r="G52" s="15"/>
      <c r="H52" s="5">
        <f t="shared" ca="1" si="7"/>
        <v>713.68770292685213</v>
      </c>
      <c r="I52" s="5">
        <f t="shared" ca="1" si="8"/>
        <v>327.3820121721181</v>
      </c>
      <c r="J52" s="7">
        <f t="shared" ca="1" si="0"/>
        <v>1041.0697150989702</v>
      </c>
      <c r="K52" s="5"/>
      <c r="L52" s="5">
        <f t="shared" ca="1" si="1"/>
        <v>742.58639419274641</v>
      </c>
      <c r="M52" s="5">
        <f t="shared" ca="1" si="15"/>
        <v>327.75997866335825</v>
      </c>
      <c r="N52" s="7">
        <f t="shared" ca="1" si="2"/>
        <v>1070.3463728561046</v>
      </c>
      <c r="O52" s="15"/>
      <c r="P52" s="4">
        <f t="shared" ca="1" si="6"/>
        <v>0.64625162066697317</v>
      </c>
    </row>
    <row r="53" spans="1:16" x14ac:dyDescent="0.25">
      <c r="A53" s="4">
        <v>43</v>
      </c>
      <c r="B53" s="15">
        <f t="shared" si="3"/>
        <v>0.82692307692307687</v>
      </c>
      <c r="C53" s="5">
        <f t="shared" ca="1" si="14"/>
        <v>130.64143472598317</v>
      </c>
      <c r="D53" s="15">
        <f t="shared" ca="1" si="16"/>
        <v>0.92015074884037651</v>
      </c>
      <c r="E53" s="15">
        <f ca="1">[3]!BSPut(C53,X,1,r_,Sigma)</f>
        <v>9.7206460818634923</v>
      </c>
      <c r="F53" s="15">
        <f t="shared" ca="1" si="5"/>
        <v>0.76437788891046954</v>
      </c>
      <c r="G53" s="15"/>
      <c r="H53" s="5">
        <f t="shared" ca="1" si="7"/>
        <v>818.14910088672752</v>
      </c>
      <c r="I53" s="5">
        <f t="shared" ca="1" si="8"/>
        <v>252.19727196937708</v>
      </c>
      <c r="J53" s="7">
        <f t="shared" ca="1" si="0"/>
        <v>1070.3463728561046</v>
      </c>
      <c r="K53" s="5"/>
      <c r="L53" s="5">
        <f t="shared" ca="1" si="1"/>
        <v>826.54067720998876</v>
      </c>
      <c r="M53" s="5">
        <f t="shared" ca="1" si="15"/>
        <v>252.48843676903778</v>
      </c>
      <c r="N53" s="7">
        <f t="shared" ca="1" si="2"/>
        <v>1079.0291139790265</v>
      </c>
      <c r="O53" s="15"/>
      <c r="P53" s="4">
        <f t="shared" ca="1" si="6"/>
        <v>0.11462738893560416</v>
      </c>
    </row>
    <row r="54" spans="1:16" x14ac:dyDescent="0.25">
      <c r="A54" s="4">
        <v>44</v>
      </c>
      <c r="B54" s="15">
        <f t="shared" si="3"/>
        <v>0.84615384615384615</v>
      </c>
      <c r="C54" s="5">
        <f t="shared" ca="1" si="14"/>
        <v>131.98139533865788</v>
      </c>
      <c r="D54" s="15">
        <f t="shared" ca="1" si="16"/>
        <v>1.023848508409084</v>
      </c>
      <c r="E54" s="15">
        <f ca="1">[3]!BSPut(C54,X,1,r_,Sigma)</f>
        <v>9.39011017816037</v>
      </c>
      <c r="F54" s="15">
        <f t="shared" ca="1" si="5"/>
        <v>0.79078446190419394</v>
      </c>
      <c r="G54" s="15"/>
      <c r="H54" s="5">
        <f t="shared" ca="1" si="7"/>
        <v>853.2794572768637</v>
      </c>
      <c r="I54" s="5">
        <f t="shared" ca="1" si="8"/>
        <v>225.74965670216289</v>
      </c>
      <c r="J54" s="7">
        <f t="shared" ca="1" si="0"/>
        <v>1079.0291139790265</v>
      </c>
      <c r="K54" s="5"/>
      <c r="L54" s="5">
        <f t="shared" ca="1" si="1"/>
        <v>850.8977449396948</v>
      </c>
      <c r="M54" s="5">
        <f t="shared" ca="1" si="15"/>
        <v>226.0102874102347</v>
      </c>
      <c r="N54" s="7">
        <f t="shared" ca="1" si="2"/>
        <v>1076.9080323499295</v>
      </c>
      <c r="O54" s="15"/>
      <c r="P54" s="4">
        <f t="shared" ca="1" si="6"/>
        <v>-0.11972777464355341</v>
      </c>
    </row>
    <row r="55" spans="1:16" x14ac:dyDescent="0.25">
      <c r="A55" s="4">
        <v>45</v>
      </c>
      <c r="B55" s="15">
        <f t="shared" si="3"/>
        <v>0.86538461538461542</v>
      </c>
      <c r="C55" s="5">
        <f t="shared" ca="1" si="14"/>
        <v>131.61300287957064</v>
      </c>
      <c r="D55" s="15">
        <f t="shared" ca="1" si="16"/>
        <v>1.0571493865780759</v>
      </c>
      <c r="E55" s="15">
        <f ca="1">[3]!BSPut(C55,X,1,r_,Sigma)</f>
        <v>9.4799109245885802</v>
      </c>
      <c r="F55" s="15">
        <f t="shared" ca="1" si="5"/>
        <v>0.79734647793083047</v>
      </c>
      <c r="G55" s="15"/>
      <c r="H55" s="5">
        <f t="shared" ca="1" si="7"/>
        <v>858.66882664963714</v>
      </c>
      <c r="I55" s="5">
        <f t="shared" ca="1" si="8"/>
        <v>218.23920570029239</v>
      </c>
      <c r="J55" s="7">
        <f t="shared" ca="1" si="0"/>
        <v>1076.9080323499295</v>
      </c>
      <c r="K55" s="5"/>
      <c r="L55" s="5">
        <f t="shared" ca="1" si="1"/>
        <v>880.04802230128269</v>
      </c>
      <c r="M55" s="5">
        <f t="shared" ca="1" si="15"/>
        <v>218.49116550187799</v>
      </c>
      <c r="N55" s="7">
        <f t="shared" ca="1" si="2"/>
        <v>1098.5391878031608</v>
      </c>
      <c r="O55" s="15"/>
      <c r="P55" s="4">
        <f t="shared" ca="1" si="6"/>
        <v>0.3740220215203599</v>
      </c>
    </row>
    <row r="56" spans="1:16" x14ac:dyDescent="0.25">
      <c r="A56" s="4">
        <v>46</v>
      </c>
      <c r="B56" s="15">
        <f t="shared" si="3"/>
        <v>0.88461538461538458</v>
      </c>
      <c r="C56" s="5">
        <f t="shared" ca="1" si="14"/>
        <v>134.88991250006049</v>
      </c>
      <c r="D56" s="15">
        <f t="shared" ca="1" si="16"/>
        <v>1.3030377709531842</v>
      </c>
      <c r="E56" s="15">
        <f ca="1">[3]!BSPut(C56,X,1,r_,Sigma)</f>
        <v>8.7088571824891687</v>
      </c>
      <c r="F56" s="15">
        <f t="shared" ca="1" si="5"/>
        <v>0.84891107414409417</v>
      </c>
      <c r="G56" s="15"/>
      <c r="H56" s="5">
        <f t="shared" ca="1" si="7"/>
        <v>932.56208190736197</v>
      </c>
      <c r="I56" s="5">
        <f t="shared" ca="1" si="8"/>
        <v>165.97710589579876</v>
      </c>
      <c r="J56" s="7">
        <f t="shared" ca="1" si="0"/>
        <v>1098.5391878031608</v>
      </c>
      <c r="K56" s="5"/>
      <c r="L56" s="5">
        <f t="shared" ca="1" si="1"/>
        <v>937.91394111246893</v>
      </c>
      <c r="M56" s="5">
        <f t="shared" ca="1" si="15"/>
        <v>166.16872847128911</v>
      </c>
      <c r="N56" s="7">
        <f t="shared" ca="1" si="2"/>
        <v>1104.0826695837582</v>
      </c>
      <c r="O56" s="15"/>
      <c r="P56" s="4">
        <f t="shared" ca="1" si="6"/>
        <v>3.3825815730407591E-2</v>
      </c>
    </row>
    <row r="57" spans="1:16" x14ac:dyDescent="0.25">
      <c r="A57" s="4">
        <v>47</v>
      </c>
      <c r="B57" s="15">
        <f t="shared" si="3"/>
        <v>0.90384615384615385</v>
      </c>
      <c r="C57" s="5">
        <f t="shared" ca="1" si="14"/>
        <v>135.66402913411127</v>
      </c>
      <c r="D57" s="15">
        <f t="shared" ca="1" si="16"/>
        <v>1.4518363306323223</v>
      </c>
      <c r="E57" s="15">
        <f ca="1">[3]!BSPut(C57,X,1,r_,Sigma)</f>
        <v>8.5356021213592612</v>
      </c>
      <c r="F57" s="15">
        <f t="shared" ca="1" si="5"/>
        <v>0.87187076485949433</v>
      </c>
      <c r="G57" s="15"/>
      <c r="H57" s="5">
        <f t="shared" ca="1" si="7"/>
        <v>962.61740159810358</v>
      </c>
      <c r="I57" s="5">
        <f t="shared" ca="1" si="8"/>
        <v>141.46526798565458</v>
      </c>
      <c r="J57" s="7">
        <f t="shared" ca="1" si="0"/>
        <v>1104.0826695837582</v>
      </c>
      <c r="K57" s="5"/>
      <c r="L57" s="5">
        <f t="shared" ca="1" si="1"/>
        <v>964.60603793995483</v>
      </c>
      <c r="M57" s="5">
        <f t="shared" ca="1" si="15"/>
        <v>141.62859134791915</v>
      </c>
      <c r="N57" s="7">
        <f t="shared" ca="1" si="2"/>
        <v>1106.234629287874</v>
      </c>
      <c r="O57" s="15"/>
      <c r="P57" s="4">
        <f t="shared" ca="1" si="6"/>
        <v>-3.2133053596082768E-2</v>
      </c>
    </row>
    <row r="58" spans="1:16" x14ac:dyDescent="0.25">
      <c r="A58" s="4">
        <v>48</v>
      </c>
      <c r="B58" s="15">
        <f t="shared" si="3"/>
        <v>0.92307692307692313</v>
      </c>
      <c r="C58" s="5">
        <f t="shared" ca="1" si="14"/>
        <v>135.94429252657662</v>
      </c>
      <c r="D58" s="15">
        <f t="shared" ca="1" si="16"/>
        <v>1.6175364656300486</v>
      </c>
      <c r="E58" s="15">
        <f ca="1">[3]!BSPut(C58,X,1,r_,Sigma)</f>
        <v>8.4736889432666374</v>
      </c>
      <c r="F58" s="15">
        <f t="shared" ca="1" si="5"/>
        <v>0.89154677968472384</v>
      </c>
      <c r="G58" s="15"/>
      <c r="H58" s="5">
        <f t="shared" ca="1" si="7"/>
        <v>986.25992131732835</v>
      </c>
      <c r="I58" s="5">
        <f t="shared" ca="1" si="8"/>
        <v>119.97470797054564</v>
      </c>
      <c r="J58" s="7">
        <f ca="1">I58+H58</f>
        <v>1106.234629287874</v>
      </c>
      <c r="K58" s="5"/>
      <c r="L58" s="5">
        <f ca="1">H58*C59/C58</f>
        <v>997.22281896419292</v>
      </c>
      <c r="M58" s="5">
        <f t="shared" ca="1" si="15"/>
        <v>120.11322022144277</v>
      </c>
      <c r="N58" s="7">
        <f ca="1">M58+L58</f>
        <v>1117.3360391856356</v>
      </c>
      <c r="O58" s="15"/>
      <c r="P58" s="4">
        <f t="shared" ca="1" si="6"/>
        <v>0.12994675106220946</v>
      </c>
    </row>
    <row r="59" spans="1:16" x14ac:dyDescent="0.25">
      <c r="A59" s="4">
        <v>49</v>
      </c>
      <c r="B59" s="15">
        <f>A59/52</f>
        <v>0.94230769230769229</v>
      </c>
      <c r="C59" s="5">
        <f t="shared" ca="1" si="14"/>
        <v>137.45539860767303</v>
      </c>
      <c r="D59" s="15">
        <f t="shared" ca="1" si="16"/>
        <v>1.9548046309525569</v>
      </c>
      <c r="E59" s="15">
        <f ca="1">[3]!BSPut(C59,X,1,r_,Sigma)</f>
        <v>8.147177270161194</v>
      </c>
      <c r="F59" s="15">
        <f t="shared" ca="1" si="5"/>
        <v>0.92015786543441502</v>
      </c>
      <c r="G59" s="15"/>
      <c r="H59" s="5">
        <f t="shared" ca="1" si="7"/>
        <v>1028.1255447899985</v>
      </c>
      <c r="I59" s="5">
        <f t="shared" ca="1" si="8"/>
        <v>89.210494395637255</v>
      </c>
      <c r="J59" s="7">
        <f ca="1">I59+H59</f>
        <v>1117.3360391856356</v>
      </c>
      <c r="K59" s="5"/>
      <c r="L59" s="5">
        <f ca="1">H59*C60/C59</f>
        <v>1072.3861501217132</v>
      </c>
      <c r="M59" s="5">
        <f t="shared" ca="1" si="15"/>
        <v>89.313488990009759</v>
      </c>
      <c r="N59" s="7">
        <f ca="1">M59+L59</f>
        <v>1161.6996391117229</v>
      </c>
      <c r="O59" s="15"/>
      <c r="P59" s="4">
        <f t="shared" ca="1" si="6"/>
        <v>0.69051307370668968</v>
      </c>
    </row>
    <row r="60" spans="1:16" x14ac:dyDescent="0.25">
      <c r="A60" s="4">
        <v>50</v>
      </c>
      <c r="B60" s="15">
        <f>A60/52</f>
        <v>0.96153846153846156</v>
      </c>
      <c r="C60" s="5">
        <f ca="1">C59*EXP(0.2/52+Sigma*SQRT(1/52)*P59)</f>
        <v>143.37282686273153</v>
      </c>
      <c r="D60" s="15">
        <f t="shared" ca="1" si="16"/>
        <v>2.8971121333830019</v>
      </c>
      <c r="E60" s="15">
        <f ca="1">[3]!BSPut(C60,X,1,r_,Sigma)</f>
        <v>6.9808083830847636</v>
      </c>
      <c r="F60" s="15">
        <f t="shared" ca="1" si="5"/>
        <v>0.95177509183437159</v>
      </c>
      <c r="G60" s="15"/>
      <c r="H60" s="5">
        <f ca="1">N59*F60</f>
        <v>1105.6767806995165</v>
      </c>
      <c r="I60" s="5">
        <f ca="1">N59*(1-F60)</f>
        <v>56.022858412206503</v>
      </c>
      <c r="J60" s="7">
        <f ca="1">I60+H60</f>
        <v>1161.6996391117229</v>
      </c>
      <c r="K60" s="5"/>
      <c r="L60" s="5">
        <f ca="1">H60*C61/C60</f>
        <v>1163.7744243652648</v>
      </c>
      <c r="M60" s="5">
        <f ca="1">I60*EXP(r_/52)</f>
        <v>56.087537479583531</v>
      </c>
      <c r="N60" s="7">
        <f ca="1">M60+L60</f>
        <v>1219.8619618448483</v>
      </c>
      <c r="O60" s="15"/>
      <c r="P60" s="4">
        <f t="shared" ca="1" si="6"/>
        <v>0.85388043482490406</v>
      </c>
    </row>
    <row r="61" spans="1:16" x14ac:dyDescent="0.25">
      <c r="A61" s="4">
        <v>51</v>
      </c>
      <c r="B61" s="15">
        <f>A61/52</f>
        <v>0.98076923076923073</v>
      </c>
      <c r="C61" s="5">
        <f ca="1">C60*EXP(0.2/52+Sigma*SQRT(1/52)*P60)</f>
        <v>150.90633353649218</v>
      </c>
      <c r="D61" s="15">
        <f ca="1">(LN(C61/X)+(r_+Sigma^2/2)*(1-B61))/(Sigma*SQRT(1-B61))</f>
        <v>4.9718169629292372</v>
      </c>
      <c r="E61" s="15">
        <f ca="1">[3]!BSPut(C61,X,1,r_,Sigma)</f>
        <v>5.7274548928767217</v>
      </c>
      <c r="F61" s="15">
        <f t="shared" ca="1" si="5"/>
        <v>0.96343378400585666</v>
      </c>
      <c r="G61" s="15"/>
      <c r="H61" s="5">
        <f ca="1">N60*F61</f>
        <v>1175.2562258649903</v>
      </c>
      <c r="I61" s="5">
        <f ca="1">N60*(1-F61)</f>
        <v>44.60573597985816</v>
      </c>
      <c r="J61" s="7">
        <f ca="1">I61+H61</f>
        <v>1219.8619618448483</v>
      </c>
      <c r="K61" s="5"/>
      <c r="L61" s="5"/>
      <c r="M61" s="5"/>
      <c r="O61" s="15"/>
      <c r="P61" s="4">
        <f t="shared" ca="1" si="6"/>
        <v>1.2723832399549586</v>
      </c>
    </row>
    <row r="62" spans="1:16" x14ac:dyDescent="0.25">
      <c r="B62" s="15"/>
      <c r="D62" s="15"/>
      <c r="E62" s="15"/>
      <c r="F62" s="15"/>
      <c r="G62" s="15"/>
      <c r="H62" s="15"/>
      <c r="I62" s="15"/>
      <c r="K62" s="15"/>
      <c r="L62" s="15"/>
      <c r="M62" s="15"/>
      <c r="O62" s="15"/>
    </row>
    <row r="63" spans="1:16" x14ac:dyDescent="0.25">
      <c r="B63" s="15"/>
      <c r="D63" s="15"/>
      <c r="E63" s="15"/>
      <c r="F63" s="15"/>
      <c r="G63" s="15"/>
      <c r="H63" s="15"/>
      <c r="I63" s="15"/>
      <c r="K63" s="15"/>
      <c r="L63" s="15"/>
      <c r="M63" s="15"/>
      <c r="O63" s="15"/>
    </row>
    <row r="64" spans="1:16" x14ac:dyDescent="0.25">
      <c r="B64" s="15"/>
      <c r="D64" s="15"/>
      <c r="E64" s="15"/>
      <c r="F64" s="15"/>
      <c r="G64" s="15"/>
      <c r="H64" s="15"/>
      <c r="I64" s="15"/>
      <c r="K64" s="15"/>
      <c r="L64" s="15"/>
      <c r="M64" s="15"/>
      <c r="O64" s="15"/>
    </row>
    <row r="65" spans="2:15" x14ac:dyDescent="0.25">
      <c r="B65" s="15"/>
      <c r="D65" s="15"/>
      <c r="E65" s="15"/>
      <c r="F65" s="15"/>
      <c r="G65" s="15"/>
      <c r="H65" s="15"/>
      <c r="I65" s="15"/>
      <c r="K65" s="15"/>
      <c r="L65" s="15"/>
      <c r="M65" s="15"/>
      <c r="O65" s="15"/>
    </row>
    <row r="66" spans="2:15" x14ac:dyDescent="0.25">
      <c r="B66" s="15"/>
      <c r="D66" s="15"/>
      <c r="E66" s="15"/>
      <c r="F66" s="15"/>
      <c r="G66" s="15"/>
      <c r="H66" s="15"/>
      <c r="I66" s="15"/>
      <c r="K66" s="15"/>
      <c r="L66" s="15"/>
      <c r="M66" s="15"/>
      <c r="O66" s="15"/>
    </row>
    <row r="67" spans="2:15" x14ac:dyDescent="0.25">
      <c r="B67" s="15"/>
      <c r="D67" s="15"/>
      <c r="E67" s="15"/>
      <c r="F67" s="15"/>
      <c r="G67" s="15"/>
      <c r="H67" s="15"/>
      <c r="I67" s="15"/>
      <c r="K67" s="15"/>
      <c r="L67" s="15"/>
      <c r="M67" s="15"/>
      <c r="O67" s="15"/>
    </row>
    <row r="68" spans="2:15" x14ac:dyDescent="0.25">
      <c r="B68" s="15"/>
      <c r="D68" s="15"/>
      <c r="E68" s="15"/>
      <c r="F68" s="15"/>
      <c r="G68" s="15"/>
      <c r="H68" s="15"/>
      <c r="I68" s="15"/>
      <c r="K68" s="15"/>
      <c r="L68" s="15"/>
      <c r="M68" s="15"/>
      <c r="O68" s="15"/>
    </row>
    <row r="69" spans="2:15" x14ac:dyDescent="0.25">
      <c r="B69" s="15"/>
      <c r="D69" s="15"/>
      <c r="E69" s="15"/>
      <c r="F69" s="15"/>
      <c r="G69" s="15"/>
      <c r="H69" s="15"/>
      <c r="I69" s="15"/>
      <c r="K69" s="15"/>
      <c r="L69" s="15"/>
      <c r="M69" s="15"/>
      <c r="O69" s="15"/>
    </row>
    <row r="70" spans="2:15" x14ac:dyDescent="0.25">
      <c r="B70" s="15"/>
      <c r="D70" s="15"/>
      <c r="E70" s="15"/>
      <c r="F70" s="15"/>
      <c r="G70" s="15"/>
      <c r="H70" s="15"/>
      <c r="I70" s="15"/>
      <c r="K70" s="15"/>
      <c r="L70" s="15"/>
      <c r="M70" s="15"/>
      <c r="O70" s="15"/>
    </row>
    <row r="71" spans="2:15" x14ac:dyDescent="0.25">
      <c r="B71" s="15"/>
      <c r="D71" s="15"/>
      <c r="E71" s="15"/>
      <c r="F71" s="15"/>
      <c r="G71" s="15"/>
      <c r="H71" s="15"/>
      <c r="I71" s="15"/>
      <c r="K71" s="15"/>
      <c r="L71" s="15"/>
      <c r="M71" s="15"/>
      <c r="O71" s="15"/>
    </row>
    <row r="72" spans="2:15" x14ac:dyDescent="0.25">
      <c r="B72" s="15"/>
      <c r="D72" s="15"/>
      <c r="E72" s="15"/>
      <c r="F72" s="15"/>
      <c r="G72" s="15"/>
      <c r="H72" s="15"/>
      <c r="I72" s="15"/>
      <c r="K72" s="15"/>
      <c r="L72" s="15"/>
      <c r="M72" s="15"/>
      <c r="O72" s="15"/>
    </row>
    <row r="73" spans="2:15" x14ac:dyDescent="0.25">
      <c r="B73" s="15"/>
      <c r="D73" s="15"/>
      <c r="E73" s="15"/>
      <c r="F73" s="15"/>
      <c r="G73" s="15"/>
      <c r="H73" s="15"/>
      <c r="I73" s="15"/>
      <c r="K73" s="15"/>
      <c r="L73" s="15"/>
      <c r="M73" s="15"/>
      <c r="O73" s="15"/>
    </row>
    <row r="74" spans="2:15" x14ac:dyDescent="0.25">
      <c r="B74" s="15"/>
      <c r="D74" s="15"/>
      <c r="E74" s="15"/>
      <c r="F74" s="15"/>
      <c r="G74" s="15"/>
      <c r="H74" s="15"/>
      <c r="I74" s="15"/>
      <c r="K74" s="15"/>
      <c r="L74" s="15"/>
      <c r="M74" s="15"/>
      <c r="O74" s="15"/>
    </row>
    <row r="75" spans="2:15" x14ac:dyDescent="0.25">
      <c r="B75" s="15"/>
      <c r="D75" s="15"/>
      <c r="E75" s="15"/>
      <c r="F75" s="15"/>
      <c r="G75" s="15"/>
      <c r="H75" s="15"/>
      <c r="I75" s="15"/>
      <c r="K75" s="15"/>
      <c r="L75" s="15"/>
      <c r="M75" s="15"/>
      <c r="O75" s="15"/>
    </row>
    <row r="76" spans="2:15" x14ac:dyDescent="0.25">
      <c r="B76" s="15"/>
      <c r="D76" s="15"/>
      <c r="E76" s="15"/>
      <c r="F76" s="15"/>
      <c r="G76" s="15"/>
      <c r="H76" s="15"/>
      <c r="I76" s="15"/>
      <c r="K76" s="15"/>
      <c r="L76" s="15"/>
      <c r="M76" s="15"/>
      <c r="O76" s="15"/>
    </row>
    <row r="77" spans="2:15" x14ac:dyDescent="0.25">
      <c r="B77" s="15"/>
      <c r="D77" s="15"/>
      <c r="E77" s="15"/>
      <c r="F77" s="15"/>
      <c r="G77" s="15"/>
      <c r="H77" s="15"/>
      <c r="I77" s="15"/>
      <c r="K77" s="15"/>
      <c r="L77" s="15"/>
      <c r="M77" s="15"/>
      <c r="O77" s="15"/>
    </row>
    <row r="78" spans="2:15" x14ac:dyDescent="0.25">
      <c r="B78" s="15"/>
      <c r="D78" s="15"/>
      <c r="E78" s="15"/>
      <c r="F78" s="15"/>
      <c r="G78" s="15"/>
      <c r="H78" s="15"/>
      <c r="I78" s="15"/>
      <c r="K78" s="15"/>
      <c r="L78" s="15"/>
      <c r="M78" s="15"/>
      <c r="O78" s="15"/>
    </row>
    <row r="79" spans="2:15" x14ac:dyDescent="0.25">
      <c r="B79" s="15"/>
      <c r="D79" s="15"/>
      <c r="E79" s="15"/>
      <c r="F79" s="15"/>
      <c r="G79" s="15"/>
      <c r="H79" s="15"/>
      <c r="I79" s="15"/>
      <c r="K79" s="15"/>
      <c r="L79" s="15"/>
      <c r="M79" s="15"/>
      <c r="O79" s="15"/>
    </row>
    <row r="80" spans="2:15" x14ac:dyDescent="0.25">
      <c r="B80" s="15"/>
      <c r="D80" s="15"/>
      <c r="E80" s="15"/>
      <c r="F80" s="15"/>
      <c r="G80" s="15"/>
      <c r="H80" s="15"/>
      <c r="I80" s="15"/>
      <c r="K80" s="15"/>
      <c r="L80" s="15"/>
      <c r="M80" s="15"/>
      <c r="O80" s="15"/>
    </row>
    <row r="81" spans="2:15" x14ac:dyDescent="0.25">
      <c r="B81" s="15"/>
      <c r="D81" s="15"/>
      <c r="E81" s="15"/>
      <c r="F81" s="15"/>
      <c r="G81" s="15"/>
      <c r="H81" s="15"/>
      <c r="I81" s="15"/>
      <c r="K81" s="15"/>
      <c r="L81" s="15"/>
      <c r="M81" s="15"/>
      <c r="O81" s="15"/>
    </row>
    <row r="82" spans="2:15" x14ac:dyDescent="0.25">
      <c r="B82" s="15"/>
      <c r="D82" s="15"/>
      <c r="E82" s="15"/>
      <c r="F82" s="15"/>
      <c r="G82" s="15"/>
      <c r="H82" s="15"/>
      <c r="I82" s="15"/>
      <c r="K82" s="15"/>
      <c r="L82" s="15"/>
      <c r="M82" s="15"/>
      <c r="O82" s="15"/>
    </row>
    <row r="83" spans="2:15" x14ac:dyDescent="0.25">
      <c r="B83" s="15"/>
      <c r="D83" s="15"/>
      <c r="E83" s="15"/>
      <c r="F83" s="15"/>
      <c r="G83" s="15"/>
      <c r="H83" s="15"/>
      <c r="I83" s="15"/>
      <c r="K83" s="15"/>
      <c r="L83" s="15"/>
      <c r="M83" s="15"/>
      <c r="O83" s="15"/>
    </row>
    <row r="84" spans="2:15" x14ac:dyDescent="0.25">
      <c r="B84" s="15"/>
      <c r="D84" s="15"/>
      <c r="E84" s="15"/>
      <c r="F84" s="15"/>
      <c r="G84" s="15"/>
      <c r="H84" s="15"/>
      <c r="I84" s="15"/>
      <c r="K84" s="15"/>
      <c r="L84" s="15"/>
      <c r="M84" s="15"/>
      <c r="O84" s="15"/>
    </row>
    <row r="85" spans="2:15" x14ac:dyDescent="0.25">
      <c r="B85" s="15"/>
      <c r="D85" s="15"/>
      <c r="E85" s="15"/>
      <c r="F85" s="15"/>
      <c r="G85" s="15"/>
      <c r="H85" s="15"/>
      <c r="I85" s="15"/>
      <c r="K85" s="15"/>
      <c r="L85" s="15"/>
      <c r="M85" s="15"/>
      <c r="O85" s="15"/>
    </row>
    <row r="86" spans="2:15" x14ac:dyDescent="0.25">
      <c r="B86" s="15"/>
      <c r="D86" s="15"/>
      <c r="E86" s="15"/>
      <c r="F86" s="15"/>
      <c r="G86" s="15"/>
      <c r="H86" s="15"/>
      <c r="I86" s="15"/>
      <c r="K86" s="15"/>
      <c r="L86" s="15"/>
      <c r="M86" s="15"/>
      <c r="O86" s="15"/>
    </row>
    <row r="87" spans="2:15" x14ac:dyDescent="0.25">
      <c r="B87" s="15"/>
      <c r="D87" s="15"/>
      <c r="E87" s="15"/>
      <c r="F87" s="15"/>
      <c r="G87" s="15"/>
      <c r="H87" s="15"/>
      <c r="I87" s="15"/>
      <c r="K87" s="15"/>
      <c r="L87" s="15"/>
      <c r="M87" s="15"/>
      <c r="O87" s="15"/>
    </row>
    <row r="88" spans="2:15" x14ac:dyDescent="0.25">
      <c r="B88" s="15"/>
      <c r="D88" s="15"/>
      <c r="E88" s="15"/>
      <c r="F88" s="15"/>
      <c r="G88" s="15"/>
      <c r="H88" s="15"/>
      <c r="I88" s="15"/>
      <c r="K88" s="15"/>
      <c r="L88" s="15"/>
      <c r="M88" s="15"/>
      <c r="O88" s="15"/>
    </row>
    <row r="89" spans="2:15" x14ac:dyDescent="0.25">
      <c r="B89" s="15"/>
      <c r="D89" s="15"/>
      <c r="E89" s="15"/>
      <c r="F89" s="15"/>
      <c r="G89" s="15"/>
      <c r="H89" s="15"/>
      <c r="I89" s="15"/>
      <c r="K89" s="15"/>
      <c r="L89" s="15"/>
      <c r="M89" s="15"/>
      <c r="O89" s="15"/>
    </row>
    <row r="90" spans="2:15" x14ac:dyDescent="0.25">
      <c r="B90" s="15"/>
      <c r="D90" s="15"/>
      <c r="E90" s="15"/>
      <c r="F90" s="15"/>
      <c r="G90" s="15"/>
      <c r="H90" s="15"/>
      <c r="I90" s="15"/>
      <c r="K90" s="15"/>
      <c r="L90" s="15"/>
      <c r="M90" s="15"/>
      <c r="O90" s="15"/>
    </row>
    <row r="91" spans="2:15" x14ac:dyDescent="0.25">
      <c r="B91" s="15"/>
      <c r="D91" s="15"/>
      <c r="E91" s="15"/>
      <c r="F91" s="15"/>
      <c r="G91" s="15"/>
      <c r="H91" s="15"/>
      <c r="I91" s="15"/>
      <c r="K91" s="15"/>
      <c r="L91" s="15"/>
      <c r="M91" s="15"/>
      <c r="O91" s="15"/>
    </row>
    <row r="92" spans="2:15" x14ac:dyDescent="0.25">
      <c r="B92" s="15"/>
      <c r="D92" s="15"/>
      <c r="E92" s="15"/>
      <c r="F92" s="15"/>
      <c r="G92" s="15"/>
      <c r="H92" s="15"/>
      <c r="I92" s="15"/>
      <c r="K92" s="15"/>
      <c r="L92" s="15"/>
      <c r="M92" s="15"/>
      <c r="O92" s="15"/>
    </row>
    <row r="93" spans="2:15" x14ac:dyDescent="0.25">
      <c r="B93" s="15"/>
      <c r="D93" s="15"/>
      <c r="E93" s="15"/>
      <c r="F93" s="15"/>
      <c r="G93" s="15"/>
      <c r="H93" s="15"/>
      <c r="I93" s="15"/>
      <c r="K93" s="15"/>
      <c r="L93" s="15"/>
      <c r="M93" s="15"/>
      <c r="O93" s="15"/>
    </row>
    <row r="94" spans="2:15" x14ac:dyDescent="0.25">
      <c r="B94" s="15"/>
      <c r="D94" s="15"/>
      <c r="E94" s="15"/>
      <c r="F94" s="15"/>
      <c r="G94" s="15"/>
      <c r="H94" s="15"/>
      <c r="I94" s="15"/>
      <c r="K94" s="15"/>
      <c r="L94" s="15"/>
      <c r="M94" s="15"/>
      <c r="O94" s="15"/>
    </row>
    <row r="95" spans="2:15" x14ac:dyDescent="0.25">
      <c r="B95" s="15"/>
      <c r="D95" s="15"/>
      <c r="E95" s="15"/>
      <c r="F95" s="15"/>
      <c r="G95" s="15"/>
      <c r="H95" s="15"/>
      <c r="I95" s="15"/>
      <c r="K95" s="15"/>
      <c r="L95" s="15"/>
      <c r="M95" s="15"/>
      <c r="O95" s="15"/>
    </row>
    <row r="96" spans="2:15" x14ac:dyDescent="0.25">
      <c r="B96" s="15"/>
      <c r="D96" s="15"/>
      <c r="E96" s="15"/>
      <c r="F96" s="15"/>
      <c r="G96" s="15"/>
      <c r="H96" s="15"/>
      <c r="I96" s="15"/>
      <c r="K96" s="15"/>
      <c r="L96" s="15"/>
      <c r="M96" s="15"/>
      <c r="O96" s="15"/>
    </row>
    <row r="97" spans="2:15" x14ac:dyDescent="0.25">
      <c r="B97" s="15"/>
      <c r="D97" s="15"/>
      <c r="E97" s="15"/>
      <c r="F97" s="15"/>
      <c r="G97" s="15"/>
      <c r="H97" s="15"/>
      <c r="I97" s="15"/>
      <c r="K97" s="15"/>
      <c r="L97" s="15"/>
      <c r="M97" s="15"/>
      <c r="O97" s="15"/>
    </row>
    <row r="98" spans="2:15" x14ac:dyDescent="0.25">
      <c r="B98" s="15"/>
      <c r="D98" s="15"/>
      <c r="E98" s="15"/>
      <c r="F98" s="15"/>
      <c r="G98" s="15"/>
      <c r="H98" s="15"/>
      <c r="I98" s="15"/>
      <c r="K98" s="15"/>
      <c r="L98" s="15"/>
      <c r="M98" s="15"/>
      <c r="O98" s="15"/>
    </row>
    <row r="99" spans="2:15" x14ac:dyDescent="0.25">
      <c r="B99" s="15"/>
      <c r="D99" s="15"/>
      <c r="E99" s="15"/>
      <c r="F99" s="15"/>
      <c r="G99" s="15"/>
      <c r="H99" s="15"/>
      <c r="I99" s="15"/>
      <c r="K99" s="15"/>
      <c r="L99" s="15"/>
      <c r="M99" s="15"/>
      <c r="O99" s="15"/>
    </row>
    <row r="100" spans="2:15" x14ac:dyDescent="0.25">
      <c r="B100" s="15"/>
      <c r="D100" s="15"/>
      <c r="E100" s="15"/>
      <c r="F100" s="15"/>
      <c r="G100" s="15"/>
      <c r="H100" s="15"/>
      <c r="I100" s="15"/>
      <c r="K100" s="15"/>
      <c r="L100" s="15"/>
      <c r="M100" s="15"/>
      <c r="O100" s="15"/>
    </row>
    <row r="101" spans="2:15" x14ac:dyDescent="0.25">
      <c r="B101" s="15"/>
      <c r="D101" s="15"/>
      <c r="E101" s="15"/>
      <c r="F101" s="15"/>
      <c r="G101" s="15"/>
      <c r="H101" s="15"/>
      <c r="I101" s="15"/>
      <c r="K101" s="15"/>
      <c r="L101" s="15"/>
      <c r="M101" s="15"/>
      <c r="O101" s="15"/>
    </row>
    <row r="102" spans="2:15" x14ac:dyDescent="0.25">
      <c r="B102" s="15"/>
      <c r="D102" s="15"/>
      <c r="E102" s="15"/>
      <c r="F102" s="15"/>
      <c r="G102" s="15"/>
      <c r="H102" s="15"/>
      <c r="I102" s="15"/>
      <c r="K102" s="15"/>
      <c r="L102" s="15"/>
      <c r="M102" s="15"/>
      <c r="O102" s="15"/>
    </row>
    <row r="103" spans="2:15" x14ac:dyDescent="0.25">
      <c r="B103" s="15"/>
      <c r="D103" s="15"/>
      <c r="E103" s="15"/>
      <c r="F103" s="15"/>
      <c r="G103" s="15"/>
      <c r="H103" s="15"/>
      <c r="I103" s="15"/>
      <c r="K103" s="15"/>
      <c r="L103" s="15"/>
      <c r="M103" s="15"/>
      <c r="O103" s="15"/>
    </row>
    <row r="104" spans="2:15" x14ac:dyDescent="0.25">
      <c r="B104" s="15"/>
      <c r="D104" s="15"/>
      <c r="E104" s="15"/>
      <c r="F104" s="15"/>
      <c r="G104" s="15"/>
      <c r="H104" s="15"/>
      <c r="I104" s="15"/>
      <c r="K104" s="15"/>
      <c r="L104" s="15"/>
      <c r="M104" s="15"/>
      <c r="O104" s="15"/>
    </row>
    <row r="105" spans="2:15" x14ac:dyDescent="0.25">
      <c r="B105" s="15"/>
      <c r="D105" s="15"/>
      <c r="E105" s="15"/>
      <c r="F105" s="15"/>
      <c r="G105" s="15"/>
      <c r="H105" s="15"/>
      <c r="I105" s="15"/>
      <c r="K105" s="15"/>
      <c r="L105" s="15"/>
      <c r="M105" s="15"/>
      <c r="O105" s="15"/>
    </row>
    <row r="106" spans="2:15" x14ac:dyDescent="0.25">
      <c r="B106" s="15"/>
      <c r="D106" s="15"/>
      <c r="E106" s="15"/>
      <c r="F106" s="15"/>
      <c r="G106" s="15"/>
      <c r="H106" s="15"/>
      <c r="I106" s="15"/>
      <c r="K106" s="15"/>
      <c r="L106" s="15"/>
      <c r="M106" s="15"/>
      <c r="O106" s="15"/>
    </row>
    <row r="107" spans="2:15" x14ac:dyDescent="0.25">
      <c r="B107" s="15"/>
      <c r="D107" s="15"/>
      <c r="E107" s="15"/>
      <c r="F107" s="15"/>
      <c r="G107" s="15"/>
      <c r="H107" s="15"/>
      <c r="I107" s="15"/>
      <c r="K107" s="15"/>
      <c r="L107" s="15"/>
      <c r="M107" s="15"/>
      <c r="O107" s="15"/>
    </row>
    <row r="108" spans="2:15" x14ac:dyDescent="0.25">
      <c r="B108" s="15"/>
      <c r="D108" s="15"/>
      <c r="E108" s="15"/>
      <c r="F108" s="15"/>
      <c r="G108" s="15"/>
      <c r="H108" s="15"/>
      <c r="I108" s="15"/>
      <c r="K108" s="15"/>
      <c r="L108" s="15"/>
      <c r="M108" s="15"/>
      <c r="O108" s="15"/>
    </row>
    <row r="109" spans="2:15" x14ac:dyDescent="0.25">
      <c r="B109" s="15"/>
      <c r="D109" s="15"/>
      <c r="E109" s="15"/>
      <c r="F109" s="15"/>
      <c r="G109" s="15"/>
      <c r="H109" s="15"/>
      <c r="I109" s="15"/>
      <c r="K109" s="15"/>
      <c r="L109" s="15"/>
      <c r="M109" s="15"/>
      <c r="O109" s="15"/>
    </row>
    <row r="110" spans="2:15" x14ac:dyDescent="0.25">
      <c r="B110" s="15"/>
      <c r="D110" s="15"/>
      <c r="E110" s="15"/>
      <c r="F110" s="15"/>
      <c r="G110" s="15"/>
      <c r="H110" s="15"/>
      <c r="I110" s="15"/>
      <c r="K110" s="15"/>
      <c r="L110" s="15"/>
      <c r="M110" s="15"/>
      <c r="O110" s="15"/>
    </row>
    <row r="111" spans="2:15" x14ac:dyDescent="0.25">
      <c r="B111" s="15"/>
      <c r="D111" s="15"/>
      <c r="E111" s="15"/>
      <c r="F111" s="15"/>
      <c r="G111" s="15"/>
      <c r="H111" s="15"/>
      <c r="I111" s="15"/>
      <c r="K111" s="15"/>
      <c r="L111" s="15"/>
      <c r="M111" s="15"/>
      <c r="O111" s="15"/>
    </row>
    <row r="112" spans="2:15" x14ac:dyDescent="0.25">
      <c r="B112" s="15"/>
      <c r="D112" s="15"/>
      <c r="E112" s="15"/>
      <c r="F112" s="15"/>
      <c r="G112" s="15"/>
      <c r="H112" s="15"/>
      <c r="I112" s="15"/>
      <c r="K112" s="15"/>
      <c r="L112" s="15"/>
      <c r="M112" s="15"/>
      <c r="O112" s="15"/>
    </row>
    <row r="113" spans="2:15" x14ac:dyDescent="0.25">
      <c r="B113" s="15"/>
      <c r="D113" s="15"/>
      <c r="E113" s="15"/>
      <c r="F113" s="15"/>
      <c r="G113" s="15"/>
      <c r="H113" s="15"/>
      <c r="I113" s="15"/>
      <c r="K113" s="15"/>
      <c r="L113" s="15"/>
      <c r="M113" s="15"/>
      <c r="O113" s="15"/>
    </row>
    <row r="114" spans="2:15" x14ac:dyDescent="0.25">
      <c r="B114" s="15"/>
      <c r="D114" s="15"/>
      <c r="E114" s="15"/>
      <c r="F114" s="15"/>
      <c r="G114" s="15"/>
      <c r="H114" s="15"/>
      <c r="I114" s="15"/>
      <c r="K114" s="15"/>
      <c r="L114" s="15"/>
      <c r="M114" s="15"/>
      <c r="O114" s="15"/>
    </row>
    <row r="115" spans="2:15" x14ac:dyDescent="0.25">
      <c r="B115" s="15"/>
      <c r="D115" s="15"/>
      <c r="E115" s="15"/>
      <c r="F115" s="15"/>
      <c r="G115" s="15"/>
      <c r="H115" s="15"/>
      <c r="I115" s="15"/>
      <c r="K115" s="15"/>
      <c r="L115" s="15"/>
      <c r="M115" s="15"/>
      <c r="O115" s="15"/>
    </row>
    <row r="116" spans="2:15" x14ac:dyDescent="0.25">
      <c r="B116" s="15"/>
      <c r="D116" s="15"/>
      <c r="E116" s="15"/>
      <c r="F116" s="15"/>
      <c r="G116" s="15"/>
      <c r="H116" s="15"/>
      <c r="I116" s="15"/>
      <c r="K116" s="15"/>
      <c r="L116" s="15"/>
      <c r="M116" s="15"/>
      <c r="O116" s="15"/>
    </row>
    <row r="117" spans="2:15" x14ac:dyDescent="0.25">
      <c r="B117" s="15"/>
      <c r="D117" s="15"/>
      <c r="E117" s="15"/>
      <c r="F117" s="15"/>
      <c r="G117" s="15"/>
      <c r="H117" s="15"/>
      <c r="I117" s="15"/>
      <c r="K117" s="15"/>
      <c r="L117" s="15"/>
      <c r="M117" s="15"/>
      <c r="O117" s="15"/>
    </row>
    <row r="118" spans="2:15" x14ac:dyDescent="0.25">
      <c r="B118" s="15"/>
      <c r="D118" s="15"/>
      <c r="E118" s="15"/>
      <c r="F118" s="15"/>
      <c r="G118" s="15"/>
      <c r="H118" s="15"/>
      <c r="I118" s="15"/>
      <c r="K118" s="15"/>
      <c r="L118" s="15"/>
      <c r="M118" s="15"/>
      <c r="O118" s="15"/>
    </row>
    <row r="119" spans="2:15" x14ac:dyDescent="0.25">
      <c r="B119" s="15"/>
      <c r="D119" s="15"/>
      <c r="E119" s="15"/>
      <c r="F119" s="15"/>
      <c r="G119" s="15"/>
      <c r="H119" s="15"/>
      <c r="I119" s="15"/>
      <c r="K119" s="15"/>
      <c r="L119" s="15"/>
      <c r="M119" s="15"/>
      <c r="O119" s="15"/>
    </row>
    <row r="120" spans="2:15" x14ac:dyDescent="0.25">
      <c r="B120" s="15"/>
      <c r="D120" s="15"/>
      <c r="E120" s="15"/>
      <c r="F120" s="15"/>
      <c r="G120" s="15"/>
      <c r="H120" s="15"/>
      <c r="I120" s="15"/>
      <c r="K120" s="15"/>
      <c r="L120" s="15"/>
      <c r="M120" s="15"/>
      <c r="O120" s="15"/>
    </row>
    <row r="121" spans="2:15" x14ac:dyDescent="0.25">
      <c r="B121" s="15"/>
      <c r="D121" s="15"/>
      <c r="E121" s="15"/>
      <c r="F121" s="15"/>
      <c r="G121" s="15"/>
      <c r="H121" s="15"/>
      <c r="I121" s="15"/>
      <c r="K121" s="15"/>
      <c r="L121" s="15"/>
      <c r="M121" s="15"/>
      <c r="O121" s="15"/>
    </row>
    <row r="122" spans="2:15" x14ac:dyDescent="0.25">
      <c r="B122" s="15"/>
      <c r="D122" s="15"/>
      <c r="E122" s="15"/>
      <c r="F122" s="15"/>
      <c r="G122" s="15"/>
      <c r="H122" s="15"/>
      <c r="I122" s="15"/>
      <c r="K122" s="15"/>
      <c r="L122" s="15"/>
      <c r="M122" s="15"/>
      <c r="O122" s="15"/>
    </row>
    <row r="123" spans="2:15" x14ac:dyDescent="0.25">
      <c r="B123" s="15"/>
      <c r="D123" s="15"/>
      <c r="E123" s="15"/>
      <c r="F123" s="15"/>
      <c r="G123" s="15"/>
      <c r="H123" s="15"/>
      <c r="I123" s="15"/>
      <c r="K123" s="15"/>
      <c r="L123" s="15"/>
      <c r="M123" s="15"/>
      <c r="O123" s="15"/>
    </row>
    <row r="124" spans="2:15" x14ac:dyDescent="0.25">
      <c r="B124" s="15"/>
      <c r="D124" s="15"/>
      <c r="E124" s="15"/>
      <c r="F124" s="15"/>
      <c r="G124" s="15"/>
      <c r="H124" s="15"/>
      <c r="I124" s="15"/>
      <c r="K124" s="15"/>
      <c r="L124" s="15"/>
      <c r="M124" s="15"/>
      <c r="O124" s="15"/>
    </row>
    <row r="125" spans="2:15" x14ac:dyDescent="0.25">
      <c r="B125" s="15"/>
      <c r="D125" s="15"/>
      <c r="E125" s="15"/>
      <c r="F125" s="15"/>
      <c r="G125" s="15"/>
      <c r="H125" s="15"/>
      <c r="I125" s="15"/>
      <c r="K125" s="15"/>
      <c r="L125" s="15"/>
      <c r="M125" s="15"/>
      <c r="O125" s="15"/>
    </row>
    <row r="126" spans="2:15" x14ac:dyDescent="0.25">
      <c r="B126" s="15"/>
      <c r="D126" s="15"/>
      <c r="E126" s="15"/>
      <c r="F126" s="15"/>
      <c r="G126" s="15"/>
      <c r="H126" s="15"/>
      <c r="I126" s="15"/>
      <c r="K126" s="15"/>
      <c r="L126" s="15"/>
      <c r="M126" s="15"/>
      <c r="O126" s="15"/>
    </row>
    <row r="127" spans="2:15" x14ac:dyDescent="0.25">
      <c r="B127" s="15"/>
      <c r="D127" s="15"/>
      <c r="E127" s="15"/>
      <c r="F127" s="15"/>
      <c r="G127" s="15"/>
      <c r="H127" s="15"/>
      <c r="I127" s="15"/>
      <c r="K127" s="15"/>
      <c r="L127" s="15"/>
      <c r="M127" s="15"/>
      <c r="O127" s="15"/>
    </row>
    <row r="128" spans="2:15" x14ac:dyDescent="0.25">
      <c r="B128" s="15"/>
      <c r="D128" s="15"/>
      <c r="E128" s="15"/>
      <c r="F128" s="15"/>
      <c r="G128" s="15"/>
      <c r="H128" s="15"/>
      <c r="I128" s="15"/>
      <c r="K128" s="15"/>
      <c r="L128" s="15"/>
      <c r="M128" s="15"/>
      <c r="O128" s="15"/>
    </row>
    <row r="129" spans="2:15" x14ac:dyDescent="0.25">
      <c r="B129" s="15"/>
      <c r="D129" s="15"/>
      <c r="E129" s="15"/>
      <c r="F129" s="15"/>
      <c r="G129" s="15"/>
      <c r="H129" s="15"/>
      <c r="I129" s="15"/>
      <c r="K129" s="15"/>
      <c r="L129" s="15"/>
      <c r="M129" s="15"/>
      <c r="O129" s="15"/>
    </row>
    <row r="130" spans="2:15" x14ac:dyDescent="0.25">
      <c r="B130" s="15"/>
      <c r="D130" s="15"/>
      <c r="E130" s="15"/>
      <c r="F130" s="15"/>
      <c r="G130" s="15"/>
      <c r="H130" s="15"/>
      <c r="I130" s="15"/>
      <c r="K130" s="15"/>
      <c r="L130" s="15"/>
      <c r="M130" s="15"/>
      <c r="O130" s="15"/>
    </row>
    <row r="131" spans="2:15" x14ac:dyDescent="0.25">
      <c r="B131" s="15"/>
      <c r="D131" s="15"/>
      <c r="E131" s="15"/>
      <c r="F131" s="15"/>
      <c r="G131" s="15"/>
      <c r="H131" s="15"/>
      <c r="I131" s="15"/>
      <c r="K131" s="15"/>
      <c r="L131" s="15"/>
      <c r="M131" s="15"/>
      <c r="O131" s="15"/>
    </row>
    <row r="132" spans="2:15" x14ac:dyDescent="0.25">
      <c r="B132" s="15"/>
      <c r="D132" s="15"/>
      <c r="E132" s="15"/>
      <c r="F132" s="15"/>
      <c r="G132" s="15"/>
      <c r="H132" s="15"/>
      <c r="I132" s="15"/>
      <c r="K132" s="15"/>
      <c r="L132" s="15"/>
      <c r="M132" s="15"/>
      <c r="O132" s="15"/>
    </row>
    <row r="133" spans="2:15" x14ac:dyDescent="0.25">
      <c r="B133" s="15"/>
      <c r="D133" s="15"/>
      <c r="E133" s="15"/>
      <c r="F133" s="15"/>
      <c r="G133" s="15"/>
      <c r="H133" s="15"/>
      <c r="I133" s="15"/>
      <c r="K133" s="15"/>
      <c r="L133" s="15"/>
      <c r="M133" s="15"/>
      <c r="O133" s="15"/>
    </row>
    <row r="134" spans="2:15" x14ac:dyDescent="0.25">
      <c r="B134" s="15"/>
      <c r="D134" s="15"/>
      <c r="E134" s="15"/>
      <c r="F134" s="15"/>
      <c r="G134" s="15"/>
      <c r="H134" s="15"/>
      <c r="I134" s="15"/>
      <c r="K134" s="15"/>
      <c r="L134" s="15"/>
      <c r="M134" s="15"/>
      <c r="O134" s="15"/>
    </row>
    <row r="135" spans="2:15" x14ac:dyDescent="0.25">
      <c r="B135" s="15"/>
      <c r="D135" s="15"/>
      <c r="E135" s="15"/>
      <c r="F135" s="15"/>
      <c r="G135" s="15"/>
      <c r="H135" s="15"/>
      <c r="I135" s="15"/>
      <c r="K135" s="15"/>
      <c r="L135" s="15"/>
      <c r="M135" s="15"/>
      <c r="O135" s="15"/>
    </row>
    <row r="136" spans="2:15" x14ac:dyDescent="0.25">
      <c r="B136" s="15"/>
      <c r="D136" s="15"/>
      <c r="E136" s="15"/>
      <c r="F136" s="15"/>
      <c r="G136" s="15"/>
      <c r="H136" s="15"/>
      <c r="I136" s="15"/>
      <c r="K136" s="15"/>
      <c r="L136" s="15"/>
      <c r="M136" s="15"/>
      <c r="O136" s="15"/>
    </row>
    <row r="137" spans="2:15" x14ac:dyDescent="0.25">
      <c r="B137" s="15"/>
      <c r="D137" s="15"/>
      <c r="E137" s="15"/>
      <c r="F137" s="15"/>
      <c r="G137" s="15"/>
      <c r="H137" s="15"/>
      <c r="I137" s="15"/>
      <c r="K137" s="15"/>
      <c r="L137" s="15"/>
      <c r="M137" s="15"/>
      <c r="O137" s="15"/>
    </row>
    <row r="138" spans="2:15" x14ac:dyDescent="0.25">
      <c r="B138" s="15"/>
      <c r="D138" s="15"/>
      <c r="E138" s="15"/>
      <c r="F138" s="15"/>
      <c r="G138" s="15"/>
      <c r="H138" s="15"/>
      <c r="I138" s="15"/>
      <c r="K138" s="15"/>
      <c r="L138" s="15"/>
      <c r="M138" s="15"/>
      <c r="O138" s="15"/>
    </row>
    <row r="139" spans="2:15" x14ac:dyDescent="0.25">
      <c r="B139" s="15"/>
      <c r="D139" s="15"/>
      <c r="E139" s="15"/>
      <c r="F139" s="15"/>
      <c r="G139" s="15"/>
      <c r="H139" s="15"/>
      <c r="I139" s="15"/>
      <c r="K139" s="15"/>
      <c r="L139" s="15"/>
      <c r="M139" s="15"/>
      <c r="O139" s="15"/>
    </row>
    <row r="140" spans="2:15" x14ac:dyDescent="0.25">
      <c r="B140" s="15"/>
      <c r="D140" s="15"/>
      <c r="E140" s="15"/>
      <c r="F140" s="15"/>
      <c r="G140" s="15"/>
      <c r="H140" s="15"/>
      <c r="I140" s="15"/>
      <c r="K140" s="15"/>
      <c r="L140" s="15"/>
      <c r="M140" s="15"/>
      <c r="O140" s="15"/>
    </row>
    <row r="141" spans="2:15" x14ac:dyDescent="0.25">
      <c r="B141" s="15"/>
      <c r="D141" s="15"/>
      <c r="E141" s="15"/>
      <c r="F141" s="15"/>
      <c r="G141" s="15"/>
      <c r="H141" s="15"/>
      <c r="I141" s="15"/>
      <c r="K141" s="15"/>
      <c r="L141" s="15"/>
      <c r="M141" s="15"/>
      <c r="O141" s="15"/>
    </row>
    <row r="142" spans="2:15" x14ac:dyDescent="0.25">
      <c r="B142" s="15"/>
      <c r="D142" s="15"/>
      <c r="E142" s="15"/>
      <c r="F142" s="15"/>
      <c r="G142" s="15"/>
      <c r="H142" s="15"/>
      <c r="I142" s="15"/>
      <c r="K142" s="15"/>
      <c r="L142" s="15"/>
      <c r="M142" s="15"/>
      <c r="O142" s="15"/>
    </row>
    <row r="143" spans="2:15" x14ac:dyDescent="0.25">
      <c r="B143" s="15"/>
      <c r="D143" s="15"/>
      <c r="E143" s="15"/>
      <c r="F143" s="15"/>
      <c r="G143" s="15"/>
      <c r="H143" s="15"/>
      <c r="I143" s="15"/>
      <c r="K143" s="15"/>
      <c r="L143" s="15"/>
      <c r="M143" s="15"/>
      <c r="O143" s="15"/>
    </row>
    <row r="144" spans="2:15" x14ac:dyDescent="0.25">
      <c r="B144" s="15"/>
      <c r="D144" s="15"/>
      <c r="E144" s="15"/>
      <c r="F144" s="15"/>
      <c r="G144" s="15"/>
      <c r="H144" s="15"/>
      <c r="I144" s="15"/>
      <c r="K144" s="15"/>
      <c r="L144" s="15"/>
      <c r="M144" s="15"/>
      <c r="O144" s="15"/>
    </row>
    <row r="145" spans="2:15" x14ac:dyDescent="0.25">
      <c r="B145" s="15"/>
      <c r="D145" s="15"/>
      <c r="E145" s="15"/>
      <c r="F145" s="15"/>
      <c r="G145" s="15"/>
      <c r="H145" s="15"/>
      <c r="I145" s="15"/>
      <c r="K145" s="15"/>
      <c r="L145" s="15"/>
      <c r="M145" s="15"/>
      <c r="O145" s="15"/>
    </row>
    <row r="146" spans="2:15" x14ac:dyDescent="0.25">
      <c r="B146" s="15"/>
      <c r="D146" s="15"/>
      <c r="E146" s="15"/>
      <c r="F146" s="15"/>
      <c r="G146" s="15"/>
      <c r="H146" s="15"/>
      <c r="I146" s="15"/>
      <c r="K146" s="15"/>
      <c r="L146" s="15"/>
      <c r="M146" s="15"/>
      <c r="O146" s="15"/>
    </row>
    <row r="147" spans="2:15" x14ac:dyDescent="0.25">
      <c r="B147" s="15"/>
      <c r="D147" s="15"/>
      <c r="E147" s="15"/>
      <c r="F147" s="15"/>
      <c r="G147" s="15"/>
      <c r="H147" s="15"/>
      <c r="I147" s="15"/>
      <c r="K147" s="15"/>
      <c r="L147" s="15"/>
      <c r="M147" s="15"/>
      <c r="O147" s="15"/>
    </row>
    <row r="148" spans="2:15" x14ac:dyDescent="0.25">
      <c r="B148" s="15"/>
      <c r="D148" s="15"/>
      <c r="E148" s="15"/>
      <c r="F148" s="15"/>
      <c r="G148" s="15"/>
      <c r="H148" s="15"/>
      <c r="I148" s="15"/>
      <c r="K148" s="15"/>
      <c r="L148" s="15"/>
      <c r="M148" s="15"/>
      <c r="O148" s="15"/>
    </row>
    <row r="149" spans="2:15" x14ac:dyDescent="0.25">
      <c r="B149" s="15"/>
      <c r="D149" s="15"/>
      <c r="E149" s="15"/>
      <c r="F149" s="15"/>
      <c r="G149" s="15"/>
      <c r="H149" s="15"/>
      <c r="I149" s="15"/>
      <c r="K149" s="15"/>
      <c r="L149" s="15"/>
      <c r="M149" s="15"/>
      <c r="O149" s="15"/>
    </row>
    <row r="150" spans="2:15" x14ac:dyDescent="0.25">
      <c r="B150" s="15"/>
      <c r="D150" s="15"/>
      <c r="E150" s="15"/>
      <c r="F150" s="15"/>
      <c r="G150" s="15"/>
      <c r="H150" s="15"/>
      <c r="I150" s="15"/>
      <c r="K150" s="15"/>
      <c r="L150" s="15"/>
      <c r="M150" s="15"/>
      <c r="O150" s="15"/>
    </row>
    <row r="151" spans="2:15" x14ac:dyDescent="0.25">
      <c r="B151" s="15"/>
      <c r="D151" s="15"/>
      <c r="E151" s="15"/>
      <c r="F151" s="15"/>
      <c r="G151" s="15"/>
      <c r="H151" s="15"/>
      <c r="I151" s="15"/>
      <c r="K151" s="15"/>
      <c r="L151" s="15"/>
      <c r="M151" s="15"/>
      <c r="O151" s="15"/>
    </row>
    <row r="152" spans="2:15" x14ac:dyDescent="0.25">
      <c r="B152" s="15"/>
      <c r="D152" s="15"/>
      <c r="E152" s="15"/>
      <c r="F152" s="15"/>
      <c r="G152" s="15"/>
      <c r="H152" s="15"/>
      <c r="I152" s="15"/>
      <c r="K152" s="15"/>
      <c r="L152" s="15"/>
      <c r="M152" s="15"/>
      <c r="O152" s="15"/>
    </row>
    <row r="153" spans="2:15" x14ac:dyDescent="0.25">
      <c r="B153" s="15"/>
      <c r="D153" s="15"/>
      <c r="E153" s="15"/>
      <c r="F153" s="15"/>
      <c r="G153" s="15"/>
      <c r="H153" s="15"/>
      <c r="I153" s="15"/>
      <c r="K153" s="15"/>
      <c r="L153" s="15"/>
      <c r="M153" s="15"/>
      <c r="O153" s="15"/>
    </row>
    <row r="154" spans="2:15" x14ac:dyDescent="0.25">
      <c r="B154" s="15"/>
      <c r="D154" s="15"/>
      <c r="E154" s="15"/>
      <c r="F154" s="15"/>
      <c r="G154" s="15"/>
      <c r="H154" s="15"/>
      <c r="I154" s="15"/>
      <c r="K154" s="15"/>
      <c r="L154" s="15"/>
      <c r="M154" s="15"/>
      <c r="O154" s="15"/>
    </row>
    <row r="155" spans="2:15" x14ac:dyDescent="0.25">
      <c r="B155" s="15"/>
      <c r="D155" s="15"/>
      <c r="E155" s="15"/>
      <c r="F155" s="15"/>
      <c r="G155" s="15"/>
      <c r="H155" s="15"/>
      <c r="I155" s="15"/>
      <c r="K155" s="15"/>
      <c r="L155" s="15"/>
      <c r="M155" s="15"/>
      <c r="O155" s="15"/>
    </row>
    <row r="156" spans="2:15" x14ac:dyDescent="0.25">
      <c r="B156" s="15"/>
      <c r="D156" s="15"/>
      <c r="E156" s="15"/>
      <c r="F156" s="15"/>
      <c r="G156" s="15"/>
      <c r="H156" s="15"/>
      <c r="I156" s="15"/>
      <c r="K156" s="15"/>
      <c r="L156" s="15"/>
      <c r="M156" s="15"/>
      <c r="O156" s="15"/>
    </row>
    <row r="157" spans="2:15" x14ac:dyDescent="0.25">
      <c r="B157" s="15"/>
      <c r="D157" s="15"/>
      <c r="E157" s="15"/>
      <c r="F157" s="15"/>
      <c r="G157" s="15"/>
      <c r="H157" s="15"/>
      <c r="I157" s="15"/>
      <c r="K157" s="15"/>
      <c r="L157" s="15"/>
      <c r="M157" s="15"/>
      <c r="O157" s="15"/>
    </row>
    <row r="158" spans="2:15" x14ac:dyDescent="0.25">
      <c r="B158" s="15"/>
      <c r="D158" s="15"/>
      <c r="E158" s="15"/>
      <c r="F158" s="15"/>
      <c r="G158" s="15"/>
      <c r="H158" s="15"/>
      <c r="I158" s="15"/>
      <c r="K158" s="15"/>
      <c r="L158" s="15"/>
      <c r="M158" s="15"/>
      <c r="O158" s="15"/>
    </row>
    <row r="159" spans="2:15" x14ac:dyDescent="0.25">
      <c r="B159" s="15"/>
      <c r="D159" s="15"/>
      <c r="E159" s="15"/>
      <c r="F159" s="15"/>
      <c r="G159" s="15"/>
      <c r="H159" s="15"/>
      <c r="I159" s="15"/>
      <c r="K159" s="15"/>
      <c r="L159" s="15"/>
      <c r="M159" s="15"/>
      <c r="O159" s="15"/>
    </row>
    <row r="160" spans="2:15" x14ac:dyDescent="0.25">
      <c r="B160" s="15"/>
      <c r="D160" s="15"/>
      <c r="E160" s="15"/>
      <c r="F160" s="15"/>
      <c r="G160" s="15"/>
      <c r="H160" s="15"/>
      <c r="I160" s="15"/>
      <c r="K160" s="15"/>
      <c r="L160" s="15"/>
      <c r="M160" s="15"/>
      <c r="O160" s="15"/>
    </row>
    <row r="161" spans="2:15" x14ac:dyDescent="0.25">
      <c r="B161" s="15"/>
      <c r="D161" s="15"/>
      <c r="E161" s="15"/>
      <c r="F161" s="15"/>
      <c r="G161" s="15"/>
      <c r="H161" s="15"/>
      <c r="I161" s="15"/>
      <c r="K161" s="15"/>
      <c r="L161" s="15"/>
      <c r="M161" s="15"/>
      <c r="O161" s="15"/>
    </row>
    <row r="162" spans="2:15" x14ac:dyDescent="0.25">
      <c r="B162" s="15"/>
      <c r="D162" s="15"/>
      <c r="E162" s="15"/>
      <c r="F162" s="15"/>
      <c r="G162" s="15"/>
      <c r="H162" s="15"/>
      <c r="I162" s="15"/>
      <c r="K162" s="15"/>
      <c r="L162" s="15"/>
      <c r="M162" s="15"/>
      <c r="O162" s="15"/>
    </row>
    <row r="163" spans="2:15" x14ac:dyDescent="0.25">
      <c r="B163" s="15"/>
      <c r="D163" s="15"/>
      <c r="E163" s="15"/>
      <c r="F163" s="15"/>
      <c r="G163" s="15"/>
      <c r="H163" s="15"/>
      <c r="I163" s="15"/>
      <c r="K163" s="15"/>
      <c r="L163" s="15"/>
      <c r="M163" s="15"/>
      <c r="O163" s="15"/>
    </row>
    <row r="164" spans="2:15" x14ac:dyDescent="0.25">
      <c r="B164" s="15"/>
      <c r="D164" s="15"/>
      <c r="E164" s="15"/>
      <c r="F164" s="15"/>
      <c r="G164" s="15"/>
      <c r="H164" s="15"/>
      <c r="I164" s="15"/>
      <c r="K164" s="15"/>
      <c r="L164" s="15"/>
      <c r="M164" s="15"/>
      <c r="O164" s="15"/>
    </row>
    <row r="165" spans="2:15" x14ac:dyDescent="0.25">
      <c r="B165" s="15"/>
      <c r="D165" s="15"/>
      <c r="E165" s="15"/>
      <c r="F165" s="15"/>
      <c r="G165" s="15"/>
      <c r="H165" s="15"/>
      <c r="I165" s="15"/>
      <c r="K165" s="15"/>
      <c r="L165" s="15"/>
      <c r="M165" s="15"/>
      <c r="O165" s="15"/>
    </row>
    <row r="166" spans="2:15" x14ac:dyDescent="0.25">
      <c r="B166" s="15"/>
      <c r="D166" s="15"/>
      <c r="E166" s="15"/>
      <c r="F166" s="15"/>
      <c r="G166" s="15"/>
      <c r="H166" s="15"/>
      <c r="I166" s="15"/>
      <c r="K166" s="15"/>
      <c r="L166" s="15"/>
      <c r="M166" s="15"/>
      <c r="O166" s="15"/>
    </row>
    <row r="167" spans="2:15" x14ac:dyDescent="0.25">
      <c r="B167" s="15"/>
      <c r="D167" s="15"/>
      <c r="E167" s="15"/>
      <c r="F167" s="15"/>
      <c r="G167" s="15"/>
      <c r="H167" s="15"/>
      <c r="I167" s="15"/>
      <c r="K167" s="15"/>
      <c r="L167" s="15"/>
      <c r="M167" s="15"/>
      <c r="O167" s="15"/>
    </row>
    <row r="168" spans="2:15" x14ac:dyDescent="0.25">
      <c r="B168" s="15"/>
      <c r="D168" s="15"/>
      <c r="E168" s="15"/>
      <c r="F168" s="15"/>
      <c r="G168" s="15"/>
      <c r="H168" s="15"/>
      <c r="I168" s="15"/>
      <c r="K168" s="15"/>
      <c r="L168" s="15"/>
      <c r="M168" s="15"/>
      <c r="O168" s="15"/>
    </row>
    <row r="169" spans="2:15" x14ac:dyDescent="0.25">
      <c r="B169" s="15"/>
      <c r="D169" s="15"/>
      <c r="E169" s="15"/>
      <c r="F169" s="15"/>
      <c r="G169" s="15"/>
      <c r="H169" s="15"/>
      <c r="I169" s="15"/>
      <c r="K169" s="15"/>
      <c r="L169" s="15"/>
      <c r="M169" s="15"/>
      <c r="O169" s="15"/>
    </row>
    <row r="170" spans="2:15" x14ac:dyDescent="0.25">
      <c r="B170" s="15"/>
      <c r="D170" s="15"/>
      <c r="E170" s="15"/>
      <c r="F170" s="15"/>
      <c r="G170" s="15"/>
      <c r="H170" s="15"/>
      <c r="I170" s="15"/>
      <c r="K170" s="15"/>
      <c r="L170" s="15"/>
      <c r="M170" s="15"/>
      <c r="O170" s="15"/>
    </row>
    <row r="171" spans="2:15" x14ac:dyDescent="0.25">
      <c r="B171" s="15"/>
      <c r="D171" s="15"/>
      <c r="E171" s="15"/>
      <c r="F171" s="15"/>
      <c r="G171" s="15"/>
      <c r="H171" s="15"/>
      <c r="I171" s="15"/>
      <c r="K171" s="15"/>
      <c r="L171" s="15"/>
      <c r="M171" s="15"/>
      <c r="O171" s="15"/>
    </row>
    <row r="172" spans="2:15" x14ac:dyDescent="0.25">
      <c r="B172" s="15"/>
      <c r="D172" s="15"/>
      <c r="E172" s="15"/>
      <c r="F172" s="15"/>
      <c r="G172" s="15"/>
      <c r="H172" s="15"/>
      <c r="I172" s="15"/>
      <c r="K172" s="15"/>
      <c r="L172" s="15"/>
      <c r="M172" s="15"/>
      <c r="O172" s="15"/>
    </row>
    <row r="173" spans="2:15" x14ac:dyDescent="0.25">
      <c r="B173" s="15"/>
      <c r="D173" s="15"/>
      <c r="E173" s="15"/>
      <c r="F173" s="15"/>
      <c r="G173" s="15"/>
      <c r="H173" s="15"/>
      <c r="I173" s="15"/>
      <c r="K173" s="15"/>
      <c r="L173" s="15"/>
      <c r="M173" s="15"/>
      <c r="O173" s="15"/>
    </row>
    <row r="174" spans="2:15" x14ac:dyDescent="0.25">
      <c r="B174" s="15"/>
      <c r="D174" s="15"/>
      <c r="E174" s="15"/>
      <c r="F174" s="15"/>
      <c r="G174" s="15"/>
      <c r="H174" s="15"/>
      <c r="I174" s="15"/>
      <c r="K174" s="15"/>
      <c r="L174" s="15"/>
      <c r="M174" s="15"/>
      <c r="O174" s="15"/>
    </row>
    <row r="175" spans="2:15" x14ac:dyDescent="0.25">
      <c r="B175" s="15"/>
      <c r="D175" s="15"/>
      <c r="E175" s="15"/>
      <c r="F175" s="15"/>
      <c r="G175" s="15"/>
      <c r="H175" s="15"/>
      <c r="I175" s="15"/>
      <c r="K175" s="15"/>
      <c r="L175" s="15"/>
      <c r="M175" s="15"/>
      <c r="O175" s="15"/>
    </row>
    <row r="176" spans="2:15" x14ac:dyDescent="0.25">
      <c r="B176" s="15"/>
      <c r="D176" s="15"/>
      <c r="E176" s="15"/>
      <c r="F176" s="15"/>
      <c r="G176" s="15"/>
      <c r="H176" s="15"/>
      <c r="I176" s="15"/>
      <c r="K176" s="15"/>
      <c r="L176" s="15"/>
      <c r="M176" s="15"/>
      <c r="O176" s="15"/>
    </row>
    <row r="177" spans="2:15" x14ac:dyDescent="0.25">
      <c r="B177" s="15"/>
      <c r="D177" s="15"/>
      <c r="E177" s="15"/>
      <c r="F177" s="15"/>
      <c r="G177" s="15"/>
      <c r="H177" s="15"/>
      <c r="I177" s="15"/>
      <c r="K177" s="15"/>
      <c r="L177" s="15"/>
      <c r="M177" s="15"/>
      <c r="O177" s="15"/>
    </row>
    <row r="178" spans="2:15" x14ac:dyDescent="0.25">
      <c r="B178" s="15"/>
      <c r="D178" s="15"/>
      <c r="E178" s="15"/>
      <c r="F178" s="15"/>
      <c r="G178" s="15"/>
      <c r="H178" s="15"/>
      <c r="I178" s="15"/>
      <c r="K178" s="15"/>
      <c r="L178" s="15"/>
      <c r="M178" s="15"/>
      <c r="O178" s="15"/>
    </row>
    <row r="179" spans="2:15" x14ac:dyDescent="0.25">
      <c r="B179" s="15"/>
      <c r="D179" s="15"/>
      <c r="E179" s="15"/>
      <c r="F179" s="15"/>
      <c r="G179" s="15"/>
      <c r="H179" s="15"/>
      <c r="I179" s="15"/>
      <c r="K179" s="15"/>
      <c r="L179" s="15"/>
      <c r="M179" s="15"/>
      <c r="O179" s="15"/>
    </row>
    <row r="180" spans="2:15" x14ac:dyDescent="0.25">
      <c r="B180" s="15"/>
      <c r="D180" s="15"/>
      <c r="E180" s="15"/>
      <c r="F180" s="15"/>
      <c r="G180" s="15"/>
      <c r="H180" s="15"/>
      <c r="I180" s="15"/>
      <c r="K180" s="15"/>
      <c r="L180" s="15"/>
      <c r="M180" s="15"/>
      <c r="O180" s="15"/>
    </row>
    <row r="181" spans="2:15" x14ac:dyDescent="0.25">
      <c r="B181" s="15"/>
      <c r="D181" s="15"/>
      <c r="E181" s="15"/>
      <c r="F181" s="15"/>
      <c r="G181" s="15"/>
      <c r="H181" s="15"/>
      <c r="I181" s="15"/>
      <c r="K181" s="15"/>
      <c r="L181" s="15"/>
      <c r="M181" s="15"/>
      <c r="O181" s="15"/>
    </row>
    <row r="182" spans="2:15" x14ac:dyDescent="0.25">
      <c r="B182" s="15"/>
      <c r="D182" s="15"/>
      <c r="E182" s="15"/>
      <c r="F182" s="15"/>
      <c r="G182" s="15"/>
      <c r="H182" s="15"/>
      <c r="I182" s="15"/>
      <c r="K182" s="15"/>
      <c r="L182" s="15"/>
      <c r="M182" s="15"/>
      <c r="O182" s="15"/>
    </row>
    <row r="183" spans="2:15" x14ac:dyDescent="0.25">
      <c r="B183" s="15"/>
      <c r="D183" s="15"/>
      <c r="E183" s="15"/>
      <c r="F183" s="15"/>
      <c r="G183" s="15"/>
      <c r="H183" s="15"/>
      <c r="I183" s="15"/>
      <c r="K183" s="15"/>
      <c r="L183" s="15"/>
      <c r="M183" s="15"/>
      <c r="O183" s="15"/>
    </row>
    <row r="184" spans="2:15" x14ac:dyDescent="0.25">
      <c r="B184" s="15"/>
      <c r="D184" s="15"/>
      <c r="E184" s="15"/>
      <c r="F184" s="15"/>
      <c r="G184" s="15"/>
      <c r="H184" s="15"/>
      <c r="I184" s="15"/>
      <c r="K184" s="15"/>
      <c r="L184" s="15"/>
      <c r="M184" s="15"/>
      <c r="O184" s="15"/>
    </row>
    <row r="185" spans="2:15" x14ac:dyDescent="0.25">
      <c r="B185" s="15"/>
      <c r="D185" s="15"/>
      <c r="E185" s="15"/>
      <c r="F185" s="15"/>
      <c r="G185" s="15"/>
      <c r="H185" s="15"/>
      <c r="I185" s="15"/>
      <c r="K185" s="15"/>
      <c r="L185" s="15"/>
      <c r="M185" s="15"/>
      <c r="O185" s="15"/>
    </row>
    <row r="186" spans="2:15" x14ac:dyDescent="0.25">
      <c r="B186" s="15"/>
      <c r="D186" s="15"/>
      <c r="E186" s="15"/>
      <c r="F186" s="15"/>
      <c r="G186" s="15"/>
      <c r="H186" s="15"/>
      <c r="I186" s="15"/>
      <c r="K186" s="15"/>
      <c r="L186" s="15"/>
      <c r="M186" s="15"/>
      <c r="O186" s="15"/>
    </row>
    <row r="187" spans="2:15" x14ac:dyDescent="0.25">
      <c r="B187" s="15"/>
      <c r="D187" s="15"/>
      <c r="E187" s="15"/>
      <c r="F187" s="15"/>
      <c r="G187" s="15"/>
      <c r="H187" s="15"/>
      <c r="I187" s="15"/>
      <c r="K187" s="15"/>
      <c r="L187" s="15"/>
      <c r="M187" s="15"/>
      <c r="O187" s="15"/>
    </row>
    <row r="188" spans="2:15" x14ac:dyDescent="0.25">
      <c r="B188" s="15"/>
      <c r="D188" s="15"/>
      <c r="E188" s="15"/>
      <c r="F188" s="15"/>
      <c r="G188" s="15"/>
      <c r="H188" s="15"/>
      <c r="I188" s="15"/>
      <c r="K188" s="15"/>
      <c r="L188" s="15"/>
      <c r="M188" s="15"/>
      <c r="O188" s="15"/>
    </row>
    <row r="189" spans="2:15" x14ac:dyDescent="0.25">
      <c r="B189" s="15"/>
      <c r="D189" s="15"/>
      <c r="E189" s="15"/>
      <c r="F189" s="15"/>
      <c r="G189" s="15"/>
      <c r="H189" s="15"/>
      <c r="I189" s="15"/>
      <c r="K189" s="15"/>
      <c r="L189" s="15"/>
      <c r="M189" s="15"/>
      <c r="O189" s="15"/>
    </row>
    <row r="190" spans="2:15" x14ac:dyDescent="0.25">
      <c r="B190" s="15"/>
      <c r="D190" s="15"/>
      <c r="E190" s="15"/>
      <c r="F190" s="15"/>
      <c r="G190" s="15"/>
      <c r="H190" s="15"/>
      <c r="I190" s="15"/>
      <c r="K190" s="15"/>
      <c r="L190" s="15"/>
      <c r="M190" s="15"/>
      <c r="O190" s="15"/>
    </row>
    <row r="191" spans="2:15" x14ac:dyDescent="0.25">
      <c r="B191" s="15"/>
      <c r="D191" s="15"/>
      <c r="E191" s="15"/>
      <c r="F191" s="15"/>
      <c r="G191" s="15"/>
      <c r="H191" s="15"/>
      <c r="I191" s="15"/>
      <c r="K191" s="15"/>
      <c r="L191" s="15"/>
      <c r="M191" s="15"/>
      <c r="O191" s="15"/>
    </row>
    <row r="192" spans="2:15" x14ac:dyDescent="0.25">
      <c r="B192" s="15"/>
      <c r="D192" s="15"/>
      <c r="E192" s="15"/>
      <c r="F192" s="15"/>
      <c r="G192" s="15"/>
      <c r="H192" s="15"/>
      <c r="I192" s="15"/>
      <c r="K192" s="15"/>
      <c r="L192" s="15"/>
      <c r="M192" s="15"/>
      <c r="O192" s="15"/>
    </row>
    <row r="193" spans="2:15" x14ac:dyDescent="0.25">
      <c r="B193" s="15"/>
      <c r="D193" s="15"/>
      <c r="E193" s="15"/>
      <c r="F193" s="15"/>
      <c r="G193" s="15"/>
      <c r="H193" s="15"/>
      <c r="I193" s="15"/>
      <c r="K193" s="15"/>
      <c r="L193" s="15"/>
      <c r="M193" s="15"/>
      <c r="O193" s="15"/>
    </row>
    <row r="194" spans="2:15" x14ac:dyDescent="0.25">
      <c r="B194" s="15"/>
      <c r="D194" s="15"/>
      <c r="E194" s="15"/>
      <c r="F194" s="15"/>
      <c r="G194" s="15"/>
      <c r="H194" s="15"/>
      <c r="I194" s="15"/>
      <c r="K194" s="15"/>
      <c r="L194" s="15"/>
      <c r="M194" s="15"/>
      <c r="O194" s="15"/>
    </row>
    <row r="195" spans="2:15" x14ac:dyDescent="0.25">
      <c r="B195" s="15"/>
      <c r="D195" s="15"/>
      <c r="E195" s="15"/>
      <c r="F195" s="15"/>
      <c r="G195" s="15"/>
      <c r="H195" s="15"/>
      <c r="I195" s="15"/>
      <c r="K195" s="15"/>
      <c r="L195" s="15"/>
      <c r="M195" s="15"/>
      <c r="O195" s="15"/>
    </row>
    <row r="196" spans="2:15" x14ac:dyDescent="0.25">
      <c r="B196" s="15"/>
      <c r="D196" s="15"/>
      <c r="E196" s="15"/>
      <c r="F196" s="15"/>
      <c r="G196" s="15"/>
      <c r="H196" s="15"/>
      <c r="I196" s="15"/>
      <c r="K196" s="15"/>
      <c r="L196" s="15"/>
      <c r="M196" s="15"/>
      <c r="O196" s="15"/>
    </row>
    <row r="197" spans="2:15" x14ac:dyDescent="0.25">
      <c r="B197" s="15"/>
      <c r="D197" s="15"/>
      <c r="E197" s="15"/>
      <c r="F197" s="15"/>
      <c r="G197" s="15"/>
      <c r="H197" s="15"/>
      <c r="I197" s="15"/>
      <c r="K197" s="15"/>
      <c r="L197" s="15"/>
      <c r="M197" s="15"/>
      <c r="O197" s="15"/>
    </row>
    <row r="198" spans="2:15" x14ac:dyDescent="0.25">
      <c r="B198" s="15"/>
      <c r="D198" s="15"/>
      <c r="E198" s="15"/>
      <c r="F198" s="15"/>
      <c r="G198" s="15"/>
      <c r="H198" s="15"/>
      <c r="I198" s="15"/>
      <c r="K198" s="15"/>
      <c r="L198" s="15"/>
      <c r="M198" s="15"/>
      <c r="O198" s="15"/>
    </row>
    <row r="199" spans="2:15" x14ac:dyDescent="0.25">
      <c r="B199" s="15"/>
      <c r="D199" s="15"/>
      <c r="E199" s="15"/>
      <c r="F199" s="15"/>
      <c r="G199" s="15"/>
      <c r="H199" s="15"/>
      <c r="I199" s="15"/>
      <c r="K199" s="15"/>
      <c r="L199" s="15"/>
      <c r="M199" s="15"/>
      <c r="O199" s="15"/>
    </row>
    <row r="200" spans="2:15" x14ac:dyDescent="0.25">
      <c r="B200" s="15"/>
      <c r="D200" s="15"/>
      <c r="E200" s="15"/>
      <c r="F200" s="15"/>
      <c r="G200" s="15"/>
      <c r="H200" s="15"/>
      <c r="I200" s="15"/>
      <c r="K200" s="15"/>
      <c r="L200" s="15"/>
      <c r="M200" s="15"/>
      <c r="O200" s="15"/>
    </row>
    <row r="201" spans="2:15" x14ac:dyDescent="0.25">
      <c r="B201" s="15"/>
      <c r="D201" s="15"/>
      <c r="E201" s="15"/>
      <c r="F201" s="15"/>
      <c r="G201" s="15"/>
      <c r="H201" s="15"/>
      <c r="I201" s="15"/>
      <c r="K201" s="15"/>
      <c r="L201" s="15"/>
      <c r="M201" s="15"/>
      <c r="O201" s="15"/>
    </row>
    <row r="202" spans="2:15" x14ac:dyDescent="0.25">
      <c r="B202" s="15"/>
      <c r="D202" s="15"/>
      <c r="E202" s="15"/>
      <c r="F202" s="15"/>
      <c r="G202" s="15"/>
      <c r="H202" s="15"/>
      <c r="I202" s="15"/>
      <c r="K202" s="15"/>
      <c r="L202" s="15"/>
      <c r="M202" s="15"/>
      <c r="O202" s="15"/>
    </row>
    <row r="203" spans="2:15" x14ac:dyDescent="0.25">
      <c r="B203" s="15"/>
      <c r="D203" s="15"/>
      <c r="E203" s="15"/>
      <c r="F203" s="15"/>
      <c r="G203" s="15"/>
      <c r="H203" s="15"/>
      <c r="I203" s="15"/>
      <c r="K203" s="15"/>
      <c r="L203" s="15"/>
      <c r="M203" s="15"/>
      <c r="O203" s="15"/>
    </row>
    <row r="204" spans="2:15" x14ac:dyDescent="0.25">
      <c r="B204" s="15"/>
      <c r="D204" s="15"/>
      <c r="E204" s="15"/>
      <c r="F204" s="15"/>
      <c r="G204" s="15"/>
      <c r="H204" s="15"/>
      <c r="I204" s="15"/>
      <c r="K204" s="15"/>
      <c r="L204" s="15"/>
      <c r="M204" s="15"/>
      <c r="O204" s="15"/>
    </row>
    <row r="205" spans="2:15" x14ac:dyDescent="0.25">
      <c r="B205" s="15"/>
      <c r="D205" s="15"/>
      <c r="E205" s="15"/>
      <c r="F205" s="15"/>
      <c r="G205" s="15"/>
      <c r="H205" s="15"/>
      <c r="I205" s="15"/>
      <c r="K205" s="15"/>
      <c r="L205" s="15"/>
      <c r="M205" s="15"/>
      <c r="O205" s="15"/>
    </row>
    <row r="206" spans="2:15" x14ac:dyDescent="0.25">
      <c r="B206" s="15"/>
      <c r="D206" s="15"/>
      <c r="E206" s="15"/>
      <c r="F206" s="15"/>
      <c r="G206" s="15"/>
      <c r="H206" s="15"/>
      <c r="I206" s="15"/>
      <c r="K206" s="15"/>
      <c r="L206" s="15"/>
      <c r="M206" s="15"/>
      <c r="O206" s="15"/>
    </row>
    <row r="207" spans="2:15" x14ac:dyDescent="0.25">
      <c r="B207" s="15"/>
      <c r="D207" s="15"/>
      <c r="E207" s="15"/>
      <c r="F207" s="15"/>
      <c r="G207" s="15"/>
      <c r="H207" s="15"/>
      <c r="I207" s="15"/>
      <c r="K207" s="15"/>
      <c r="L207" s="15"/>
      <c r="M207" s="15"/>
      <c r="O207" s="15"/>
    </row>
    <row r="208" spans="2:15" x14ac:dyDescent="0.25">
      <c r="B208" s="15"/>
      <c r="D208" s="15"/>
      <c r="E208" s="15"/>
      <c r="F208" s="15"/>
      <c r="G208" s="15"/>
      <c r="H208" s="15"/>
      <c r="I208" s="15"/>
      <c r="K208" s="15"/>
      <c r="L208" s="15"/>
      <c r="M208" s="15"/>
      <c r="O208" s="15"/>
    </row>
    <row r="209" spans="2:15" x14ac:dyDescent="0.25">
      <c r="B209" s="15"/>
      <c r="D209" s="15"/>
      <c r="E209" s="15"/>
      <c r="F209" s="15"/>
      <c r="G209" s="15"/>
      <c r="H209" s="15"/>
      <c r="I209" s="15"/>
      <c r="K209" s="15"/>
      <c r="L209" s="15"/>
      <c r="M209" s="15"/>
      <c r="O209" s="15"/>
    </row>
    <row r="210" spans="2:15" x14ac:dyDescent="0.25">
      <c r="B210" s="15"/>
      <c r="D210" s="15"/>
      <c r="E210" s="15"/>
      <c r="F210" s="15"/>
      <c r="G210" s="15"/>
      <c r="H210" s="15"/>
      <c r="I210" s="15"/>
      <c r="K210" s="15"/>
      <c r="L210" s="15"/>
      <c r="M210" s="15"/>
      <c r="O210" s="15"/>
    </row>
    <row r="211" spans="2:15" x14ac:dyDescent="0.25">
      <c r="B211" s="15"/>
      <c r="D211" s="15"/>
      <c r="E211" s="15"/>
      <c r="F211" s="15"/>
      <c r="G211" s="15"/>
      <c r="H211" s="15"/>
      <c r="I211" s="15"/>
      <c r="K211" s="15"/>
      <c r="L211" s="15"/>
      <c r="M211" s="15"/>
      <c r="O211" s="15"/>
    </row>
    <row r="212" spans="2:15" x14ac:dyDescent="0.25">
      <c r="B212" s="15"/>
      <c r="D212" s="15"/>
      <c r="E212" s="15"/>
      <c r="F212" s="15"/>
      <c r="G212" s="15"/>
      <c r="H212" s="15"/>
      <c r="I212" s="15"/>
      <c r="K212" s="15"/>
      <c r="L212" s="15"/>
      <c r="M212" s="15"/>
      <c r="O212" s="15"/>
    </row>
    <row r="213" spans="2:15" x14ac:dyDescent="0.25">
      <c r="B213" s="15"/>
      <c r="D213" s="15"/>
      <c r="E213" s="15"/>
      <c r="F213" s="15"/>
      <c r="G213" s="15"/>
      <c r="H213" s="15"/>
      <c r="I213" s="15"/>
      <c r="K213" s="15"/>
      <c r="L213" s="15"/>
      <c r="M213" s="15"/>
      <c r="O213" s="15"/>
    </row>
    <row r="214" spans="2:15" x14ac:dyDescent="0.25">
      <c r="B214" s="15"/>
      <c r="D214" s="15"/>
      <c r="E214" s="15"/>
      <c r="F214" s="15"/>
      <c r="G214" s="15"/>
      <c r="H214" s="15"/>
      <c r="I214" s="15"/>
      <c r="K214" s="15"/>
      <c r="L214" s="15"/>
      <c r="M214" s="15"/>
      <c r="O214" s="15"/>
    </row>
    <row r="215" spans="2:15" x14ac:dyDescent="0.25">
      <c r="B215" s="15"/>
      <c r="D215" s="15"/>
      <c r="E215" s="15"/>
      <c r="F215" s="15"/>
      <c r="G215" s="15"/>
      <c r="H215" s="15"/>
      <c r="I215" s="15"/>
      <c r="K215" s="15"/>
      <c r="L215" s="15"/>
      <c r="M215" s="15"/>
      <c r="O215" s="15"/>
    </row>
    <row r="216" spans="2:15" x14ac:dyDescent="0.25">
      <c r="B216" s="15"/>
      <c r="D216" s="15"/>
      <c r="E216" s="15"/>
      <c r="F216" s="15"/>
      <c r="G216" s="15"/>
      <c r="H216" s="15"/>
      <c r="I216" s="15"/>
      <c r="K216" s="15"/>
      <c r="L216" s="15"/>
      <c r="M216" s="15"/>
      <c r="O216" s="15"/>
    </row>
    <row r="217" spans="2:15" x14ac:dyDescent="0.25">
      <c r="B217" s="15"/>
      <c r="D217" s="15"/>
      <c r="E217" s="15"/>
      <c r="F217" s="15"/>
      <c r="G217" s="15"/>
      <c r="H217" s="15"/>
      <c r="I217" s="15"/>
      <c r="K217" s="15"/>
      <c r="L217" s="15"/>
      <c r="M217" s="15"/>
      <c r="O217" s="15"/>
    </row>
    <row r="218" spans="2:15" x14ac:dyDescent="0.25">
      <c r="B218" s="15"/>
      <c r="D218" s="15"/>
      <c r="E218" s="15"/>
      <c r="F218" s="15"/>
      <c r="G218" s="15"/>
      <c r="H218" s="15"/>
      <c r="I218" s="15"/>
      <c r="K218" s="15"/>
      <c r="L218" s="15"/>
      <c r="M218" s="15"/>
      <c r="O218" s="15"/>
    </row>
    <row r="219" spans="2:15" x14ac:dyDescent="0.25">
      <c r="B219" s="15"/>
      <c r="D219" s="15"/>
      <c r="E219" s="15"/>
      <c r="F219" s="15"/>
      <c r="G219" s="15"/>
      <c r="H219" s="15"/>
      <c r="I219" s="15"/>
      <c r="K219" s="15"/>
      <c r="L219" s="15"/>
      <c r="M219" s="15"/>
      <c r="O219" s="15"/>
    </row>
    <row r="220" spans="2:15" x14ac:dyDescent="0.25">
      <c r="B220" s="15"/>
      <c r="D220" s="15"/>
      <c r="E220" s="15"/>
      <c r="F220" s="15"/>
      <c r="G220" s="15"/>
      <c r="H220" s="15"/>
      <c r="I220" s="15"/>
      <c r="K220" s="15"/>
      <c r="L220" s="15"/>
      <c r="M220" s="15"/>
      <c r="O220" s="15"/>
    </row>
    <row r="221" spans="2:15" x14ac:dyDescent="0.25">
      <c r="B221" s="15"/>
      <c r="D221" s="15"/>
      <c r="E221" s="15"/>
      <c r="F221" s="15"/>
      <c r="G221" s="15"/>
      <c r="H221" s="15"/>
      <c r="I221" s="15"/>
      <c r="K221" s="15"/>
      <c r="L221" s="15"/>
      <c r="M221" s="15"/>
      <c r="O221" s="15"/>
    </row>
    <row r="222" spans="2:15" x14ac:dyDescent="0.25">
      <c r="B222" s="15"/>
      <c r="D222" s="15"/>
      <c r="E222" s="15"/>
      <c r="F222" s="15"/>
      <c r="G222" s="15"/>
      <c r="H222" s="15"/>
      <c r="I222" s="15"/>
      <c r="K222" s="15"/>
      <c r="L222" s="15"/>
      <c r="M222" s="15"/>
      <c r="O222" s="15"/>
    </row>
    <row r="223" spans="2:15" x14ac:dyDescent="0.25">
      <c r="B223" s="15"/>
      <c r="D223" s="15"/>
      <c r="E223" s="15"/>
      <c r="F223" s="15"/>
      <c r="G223" s="15"/>
      <c r="H223" s="15"/>
      <c r="I223" s="15"/>
      <c r="K223" s="15"/>
      <c r="L223" s="15"/>
      <c r="M223" s="15"/>
      <c r="O223" s="15"/>
    </row>
    <row r="224" spans="2:15" x14ac:dyDescent="0.25">
      <c r="B224" s="15"/>
      <c r="D224" s="15"/>
      <c r="E224" s="15"/>
      <c r="F224" s="15"/>
      <c r="G224" s="15"/>
      <c r="H224" s="15"/>
      <c r="I224" s="15"/>
      <c r="K224" s="15"/>
      <c r="L224" s="15"/>
      <c r="M224" s="15"/>
      <c r="O224" s="15"/>
    </row>
    <row r="225" spans="2:15" x14ac:dyDescent="0.25">
      <c r="B225" s="15"/>
      <c r="D225" s="15"/>
      <c r="E225" s="15"/>
      <c r="F225" s="15"/>
      <c r="G225" s="15"/>
      <c r="H225" s="15"/>
      <c r="I225" s="15"/>
      <c r="K225" s="15"/>
      <c r="L225" s="15"/>
      <c r="M225" s="15"/>
      <c r="O225" s="15"/>
    </row>
    <row r="226" spans="2:15" x14ac:dyDescent="0.25">
      <c r="B226" s="15"/>
      <c r="D226" s="15"/>
      <c r="E226" s="15"/>
      <c r="F226" s="15"/>
      <c r="G226" s="15"/>
      <c r="H226" s="15"/>
      <c r="I226" s="15"/>
      <c r="K226" s="15"/>
      <c r="L226" s="15"/>
      <c r="M226" s="15"/>
      <c r="O226" s="15"/>
    </row>
    <row r="227" spans="2:15" x14ac:dyDescent="0.25">
      <c r="B227" s="15"/>
      <c r="D227" s="15"/>
      <c r="E227" s="15"/>
      <c r="F227" s="15"/>
      <c r="G227" s="15"/>
      <c r="H227" s="15"/>
      <c r="I227" s="15"/>
      <c r="K227" s="15"/>
      <c r="L227" s="15"/>
      <c r="M227" s="15"/>
      <c r="O227" s="15"/>
    </row>
    <row r="228" spans="2:15" x14ac:dyDescent="0.25">
      <c r="B228" s="15"/>
      <c r="D228" s="15"/>
      <c r="E228" s="15"/>
      <c r="F228" s="15"/>
      <c r="G228" s="15"/>
      <c r="H228" s="15"/>
      <c r="I228" s="15"/>
      <c r="K228" s="15"/>
      <c r="L228" s="15"/>
      <c r="M228" s="15"/>
      <c r="O228" s="15"/>
    </row>
    <row r="229" spans="2:15" x14ac:dyDescent="0.25">
      <c r="B229" s="15"/>
      <c r="D229" s="15"/>
      <c r="E229" s="15"/>
      <c r="F229" s="15"/>
      <c r="G229" s="15"/>
      <c r="H229" s="15"/>
      <c r="I229" s="15"/>
      <c r="K229" s="15"/>
      <c r="L229" s="15"/>
      <c r="M229" s="15"/>
      <c r="O229" s="15"/>
    </row>
    <row r="230" spans="2:15" x14ac:dyDescent="0.25">
      <c r="B230" s="15"/>
      <c r="D230" s="15"/>
      <c r="E230" s="15"/>
      <c r="F230" s="15"/>
      <c r="G230" s="15"/>
      <c r="H230" s="15"/>
      <c r="I230" s="15"/>
      <c r="K230" s="15"/>
      <c r="L230" s="15"/>
      <c r="M230" s="15"/>
      <c r="O230" s="15"/>
    </row>
    <row r="231" spans="2:15" x14ac:dyDescent="0.25">
      <c r="B231" s="15"/>
      <c r="D231" s="15"/>
      <c r="E231" s="15"/>
      <c r="F231" s="15"/>
      <c r="G231" s="15"/>
      <c r="H231" s="15"/>
      <c r="I231" s="15"/>
      <c r="K231" s="15"/>
      <c r="L231" s="15"/>
      <c r="M231" s="15"/>
      <c r="O231" s="15"/>
    </row>
    <row r="232" spans="2:15" x14ac:dyDescent="0.25">
      <c r="B232" s="15"/>
      <c r="D232" s="15"/>
      <c r="E232" s="15"/>
      <c r="F232" s="15"/>
      <c r="G232" s="15"/>
      <c r="H232" s="15"/>
      <c r="I232" s="15"/>
      <c r="K232" s="15"/>
      <c r="L232" s="15"/>
      <c r="M232" s="15"/>
      <c r="O232" s="15"/>
    </row>
    <row r="233" spans="2:15" x14ac:dyDescent="0.25">
      <c r="B233" s="15"/>
      <c r="D233" s="15"/>
      <c r="E233" s="15"/>
      <c r="F233" s="15"/>
      <c r="G233" s="15"/>
      <c r="H233" s="15"/>
      <c r="I233" s="15"/>
      <c r="K233" s="15"/>
      <c r="L233" s="15"/>
      <c r="M233" s="15"/>
      <c r="O233" s="15"/>
    </row>
    <row r="234" spans="2:15" x14ac:dyDescent="0.25">
      <c r="B234" s="15"/>
      <c r="D234" s="15"/>
      <c r="E234" s="15"/>
      <c r="F234" s="15"/>
      <c r="G234" s="15"/>
      <c r="H234" s="15"/>
      <c r="I234" s="15"/>
      <c r="K234" s="15"/>
      <c r="L234" s="15"/>
      <c r="M234" s="15"/>
      <c r="O234" s="15"/>
    </row>
    <row r="235" spans="2:15" x14ac:dyDescent="0.25">
      <c r="B235" s="15"/>
      <c r="D235" s="15"/>
      <c r="E235" s="15"/>
      <c r="F235" s="15"/>
      <c r="G235" s="15"/>
      <c r="H235" s="15"/>
      <c r="I235" s="15"/>
      <c r="K235" s="15"/>
      <c r="L235" s="15"/>
      <c r="M235" s="15"/>
      <c r="O235" s="15"/>
    </row>
    <row r="236" spans="2:15" x14ac:dyDescent="0.25">
      <c r="B236" s="15"/>
      <c r="D236" s="15"/>
      <c r="E236" s="15"/>
      <c r="F236" s="15"/>
      <c r="G236" s="15"/>
      <c r="H236" s="15"/>
      <c r="I236" s="15"/>
      <c r="K236" s="15"/>
      <c r="L236" s="15"/>
      <c r="M236" s="15"/>
      <c r="O236" s="15"/>
    </row>
    <row r="237" spans="2:15" x14ac:dyDescent="0.25">
      <c r="B237" s="15"/>
      <c r="D237" s="15"/>
      <c r="E237" s="15"/>
      <c r="F237" s="15"/>
      <c r="G237" s="15"/>
      <c r="H237" s="15"/>
      <c r="I237" s="15"/>
      <c r="K237" s="15"/>
      <c r="L237" s="15"/>
      <c r="M237" s="15"/>
      <c r="O237" s="15"/>
    </row>
    <row r="238" spans="2:15" x14ac:dyDescent="0.25">
      <c r="B238" s="15"/>
      <c r="D238" s="15"/>
      <c r="E238" s="15"/>
      <c r="F238" s="15"/>
      <c r="G238" s="15"/>
      <c r="H238" s="15"/>
      <c r="I238" s="15"/>
      <c r="K238" s="15"/>
      <c r="L238" s="15"/>
      <c r="M238" s="15"/>
      <c r="O238" s="15"/>
    </row>
    <row r="239" spans="2:15" x14ac:dyDescent="0.25">
      <c r="B239" s="15"/>
      <c r="D239" s="15"/>
      <c r="E239" s="15"/>
      <c r="F239" s="15"/>
      <c r="G239" s="15"/>
      <c r="H239" s="15"/>
      <c r="I239" s="15"/>
      <c r="K239" s="15"/>
      <c r="L239" s="15"/>
      <c r="M239" s="15"/>
      <c r="O239" s="15"/>
    </row>
    <row r="240" spans="2:15" x14ac:dyDescent="0.25">
      <c r="B240" s="15"/>
      <c r="D240" s="15"/>
      <c r="E240" s="15"/>
      <c r="F240" s="15"/>
      <c r="G240" s="15"/>
      <c r="H240" s="15"/>
      <c r="I240" s="15"/>
      <c r="K240" s="15"/>
      <c r="L240" s="15"/>
      <c r="M240" s="15"/>
      <c r="O240" s="15"/>
    </row>
    <row r="241" spans="2:15" x14ac:dyDescent="0.25">
      <c r="B241" s="15"/>
      <c r="D241" s="15"/>
      <c r="E241" s="15"/>
      <c r="F241" s="15"/>
      <c r="G241" s="15"/>
      <c r="H241" s="15"/>
      <c r="I241" s="15"/>
      <c r="K241" s="15"/>
      <c r="L241" s="15"/>
      <c r="M241" s="15"/>
      <c r="O241" s="15"/>
    </row>
    <row r="242" spans="2:15" x14ac:dyDescent="0.25">
      <c r="B242" s="15"/>
      <c r="D242" s="15"/>
      <c r="E242" s="15"/>
      <c r="F242" s="15"/>
      <c r="G242" s="15"/>
      <c r="H242" s="15"/>
      <c r="I242" s="15"/>
      <c r="K242" s="15"/>
      <c r="L242" s="15"/>
      <c r="M242" s="15"/>
      <c r="O242" s="15"/>
    </row>
    <row r="243" spans="2:15" x14ac:dyDescent="0.25">
      <c r="B243" s="15"/>
      <c r="D243" s="15"/>
      <c r="E243" s="15"/>
      <c r="F243" s="15"/>
      <c r="G243" s="15"/>
      <c r="H243" s="15"/>
      <c r="I243" s="15"/>
      <c r="K243" s="15"/>
      <c r="L243" s="15"/>
      <c r="M243" s="15"/>
      <c r="O243" s="15"/>
    </row>
    <row r="244" spans="2:15" x14ac:dyDescent="0.25">
      <c r="B244" s="15"/>
      <c r="D244" s="15"/>
      <c r="E244" s="15"/>
      <c r="F244" s="15"/>
      <c r="G244" s="15"/>
      <c r="H244" s="15"/>
      <c r="I244" s="15"/>
      <c r="K244" s="15"/>
      <c r="L244" s="15"/>
      <c r="M244" s="15"/>
      <c r="O244" s="15"/>
    </row>
    <row r="245" spans="2:15" x14ac:dyDescent="0.25">
      <c r="B245" s="15"/>
      <c r="D245" s="15"/>
      <c r="E245" s="15"/>
      <c r="F245" s="15"/>
      <c r="G245" s="15"/>
      <c r="H245" s="15"/>
      <c r="I245" s="15"/>
      <c r="K245" s="15"/>
      <c r="L245" s="15"/>
      <c r="M245" s="15"/>
      <c r="O245" s="15"/>
    </row>
    <row r="246" spans="2:15" x14ac:dyDescent="0.25">
      <c r="B246" s="15"/>
      <c r="D246" s="15"/>
      <c r="E246" s="15"/>
      <c r="F246" s="15"/>
      <c r="G246" s="15"/>
      <c r="H246" s="15"/>
      <c r="I246" s="15"/>
      <c r="K246" s="15"/>
      <c r="L246" s="15"/>
      <c r="M246" s="15"/>
      <c r="O246" s="15"/>
    </row>
    <row r="247" spans="2:15" x14ac:dyDescent="0.25">
      <c r="B247" s="15"/>
      <c r="D247" s="15"/>
      <c r="E247" s="15"/>
      <c r="F247" s="15"/>
      <c r="G247" s="15"/>
      <c r="H247" s="15"/>
      <c r="I247" s="15"/>
      <c r="K247" s="15"/>
      <c r="L247" s="15"/>
      <c r="M247" s="15"/>
      <c r="O247" s="15"/>
    </row>
    <row r="248" spans="2:15" x14ac:dyDescent="0.25">
      <c r="B248" s="15"/>
      <c r="D248" s="15"/>
      <c r="E248" s="15"/>
      <c r="F248" s="15"/>
      <c r="G248" s="15"/>
      <c r="H248" s="15"/>
      <c r="I248" s="15"/>
      <c r="K248" s="15"/>
      <c r="L248" s="15"/>
      <c r="M248" s="15"/>
      <c r="O248" s="15"/>
    </row>
    <row r="249" spans="2:15" x14ac:dyDescent="0.25">
      <c r="B249" s="15"/>
      <c r="D249" s="15"/>
      <c r="E249" s="15"/>
      <c r="F249" s="15"/>
      <c r="G249" s="15"/>
      <c r="H249" s="15"/>
      <c r="I249" s="15"/>
      <c r="K249" s="15"/>
      <c r="L249" s="15"/>
      <c r="M249" s="15"/>
      <c r="O249" s="15"/>
    </row>
    <row r="250" spans="2:15" x14ac:dyDescent="0.25">
      <c r="B250" s="15"/>
      <c r="D250" s="15"/>
      <c r="E250" s="15"/>
      <c r="F250" s="15"/>
      <c r="G250" s="15"/>
      <c r="H250" s="15"/>
      <c r="I250" s="15"/>
      <c r="K250" s="15"/>
      <c r="L250" s="15"/>
      <c r="M250" s="15"/>
      <c r="O250" s="15"/>
    </row>
    <row r="251" spans="2:15" x14ac:dyDescent="0.25">
      <c r="B251" s="15"/>
      <c r="D251" s="15"/>
      <c r="E251" s="15"/>
      <c r="F251" s="15"/>
      <c r="G251" s="15"/>
      <c r="H251" s="15"/>
      <c r="I251" s="15"/>
      <c r="K251" s="15"/>
      <c r="L251" s="15"/>
      <c r="M251" s="15"/>
      <c r="O251" s="15"/>
    </row>
    <row r="252" spans="2:15" x14ac:dyDescent="0.25">
      <c r="B252" s="15"/>
      <c r="D252" s="15"/>
      <c r="E252" s="15"/>
      <c r="F252" s="15"/>
      <c r="G252" s="15"/>
      <c r="H252" s="15"/>
      <c r="I252" s="15"/>
      <c r="K252" s="15"/>
      <c r="L252" s="15"/>
      <c r="M252" s="15"/>
      <c r="O252" s="15"/>
    </row>
    <row r="253" spans="2:15" x14ac:dyDescent="0.25">
      <c r="B253" s="15"/>
      <c r="D253" s="15"/>
      <c r="E253" s="15"/>
      <c r="F253" s="15"/>
      <c r="G253" s="15"/>
      <c r="H253" s="15"/>
      <c r="I253" s="15"/>
      <c r="K253" s="15"/>
      <c r="L253" s="15"/>
      <c r="M253" s="15"/>
      <c r="O253" s="15"/>
    </row>
    <row r="254" spans="2:15" x14ac:dyDescent="0.25">
      <c r="B254" s="15"/>
      <c r="D254" s="15"/>
      <c r="E254" s="15"/>
      <c r="F254" s="15"/>
      <c r="G254" s="15"/>
      <c r="H254" s="15"/>
      <c r="I254" s="15"/>
      <c r="K254" s="15"/>
      <c r="L254" s="15"/>
      <c r="M254" s="15"/>
      <c r="O254" s="15"/>
    </row>
    <row r="255" spans="2:15" x14ac:dyDescent="0.25">
      <c r="B255" s="15"/>
      <c r="D255" s="15"/>
      <c r="E255" s="15"/>
      <c r="F255" s="15"/>
      <c r="G255" s="15"/>
      <c r="H255" s="15"/>
      <c r="I255" s="15"/>
      <c r="K255" s="15"/>
      <c r="L255" s="15"/>
      <c r="M255" s="15"/>
      <c r="O255" s="15"/>
    </row>
    <row r="256" spans="2:15" x14ac:dyDescent="0.25">
      <c r="B256" s="15"/>
      <c r="D256" s="15"/>
      <c r="E256" s="15"/>
      <c r="F256" s="15"/>
      <c r="G256" s="15"/>
      <c r="H256" s="15"/>
      <c r="I256" s="15"/>
      <c r="K256" s="15"/>
      <c r="L256" s="15"/>
      <c r="M256" s="15"/>
      <c r="O256" s="15"/>
    </row>
    <row r="257" spans="2:15" x14ac:dyDescent="0.25">
      <c r="B257" s="15"/>
      <c r="D257" s="15"/>
      <c r="E257" s="15"/>
      <c r="F257" s="15"/>
      <c r="G257" s="15"/>
      <c r="H257" s="15"/>
      <c r="I257" s="15"/>
      <c r="K257" s="15"/>
      <c r="L257" s="15"/>
      <c r="M257" s="15"/>
      <c r="O257" s="15"/>
    </row>
    <row r="258" spans="2:15" x14ac:dyDescent="0.25">
      <c r="B258" s="15"/>
      <c r="D258" s="15"/>
      <c r="E258" s="15"/>
      <c r="F258" s="15"/>
      <c r="G258" s="15"/>
      <c r="H258" s="15"/>
      <c r="I258" s="15"/>
      <c r="K258" s="15"/>
      <c r="L258" s="15"/>
      <c r="M258" s="15"/>
      <c r="O258" s="15"/>
    </row>
    <row r="259" spans="2:15" x14ac:dyDescent="0.25">
      <c r="B259" s="15"/>
      <c r="D259" s="15"/>
      <c r="E259" s="15"/>
      <c r="F259" s="15"/>
      <c r="G259" s="15"/>
      <c r="H259" s="15"/>
      <c r="I259" s="15"/>
      <c r="K259" s="15"/>
      <c r="L259" s="15"/>
      <c r="M259" s="15"/>
      <c r="O259" s="15"/>
    </row>
    <row r="260" spans="2:15" x14ac:dyDescent="0.25">
      <c r="B260" s="15"/>
      <c r="D260" s="15"/>
      <c r="E260" s="15"/>
      <c r="F260" s="15"/>
      <c r="G260" s="15"/>
      <c r="H260" s="15"/>
      <c r="I260" s="15"/>
      <c r="K260" s="15"/>
      <c r="L260" s="15"/>
      <c r="M260" s="15"/>
      <c r="O260" s="15"/>
    </row>
    <row r="261" spans="2:15" x14ac:dyDescent="0.25">
      <c r="B261" s="15"/>
      <c r="D261" s="15"/>
      <c r="E261" s="15"/>
      <c r="F261" s="15"/>
      <c r="G261" s="15"/>
      <c r="H261" s="15"/>
      <c r="I261" s="15"/>
      <c r="K261" s="15"/>
      <c r="L261" s="15"/>
      <c r="M261" s="15"/>
      <c r="O261" s="15"/>
    </row>
    <row r="262" spans="2:15" x14ac:dyDescent="0.25">
      <c r="B262" s="15"/>
      <c r="D262" s="15"/>
      <c r="E262" s="15"/>
      <c r="F262" s="15"/>
      <c r="G262" s="15"/>
      <c r="H262" s="15"/>
      <c r="I262" s="15"/>
      <c r="K262" s="15"/>
      <c r="L262" s="15"/>
      <c r="M262" s="15"/>
      <c r="O262" s="15"/>
    </row>
    <row r="263" spans="2:15" x14ac:dyDescent="0.25">
      <c r="B263" s="15"/>
      <c r="D263" s="15"/>
      <c r="E263" s="15"/>
      <c r="F263" s="15"/>
      <c r="G263" s="15"/>
      <c r="H263" s="15"/>
      <c r="I263" s="15"/>
      <c r="K263" s="15"/>
      <c r="L263" s="15"/>
      <c r="M263" s="15"/>
      <c r="O263" s="15"/>
    </row>
    <row r="264" spans="2:15" x14ac:dyDescent="0.25">
      <c r="B264" s="15"/>
      <c r="D264" s="15"/>
      <c r="E264" s="15"/>
      <c r="F264" s="15"/>
      <c r="G264" s="15"/>
      <c r="H264" s="15"/>
      <c r="I264" s="15"/>
      <c r="K264" s="15"/>
      <c r="L264" s="15"/>
      <c r="M264" s="15"/>
      <c r="O264" s="15"/>
    </row>
    <row r="265" spans="2:15" x14ac:dyDescent="0.25">
      <c r="B265" s="15"/>
      <c r="D265" s="15"/>
      <c r="E265" s="15"/>
      <c r="F265" s="15"/>
      <c r="G265" s="15"/>
      <c r="H265" s="15"/>
      <c r="I265" s="15"/>
      <c r="K265" s="15"/>
      <c r="L265" s="15"/>
      <c r="M265" s="15"/>
      <c r="O265" s="15"/>
    </row>
    <row r="266" spans="2:15" x14ac:dyDescent="0.25">
      <c r="B266" s="15"/>
      <c r="D266" s="15"/>
      <c r="E266" s="15"/>
      <c r="F266" s="15"/>
      <c r="G266" s="15"/>
      <c r="H266" s="15"/>
      <c r="I266" s="15"/>
      <c r="K266" s="15"/>
      <c r="L266" s="15"/>
      <c r="M266" s="15"/>
      <c r="O266" s="15"/>
    </row>
    <row r="267" spans="2:15" x14ac:dyDescent="0.25">
      <c r="B267" s="15"/>
      <c r="D267" s="15"/>
      <c r="E267" s="15"/>
      <c r="F267" s="15"/>
      <c r="G267" s="15"/>
      <c r="H267" s="15"/>
      <c r="I267" s="15"/>
      <c r="K267" s="15"/>
      <c r="L267" s="15"/>
      <c r="M267" s="15"/>
      <c r="O267" s="15"/>
    </row>
    <row r="268" spans="2:15" x14ac:dyDescent="0.25">
      <c r="B268" s="15"/>
      <c r="D268" s="15"/>
      <c r="E268" s="15"/>
      <c r="F268" s="15"/>
      <c r="G268" s="15"/>
      <c r="H268" s="15"/>
      <c r="I268" s="15"/>
      <c r="K268" s="15"/>
      <c r="L268" s="15"/>
      <c r="M268" s="15"/>
      <c r="O268" s="15"/>
    </row>
    <row r="269" spans="2:15" x14ac:dyDescent="0.25">
      <c r="B269" s="15"/>
      <c r="D269" s="15"/>
      <c r="E269" s="15"/>
      <c r="F269" s="15"/>
      <c r="G269" s="15"/>
      <c r="H269" s="15"/>
      <c r="I269" s="15"/>
      <c r="K269" s="15"/>
      <c r="L269" s="15"/>
      <c r="M269" s="15"/>
      <c r="O269" s="15"/>
    </row>
    <row r="270" spans="2:15" x14ac:dyDescent="0.25">
      <c r="B270" s="15"/>
      <c r="D270" s="15"/>
      <c r="E270" s="15"/>
      <c r="F270" s="15"/>
      <c r="G270" s="15"/>
      <c r="H270" s="15"/>
      <c r="I270" s="15"/>
      <c r="K270" s="15"/>
      <c r="L270" s="15"/>
      <c r="M270" s="15"/>
      <c r="O270" s="15"/>
    </row>
    <row r="271" spans="2:15" x14ac:dyDescent="0.25">
      <c r="B271" s="15"/>
      <c r="D271" s="15"/>
      <c r="E271" s="15"/>
      <c r="F271" s="15"/>
      <c r="G271" s="15"/>
      <c r="H271" s="15"/>
      <c r="I271" s="15"/>
      <c r="K271" s="15"/>
      <c r="L271" s="15"/>
      <c r="M271" s="15"/>
      <c r="O271" s="15"/>
    </row>
    <row r="272" spans="2:15" x14ac:dyDescent="0.25">
      <c r="B272" s="15"/>
      <c r="D272" s="15"/>
      <c r="E272" s="15"/>
      <c r="F272" s="15"/>
      <c r="G272" s="15"/>
      <c r="H272" s="15"/>
      <c r="I272" s="15"/>
      <c r="K272" s="15"/>
      <c r="L272" s="15"/>
      <c r="M272" s="15"/>
      <c r="O272" s="15"/>
    </row>
    <row r="273" spans="2:15" x14ac:dyDescent="0.25">
      <c r="B273" s="15"/>
      <c r="D273" s="15"/>
      <c r="E273" s="15"/>
      <c r="F273" s="15"/>
      <c r="G273" s="15"/>
      <c r="H273" s="15"/>
      <c r="I273" s="15"/>
      <c r="K273" s="15"/>
      <c r="L273" s="15"/>
      <c r="M273" s="15"/>
      <c r="O273" s="15"/>
    </row>
    <row r="274" spans="2:15" x14ac:dyDescent="0.25">
      <c r="B274" s="15"/>
      <c r="D274" s="15"/>
      <c r="E274" s="15"/>
      <c r="F274" s="15"/>
      <c r="G274" s="15"/>
      <c r="H274" s="15"/>
      <c r="I274" s="15"/>
      <c r="K274" s="15"/>
      <c r="L274" s="15"/>
      <c r="M274" s="15"/>
      <c r="O274" s="15"/>
    </row>
    <row r="275" spans="2:15" x14ac:dyDescent="0.25">
      <c r="B275" s="15"/>
      <c r="D275" s="15"/>
      <c r="E275" s="15"/>
      <c r="F275" s="15"/>
      <c r="G275" s="15"/>
      <c r="H275" s="15"/>
      <c r="I275" s="15"/>
      <c r="K275" s="15"/>
      <c r="L275" s="15"/>
      <c r="M275" s="15"/>
      <c r="O275" s="15"/>
    </row>
    <row r="276" spans="2:15" x14ac:dyDescent="0.25">
      <c r="B276" s="15"/>
      <c r="D276" s="15"/>
      <c r="E276" s="15"/>
      <c r="F276" s="15"/>
      <c r="G276" s="15"/>
      <c r="H276" s="15"/>
      <c r="I276" s="15"/>
      <c r="K276" s="15"/>
      <c r="L276" s="15"/>
      <c r="M276" s="15"/>
      <c r="O276" s="15"/>
    </row>
    <row r="277" spans="2:15" x14ac:dyDescent="0.25">
      <c r="B277" s="15"/>
      <c r="D277" s="15"/>
      <c r="E277" s="15"/>
      <c r="F277" s="15"/>
      <c r="G277" s="15"/>
      <c r="H277" s="15"/>
      <c r="I277" s="15"/>
      <c r="K277" s="15"/>
      <c r="L277" s="15"/>
      <c r="M277" s="15"/>
      <c r="O277" s="15"/>
    </row>
    <row r="278" spans="2:15" x14ac:dyDescent="0.25">
      <c r="B278" s="15"/>
      <c r="D278" s="15"/>
      <c r="E278" s="15"/>
      <c r="F278" s="15"/>
      <c r="G278" s="15"/>
      <c r="H278" s="15"/>
      <c r="I278" s="15"/>
      <c r="K278" s="15"/>
      <c r="L278" s="15"/>
      <c r="M278" s="15"/>
      <c r="O278" s="15"/>
    </row>
    <row r="279" spans="2:15" x14ac:dyDescent="0.25">
      <c r="B279" s="15"/>
      <c r="D279" s="15"/>
      <c r="E279" s="15"/>
      <c r="F279" s="15"/>
      <c r="G279" s="15"/>
      <c r="H279" s="15"/>
      <c r="I279" s="15"/>
      <c r="K279" s="15"/>
      <c r="L279" s="15"/>
      <c r="M279" s="15"/>
      <c r="O279" s="15"/>
    </row>
    <row r="280" spans="2:15" x14ac:dyDescent="0.25">
      <c r="B280" s="15"/>
      <c r="D280" s="15"/>
      <c r="E280" s="15"/>
      <c r="F280" s="15"/>
      <c r="G280" s="15"/>
      <c r="H280" s="15"/>
      <c r="I280" s="15"/>
      <c r="K280" s="15"/>
      <c r="L280" s="15"/>
      <c r="M280" s="15"/>
      <c r="O280" s="15"/>
    </row>
    <row r="281" spans="2:15" x14ac:dyDescent="0.25">
      <c r="B281" s="15"/>
      <c r="D281" s="15"/>
      <c r="E281" s="15"/>
      <c r="F281" s="15"/>
      <c r="G281" s="15"/>
      <c r="H281" s="15"/>
      <c r="I281" s="15"/>
      <c r="K281" s="15"/>
      <c r="L281" s="15"/>
      <c r="M281" s="15"/>
      <c r="O281" s="15"/>
    </row>
    <row r="282" spans="2:15" x14ac:dyDescent="0.25">
      <c r="B282" s="15"/>
      <c r="D282" s="15"/>
      <c r="E282" s="15"/>
      <c r="F282" s="15"/>
      <c r="G282" s="15"/>
      <c r="H282" s="15"/>
      <c r="I282" s="15"/>
      <c r="K282" s="15"/>
      <c r="L282" s="15"/>
      <c r="M282" s="15"/>
      <c r="O282" s="15"/>
    </row>
    <row r="283" spans="2:15" x14ac:dyDescent="0.25">
      <c r="B283" s="15"/>
      <c r="D283" s="15"/>
      <c r="E283" s="15"/>
      <c r="F283" s="15"/>
      <c r="G283" s="15"/>
      <c r="H283" s="15"/>
      <c r="I283" s="15"/>
      <c r="K283" s="15"/>
      <c r="L283" s="15"/>
      <c r="M283" s="15"/>
      <c r="O283" s="15"/>
    </row>
    <row r="284" spans="2:15" x14ac:dyDescent="0.25">
      <c r="B284" s="15"/>
      <c r="D284" s="15"/>
      <c r="E284" s="15"/>
      <c r="F284" s="15"/>
      <c r="G284" s="15"/>
      <c r="H284" s="15"/>
      <c r="I284" s="15"/>
      <c r="K284" s="15"/>
      <c r="L284" s="15"/>
      <c r="M284" s="15"/>
      <c r="O284" s="15"/>
    </row>
    <row r="285" spans="2:15" x14ac:dyDescent="0.25">
      <c r="B285" s="15"/>
      <c r="D285" s="15"/>
      <c r="E285" s="15"/>
      <c r="F285" s="15"/>
      <c r="G285" s="15"/>
      <c r="H285" s="15"/>
      <c r="I285" s="15"/>
      <c r="K285" s="15"/>
      <c r="L285" s="15"/>
      <c r="M285" s="15"/>
      <c r="O285" s="15"/>
    </row>
    <row r="286" spans="2:15" x14ac:dyDescent="0.25">
      <c r="B286" s="15"/>
      <c r="D286" s="15"/>
      <c r="E286" s="15"/>
      <c r="F286" s="15"/>
      <c r="G286" s="15"/>
      <c r="H286" s="15"/>
      <c r="I286" s="15"/>
      <c r="K286" s="15"/>
      <c r="L286" s="15"/>
      <c r="M286" s="15"/>
      <c r="O286" s="15"/>
    </row>
    <row r="287" spans="2:15" x14ac:dyDescent="0.25">
      <c r="B287" s="15"/>
      <c r="D287" s="15"/>
      <c r="E287" s="15"/>
      <c r="F287" s="15"/>
      <c r="G287" s="15"/>
      <c r="H287" s="15"/>
      <c r="I287" s="15"/>
      <c r="K287" s="15"/>
      <c r="L287" s="15"/>
      <c r="M287" s="15"/>
      <c r="O287" s="15"/>
    </row>
    <row r="288" spans="2:15" x14ac:dyDescent="0.25">
      <c r="B288" s="15"/>
      <c r="D288" s="15"/>
      <c r="E288" s="15"/>
      <c r="F288" s="15"/>
      <c r="G288" s="15"/>
      <c r="H288" s="15"/>
      <c r="I288" s="15"/>
      <c r="K288" s="15"/>
      <c r="L288" s="15"/>
      <c r="M288" s="15"/>
      <c r="O288" s="15"/>
    </row>
    <row r="289" spans="2:15" x14ac:dyDescent="0.25">
      <c r="B289" s="15"/>
      <c r="D289" s="15"/>
      <c r="E289" s="15"/>
      <c r="F289" s="15"/>
      <c r="G289" s="15"/>
      <c r="H289" s="15"/>
      <c r="I289" s="15"/>
      <c r="K289" s="15"/>
      <c r="L289" s="15"/>
      <c r="M289" s="15"/>
      <c r="O289" s="15"/>
    </row>
    <row r="290" spans="2:15" x14ac:dyDescent="0.25">
      <c r="B290" s="15"/>
      <c r="D290" s="15"/>
      <c r="E290" s="15"/>
      <c r="F290" s="15"/>
      <c r="G290" s="15"/>
      <c r="H290" s="15"/>
      <c r="I290" s="15"/>
      <c r="K290" s="15"/>
      <c r="L290" s="15"/>
      <c r="M290" s="15"/>
      <c r="O290" s="15"/>
    </row>
    <row r="291" spans="2:15" x14ac:dyDescent="0.25">
      <c r="B291" s="15"/>
      <c r="D291" s="15"/>
      <c r="E291" s="15"/>
      <c r="F291" s="15"/>
      <c r="G291" s="15"/>
      <c r="H291" s="15"/>
      <c r="I291" s="15"/>
      <c r="K291" s="15"/>
      <c r="L291" s="15"/>
      <c r="M291" s="15"/>
      <c r="O291" s="15"/>
    </row>
    <row r="292" spans="2:15" x14ac:dyDescent="0.25">
      <c r="B292" s="15"/>
      <c r="D292" s="15"/>
      <c r="E292" s="15"/>
      <c r="F292" s="15"/>
      <c r="G292" s="15"/>
      <c r="H292" s="15"/>
      <c r="I292" s="15"/>
      <c r="K292" s="15"/>
      <c r="L292" s="15"/>
      <c r="M292" s="15"/>
      <c r="O292" s="15"/>
    </row>
    <row r="293" spans="2:15" x14ac:dyDescent="0.25">
      <c r="B293" s="15"/>
      <c r="D293" s="15"/>
      <c r="E293" s="15"/>
      <c r="F293" s="15"/>
      <c r="G293" s="15"/>
      <c r="H293" s="15"/>
      <c r="I293" s="15"/>
      <c r="K293" s="15"/>
      <c r="L293" s="15"/>
      <c r="M293" s="15"/>
      <c r="O293" s="15"/>
    </row>
    <row r="294" spans="2:15" x14ac:dyDescent="0.25">
      <c r="B294" s="15"/>
      <c r="D294" s="15"/>
      <c r="E294" s="15"/>
      <c r="F294" s="15"/>
      <c r="G294" s="15"/>
      <c r="H294" s="15"/>
      <c r="I294" s="15"/>
      <c r="K294" s="15"/>
      <c r="L294" s="15"/>
      <c r="M294" s="15"/>
      <c r="O294" s="15"/>
    </row>
    <row r="295" spans="2:15" x14ac:dyDescent="0.25">
      <c r="B295" s="15"/>
      <c r="D295" s="15"/>
      <c r="E295" s="15"/>
      <c r="F295" s="15"/>
      <c r="G295" s="15"/>
      <c r="H295" s="15"/>
      <c r="I295" s="15"/>
      <c r="K295" s="15"/>
      <c r="L295" s="15"/>
      <c r="M295" s="15"/>
      <c r="O295" s="15"/>
    </row>
    <row r="296" spans="2:15" x14ac:dyDescent="0.25">
      <c r="B296" s="15"/>
      <c r="D296" s="15"/>
      <c r="E296" s="15"/>
      <c r="F296" s="15"/>
      <c r="G296" s="15"/>
      <c r="H296" s="15"/>
      <c r="I296" s="15"/>
      <c r="K296" s="15"/>
      <c r="L296" s="15"/>
      <c r="M296" s="15"/>
      <c r="O296" s="15"/>
    </row>
    <row r="297" spans="2:15" x14ac:dyDescent="0.25">
      <c r="B297" s="15"/>
      <c r="D297" s="15"/>
      <c r="E297" s="15"/>
      <c r="F297" s="15"/>
      <c r="G297" s="15"/>
      <c r="H297" s="15"/>
      <c r="I297" s="15"/>
      <c r="K297" s="15"/>
      <c r="L297" s="15"/>
      <c r="M297" s="15"/>
      <c r="O297" s="15"/>
    </row>
    <row r="298" spans="2:15" x14ac:dyDescent="0.25">
      <c r="B298" s="15"/>
      <c r="D298" s="15"/>
      <c r="E298" s="15"/>
      <c r="F298" s="15"/>
      <c r="G298" s="15"/>
      <c r="H298" s="15"/>
      <c r="I298" s="15"/>
      <c r="K298" s="15"/>
      <c r="L298" s="15"/>
      <c r="M298" s="15"/>
      <c r="O298" s="15"/>
    </row>
    <row r="299" spans="2:15" x14ac:dyDescent="0.25">
      <c r="B299" s="15"/>
      <c r="D299" s="15"/>
      <c r="E299" s="15"/>
      <c r="F299" s="15"/>
      <c r="G299" s="15"/>
      <c r="H299" s="15"/>
      <c r="I299" s="15"/>
      <c r="K299" s="15"/>
      <c r="L299" s="15"/>
      <c r="M299" s="15"/>
      <c r="O299" s="15"/>
    </row>
    <row r="300" spans="2:15" x14ac:dyDescent="0.25">
      <c r="B300" s="15"/>
      <c r="D300" s="15"/>
      <c r="E300" s="15"/>
      <c r="F300" s="15"/>
      <c r="G300" s="15"/>
      <c r="H300" s="15"/>
      <c r="I300" s="15"/>
      <c r="K300" s="15"/>
      <c r="L300" s="15"/>
      <c r="M300" s="15"/>
      <c r="O300" s="15"/>
    </row>
    <row r="301" spans="2:15" x14ac:dyDescent="0.25">
      <c r="B301" s="15"/>
      <c r="D301" s="15"/>
      <c r="E301" s="15"/>
      <c r="F301" s="15"/>
      <c r="G301" s="15"/>
      <c r="H301" s="15"/>
      <c r="I301" s="15"/>
      <c r="K301" s="15"/>
      <c r="L301" s="15"/>
      <c r="M301" s="15"/>
      <c r="O301" s="15"/>
    </row>
    <row r="302" spans="2:15" x14ac:dyDescent="0.25">
      <c r="B302" s="15"/>
      <c r="D302" s="15"/>
      <c r="E302" s="15"/>
      <c r="F302" s="15"/>
      <c r="G302" s="15"/>
      <c r="H302" s="15"/>
      <c r="I302" s="15"/>
      <c r="K302" s="15"/>
      <c r="L302" s="15"/>
      <c r="M302" s="15"/>
      <c r="O302" s="15"/>
    </row>
    <row r="303" spans="2:15" x14ac:dyDescent="0.25">
      <c r="B303" s="15"/>
      <c r="D303" s="15"/>
      <c r="E303" s="15"/>
      <c r="F303" s="15"/>
      <c r="G303" s="15"/>
      <c r="H303" s="15"/>
      <c r="I303" s="15"/>
      <c r="K303" s="15"/>
      <c r="L303" s="15"/>
      <c r="M303" s="15"/>
      <c r="O303" s="15"/>
    </row>
    <row r="304" spans="2:15" x14ac:dyDescent="0.25">
      <c r="B304" s="15"/>
      <c r="D304" s="15"/>
      <c r="E304" s="15"/>
      <c r="F304" s="15"/>
      <c r="G304" s="15"/>
      <c r="H304" s="15"/>
      <c r="I304" s="15"/>
      <c r="K304" s="15"/>
      <c r="L304" s="15"/>
      <c r="M304" s="15"/>
      <c r="O304" s="15"/>
    </row>
    <row r="305" spans="2:15" x14ac:dyDescent="0.25">
      <c r="B305" s="15"/>
      <c r="D305" s="15"/>
      <c r="E305" s="15"/>
      <c r="F305" s="15"/>
      <c r="G305" s="15"/>
      <c r="H305" s="15"/>
      <c r="I305" s="15"/>
      <c r="K305" s="15"/>
      <c r="L305" s="15"/>
      <c r="M305" s="15"/>
      <c r="O305" s="15"/>
    </row>
    <row r="306" spans="2:15" x14ac:dyDescent="0.25">
      <c r="B306" s="15"/>
      <c r="D306" s="15"/>
      <c r="E306" s="15"/>
      <c r="F306" s="15"/>
      <c r="G306" s="15"/>
      <c r="H306" s="15"/>
      <c r="I306" s="15"/>
      <c r="K306" s="15"/>
      <c r="L306" s="15"/>
      <c r="M306" s="15"/>
      <c r="O306" s="15"/>
    </row>
    <row r="307" spans="2:15" x14ac:dyDescent="0.25">
      <c r="B307" s="15"/>
      <c r="D307" s="15"/>
      <c r="E307" s="15"/>
      <c r="F307" s="15"/>
      <c r="G307" s="15"/>
      <c r="H307" s="15"/>
      <c r="I307" s="15"/>
      <c r="K307" s="15"/>
      <c r="L307" s="15"/>
      <c r="M307" s="15"/>
      <c r="O307" s="15"/>
    </row>
    <row r="308" spans="2:15" x14ac:dyDescent="0.25">
      <c r="B308" s="15"/>
      <c r="D308" s="15"/>
      <c r="E308" s="15"/>
      <c r="F308" s="15"/>
      <c r="G308" s="15"/>
      <c r="H308" s="15"/>
      <c r="I308" s="15"/>
      <c r="K308" s="15"/>
      <c r="L308" s="15"/>
      <c r="M308" s="15"/>
      <c r="O308" s="15"/>
    </row>
  </sheetData>
  <mergeCells count="1">
    <mergeCell ref="F3:J5"/>
  </mergeCells>
  <phoneticPr fontId="1" type="noConversion"/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</vt:i4>
      </vt:variant>
    </vt:vector>
  </HeadingPairs>
  <TitlesOfParts>
    <vt:vector size="6" baseType="lpstr">
      <vt:lpstr>Sheet1</vt:lpstr>
      <vt:lpstr>Exercise 2</vt:lpstr>
      <vt:lpstr>'Exercise 2'!Initial</vt:lpstr>
      <vt:lpstr>'Exercise 2'!r_</vt:lpstr>
      <vt:lpstr>'Exercise 2'!Sigma</vt:lpstr>
      <vt:lpstr>'Exercise 2'!X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2024-12-06T09:41:05Z</dcterms:modified>
</cp:coreProperties>
</file>