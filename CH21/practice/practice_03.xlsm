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practice\"/>
    </mc:Choice>
  </mc:AlternateContent>
  <xr:revisionPtr revIDLastSave="0" documentId="13_ncr:1_{3392E837-3051-4D55-A3E3-ADCFA12D70E5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3" sheetId="2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2" l="1"/>
  <c r="B18" i="2"/>
  <c r="B3" i="2" l="1"/>
  <c r="G14" i="2"/>
  <c r="B8" i="2" l="1"/>
  <c r="B9" i="2" l="1"/>
  <c r="B12" i="2" s="1"/>
  <c r="B11" i="2"/>
  <c r="B14" i="2" s="1"/>
  <c r="B15" i="2" s="1"/>
</calcChain>
</file>

<file path=xl/sharedStrings.xml><?xml version="1.0" encoding="utf-8"?>
<sst xmlns="http://schemas.openxmlformats.org/spreadsheetml/2006/main" count="56" uniqueCount="53">
  <si>
    <t>IMPLICIT PUTS AND ASSET VALUES</t>
  </si>
  <si>
    <r>
      <t>V</t>
    </r>
    <r>
      <rPr>
        <vertAlign val="subscript"/>
        <sz val="10"/>
        <rFont val="Arial"/>
        <family val="2"/>
      </rPr>
      <t>a</t>
    </r>
  </si>
  <si>
    <t>This line references cell B17, and checks that the function works as required.</t>
  </si>
  <si>
    <t>X</t>
  </si>
  <si>
    <t>Money-back guarantee</t>
  </si>
  <si>
    <t>r</t>
  </si>
  <si>
    <t>Risk-fre rate of interest</t>
  </si>
  <si>
    <t>The following VBA functions are attached to this spreadsheet.  To access</t>
  </si>
  <si>
    <t>T</t>
  </si>
  <si>
    <t>Time to maturity of option (in years)</t>
  </si>
  <si>
    <t>them, press [Alt]-F11 and find the module attached to this project.</t>
  </si>
  <si>
    <t>sigma</t>
  </si>
  <si>
    <t>Stock volatility</t>
  </si>
  <si>
    <t>' The function ImpliedAssetPrice (defined below and illustrated on sheet "Exercise 3"</t>
  </si>
  <si>
    <r>
      <t>d</t>
    </r>
    <r>
      <rPr>
        <vertAlign val="subscript"/>
        <sz val="10"/>
        <rFont val="Arial"/>
        <family val="2"/>
      </rPr>
      <t>1</t>
    </r>
  </si>
  <si>
    <t>&lt;--(LN(S/X)+(r+0.5*sigma^2)*T)/(sigma*SQRT(T))</t>
  </si>
  <si>
    <t>' does what is required.  Note that this function assumes that the asset price is</t>
  </si>
  <si>
    <r>
      <t>d</t>
    </r>
    <r>
      <rPr>
        <vertAlign val="subscript"/>
        <sz val="10"/>
        <rFont val="Arial"/>
        <family val="2"/>
      </rPr>
      <t>2</t>
    </r>
  </si>
  <si>
    <r>
      <t>&lt;--d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</si>
  <si>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t>' less than 2000.  Note also that this function assumes that sigma is known.  The</t>
  </si>
  <si>
    <t>' data table on</t>
  </si>
  <si>
    <r>
      <t>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</si>
  <si>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&lt;---Uses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</si>
  <si>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</si>
  <si>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&lt;---Uses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</si>
  <si>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Function ImpliedAssetPrice(Exercise, Time, Interest, sigma, Target)</t>
  </si>
  <si>
    <t>Put price</t>
  </si>
  <si>
    <t xml:space="preserve">    High = 2000</t>
  </si>
  <si>
    <t>Put + asset value</t>
  </si>
  <si>
    <t xml:space="preserve">    Low = 0</t>
  </si>
  <si>
    <t xml:space="preserve">    Do While (High - Low) &gt; 0.0001</t>
  </si>
  <si>
    <t>Target</t>
  </si>
  <si>
    <t xml:space="preserve">    If PutOption((High + Low) / 2, Exercise, Time, Interest, sigma) + _</t>
  </si>
  <si>
    <t>Implied asset price</t>
  </si>
  <si>
    <t xml:space="preserve">        (High + Low) / 2 &gt; Target Then</t>
  </si>
  <si>
    <t xml:space="preserve">             High = (High + Low) / 2</t>
  </si>
  <si>
    <t xml:space="preserve">             Else: Low = (High + Low) / 2</t>
  </si>
  <si>
    <t xml:space="preserve">    End If</t>
  </si>
  <si>
    <t xml:space="preserve">    Loop</t>
  </si>
  <si>
    <t xml:space="preserve">    ImpliedAssetPrice = (High + Low) / 2</t>
  </si>
  <si>
    <t>End Function</t>
  </si>
  <si>
    <t>Function dOne(Stock, Exercise, Time, Interest, sigma)</t>
  </si>
  <si>
    <t xml:space="preserve">    dOne = (Log(Stock / Exercise) + Interest * Time) / (sigma * Sqr(Time)) _</t>
  </si>
  <si>
    <t xml:space="preserve">        + 0.5 * sigma * Sqr(Time)</t>
  </si>
  <si>
    <t>Function CallOption(Stock, Exercise, Time, Interest, sigma)</t>
  </si>
  <si>
    <t xml:space="preserve">    CallOption = Stock * Application.NormSDist(dOne(Stock, Exercise, _</t>
  </si>
  <si>
    <t xml:space="preserve">        Time, Interest, sigma)) - Exercise * Exp(-Time * Interest) * _</t>
  </si>
  <si>
    <t xml:space="preserve">     Application.NormSDist(dOne(Stock, Exercise, Time, Interest, sigma) _</t>
  </si>
  <si>
    <t xml:space="preserve">      - sigma * Sqr(Time))</t>
  </si>
  <si>
    <t>'Put pricing function uses put-call parity theorem</t>
  </si>
  <si>
    <t>Function PutOption(Stock, Exercise, Time, Interest, sigma)</t>
  </si>
  <si>
    <t xml:space="preserve">    PutOption = CallOption(Stock, Exercise, Time, Interest, sigma) _</t>
  </si>
  <si>
    <t xml:space="preserve">         + Exercise * Exp(-Interest * Time) -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</si>
</sst>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"/>
    <numFmt numFmtId="177" formatCode="_(* #,##0.00_);_(* \(#,##0.00\);_(* &quot;-&quot;??_);_(@_)"/>
    <numFmt numFmtId="178" formatCode="_(* #,##0.0000_);_(* \(#,##0.0000\);_(* &quot;-&quot;??_);_(@_)"/>
    <numFmt numFmtId="179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/>
    <xf numFmtId="0" fontId="2" fillId="0" borderId="0"/>
    <xf numFmtId="177" fontId="2" fillId="0" borderId="0" applyFont="0" applyFill="0" applyBorder="0" applyAlignment="0" applyProtection="0"/>
  </cellStyleXfs>
  <cellXfs count="21">
    <xf numFmtId="0" fontId="0" fillId="0" borderId="0" xfId="0">
      <alignment vertical="center"/>
    </xf>
    <xf numFmtId="9" fontId="3" fillId="0" borderId="0" xfId="1" applyFont="1" applyAlignment="1">
      <alignment horizontal="centerContinuous"/>
    </xf>
    <xf numFmtId="9" fontId="4" fillId="0" borderId="0" xfId="1" applyFont="1" applyAlignment="1">
      <alignment horizontal="centerContinuous"/>
    </xf>
    <xf numFmtId="0" fontId="2" fillId="0" borderId="0" xfId="2"/>
    <xf numFmtId="9" fontId="5" fillId="0" borderId="0" xfId="1" applyFont="1" applyAlignment="1">
      <alignment horizontal="centerContinuous"/>
    </xf>
    <xf numFmtId="9" fontId="0" fillId="0" borderId="0" xfId="1" applyFont="1"/>
    <xf numFmtId="0" fontId="0" fillId="0" borderId="0" xfId="1" applyNumberFormat="1" applyFont="1"/>
    <xf numFmtId="9" fontId="0" fillId="0" borderId="0" xfId="1" quotePrefix="1" applyFont="1"/>
    <xf numFmtId="10" fontId="0" fillId="0" borderId="0" xfId="1" applyNumberFormat="1" applyFont="1"/>
    <xf numFmtId="0" fontId="7" fillId="0" borderId="0" xfId="2" applyFont="1"/>
    <xf numFmtId="176" fontId="0" fillId="0" borderId="0" xfId="1" quotePrefix="1" applyNumberFormat="1" applyFont="1"/>
    <xf numFmtId="176" fontId="0" fillId="0" borderId="0" xfId="1" applyNumberFormat="1" applyFont="1"/>
    <xf numFmtId="2" fontId="0" fillId="0" borderId="0" xfId="1" applyNumberFormat="1" applyFont="1"/>
    <xf numFmtId="177" fontId="0" fillId="0" borderId="0" xfId="3" applyFont="1"/>
    <xf numFmtId="2" fontId="2" fillId="0" borderId="0" xfId="2" applyNumberFormat="1"/>
    <xf numFmtId="178" fontId="0" fillId="0" borderId="0" xfId="3" applyNumberFormat="1" applyFont="1"/>
    <xf numFmtId="0" fontId="2" fillId="0" borderId="1" xfId="2" applyBorder="1"/>
    <xf numFmtId="0" fontId="2" fillId="0" borderId="2" xfId="2" applyBorder="1"/>
    <xf numFmtId="0" fontId="2" fillId="0" borderId="3" xfId="2" applyBorder="1"/>
    <xf numFmtId="179" fontId="2" fillId="0" borderId="4" xfId="2" applyNumberFormat="1" applyBorder="1"/>
    <xf numFmtId="179" fontId="0" fillId="0" borderId="0" xfId="1" applyNumberFormat="1" applyFont="1"/>
  </cellXfs>
  <cellStyles count="4">
    <cellStyle name="百分比 2" xfId="1" xr:uid="{680A8AEC-BF78-4013-905C-E112A3992E36}"/>
    <cellStyle name="常规" xfId="0" builtinId="0"/>
    <cellStyle name="常规 2" xfId="2" xr:uid="{561EE5F9-C9C1-4C2A-A6DC-45BF2DBBDCF9}"/>
    <cellStyle name="千位分隔 2" xfId="3" xr:uid="{8D157F1C-BDE6-4C76-9280-29341266308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Implied Asset Price as Function of Volatility</a:t>
            </a:r>
          </a:p>
        </c:rich>
      </c:tx>
      <c:layout>
        <c:manualLayout>
          <c:xMode val="edge"/>
          <c:yMode val="edge"/>
          <c:x val="0.1702127659574468"/>
          <c:y val="4.74138180509464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404255319148937"/>
          <c:y val="0.29741394959230077"/>
          <c:w val="0.65349544072948329"/>
          <c:h val="0.431034709554058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3'!$F$15:$F$23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xVal>
          <c:yVal>
            <c:numRef>
              <c:f>'Exercise 3'!$G$15:$G$23</c:f>
              <c:numCache>
                <c:formatCode>_(* #,##0.0000_);_(* \(#,##0.0000\);_(* "-"??_);_(@_)</c:formatCode>
                <c:ptCount val="9"/>
                <c:pt idx="0">
                  <c:v>99.932581186294556</c:v>
                </c:pt>
                <c:pt idx="1">
                  <c:v>98.346203565597534</c:v>
                </c:pt>
                <c:pt idx="2">
                  <c:v>94.892352819442749</c:v>
                </c:pt>
                <c:pt idx="3">
                  <c:v>90.411454439163208</c:v>
                </c:pt>
                <c:pt idx="4">
                  <c:v>85.465818643569946</c:v>
                </c:pt>
                <c:pt idx="5">
                  <c:v>80.393224954605103</c:v>
                </c:pt>
                <c:pt idx="6">
                  <c:v>75.396627187728882</c:v>
                </c:pt>
                <c:pt idx="7">
                  <c:v>70.596128702163696</c:v>
                </c:pt>
                <c:pt idx="8">
                  <c:v>66.059321165084839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8-44A5-9B49-F86C73500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327104"/>
        <c:axId val="1"/>
      </c:scatterChart>
      <c:valAx>
        <c:axId val="45332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Asset sigma</a:t>
                </a:r>
              </a:p>
            </c:rich>
          </c:tx>
          <c:layout>
            <c:manualLayout>
              <c:xMode val="edge"/>
              <c:yMode val="edge"/>
              <c:x val="0.44680851063829785"/>
              <c:y val="0.8620694191081180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Implied asset price</a:t>
                </a:r>
              </a:p>
            </c:rich>
          </c:tx>
          <c:layout>
            <c:manualLayout>
              <c:xMode val="edge"/>
              <c:yMode val="edge"/>
              <c:x val="7.29483282674772E-2"/>
              <c:y val="0.275862214114597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533271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19</xdr:row>
      <xdr:rowOff>38100</xdr:rowOff>
    </xdr:from>
    <xdr:to>
      <xdr:col>4</xdr:col>
      <xdr:colOff>1209675</xdr:colOff>
      <xdr:row>32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A30CDD6-00C5-4FDC-A330-95A3B0EB70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276225</xdr:colOff>
      <xdr:row>1</xdr:row>
      <xdr:rowOff>0</xdr:rowOff>
    </xdr:from>
    <xdr:to>
      <xdr:col>37</xdr:col>
      <xdr:colOff>171232</xdr:colOff>
      <xdr:row>49</xdr:row>
      <xdr:rowOff>130736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D078CA0-B49A-2BE8-1DD9-A463C4570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91875" y="219075"/>
          <a:ext cx="12090817" cy="8573696"/>
        </a:xfrm>
        <a:prstGeom prst="rect">
          <a:avLst/>
        </a:prstGeom>
      </xdr:spPr>
    </xdr:pic>
    <xdr:clientData/>
  </xdr:twoCellAnchor>
  <xdr:twoCellAnchor editAs="oneCell">
    <xdr:from>
      <xdr:col>0</xdr:col>
      <xdr:colOff>234315</xdr:colOff>
      <xdr:row>36</xdr:row>
      <xdr:rowOff>57150</xdr:rowOff>
    </xdr:from>
    <xdr:to>
      <xdr:col>7</xdr:col>
      <xdr:colOff>421941</xdr:colOff>
      <xdr:row>56</xdr:row>
      <xdr:rowOff>19523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B70350EE-AC6E-C9DC-F3C9-405347194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4315" y="6486525"/>
          <a:ext cx="6712251" cy="339137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ImpliedAssetPric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F077-DE6F-439B-884C-FB234336F00B}">
  <sheetPr codeName="Sheet3"/>
  <dimension ref="A1:J43"/>
  <sheetViews>
    <sheetView tabSelected="1" workbookViewId="0">
      <selection activeCell="E33" sqref="E33"/>
    </sheetView>
  </sheetViews>
  <sheetFormatPr defaultRowHeight="13.2" x14ac:dyDescent="0.25"/>
  <cols>
    <col min="1" max="1" width="16.88671875" style="3" customWidth="1"/>
    <col min="2" max="2" width="12.33203125" style="3" customWidth="1"/>
    <col min="3" max="4" width="8.88671875" style="3"/>
    <col min="5" max="5" width="30.21875" style="3" customWidth="1"/>
    <col min="6" max="256" width="8.88671875" style="3"/>
    <col min="257" max="257" width="16.88671875" style="3" customWidth="1"/>
    <col min="258" max="512" width="8.88671875" style="3"/>
    <col min="513" max="513" width="16.88671875" style="3" customWidth="1"/>
    <col min="514" max="768" width="8.88671875" style="3"/>
    <col min="769" max="769" width="16.88671875" style="3" customWidth="1"/>
    <col min="770" max="1024" width="8.88671875" style="3"/>
    <col min="1025" max="1025" width="16.88671875" style="3" customWidth="1"/>
    <col min="1026" max="1280" width="8.88671875" style="3"/>
    <col min="1281" max="1281" width="16.88671875" style="3" customWidth="1"/>
    <col min="1282" max="1536" width="8.88671875" style="3"/>
    <col min="1537" max="1537" width="16.88671875" style="3" customWidth="1"/>
    <col min="1538" max="1792" width="8.88671875" style="3"/>
    <col min="1793" max="1793" width="16.88671875" style="3" customWidth="1"/>
    <col min="1794" max="2048" width="8.88671875" style="3"/>
    <col min="2049" max="2049" width="16.88671875" style="3" customWidth="1"/>
    <col min="2050" max="2304" width="8.88671875" style="3"/>
    <col min="2305" max="2305" width="16.88671875" style="3" customWidth="1"/>
    <col min="2306" max="2560" width="8.88671875" style="3"/>
    <col min="2561" max="2561" width="16.88671875" style="3" customWidth="1"/>
    <col min="2562" max="2816" width="8.88671875" style="3"/>
    <col min="2817" max="2817" width="16.88671875" style="3" customWidth="1"/>
    <col min="2818" max="3072" width="8.88671875" style="3"/>
    <col min="3073" max="3073" width="16.88671875" style="3" customWidth="1"/>
    <col min="3074" max="3328" width="8.88671875" style="3"/>
    <col min="3329" max="3329" width="16.88671875" style="3" customWidth="1"/>
    <col min="3330" max="3584" width="8.88671875" style="3"/>
    <col min="3585" max="3585" width="16.88671875" style="3" customWidth="1"/>
    <col min="3586" max="3840" width="8.88671875" style="3"/>
    <col min="3841" max="3841" width="16.88671875" style="3" customWidth="1"/>
    <col min="3842" max="4096" width="8.88671875" style="3"/>
    <col min="4097" max="4097" width="16.88671875" style="3" customWidth="1"/>
    <col min="4098" max="4352" width="8.88671875" style="3"/>
    <col min="4353" max="4353" width="16.88671875" style="3" customWidth="1"/>
    <col min="4354" max="4608" width="8.88671875" style="3"/>
    <col min="4609" max="4609" width="16.88671875" style="3" customWidth="1"/>
    <col min="4610" max="4864" width="8.88671875" style="3"/>
    <col min="4865" max="4865" width="16.88671875" style="3" customWidth="1"/>
    <col min="4866" max="5120" width="8.88671875" style="3"/>
    <col min="5121" max="5121" width="16.88671875" style="3" customWidth="1"/>
    <col min="5122" max="5376" width="8.88671875" style="3"/>
    <col min="5377" max="5377" width="16.88671875" style="3" customWidth="1"/>
    <col min="5378" max="5632" width="8.88671875" style="3"/>
    <col min="5633" max="5633" width="16.88671875" style="3" customWidth="1"/>
    <col min="5634" max="5888" width="8.88671875" style="3"/>
    <col min="5889" max="5889" width="16.88671875" style="3" customWidth="1"/>
    <col min="5890" max="6144" width="8.88671875" style="3"/>
    <col min="6145" max="6145" width="16.88671875" style="3" customWidth="1"/>
    <col min="6146" max="6400" width="8.88671875" style="3"/>
    <col min="6401" max="6401" width="16.88671875" style="3" customWidth="1"/>
    <col min="6402" max="6656" width="8.88671875" style="3"/>
    <col min="6657" max="6657" width="16.88671875" style="3" customWidth="1"/>
    <col min="6658" max="6912" width="8.88671875" style="3"/>
    <col min="6913" max="6913" width="16.88671875" style="3" customWidth="1"/>
    <col min="6914" max="7168" width="8.88671875" style="3"/>
    <col min="7169" max="7169" width="16.88671875" style="3" customWidth="1"/>
    <col min="7170" max="7424" width="8.88671875" style="3"/>
    <col min="7425" max="7425" width="16.88671875" style="3" customWidth="1"/>
    <col min="7426" max="7680" width="8.88671875" style="3"/>
    <col min="7681" max="7681" width="16.88671875" style="3" customWidth="1"/>
    <col min="7682" max="7936" width="8.88671875" style="3"/>
    <col min="7937" max="7937" width="16.88671875" style="3" customWidth="1"/>
    <col min="7938" max="8192" width="8.88671875" style="3"/>
    <col min="8193" max="8193" width="16.88671875" style="3" customWidth="1"/>
    <col min="8194" max="8448" width="8.88671875" style="3"/>
    <col min="8449" max="8449" width="16.88671875" style="3" customWidth="1"/>
    <col min="8450" max="8704" width="8.88671875" style="3"/>
    <col min="8705" max="8705" width="16.88671875" style="3" customWidth="1"/>
    <col min="8706" max="8960" width="8.88671875" style="3"/>
    <col min="8961" max="8961" width="16.88671875" style="3" customWidth="1"/>
    <col min="8962" max="9216" width="8.88671875" style="3"/>
    <col min="9217" max="9217" width="16.88671875" style="3" customWidth="1"/>
    <col min="9218" max="9472" width="8.88671875" style="3"/>
    <col min="9473" max="9473" width="16.88671875" style="3" customWidth="1"/>
    <col min="9474" max="9728" width="8.88671875" style="3"/>
    <col min="9729" max="9729" width="16.88671875" style="3" customWidth="1"/>
    <col min="9730" max="9984" width="8.88671875" style="3"/>
    <col min="9985" max="9985" width="16.88671875" style="3" customWidth="1"/>
    <col min="9986" max="10240" width="8.88671875" style="3"/>
    <col min="10241" max="10241" width="16.88671875" style="3" customWidth="1"/>
    <col min="10242" max="10496" width="8.88671875" style="3"/>
    <col min="10497" max="10497" width="16.88671875" style="3" customWidth="1"/>
    <col min="10498" max="10752" width="8.88671875" style="3"/>
    <col min="10753" max="10753" width="16.88671875" style="3" customWidth="1"/>
    <col min="10754" max="11008" width="8.88671875" style="3"/>
    <col min="11009" max="11009" width="16.88671875" style="3" customWidth="1"/>
    <col min="11010" max="11264" width="8.88671875" style="3"/>
    <col min="11265" max="11265" width="16.88671875" style="3" customWidth="1"/>
    <col min="11266" max="11520" width="8.88671875" style="3"/>
    <col min="11521" max="11521" width="16.88671875" style="3" customWidth="1"/>
    <col min="11522" max="11776" width="8.88671875" style="3"/>
    <col min="11777" max="11777" width="16.88671875" style="3" customWidth="1"/>
    <col min="11778" max="12032" width="8.88671875" style="3"/>
    <col min="12033" max="12033" width="16.88671875" style="3" customWidth="1"/>
    <col min="12034" max="12288" width="8.88671875" style="3"/>
    <col min="12289" max="12289" width="16.88671875" style="3" customWidth="1"/>
    <col min="12290" max="12544" width="8.88671875" style="3"/>
    <col min="12545" max="12545" width="16.88671875" style="3" customWidth="1"/>
    <col min="12546" max="12800" width="8.88671875" style="3"/>
    <col min="12801" max="12801" width="16.88671875" style="3" customWidth="1"/>
    <col min="12802" max="13056" width="8.88671875" style="3"/>
    <col min="13057" max="13057" width="16.88671875" style="3" customWidth="1"/>
    <col min="13058" max="13312" width="8.88671875" style="3"/>
    <col min="13313" max="13313" width="16.88671875" style="3" customWidth="1"/>
    <col min="13314" max="13568" width="8.88671875" style="3"/>
    <col min="13569" max="13569" width="16.88671875" style="3" customWidth="1"/>
    <col min="13570" max="13824" width="8.88671875" style="3"/>
    <col min="13825" max="13825" width="16.88671875" style="3" customWidth="1"/>
    <col min="13826" max="14080" width="8.88671875" style="3"/>
    <col min="14081" max="14081" width="16.88671875" style="3" customWidth="1"/>
    <col min="14082" max="14336" width="8.88671875" style="3"/>
    <col min="14337" max="14337" width="16.88671875" style="3" customWidth="1"/>
    <col min="14338" max="14592" width="8.88671875" style="3"/>
    <col min="14593" max="14593" width="16.88671875" style="3" customWidth="1"/>
    <col min="14594" max="14848" width="8.88671875" style="3"/>
    <col min="14849" max="14849" width="16.88671875" style="3" customWidth="1"/>
    <col min="14850" max="15104" width="8.88671875" style="3"/>
    <col min="15105" max="15105" width="16.88671875" style="3" customWidth="1"/>
    <col min="15106" max="15360" width="8.88671875" style="3"/>
    <col min="15361" max="15361" width="16.88671875" style="3" customWidth="1"/>
    <col min="15362" max="15616" width="8.88671875" style="3"/>
    <col min="15617" max="15617" width="16.88671875" style="3" customWidth="1"/>
    <col min="15618" max="15872" width="8.88671875" style="3"/>
    <col min="15873" max="15873" width="16.88671875" style="3" customWidth="1"/>
    <col min="15874" max="16128" width="8.88671875" style="3"/>
    <col min="16129" max="16129" width="16.88671875" style="3" customWidth="1"/>
    <col min="16130" max="16384" width="8.88671875" style="3"/>
  </cols>
  <sheetData>
    <row r="1" spans="1:10" ht="17.399999999999999" x14ac:dyDescent="0.3">
      <c r="A1" s="1" t="s">
        <v>0</v>
      </c>
      <c r="B1" s="2"/>
      <c r="C1" s="2"/>
      <c r="D1" s="2"/>
      <c r="E1" s="2"/>
      <c r="F1" s="2"/>
      <c r="G1" s="2"/>
    </row>
    <row r="2" spans="1:10" ht="15.6" x14ac:dyDescent="0.3">
      <c r="A2" s="4"/>
      <c r="B2" s="2"/>
      <c r="C2" s="2"/>
      <c r="D2" s="2"/>
      <c r="E2" s="2"/>
      <c r="F2" s="2"/>
      <c r="G2" s="2"/>
    </row>
    <row r="3" spans="1:10" ht="15.6" x14ac:dyDescent="0.35">
      <c r="A3" s="5" t="s">
        <v>1</v>
      </c>
      <c r="B3" s="20">
        <f>B18</f>
        <v>94.892352819442749</v>
      </c>
      <c r="C3" s="5" t="s">
        <v>2</v>
      </c>
      <c r="D3" s="5"/>
      <c r="E3" s="5"/>
      <c r="F3" s="5"/>
      <c r="G3" s="5"/>
    </row>
    <row r="4" spans="1:10" ht="13.8" x14ac:dyDescent="0.25">
      <c r="A4" s="5" t="s">
        <v>3</v>
      </c>
      <c r="B4" s="6">
        <v>90</v>
      </c>
      <c r="C4" s="5" t="s">
        <v>4</v>
      </c>
      <c r="D4" s="7"/>
      <c r="E4" s="5"/>
      <c r="F4" s="5"/>
      <c r="G4" s="5"/>
    </row>
    <row r="5" spans="1:10" ht="13.8" x14ac:dyDescent="0.25">
      <c r="A5" s="5" t="s">
        <v>5</v>
      </c>
      <c r="B5" s="8">
        <v>0.1</v>
      </c>
      <c r="C5" s="5" t="s">
        <v>6</v>
      </c>
      <c r="D5" s="5"/>
      <c r="E5" s="5"/>
      <c r="F5" s="5"/>
      <c r="G5" s="5"/>
      <c r="J5" s="9" t="s">
        <v>7</v>
      </c>
    </row>
    <row r="6" spans="1:10" ht="13.8" x14ac:dyDescent="0.25">
      <c r="A6" s="5" t="s">
        <v>8</v>
      </c>
      <c r="B6" s="6">
        <v>1</v>
      </c>
      <c r="C6" s="5" t="s">
        <v>9</v>
      </c>
      <c r="D6" s="5"/>
      <c r="E6" s="5"/>
      <c r="F6" s="5"/>
      <c r="G6" s="5"/>
      <c r="J6" s="9" t="s">
        <v>10</v>
      </c>
    </row>
    <row r="7" spans="1:10" ht="13.8" x14ac:dyDescent="0.25">
      <c r="A7" s="5" t="s">
        <v>11</v>
      </c>
      <c r="B7" s="5">
        <v>0.3</v>
      </c>
      <c r="C7" s="5" t="s">
        <v>12</v>
      </c>
      <c r="D7" s="5"/>
      <c r="E7" s="5"/>
      <c r="F7" s="5"/>
      <c r="G7" s="5"/>
      <c r="J7" s="3" t="s">
        <v>13</v>
      </c>
    </row>
    <row r="8" spans="1:10" ht="15.6" x14ac:dyDescent="0.35">
      <c r="A8" s="5" t="s">
        <v>14</v>
      </c>
      <c r="B8" s="10">
        <f>(LN(B3/B4)+(B5+0.5*B7^2)*B6)/(B7*SQRT(B6))</f>
        <v>0.65977816859574223</v>
      </c>
      <c r="C8" s="5" t="s">
        <v>15</v>
      </c>
      <c r="D8" s="5"/>
      <c r="E8" s="5"/>
      <c r="F8" s="5"/>
      <c r="G8" s="5"/>
      <c r="J8" s="3" t="s">
        <v>16</v>
      </c>
    </row>
    <row r="9" spans="1:10" ht="15.6" x14ac:dyDescent="0.35">
      <c r="A9" s="5" t="s">
        <v>17</v>
      </c>
      <c r="B9" s="10">
        <f>B8-SQRT(B6)*B7</f>
        <v>0.35977816859574224</v>
      </c>
      <c r="C9" s="5" t="s">
        <v>18</v>
      </c>
      <c r="D9" s="5"/>
      <c r="E9" s="5"/>
      <c r="F9" s="5"/>
      <c r="G9" s="5"/>
      <c r="J9" s="3" t="s">
        <v>19</v>
      </c>
    </row>
    <row r="10" spans="1:10" ht="13.8" x14ac:dyDescent="0.25">
      <c r="A10" s="5"/>
      <c r="B10" s="11"/>
      <c r="C10" s="5"/>
      <c r="D10" s="5"/>
      <c r="E10" s="5"/>
      <c r="F10" s="5"/>
      <c r="G10" s="5"/>
      <c r="J10" s="3" t="s">
        <v>20</v>
      </c>
    </row>
    <row r="11" spans="1:10" ht="15.6" x14ac:dyDescent="0.35">
      <c r="A11" s="5" t="s">
        <v>21</v>
      </c>
      <c r="B11" s="11">
        <f>NORMSDIST(B8)</f>
        <v>0.74530190245031147</v>
      </c>
      <c r="C11" s="5" t="s">
        <v>22</v>
      </c>
      <c r="D11" s="5"/>
      <c r="E11" s="5"/>
      <c r="F11" s="5"/>
      <c r="G11" s="5"/>
    </row>
    <row r="12" spans="1:10" ht="15.6" x14ac:dyDescent="0.35">
      <c r="A12" s="5" t="s">
        <v>23</v>
      </c>
      <c r="B12" s="11">
        <f>NORMSDIST(B9)</f>
        <v>0.640493484791957</v>
      </c>
      <c r="C12" s="5" t="s">
        <v>24</v>
      </c>
      <c r="D12" s="5"/>
      <c r="E12" s="5"/>
      <c r="F12" s="5"/>
      <c r="G12" s="5"/>
    </row>
    <row r="13" spans="1:10" ht="13.8" x14ac:dyDescent="0.25">
      <c r="A13" s="5"/>
      <c r="B13" s="11"/>
      <c r="C13" s="5"/>
      <c r="D13" s="5"/>
      <c r="E13" s="5"/>
      <c r="F13" s="5"/>
      <c r="G13" s="5"/>
      <c r="J13" s="3" t="s">
        <v>25</v>
      </c>
    </row>
    <row r="14" spans="1:10" ht="13.8" x14ac:dyDescent="0.25">
      <c r="A14" s="5" t="s">
        <v>26</v>
      </c>
      <c r="B14" s="12">
        <f>-B3*(1-B11)+B4*EXP(-B5*B6)*(1-B12)</f>
        <v>5.1076434937897055</v>
      </c>
      <c r="C14" s="5"/>
      <c r="D14" s="5"/>
      <c r="E14" s="5"/>
      <c r="F14" s="5"/>
      <c r="G14" s="13">
        <f>B18</f>
        <v>94.892352819442749</v>
      </c>
      <c r="J14" s="3" t="s">
        <v>27</v>
      </c>
    </row>
    <row r="15" spans="1:10" ht="13.8" x14ac:dyDescent="0.25">
      <c r="A15" s="5" t="s">
        <v>28</v>
      </c>
      <c r="B15" s="14">
        <f>B3+B14</f>
        <v>99.999996313232458</v>
      </c>
      <c r="C15" s="5"/>
      <c r="D15" s="5"/>
      <c r="E15" s="5"/>
      <c r="F15" s="5">
        <v>0.1</v>
      </c>
      <c r="G15" s="15">
        <f t="dataTable" ref="G15:G23" dt2D="0" dtr="0" r1="B7"/>
        <v>99.932581186294556</v>
      </c>
      <c r="J15" s="3" t="s">
        <v>29</v>
      </c>
    </row>
    <row r="16" spans="1:10" ht="14.4" thickBot="1" x14ac:dyDescent="0.3">
      <c r="A16" s="5"/>
      <c r="B16" s="14"/>
      <c r="C16" s="5"/>
      <c r="D16" s="5"/>
      <c r="E16" s="5"/>
      <c r="F16" s="5">
        <v>0.2</v>
      </c>
      <c r="G16" s="15">
        <v>98.346203565597534</v>
      </c>
      <c r="J16" s="3" t="s">
        <v>30</v>
      </c>
    </row>
    <row r="17" spans="1:10" ht="14.4" thickTop="1" x14ac:dyDescent="0.25">
      <c r="A17" s="16" t="s">
        <v>31</v>
      </c>
      <c r="B17" s="17">
        <v>100</v>
      </c>
      <c r="F17" s="5">
        <v>0.3</v>
      </c>
      <c r="G17" s="15">
        <v>94.892352819442749</v>
      </c>
      <c r="J17" s="3" t="s">
        <v>32</v>
      </c>
    </row>
    <row r="18" spans="1:10" ht="14.4" thickBot="1" x14ac:dyDescent="0.3">
      <c r="A18" s="18" t="s">
        <v>33</v>
      </c>
      <c r="B18" s="19">
        <f>[1]!ImpliedAssetPrice(B4,B6,B5,B7,B17)</f>
        <v>94.892352819442749</v>
      </c>
      <c r="C18" s="3" t="str">
        <f ca="1" xml:space="preserve"> "&lt;-- This is the function" &amp;  _xlfn.FORMULATEXT(B18)</f>
        <v>&lt;-- This is the function=ImpliedAssetPrice(B4,B6,B5,B7,B17)</v>
      </c>
      <c r="F18" s="5">
        <v>0.4</v>
      </c>
      <c r="G18" s="15">
        <v>90.411454439163208</v>
      </c>
      <c r="J18" s="3" t="s">
        <v>34</v>
      </c>
    </row>
    <row r="19" spans="1:10" ht="14.4" thickTop="1" x14ac:dyDescent="0.25">
      <c r="F19" s="5">
        <v>0.5</v>
      </c>
      <c r="G19" s="15">
        <v>85.465818643569946</v>
      </c>
      <c r="J19" s="3" t="s">
        <v>35</v>
      </c>
    </row>
    <row r="20" spans="1:10" ht="13.8" x14ac:dyDescent="0.25">
      <c r="F20" s="5">
        <v>0.6</v>
      </c>
      <c r="G20" s="15">
        <v>80.393224954605103</v>
      </c>
      <c r="J20" s="3" t="s">
        <v>36</v>
      </c>
    </row>
    <row r="21" spans="1:10" ht="13.8" x14ac:dyDescent="0.25">
      <c r="F21" s="5">
        <v>0.7</v>
      </c>
      <c r="G21" s="15">
        <v>75.396627187728882</v>
      </c>
      <c r="J21" s="3" t="s">
        <v>37</v>
      </c>
    </row>
    <row r="22" spans="1:10" ht="13.8" x14ac:dyDescent="0.25">
      <c r="F22" s="5">
        <v>0.8</v>
      </c>
      <c r="G22" s="15">
        <v>70.596128702163696</v>
      </c>
      <c r="J22" s="3" t="s">
        <v>38</v>
      </c>
    </row>
    <row r="23" spans="1:10" ht="13.8" x14ac:dyDescent="0.25">
      <c r="F23" s="5">
        <v>0.9</v>
      </c>
      <c r="G23" s="15">
        <v>66.059321165084839</v>
      </c>
      <c r="J23" s="3" t="s">
        <v>39</v>
      </c>
    </row>
    <row r="24" spans="1:10" x14ac:dyDescent="0.25">
      <c r="J24" s="3" t="s">
        <v>40</v>
      </c>
    </row>
    <row r="27" spans="1:10" x14ac:dyDescent="0.25">
      <c r="J27" s="3" t="s">
        <v>41</v>
      </c>
    </row>
    <row r="28" spans="1:10" x14ac:dyDescent="0.25">
      <c r="J28" s="3" t="s">
        <v>42</v>
      </c>
    </row>
    <row r="29" spans="1:10" x14ac:dyDescent="0.25">
      <c r="J29" s="3" t="s">
        <v>43</v>
      </c>
    </row>
    <row r="30" spans="1:10" x14ac:dyDescent="0.25">
      <c r="J30" s="3" t="s">
        <v>40</v>
      </c>
    </row>
    <row r="32" spans="1:10" x14ac:dyDescent="0.25">
      <c r="J32" s="3" t="s">
        <v>44</v>
      </c>
    </row>
    <row r="33" spans="10:10" x14ac:dyDescent="0.25">
      <c r="J33" s="3" t="s">
        <v>45</v>
      </c>
    </row>
    <row r="34" spans="10:10" x14ac:dyDescent="0.25">
      <c r="J34" s="3" t="s">
        <v>46</v>
      </c>
    </row>
    <row r="35" spans="10:10" x14ac:dyDescent="0.25">
      <c r="J35" s="3" t="s">
        <v>47</v>
      </c>
    </row>
    <row r="36" spans="10:10" x14ac:dyDescent="0.25">
      <c r="J36" s="3" t="s">
        <v>48</v>
      </c>
    </row>
    <row r="37" spans="10:10" x14ac:dyDescent="0.25">
      <c r="J37" s="3" t="s">
        <v>40</v>
      </c>
    </row>
    <row r="39" spans="10:10" x14ac:dyDescent="0.25">
      <c r="J39" s="3" t="s">
        <v>49</v>
      </c>
    </row>
    <row r="40" spans="10:10" x14ac:dyDescent="0.25">
      <c r="J40" s="3" t="s">
        <v>50</v>
      </c>
    </row>
    <row r="41" spans="10:10" x14ac:dyDescent="0.25">
      <c r="J41" s="3" t="s">
        <v>51</v>
      </c>
    </row>
    <row r="42" spans="10:10" x14ac:dyDescent="0.25">
      <c r="J42" s="3" t="s">
        <v>52</v>
      </c>
    </row>
    <row r="43" spans="10:10" x14ac:dyDescent="0.25">
      <c r="J43" s="3" t="s">
        <v>40</v>
      </c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2024-12-06T12:34:14Z</dcterms:modified>
</cp:coreProperties>
</file>