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practice\"/>
    </mc:Choice>
  </mc:AlternateContent>
  <xr:revisionPtr revIDLastSave="0" documentId="13_ncr:1_{B483831C-DF26-40DE-873B-747EBC403FF0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externalReferences>
    <externalReference r:id="rId2"/>
  </externalReferences>
  <definedNames>
    <definedName name="solver_adj" localSheetId="0" hidden="1">Sheet1!$B$5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Sheet1!$B$15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1" l="1"/>
  <c r="B21" i="1"/>
  <c r="D21" i="1"/>
  <c r="B26" i="1"/>
  <c r="B9" i="1"/>
  <c r="B12" i="1" s="1"/>
  <c r="E27" i="1"/>
  <c r="D27" i="1"/>
  <c r="C22" i="1"/>
  <c r="C21" i="1"/>
  <c r="C34" i="1"/>
  <c r="C31" i="1"/>
  <c r="C28" i="1"/>
  <c r="C27" i="1"/>
  <c r="C26" i="1"/>
  <c r="B10" i="1" l="1"/>
  <c r="B27" i="1" l="1"/>
  <c r="B28" i="1" s="1"/>
  <c r="B31" i="1" s="1"/>
  <c r="B34" i="1" s="1"/>
  <c r="B13" i="1"/>
  <c r="B15" i="1" s="1"/>
  <c r="B22" i="1"/>
</calcChain>
</file>

<file path=xl/sharedStrings.xml><?xml version="1.0" encoding="utf-8"?>
<sst xmlns="http://schemas.openxmlformats.org/spreadsheetml/2006/main" count="36" uniqueCount="35">
  <si>
    <t>CHOOSING A SYNTHETIC PUT EXERCISE PRICE</t>
  </si>
  <si>
    <t>z</t>
  </si>
  <si>
    <t>Insurance level</t>
  </si>
  <si>
    <t>S</t>
  </si>
  <si>
    <t>Current stock price</t>
  </si>
  <si>
    <t>X</t>
  </si>
  <si>
    <t>Exercise price</t>
  </si>
  <si>
    <t>r</t>
  </si>
  <si>
    <t>Risk-free rate of interest</t>
  </si>
  <si>
    <t>T</t>
  </si>
  <si>
    <t>Time to maturity of option (in years)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</si>
  <si>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</si>
  <si>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</si>
  <si>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</si>
  <si>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</si>
  <si>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</si>
  <si>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&lt;--d</t>
    </r>
    <r>
      <rPr>
        <vertAlign val="subscript"/>
        <sz val="10"/>
        <rFont val="Arial"/>
        <family val="2"/>
      </rPr>
      <t xml:space="preserve">1 </t>
    </r>
    <r>
      <rPr>
        <sz val="11"/>
        <color theme="1"/>
        <rFont val="等线"/>
        <family val="2"/>
        <charset val="134"/>
        <scheme val="minor"/>
      </rPr>
      <t>- 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</si>
  <si>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</t>
    </r>
  </si>
  <si>
    <r>
      <t>&lt;---Uses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</si>
  <si>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</si>
  <si>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&lt;---Uses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</si>
  <si>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Equation</t>
  </si>
  <si>
    <r>
      <t>&lt;--1/z - S</t>
    </r>
    <r>
      <rPr>
        <sz val="11"/>
        <color theme="1"/>
        <rFont val="等线"/>
        <family val="2"/>
        <charset val="134"/>
        <scheme val="minor"/>
      </rPr>
      <t>/X*N(d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)-exp(-r*T)*(1-N(d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))</t>
    </r>
  </si>
  <si>
    <r>
      <t>Note</t>
    </r>
    <r>
      <rPr>
        <sz val="10"/>
        <rFont val="Arial"/>
        <family val="2"/>
      </rPr>
      <t xml:space="preserve">:  Excel's </t>
    </r>
    <r>
      <rPr>
        <b/>
        <sz val="10"/>
        <rFont val="Arial"/>
        <family val="2"/>
      </rPr>
      <t xml:space="preserve">Solver </t>
    </r>
    <r>
      <rPr>
        <sz val="10"/>
        <rFont val="Arial"/>
        <family val="2"/>
      </rPr>
      <t>was used to find X so that the insurance level would be 95%.</t>
    </r>
  </si>
  <si>
    <t>Calculating the portfolio insurance proportions</t>
  </si>
  <si>
    <t>Omega</t>
  </si>
  <si>
    <t>Extra calculations</t>
  </si>
  <si>
    <t>Stock</t>
  </si>
  <si>
    <t>Put price</t>
  </si>
  <si>
    <t>Stock + put</t>
  </si>
  <si>
    <t>If you have $1000, you can buy:</t>
  </si>
  <si>
    <t>Number of shares+puts</t>
  </si>
  <si>
    <r>
      <t xml:space="preserve">In the worst case situation, you exercise </t>
    </r>
    <r>
      <rPr>
        <b/>
        <sz val="10"/>
        <rFont val="Arial"/>
        <family val="2"/>
      </rPr>
      <t>all</t>
    </r>
    <r>
      <rPr>
        <sz val="10"/>
        <rFont val="Arial"/>
        <family val="2"/>
      </rPr>
      <t xml:space="preserve"> the puts, getting</t>
    </r>
  </si>
  <si>
    <t>Verify</t>
    <phoneticPr fontId="1" type="noConversion"/>
  </si>
  <si>
    <r>
      <t>Note</t>
    </r>
    <r>
      <rPr>
        <sz val="10"/>
        <rFont val="Arial"/>
        <family val="2"/>
      </rPr>
      <t xml:space="preserve"> that omega = 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N(d</t>
    </r>
    <r>
      <rPr>
        <vertAlign val="subscript"/>
        <sz val="10"/>
        <rFont val="Arial"/>
        <family val="2"/>
      </rPr>
      <t>1</t>
    </r>
    <r>
      <rPr>
        <sz val="10"/>
        <rFont val="Arial"/>
        <family val="2"/>
      </rPr>
      <t>)/(S</t>
    </r>
    <r>
      <rPr>
        <vertAlign val="subscript"/>
        <sz val="10"/>
        <rFont val="Arial"/>
        <family val="2"/>
      </rPr>
      <t>0</t>
    </r>
    <r>
      <rPr>
        <sz val="10"/>
        <rFont val="Arial"/>
        <family val="2"/>
      </rPr>
      <t>+P0)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</si>
</sst>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.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9" fontId="4" fillId="0" borderId="0" xfId="1" applyFont="1" applyAlignment="1">
      <alignment horizontal="center"/>
    </xf>
    <xf numFmtId="9" fontId="3" fillId="0" borderId="0" xfId="1" applyFont="1" applyAlignment="1">
      <alignment horizontal="left"/>
    </xf>
    <xf numFmtId="9" fontId="0" fillId="0" borderId="0" xfId="1" applyFont="1" applyAlignment="1"/>
    <xf numFmtId="0" fontId="0" fillId="0" borderId="0" xfId="1" applyNumberFormat="1" applyFont="1" applyAlignment="1"/>
    <xf numFmtId="10" fontId="0" fillId="0" borderId="0" xfId="1" applyNumberFormat="1" applyFont="1" applyAlignment="1"/>
    <xf numFmtId="176" fontId="0" fillId="0" borderId="0" xfId="1" quotePrefix="1" applyNumberFormat="1" applyFont="1" applyAlignment="1"/>
    <xf numFmtId="176" fontId="0" fillId="0" borderId="0" xfId="1" applyNumberFormat="1" applyFont="1" applyAlignment="1"/>
    <xf numFmtId="0" fontId="0" fillId="0" borderId="0" xfId="0" applyAlignment="1"/>
    <xf numFmtId="0" fontId="6" fillId="0" borderId="0" xfId="0" applyFont="1" applyAlignment="1"/>
    <xf numFmtId="10" fontId="0" fillId="0" borderId="0" xfId="0" applyNumberFormat="1" applyAlignment="1"/>
    <xf numFmtId="176" fontId="0" fillId="0" borderId="0" xfId="0" applyNumberFormat="1" applyAlignment="1"/>
    <xf numFmtId="9" fontId="0" fillId="2" borderId="0" xfId="1" applyFont="1" applyFill="1" applyAlignment="1"/>
    <xf numFmtId="9" fontId="3" fillId="2" borderId="0" xfId="1" applyFont="1" applyFill="1" applyAlignment="1">
      <alignment horizontal="left"/>
    </xf>
    <xf numFmtId="176" fontId="3" fillId="2" borderId="0" xfId="1" applyNumberFormat="1" applyFont="1" applyFill="1" applyAlignment="1">
      <alignment horizontal="right"/>
    </xf>
    <xf numFmtId="10" fontId="0" fillId="2" borderId="0" xfId="1" applyNumberFormat="1" applyFont="1" applyFill="1" applyAlignment="1"/>
    <xf numFmtId="0" fontId="0" fillId="0" borderId="0" xfId="0" applyAlignment="1">
      <alignment horizontal="center" vertical="center"/>
    </xf>
    <xf numFmtId="9" fontId="0" fillId="3" borderId="0" xfId="1" applyFont="1" applyFill="1" applyAlignment="1"/>
    <xf numFmtId="177" fontId="0" fillId="3" borderId="0" xfId="1" applyNumberFormat="1" applyFont="1" applyFill="1" applyAlignment="1"/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607695</xdr:colOff>
      <xdr:row>0</xdr:row>
      <xdr:rowOff>110490</xdr:rowOff>
    </xdr:from>
    <xdr:to>
      <xdr:col>22</xdr:col>
      <xdr:colOff>58348</xdr:colOff>
      <xdr:row>38</xdr:row>
      <xdr:rowOff>27598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4FEE2B2D-53C0-47F5-651B-CF11D1BCB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42395" y="110490"/>
          <a:ext cx="8594653" cy="66627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BSPut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34"/>
  <sheetViews>
    <sheetView tabSelected="1" workbookViewId="0">
      <selection activeCell="B15" sqref="B15"/>
    </sheetView>
  </sheetViews>
  <sheetFormatPr defaultRowHeight="13.8" x14ac:dyDescent="0.25"/>
  <cols>
    <col min="1" max="1" width="26.21875" style="8" customWidth="1"/>
    <col min="2" max="2" width="8.88671875" style="8"/>
    <col min="3" max="3" width="90.5546875" style="8" customWidth="1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13" t="s">
        <v>1</v>
      </c>
      <c r="B2" s="14">
        <v>0.95</v>
      </c>
      <c r="C2" s="2" t="s">
        <v>2</v>
      </c>
    </row>
    <row r="3" spans="1:3" x14ac:dyDescent="0.25">
      <c r="A3" s="2"/>
      <c r="B3" s="2"/>
      <c r="C3" s="2"/>
    </row>
    <row r="4" spans="1:3" x14ac:dyDescent="0.25">
      <c r="A4" s="3" t="s">
        <v>3</v>
      </c>
      <c r="B4" s="4">
        <v>100</v>
      </c>
      <c r="C4" s="3" t="s">
        <v>4</v>
      </c>
    </row>
    <row r="5" spans="1:3" x14ac:dyDescent="0.25">
      <c r="A5" s="17" t="s">
        <v>5</v>
      </c>
      <c r="B5" s="18">
        <v>114.842871562479</v>
      </c>
      <c r="C5" s="3" t="s">
        <v>6</v>
      </c>
    </row>
    <row r="6" spans="1:3" x14ac:dyDescent="0.25">
      <c r="A6" s="12" t="s">
        <v>7</v>
      </c>
      <c r="B6" s="15">
        <v>0.06</v>
      </c>
      <c r="C6" s="3" t="s">
        <v>8</v>
      </c>
    </row>
    <row r="7" spans="1:3" x14ac:dyDescent="0.25">
      <c r="A7" s="3" t="s">
        <v>9</v>
      </c>
      <c r="B7" s="4">
        <v>1</v>
      </c>
      <c r="C7" s="3" t="s">
        <v>10</v>
      </c>
    </row>
    <row r="8" spans="1:3" x14ac:dyDescent="0.25">
      <c r="A8" s="12" t="s">
        <v>11</v>
      </c>
      <c r="B8" s="12">
        <v>0.4</v>
      </c>
      <c r="C8" s="3" t="s">
        <v>12</v>
      </c>
    </row>
    <row r="9" spans="1:3" ht="15.6" x14ac:dyDescent="0.35">
      <c r="A9" s="3" t="s">
        <v>13</v>
      </c>
      <c r="B9" s="6">
        <f>(LN(B4/B5)+(B6+0.5*B8^2)*B7)/(B8*SQRT(B7))</f>
        <v>4.0133153747728967E-3</v>
      </c>
      <c r="C9" s="3" t="s">
        <v>14</v>
      </c>
    </row>
    <row r="10" spans="1:3" ht="15.6" x14ac:dyDescent="0.35">
      <c r="A10" s="3" t="s">
        <v>15</v>
      </c>
      <c r="B10" s="6">
        <f>B9-SQRT(B7)*B8</f>
        <v>-0.39598668462522713</v>
      </c>
      <c r="C10" s="3" t="s">
        <v>16</v>
      </c>
    </row>
    <row r="11" spans="1:3" x14ac:dyDescent="0.25">
      <c r="A11" s="3"/>
      <c r="B11" s="7"/>
      <c r="C11" s="3"/>
    </row>
    <row r="12" spans="1:3" ht="15.6" x14ac:dyDescent="0.35">
      <c r="A12" s="3" t="s">
        <v>17</v>
      </c>
      <c r="B12" s="7">
        <f>NORMSDIST(B9)</f>
        <v>0.50160107688957001</v>
      </c>
      <c r="C12" s="3" t="s">
        <v>18</v>
      </c>
    </row>
    <row r="13" spans="1:3" ht="15.6" x14ac:dyDescent="0.35">
      <c r="A13" s="3" t="s">
        <v>19</v>
      </c>
      <c r="B13" s="7">
        <f>NORMSDIST(B10)</f>
        <v>0.34605742559190217</v>
      </c>
      <c r="C13" s="3" t="s">
        <v>20</v>
      </c>
    </row>
    <row r="14" spans="1:3" x14ac:dyDescent="0.25">
      <c r="A14" s="3"/>
      <c r="B14" s="7"/>
      <c r="C14" s="3"/>
    </row>
    <row r="15" spans="1:3" ht="15.6" x14ac:dyDescent="0.35">
      <c r="A15" s="3" t="s">
        <v>21</v>
      </c>
      <c r="B15" s="7">
        <f>1/B2-B4/B5*B12-EXP(-B6*B7)*(1-B13)</f>
        <v>2.9873176599082285E-8</v>
      </c>
      <c r="C15" s="3" t="s">
        <v>22</v>
      </c>
    </row>
    <row r="17" spans="1:5" x14ac:dyDescent="0.25">
      <c r="A17" s="9" t="s">
        <v>23</v>
      </c>
    </row>
    <row r="19" spans="1:5" x14ac:dyDescent="0.25">
      <c r="A19" s="9" t="s">
        <v>24</v>
      </c>
      <c r="D19" s="16" t="s">
        <v>33</v>
      </c>
    </row>
    <row r="21" spans="1:5" x14ac:dyDescent="0.25">
      <c r="A21" s="8" t="s">
        <v>25</v>
      </c>
      <c r="B21" s="5">
        <f>B4*B12/(B4+B5*EXP(-B6*B7)*NORMSDIST(-B10)-B4*NORMSDIST(-B9))</f>
        <v>0.41493305599667341</v>
      </c>
      <c r="C21" s="8" t="str">
        <f ca="1">"Proportion in shares = "&amp; _xlfn.FORMULATEXT(B21)</f>
        <v>Proportion in shares = =B4*B12/(B4+B5*EXP(-B6*B7)*NORMSDIST(-B10)-B4*NORMSDIST(-B9))</v>
      </c>
      <c r="D21">
        <f>B4*B12/SUM(B26:B27)</f>
        <v>0.41493305599667341</v>
      </c>
    </row>
    <row r="22" spans="1:5" x14ac:dyDescent="0.25">
      <c r="B22" s="10">
        <f>1-B21</f>
        <v>0.58506694400332659</v>
      </c>
      <c r="C22" s="8" t="str">
        <f ca="1">"Proportion in bonds = "&amp; _xlfn.FORMULATEXT(B22)</f>
        <v>Proportion in bonds = =1-B21</v>
      </c>
      <c r="D22">
        <f>1-D21</f>
        <v>0.58506694400332659</v>
      </c>
    </row>
    <row r="23" spans="1:5" ht="15.6" x14ac:dyDescent="0.35">
      <c r="C23" s="9" t="s">
        <v>34</v>
      </c>
    </row>
    <row r="25" spans="1:5" x14ac:dyDescent="0.25">
      <c r="A25" s="9" t="s">
        <v>26</v>
      </c>
    </row>
    <row r="26" spans="1:5" x14ac:dyDescent="0.25">
      <c r="A26" s="8" t="s">
        <v>27</v>
      </c>
      <c r="B26" s="11">
        <f>B4</f>
        <v>100</v>
      </c>
      <c r="C26" s="8" t="str">
        <f ca="1">_xlfn.FORMULATEXT(B26)</f>
        <v>=B4</v>
      </c>
      <c r="D26" s="16" t="s">
        <v>33</v>
      </c>
    </row>
    <row r="27" spans="1:5" x14ac:dyDescent="0.25">
      <c r="A27" s="8" t="s">
        <v>28</v>
      </c>
      <c r="B27" s="11">
        <f>B5*EXP(-B7*B6)*NORMSDIST(-B10)-B4*NORMSDIST(-B9)</f>
        <v>20.88722979294073</v>
      </c>
      <c r="C27" s="8" t="str">
        <f ca="1">_xlfn.FORMULATEXT(B27)</f>
        <v>=B5*EXP(-B7*B6)*NORMSDIST(-B10)-B4*NORMSDIST(-B9)</v>
      </c>
      <c r="D27">
        <f>[1]!BSPut(B4,B5,B7,B6,B8)</f>
        <v>20.88722979294073</v>
      </c>
      <c r="E27" t="str">
        <f ca="1">_xlfn.FORMULATEXT(D27)</f>
        <v>=BSPut(B4,B5,B7,B6,B8)</v>
      </c>
    </row>
    <row r="28" spans="1:5" x14ac:dyDescent="0.25">
      <c r="A28" s="8" t="s">
        <v>29</v>
      </c>
      <c r="B28" s="11">
        <f>SUM(B26:B27)</f>
        <v>120.88722979294073</v>
      </c>
      <c r="C28" s="8" t="str">
        <f ca="1">_xlfn.FORMULATEXT(B28)</f>
        <v>=SUM(B26:B27)</v>
      </c>
    </row>
    <row r="29" spans="1:5" x14ac:dyDescent="0.25">
      <c r="B29" s="11"/>
    </row>
    <row r="30" spans="1:5" x14ac:dyDescent="0.25">
      <c r="A30" s="8" t="s">
        <v>30</v>
      </c>
      <c r="B30" s="11"/>
    </row>
    <row r="31" spans="1:5" x14ac:dyDescent="0.25">
      <c r="A31" s="8" t="s">
        <v>31</v>
      </c>
      <c r="B31" s="11">
        <f>1000/B28</f>
        <v>8.2721723519748949</v>
      </c>
      <c r="C31" s="8" t="str">
        <f ca="1">_xlfn.FORMULATEXT(B31)</f>
        <v>=1000/B28</v>
      </c>
    </row>
    <row r="32" spans="1:5" x14ac:dyDescent="0.25">
      <c r="B32" s="11"/>
    </row>
    <row r="33" spans="1:3" x14ac:dyDescent="0.25">
      <c r="A33" s="8" t="s">
        <v>32</v>
      </c>
      <c r="B33" s="11"/>
    </row>
    <row r="34" spans="1:3" x14ac:dyDescent="0.25">
      <c r="B34" s="11">
        <f>B31*B5</f>
        <v>950.00002696054275</v>
      </c>
      <c r="C34" s="8" t="str">
        <f ca="1">_xlfn.FORMULATEXT(B34)</f>
        <v>=B31*B5</v>
      </c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2024-12-06T09:41:43Z</dcterms:modified>
</cp:coreProperties>
</file>