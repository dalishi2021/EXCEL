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1\"/>
    </mc:Choice>
  </mc:AlternateContent>
  <xr:revisionPtr revIDLastSave="0" documentId="13_ncr:1_{B88EE68D-9232-4874-B70A-109DF469A82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Sheet1" sheetId="1" r:id="rId1"/>
  </sheet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1" l="1"/>
  <c r="B8" i="1" s="1"/>
  <c r="C19" i="1"/>
  <c r="C18" i="1"/>
  <c r="C4" i="1"/>
  <c r="B9" i="1" l="1"/>
  <c r="B12" i="1" s="1"/>
  <c r="B11" i="1"/>
  <c r="B14" i="1" l="1"/>
  <c r="B15" i="1" s="1"/>
  <c r="B18" i="1" s="1"/>
  <c r="B19" i="1" s="1"/>
</calcChain>
</file>

<file path=xl/sharedStrings.xml><?xml version="1.0" encoding="utf-8"?>
<sst xmlns="http://schemas.openxmlformats.org/spreadsheetml/2006/main" count="25" uniqueCount="25">
  <si>
    <t>Black-Scholes Option Pricing Formula
Applied to General Pills Put</t>
  </si>
  <si>
    <t>S</t>
  </si>
  <si>
    <t>Stock price</t>
  </si>
  <si>
    <t>X</t>
  </si>
  <si>
    <t>Exercise price</t>
  </si>
  <si>
    <t>T</t>
  </si>
  <si>
    <t>r</t>
  </si>
  <si>
    <t>Risk-free rate of interest</t>
  </si>
  <si>
    <t>Sigma</t>
  </si>
  <si>
    <t>Stock volatility</t>
  </si>
  <si>
    <r>
      <t>d</t>
    </r>
    <r>
      <rPr>
        <vertAlign val="subscript"/>
        <sz val="10"/>
        <rFont val="Arial"/>
        <family val="2"/>
      </rPr>
      <t>1</t>
    </r>
  </si>
  <si>
    <t>&lt;-- (LN(S/X)+(r+0.5*sigma^2)*T)/(sigma*SQRT(T))</t>
  </si>
  <si>
    <r>
      <t>d</t>
    </r>
    <r>
      <rPr>
        <vertAlign val="subscript"/>
        <sz val="10"/>
        <rFont val="Arial"/>
        <family val="2"/>
      </rPr>
      <t>2</t>
    </r>
  </si>
  <si>
    <r>
      <t>&lt;-- 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-Sigma*SQRT(T)</t>
    </r>
  </si>
  <si>
    <r>
      <t>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</si>
  <si>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</t>
    </r>
  </si>
  <si>
    <r>
      <t>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</si>
  <si>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r>
      <t>&lt;-- Uses formula NormSDist(d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</si>
  <si>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Call price</t>
  </si>
  <si>
    <r>
      <t>&lt;-- S*N(d</t>
    </r>
    <r>
      <rPr>
        <vertAlign val="subscript"/>
        <sz val="10"/>
        <rFont val="Arial"/>
        <family val="2"/>
      </rPr>
      <t>1</t>
    </r>
    <r>
      <rPr>
        <sz val="11"/>
        <color theme="1"/>
        <rFont val="等线"/>
        <family val="2"/>
        <charset val="134"/>
        <scheme val="minor"/>
      </rPr>
      <t>)-X*exp(-r*T)*N(d</t>
    </r>
    <r>
      <rPr>
        <vertAlign val="subscript"/>
        <sz val="10"/>
        <rFont val="Arial"/>
        <family val="2"/>
      </rPr>
      <t>2</t>
    </r>
    <r>
      <rPr>
        <sz val="11"/>
        <color theme="1"/>
        <rFont val="等线"/>
        <family val="2"/>
        <charset val="134"/>
        <scheme val="minor"/>
      </rPr>
      <t>)</t>
    </r>
  </si>
  <si>
    <t>Put price</t>
  </si>
  <si>
    <t>&lt;-- call price - S + X*Exp(-r*T):  by Put-Call parity</t>
  </si>
  <si>
    <t>Calculating the portfolio insurance proportions</t>
  </si>
  <si>
    <t>Omega</t>
  </si>
  <si>
    <t>1-omega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</si>
</sst>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9" fontId="4" fillId="0" borderId="0" xfId="1" applyFont="1" applyAlignment="1">
      <alignment horizontal="center" vertical="center" wrapText="1"/>
    </xf>
    <xf numFmtId="9" fontId="3" fillId="2" borderId="0" xfId="1" applyFont="1" applyFill="1" applyAlignment="1"/>
    <xf numFmtId="0" fontId="2" fillId="2" borderId="0" xfId="1" applyNumberFormat="1" applyFill="1" applyAlignment="1"/>
    <xf numFmtId="9" fontId="3" fillId="0" borderId="0" xfId="1" applyFont="1" applyAlignment="1"/>
    <xf numFmtId="9" fontId="2" fillId="0" borderId="0" xfId="1" applyAlignment="1"/>
    <xf numFmtId="0" fontId="2" fillId="0" borderId="0" xfId="1" applyNumberFormat="1" applyAlignment="1"/>
    <xf numFmtId="9" fontId="2" fillId="2" borderId="0" xfId="1" applyFill="1" applyAlignment="1"/>
    <xf numFmtId="176" fontId="3" fillId="2" borderId="0" xfId="1" applyNumberFormat="1" applyFont="1" applyFill="1" applyAlignment="1"/>
    <xf numFmtId="10" fontId="2" fillId="0" borderId="0" xfId="1" applyNumberFormat="1" applyAlignment="1"/>
    <xf numFmtId="176" fontId="2" fillId="0" borderId="0" xfId="1" quotePrefix="1" applyNumberFormat="1" applyAlignment="1"/>
    <xf numFmtId="176" fontId="2" fillId="0" borderId="0" xfId="1" applyNumberFormat="1" applyAlignment="1"/>
    <xf numFmtId="2" fontId="2" fillId="0" borderId="0" xfId="1" applyNumberFormat="1" applyAlignment="1"/>
    <xf numFmtId="2" fontId="3" fillId="2" borderId="0" xfId="1" quotePrefix="1" applyNumberFormat="1" applyFont="1" applyFill="1" applyAlignment="1"/>
    <xf numFmtId="0" fontId="6" fillId="0" borderId="0" xfId="0" applyFont="1" applyAlignment="1"/>
    <xf numFmtId="0" fontId="0" fillId="0" borderId="0" xfId="0" applyAlignment="1"/>
    <xf numFmtId="0" fontId="0" fillId="2" borderId="0" xfId="0" applyFill="1" applyAlignment="1"/>
    <xf numFmtId="10" fontId="2" fillId="2" borderId="0" xfId="1" applyNumberFormat="1" applyFill="1" applyAlignment="1"/>
    <xf numFmtId="9" fontId="3" fillId="2" borderId="0" xfId="1" quotePrefix="1" applyFont="1" applyFill="1" applyAlignment="1"/>
    <xf numFmtId="10" fontId="0" fillId="2" borderId="0" xfId="0" applyNumberFormat="1" applyFill="1" applyAlignment="1"/>
    <xf numFmtId="0" fontId="6" fillId="0" borderId="0" xfId="0" applyFont="1" applyAlignment="1">
      <alignment horizontal="center"/>
    </xf>
    <xf numFmtId="2" fontId="0" fillId="0" borderId="0" xfId="0" applyNumberFormat="1" applyAlignment="1">
      <alignment horizontal="center"/>
    </xf>
    <xf numFmtId="0" fontId="6" fillId="0" borderId="0" xfId="0" applyFont="1" applyAlignment="1">
      <alignment horizontal="centerContinuous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504825</xdr:colOff>
      <xdr:row>1</xdr:row>
      <xdr:rowOff>85725</xdr:rowOff>
    </xdr:from>
    <xdr:to>
      <xdr:col>12</xdr:col>
      <xdr:colOff>101675</xdr:colOff>
      <xdr:row>27</xdr:row>
      <xdr:rowOff>141620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E3851389-8270-2F21-46BF-34D6E6BFBC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86300" y="304800"/>
          <a:ext cx="5083250" cy="465647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C30"/>
  <sheetViews>
    <sheetView tabSelected="1" workbookViewId="0">
      <selection activeCell="C26" sqref="C26"/>
    </sheetView>
  </sheetViews>
  <sheetFormatPr defaultRowHeight="13.8" x14ac:dyDescent="0.25"/>
  <cols>
    <col min="1" max="1" width="9.44140625" style="15" customWidth="1"/>
    <col min="2" max="2" width="8.88671875" style="15"/>
    <col min="3" max="3" width="42.6640625" style="15" bestFit="1" customWidth="1"/>
  </cols>
  <sheetData>
    <row r="1" spans="1:3" ht="17.399999999999999" x14ac:dyDescent="0.25">
      <c r="A1" s="1" t="s">
        <v>0</v>
      </c>
      <c r="B1" s="1"/>
      <c r="C1" s="1"/>
    </row>
    <row r="2" spans="1:3" x14ac:dyDescent="0.25">
      <c r="A2" s="2" t="s">
        <v>1</v>
      </c>
      <c r="B2" s="3">
        <v>60</v>
      </c>
      <c r="C2" s="4" t="s">
        <v>2</v>
      </c>
    </row>
    <row r="3" spans="1:3" x14ac:dyDescent="0.25">
      <c r="A3" s="5" t="s">
        <v>3</v>
      </c>
      <c r="B3" s="6">
        <v>50</v>
      </c>
      <c r="C3" s="4" t="s">
        <v>4</v>
      </c>
    </row>
    <row r="4" spans="1:3" x14ac:dyDescent="0.25">
      <c r="A4" s="7" t="s">
        <v>5</v>
      </c>
      <c r="B4" s="8">
        <f>1-1/52</f>
        <v>0.98076923076923073</v>
      </c>
      <c r="C4" s="4" t="str">
        <f ca="1">_xlfn.FORMULATEXT(B4)&amp; " , time remaining"</f>
        <v>=1-1/52 , time remaining</v>
      </c>
    </row>
    <row r="5" spans="1:3" x14ac:dyDescent="0.25">
      <c r="A5" s="5" t="s">
        <v>6</v>
      </c>
      <c r="B5" s="9">
        <v>0.08</v>
      </c>
      <c r="C5" s="4" t="s">
        <v>7</v>
      </c>
    </row>
    <row r="6" spans="1:3" x14ac:dyDescent="0.25">
      <c r="A6" s="4" t="s">
        <v>8</v>
      </c>
      <c r="B6" s="4">
        <v>0.3</v>
      </c>
      <c r="C6" s="4" t="s">
        <v>9</v>
      </c>
    </row>
    <row r="7" spans="1:3" x14ac:dyDescent="0.25">
      <c r="A7" s="5"/>
      <c r="B7" s="4"/>
      <c r="C7" s="4"/>
    </row>
    <row r="8" spans="1:3" ht="15.6" x14ac:dyDescent="0.35">
      <c r="A8" s="4" t="s">
        <v>10</v>
      </c>
      <c r="B8" s="10">
        <f>(LN(B2/B3)+(B5+0.5*B6^2)*B4)/(B6*SQRT(B4))</f>
        <v>1.0263086267316275</v>
      </c>
      <c r="C8" s="4" t="s">
        <v>11</v>
      </c>
    </row>
    <row r="9" spans="1:3" ht="15.6" x14ac:dyDescent="0.35">
      <c r="A9" s="4" t="s">
        <v>12</v>
      </c>
      <c r="B9" s="10">
        <f>B8-SQRT(B4)*B6</f>
        <v>0.72920724543354143</v>
      </c>
      <c r="C9" s="4" t="s">
        <v>13</v>
      </c>
    </row>
    <row r="10" spans="1:3" x14ac:dyDescent="0.25">
      <c r="A10" s="5"/>
      <c r="B10" s="11"/>
      <c r="C10" s="5"/>
    </row>
    <row r="11" spans="1:3" ht="15.6" x14ac:dyDescent="0.35">
      <c r="A11" s="4" t="s">
        <v>14</v>
      </c>
      <c r="B11" s="11">
        <f>NORMSDIST(B8)</f>
        <v>0.8476269338750666</v>
      </c>
      <c r="C11" s="4" t="s">
        <v>15</v>
      </c>
    </row>
    <row r="12" spans="1:3" ht="15.6" x14ac:dyDescent="0.35">
      <c r="A12" s="4" t="s">
        <v>16</v>
      </c>
      <c r="B12" s="11">
        <f>NORMSDIST(B9)</f>
        <v>0.76706255007882151</v>
      </c>
      <c r="C12" s="4" t="s">
        <v>17</v>
      </c>
    </row>
    <row r="13" spans="1:3" x14ac:dyDescent="0.25">
      <c r="A13" s="5"/>
      <c r="B13" s="11"/>
      <c r="C13" s="5"/>
    </row>
    <row r="14" spans="1:3" ht="15.6" x14ac:dyDescent="0.35">
      <c r="A14" s="4" t="s">
        <v>18</v>
      </c>
      <c r="B14" s="12">
        <f>B2*B11-B3*EXP(-B5*B4)*B12</f>
        <v>15.398706872321164</v>
      </c>
      <c r="C14" s="4" t="s">
        <v>19</v>
      </c>
    </row>
    <row r="15" spans="1:3" x14ac:dyDescent="0.25">
      <c r="A15" s="2" t="s">
        <v>20</v>
      </c>
      <c r="B15" s="13">
        <f>B14-B2+B3*EXP(-B5*B4)</f>
        <v>1.62558779166622</v>
      </c>
      <c r="C15" s="4" t="s">
        <v>21</v>
      </c>
    </row>
    <row r="16" spans="1:3" x14ac:dyDescent="0.25">
      <c r="A16" s="5"/>
      <c r="B16" s="12"/>
      <c r="C16" s="4"/>
    </row>
    <row r="17" spans="1:3" x14ac:dyDescent="0.25">
      <c r="A17" s="14" t="s">
        <v>22</v>
      </c>
    </row>
    <row r="18" spans="1:3" x14ac:dyDescent="0.25">
      <c r="A18" s="16" t="s">
        <v>23</v>
      </c>
      <c r="B18" s="17">
        <f>B2*B11/(B2+B15)</f>
        <v>0.82526784498080841</v>
      </c>
      <c r="C18" s="15" t="str">
        <f ca="1">_xlfn.FORMULATEXT(B18)&amp;", proportion in shares"</f>
        <v>=B2*B11/(B2+B15), proportion in shares</v>
      </c>
    </row>
    <row r="19" spans="1:3" x14ac:dyDescent="0.25">
      <c r="A19" s="18" t="s">
        <v>24</v>
      </c>
      <c r="B19" s="19">
        <f>1-B18</f>
        <v>0.17473215501919159</v>
      </c>
      <c r="C19" s="15" t="str">
        <f ca="1">_xlfn.FORMULATEXT(B19)&amp;", proportion in bonds"</f>
        <v>=1-B18, proportion in bonds</v>
      </c>
    </row>
    <row r="23" spans="1:3" x14ac:dyDescent="0.25">
      <c r="C23" s="20"/>
    </row>
    <row r="24" spans="1:3" x14ac:dyDescent="0.25">
      <c r="C24" s="21"/>
    </row>
    <row r="26" spans="1:3" x14ac:dyDescent="0.25">
      <c r="A26" s="14"/>
    </row>
    <row r="27" spans="1:3" x14ac:dyDescent="0.25">
      <c r="C27" s="22"/>
    </row>
    <row r="28" spans="1:3" x14ac:dyDescent="0.25">
      <c r="C28" s="22"/>
    </row>
    <row r="29" spans="1:3" x14ac:dyDescent="0.25">
      <c r="C29" s="20"/>
    </row>
    <row r="30" spans="1:3" x14ac:dyDescent="0.25">
      <c r="C30" s="21"/>
    </row>
  </sheetData>
  <mergeCells count="1">
    <mergeCell ref="A1:C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2024-12-06T06:20:21Z</dcterms:modified>
</cp:coreProperties>
</file>