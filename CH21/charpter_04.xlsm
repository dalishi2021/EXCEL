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8C5F8BEE-E427-48D3-B845-B7BE42BE52D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585-86" sheetId="2" r:id="rId2"/>
  </sheets>
  <externalReferences>
    <externalReference r:id="rId3"/>
  </externalReferences>
  <definedNames>
    <definedName name="Initial" localSheetId="1">'Page 585-86'!$B$6</definedName>
    <definedName name="mean" localSheetId="1">'Page 585-86'!$B$3</definedName>
    <definedName name="mean">#REF!</definedName>
    <definedName name="r_" localSheetId="1">'Page 585-86'!$B$5</definedName>
    <definedName name="Sigma" localSheetId="1">'Page 585-86'!$B$4</definedName>
    <definedName name="X" localSheetId="1">'Page 585-86'!$B$2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0" i="2" s="1"/>
  <c r="H10" i="2" s="1"/>
  <c r="C10" i="2"/>
  <c r="B11" i="2" s="1"/>
  <c r="L10" i="2" l="1"/>
  <c r="G10" i="2"/>
  <c r="K10" i="2" s="1"/>
  <c r="C11" i="2"/>
  <c r="B12" i="2" s="1"/>
  <c r="D11" i="2"/>
  <c r="E11" i="2" s="1"/>
  <c r="M10" i="2" l="1"/>
  <c r="G11" i="2" s="1"/>
  <c r="K11" i="2" s="1"/>
  <c r="C12" i="2"/>
  <c r="B13" i="2" s="1"/>
  <c r="D12" i="2"/>
  <c r="E12" i="2" s="1"/>
  <c r="I10" i="2"/>
  <c r="H11" i="2" l="1"/>
  <c r="I11" i="2" s="1"/>
  <c r="L11" i="2"/>
  <c r="M11" i="2" s="1"/>
  <c r="D13" i="2"/>
  <c r="E13" i="2" s="1"/>
  <c r="C13" i="2"/>
  <c r="B14" i="2" s="1"/>
  <c r="C14" i="2" l="1"/>
  <c r="B15" i="2" s="1"/>
  <c r="D14" i="2"/>
  <c r="E14" i="2" s="1"/>
  <c r="H12" i="2"/>
  <c r="G12" i="2"/>
  <c r="K12" i="2" s="1"/>
  <c r="L12" i="2" l="1"/>
  <c r="M12" i="2" s="1"/>
  <c r="I12" i="2"/>
  <c r="C15" i="2"/>
  <c r="B16" i="2" s="1"/>
  <c r="D15" i="2"/>
  <c r="E15" i="2" s="1"/>
  <c r="D16" i="2" l="1"/>
  <c r="E16" i="2" s="1"/>
  <c r="C16" i="2"/>
  <c r="B17" i="2" s="1"/>
  <c r="H13" i="2"/>
  <c r="G13" i="2"/>
  <c r="K13" i="2" s="1"/>
  <c r="L13" i="2" l="1"/>
  <c r="M13" i="2" s="1"/>
  <c r="I13" i="2"/>
  <c r="D17" i="2"/>
  <c r="E17" i="2" s="1"/>
  <c r="C17" i="2"/>
  <c r="B18" i="2" s="1"/>
  <c r="D18" i="2" l="1"/>
  <c r="E18" i="2" s="1"/>
  <c r="C18" i="2"/>
  <c r="B19" i="2" s="1"/>
  <c r="H14" i="2"/>
  <c r="G14" i="2"/>
  <c r="K14" i="2" s="1"/>
  <c r="L14" i="2" l="1"/>
  <c r="M14" i="2" s="1"/>
  <c r="I14" i="2"/>
  <c r="D19" i="2"/>
  <c r="E19" i="2" s="1"/>
  <c r="C19" i="2"/>
  <c r="B20" i="2" s="1"/>
  <c r="C20" i="2" l="1"/>
  <c r="B21" i="2" s="1"/>
  <c r="D20" i="2"/>
  <c r="E20" i="2" s="1"/>
  <c r="H15" i="2"/>
  <c r="G15" i="2"/>
  <c r="K15" i="2" s="1"/>
  <c r="I15" i="2" l="1"/>
  <c r="L15" i="2"/>
  <c r="M15" i="2" s="1"/>
  <c r="D21" i="2"/>
  <c r="E21" i="2" s="1"/>
  <c r="C21" i="2"/>
  <c r="B22" i="2" s="1"/>
  <c r="G16" i="2" l="1"/>
  <c r="K16" i="2" s="1"/>
  <c r="H16" i="2"/>
  <c r="C22" i="2"/>
  <c r="B23" i="2" s="1"/>
  <c r="D22" i="2"/>
  <c r="E22" i="2" s="1"/>
  <c r="C23" i="2" l="1"/>
  <c r="B24" i="2" s="1"/>
  <c r="D23" i="2"/>
  <c r="E23" i="2" s="1"/>
  <c r="I16" i="2"/>
  <c r="L16" i="2"/>
  <c r="M16" i="2" s="1"/>
  <c r="D24" i="2" l="1"/>
  <c r="E24" i="2" s="1"/>
  <c r="C24" i="2"/>
  <c r="B25" i="2" s="1"/>
  <c r="H17" i="2"/>
  <c r="G17" i="2"/>
  <c r="K17" i="2" s="1"/>
  <c r="L17" i="2" l="1"/>
  <c r="M17" i="2" s="1"/>
  <c r="I17" i="2"/>
  <c r="D25" i="2"/>
  <c r="E25" i="2" s="1"/>
  <c r="C25" i="2"/>
  <c r="B26" i="2" s="1"/>
  <c r="D26" i="2" l="1"/>
  <c r="E26" i="2" s="1"/>
  <c r="C26" i="2"/>
  <c r="B27" i="2" s="1"/>
  <c r="H18" i="2"/>
  <c r="G18" i="2"/>
  <c r="K18" i="2" s="1"/>
  <c r="D27" i="2" l="1"/>
  <c r="E27" i="2" s="1"/>
  <c r="C27" i="2"/>
  <c r="B28" i="2" s="1"/>
  <c r="L18" i="2"/>
  <c r="M18" i="2" s="1"/>
  <c r="I18" i="2"/>
  <c r="G19" i="2" l="1"/>
  <c r="K19" i="2" s="1"/>
  <c r="H19" i="2"/>
  <c r="C28" i="2"/>
  <c r="B29" i="2" s="1"/>
  <c r="D28" i="2"/>
  <c r="E28" i="2" s="1"/>
  <c r="D29" i="2" l="1"/>
  <c r="E29" i="2" s="1"/>
  <c r="C29" i="2"/>
  <c r="B30" i="2" s="1"/>
  <c r="I19" i="2"/>
  <c r="L19" i="2"/>
  <c r="M19" i="2" s="1"/>
  <c r="H20" i="2" l="1"/>
  <c r="G20" i="2"/>
  <c r="K20" i="2" s="1"/>
  <c r="C30" i="2"/>
  <c r="B31" i="2" s="1"/>
  <c r="D30" i="2"/>
  <c r="E30" i="2" s="1"/>
  <c r="C31" i="2" l="1"/>
  <c r="B32" i="2" s="1"/>
  <c r="D31" i="2"/>
  <c r="E31" i="2" s="1"/>
  <c r="L20" i="2"/>
  <c r="M20" i="2" s="1"/>
  <c r="I20" i="2"/>
  <c r="H21" i="2" l="1"/>
  <c r="G21" i="2"/>
  <c r="K21" i="2" s="1"/>
  <c r="D32" i="2"/>
  <c r="E32" i="2" s="1"/>
  <c r="C32" i="2"/>
  <c r="B33" i="2" s="1"/>
  <c r="D33" i="2" l="1"/>
  <c r="E33" i="2" s="1"/>
  <c r="C33" i="2"/>
  <c r="B34" i="2" s="1"/>
  <c r="L21" i="2"/>
  <c r="M21" i="2" s="1"/>
  <c r="I21" i="2"/>
  <c r="D34" i="2" l="1"/>
  <c r="E34" i="2" s="1"/>
  <c r="C34" i="2"/>
  <c r="B35" i="2" s="1"/>
  <c r="H22" i="2"/>
  <c r="G22" i="2"/>
  <c r="K22" i="2" s="1"/>
  <c r="D35" i="2" l="1"/>
  <c r="E35" i="2" s="1"/>
  <c r="C35" i="2"/>
  <c r="B36" i="2" s="1"/>
  <c r="L22" i="2"/>
  <c r="M22" i="2" s="1"/>
  <c r="I22" i="2"/>
  <c r="H23" i="2" l="1"/>
  <c r="G23" i="2"/>
  <c r="K23" i="2" s="1"/>
  <c r="D36" i="2"/>
  <c r="E36" i="2" s="1"/>
  <c r="C36" i="2"/>
  <c r="B37" i="2" s="1"/>
  <c r="D37" i="2" l="1"/>
  <c r="E37" i="2" s="1"/>
  <c r="C37" i="2"/>
  <c r="B38" i="2" s="1"/>
  <c r="I23" i="2"/>
  <c r="L23" i="2"/>
  <c r="M23" i="2" s="1"/>
  <c r="G24" i="2" l="1"/>
  <c r="K24" i="2" s="1"/>
  <c r="H24" i="2"/>
  <c r="C38" i="2"/>
  <c r="B39" i="2" s="1"/>
  <c r="D38" i="2"/>
  <c r="E38" i="2" s="1"/>
  <c r="I24" i="2" l="1"/>
  <c r="L24" i="2"/>
  <c r="M24" i="2" s="1"/>
  <c r="C39" i="2"/>
  <c r="B40" i="2" s="1"/>
  <c r="D39" i="2"/>
  <c r="E39" i="2" s="1"/>
  <c r="H25" i="2" l="1"/>
  <c r="G25" i="2"/>
  <c r="K25" i="2" s="1"/>
  <c r="D40" i="2"/>
  <c r="E40" i="2" s="1"/>
  <c r="C40" i="2"/>
  <c r="B41" i="2" s="1"/>
  <c r="D41" i="2" l="1"/>
  <c r="E41" i="2" s="1"/>
  <c r="C41" i="2"/>
  <c r="B42" i="2" s="1"/>
  <c r="L25" i="2"/>
  <c r="M25" i="2" s="1"/>
  <c r="I25" i="2"/>
  <c r="H26" i="2" l="1"/>
  <c r="G26" i="2"/>
  <c r="K26" i="2" s="1"/>
  <c r="D42" i="2"/>
  <c r="E42" i="2" s="1"/>
  <c r="C42" i="2"/>
  <c r="B43" i="2" s="1"/>
  <c r="D43" i="2" l="1"/>
  <c r="E43" i="2" s="1"/>
  <c r="C43" i="2"/>
  <c r="B44" i="2" s="1"/>
  <c r="L26" i="2"/>
  <c r="M26" i="2" s="1"/>
  <c r="I26" i="2"/>
  <c r="G27" i="2" l="1"/>
  <c r="K27" i="2" s="1"/>
  <c r="H27" i="2"/>
  <c r="D44" i="2"/>
  <c r="E44" i="2" s="1"/>
  <c r="C44" i="2"/>
  <c r="B45" i="2" s="1"/>
  <c r="I27" i="2" l="1"/>
  <c r="L27" i="2"/>
  <c r="M27" i="2" s="1"/>
  <c r="D45" i="2"/>
  <c r="E45" i="2" s="1"/>
  <c r="C45" i="2"/>
  <c r="B46" i="2" s="1"/>
  <c r="C46" i="2" l="1"/>
  <c r="B47" i="2" s="1"/>
  <c r="D46" i="2"/>
  <c r="E46" i="2" s="1"/>
  <c r="H28" i="2"/>
  <c r="G28" i="2"/>
  <c r="K28" i="2" s="1"/>
  <c r="L28" i="2" l="1"/>
  <c r="M28" i="2" s="1"/>
  <c r="I28" i="2"/>
  <c r="C47" i="2"/>
  <c r="B48" i="2" s="1"/>
  <c r="D47" i="2"/>
  <c r="E47" i="2" s="1"/>
  <c r="D48" i="2" l="1"/>
  <c r="E48" i="2" s="1"/>
  <c r="C48" i="2"/>
  <c r="B49" i="2" s="1"/>
  <c r="H29" i="2"/>
  <c r="G29" i="2"/>
  <c r="K29" i="2" s="1"/>
  <c r="D49" i="2" l="1"/>
  <c r="E49" i="2" s="1"/>
  <c r="C49" i="2"/>
  <c r="B50" i="2" s="1"/>
  <c r="L29" i="2"/>
  <c r="M29" i="2" s="1"/>
  <c r="I29" i="2"/>
  <c r="H30" i="2" l="1"/>
  <c r="G30" i="2"/>
  <c r="K30" i="2" s="1"/>
  <c r="D50" i="2"/>
  <c r="E50" i="2" s="1"/>
  <c r="C50" i="2"/>
  <c r="B51" i="2" s="1"/>
  <c r="D51" i="2" l="1"/>
  <c r="E51" i="2" s="1"/>
  <c r="C51" i="2"/>
  <c r="B52" i="2" s="1"/>
  <c r="L30" i="2"/>
  <c r="M30" i="2" s="1"/>
  <c r="I30" i="2"/>
  <c r="H31" i="2" l="1"/>
  <c r="G31" i="2"/>
  <c r="K31" i="2" s="1"/>
  <c r="D52" i="2"/>
  <c r="E52" i="2" s="1"/>
  <c r="C52" i="2"/>
  <c r="B53" i="2" s="1"/>
  <c r="D53" i="2" l="1"/>
  <c r="E53" i="2" s="1"/>
  <c r="C53" i="2"/>
  <c r="B54" i="2" s="1"/>
  <c r="I31" i="2"/>
  <c r="L31" i="2"/>
  <c r="M31" i="2" s="1"/>
  <c r="C54" i="2" l="1"/>
  <c r="B55" i="2" s="1"/>
  <c r="D54" i="2"/>
  <c r="E54" i="2" s="1"/>
  <c r="G32" i="2"/>
  <c r="K32" i="2" s="1"/>
  <c r="H32" i="2"/>
  <c r="I32" i="2" l="1"/>
  <c r="L32" i="2"/>
  <c r="M32" i="2" s="1"/>
  <c r="C55" i="2"/>
  <c r="B56" i="2" s="1"/>
  <c r="D55" i="2"/>
  <c r="E55" i="2" s="1"/>
  <c r="H33" i="2" l="1"/>
  <c r="G33" i="2"/>
  <c r="K33" i="2" s="1"/>
  <c r="D56" i="2"/>
  <c r="E56" i="2" s="1"/>
  <c r="C56" i="2"/>
  <c r="B57" i="2" s="1"/>
  <c r="D57" i="2" l="1"/>
  <c r="E57" i="2" s="1"/>
  <c r="C57" i="2"/>
  <c r="B58" i="2" s="1"/>
  <c r="L33" i="2"/>
  <c r="M33" i="2" s="1"/>
  <c r="I33" i="2"/>
  <c r="H34" i="2" l="1"/>
  <c r="G34" i="2"/>
  <c r="K34" i="2" s="1"/>
  <c r="D58" i="2"/>
  <c r="E58" i="2" s="1"/>
  <c r="C58" i="2"/>
  <c r="B59" i="2" s="1"/>
  <c r="D59" i="2" l="1"/>
  <c r="E59" i="2" s="1"/>
  <c r="C59" i="2"/>
  <c r="B60" i="2" s="1"/>
  <c r="L34" i="2"/>
  <c r="M34" i="2" s="1"/>
  <c r="I34" i="2"/>
  <c r="G35" i="2" l="1"/>
  <c r="K35" i="2" s="1"/>
  <c r="H35" i="2"/>
  <c r="C60" i="2"/>
  <c r="B61" i="2" s="1"/>
  <c r="D60" i="2"/>
  <c r="E60" i="2" s="1"/>
  <c r="I35" i="2" l="1"/>
  <c r="L35" i="2"/>
  <c r="M35" i="2" s="1"/>
  <c r="D61" i="2"/>
  <c r="E61" i="2" s="1"/>
  <c r="C61" i="2"/>
  <c r="B62" i="2" s="1"/>
  <c r="H36" i="2" l="1"/>
  <c r="G36" i="2"/>
  <c r="K36" i="2" s="1"/>
  <c r="L36" i="2" l="1"/>
  <c r="M36" i="2" s="1"/>
  <c r="I36" i="2"/>
  <c r="H37" i="2" l="1"/>
  <c r="G37" i="2"/>
  <c r="K37" i="2" s="1"/>
  <c r="L37" i="2" l="1"/>
  <c r="M37" i="2" s="1"/>
  <c r="I37" i="2"/>
  <c r="H38" i="2" l="1"/>
  <c r="G38" i="2"/>
  <c r="K38" i="2" s="1"/>
  <c r="L38" i="2" l="1"/>
  <c r="M38" i="2" s="1"/>
  <c r="I38" i="2"/>
  <c r="H39" i="2" l="1"/>
  <c r="G39" i="2"/>
  <c r="K39" i="2" s="1"/>
  <c r="I39" i="2" l="1"/>
  <c r="L39" i="2"/>
  <c r="M39" i="2" s="1"/>
  <c r="G40" i="2" l="1"/>
  <c r="K40" i="2" s="1"/>
  <c r="H40" i="2"/>
  <c r="I40" i="2" l="1"/>
  <c r="L40" i="2"/>
  <c r="M40" i="2" s="1"/>
  <c r="H41" i="2" l="1"/>
  <c r="G41" i="2"/>
  <c r="K41" i="2" s="1"/>
  <c r="L41" i="2" l="1"/>
  <c r="M41" i="2" s="1"/>
  <c r="I41" i="2"/>
  <c r="H42" i="2" l="1"/>
  <c r="G42" i="2"/>
  <c r="K42" i="2" s="1"/>
  <c r="L42" i="2" l="1"/>
  <c r="M42" i="2" s="1"/>
  <c r="I42" i="2"/>
  <c r="G43" i="2" l="1"/>
  <c r="K43" i="2" s="1"/>
  <c r="H43" i="2"/>
  <c r="I43" i="2" l="1"/>
  <c r="L43" i="2"/>
  <c r="M43" i="2" s="1"/>
  <c r="H44" i="2" l="1"/>
  <c r="G44" i="2"/>
  <c r="K44" i="2" s="1"/>
  <c r="L44" i="2" l="1"/>
  <c r="M44" i="2" s="1"/>
  <c r="I44" i="2"/>
  <c r="H45" i="2" l="1"/>
  <c r="G45" i="2"/>
  <c r="K45" i="2" s="1"/>
  <c r="L45" i="2" l="1"/>
  <c r="M45" i="2" s="1"/>
  <c r="I45" i="2"/>
  <c r="H46" i="2" l="1"/>
  <c r="G46" i="2"/>
  <c r="K46" i="2" s="1"/>
  <c r="L46" i="2" l="1"/>
  <c r="M46" i="2" s="1"/>
  <c r="I46" i="2"/>
  <c r="H47" i="2" l="1"/>
  <c r="G47" i="2"/>
  <c r="K47" i="2" s="1"/>
  <c r="I47" i="2" l="1"/>
  <c r="L47" i="2"/>
  <c r="M47" i="2" s="1"/>
  <c r="G48" i="2" l="1"/>
  <c r="K48" i="2" s="1"/>
  <c r="H48" i="2"/>
  <c r="I48" i="2" l="1"/>
  <c r="L48" i="2"/>
  <c r="M48" i="2" s="1"/>
  <c r="H49" i="2" l="1"/>
  <c r="G49" i="2"/>
  <c r="K49" i="2" s="1"/>
  <c r="L49" i="2" l="1"/>
  <c r="M49" i="2" s="1"/>
  <c r="I49" i="2"/>
  <c r="H50" i="2" l="1"/>
  <c r="G50" i="2"/>
  <c r="K50" i="2" s="1"/>
  <c r="L50" i="2" l="1"/>
  <c r="M50" i="2" s="1"/>
  <c r="I50" i="2"/>
  <c r="H51" i="2" l="1"/>
  <c r="G51" i="2"/>
  <c r="K51" i="2" s="1"/>
  <c r="I51" i="2" l="1"/>
  <c r="L51" i="2"/>
  <c r="M51" i="2" s="1"/>
  <c r="H52" i="2" l="1"/>
  <c r="G52" i="2"/>
  <c r="K52" i="2" s="1"/>
  <c r="L52" i="2" l="1"/>
  <c r="M52" i="2" s="1"/>
  <c r="I52" i="2"/>
  <c r="H53" i="2" l="1"/>
  <c r="G53" i="2"/>
  <c r="K53" i="2" s="1"/>
  <c r="L53" i="2" l="1"/>
  <c r="M53" i="2" s="1"/>
  <c r="I53" i="2"/>
  <c r="H54" i="2" l="1"/>
  <c r="G54" i="2"/>
  <c r="K54" i="2" s="1"/>
  <c r="L54" i="2" l="1"/>
  <c r="M54" i="2" s="1"/>
  <c r="I54" i="2"/>
  <c r="H55" i="2" l="1"/>
  <c r="G55" i="2"/>
  <c r="K55" i="2" s="1"/>
  <c r="I55" i="2" l="1"/>
  <c r="L55" i="2"/>
  <c r="M55" i="2" s="1"/>
  <c r="G56" i="2" l="1"/>
  <c r="K56" i="2" s="1"/>
  <c r="H56" i="2"/>
  <c r="I56" i="2" l="1"/>
  <c r="L56" i="2"/>
  <c r="M56" i="2" s="1"/>
  <c r="H57" i="2" l="1"/>
  <c r="G57" i="2"/>
  <c r="K57" i="2" s="1"/>
  <c r="L57" i="2" l="1"/>
  <c r="M57" i="2" s="1"/>
  <c r="I57" i="2"/>
  <c r="H58" i="2" l="1"/>
  <c r="G58" i="2"/>
  <c r="K58" i="2" s="1"/>
  <c r="L58" i="2" l="1"/>
  <c r="M58" i="2" s="1"/>
  <c r="I58" i="2"/>
  <c r="H59" i="2" l="1"/>
  <c r="G59" i="2"/>
  <c r="K59" i="2" s="1"/>
  <c r="I59" i="2" l="1"/>
  <c r="L59" i="2"/>
  <c r="M59" i="2" s="1"/>
  <c r="H60" i="2" l="1"/>
  <c r="G60" i="2"/>
  <c r="K60" i="2" s="1"/>
  <c r="L60" i="2" l="1"/>
  <c r="M60" i="2" s="1"/>
  <c r="I60" i="2"/>
  <c r="H61" i="2" l="1"/>
  <c r="G61" i="2"/>
  <c r="K61" i="2" s="1"/>
  <c r="L61" i="2" l="1"/>
  <c r="M61" i="2" s="1"/>
  <c r="I62" i="2" s="1"/>
  <c r="I61" i="2"/>
</calcChain>
</file>

<file path=xl/sharedStrings.xml><?xml version="1.0" encoding="utf-8"?>
<sst xmlns="http://schemas.openxmlformats.org/spreadsheetml/2006/main" count="25" uniqueCount="22">
  <si>
    <t>PORTFOLIO INSURANCE SIMULATION</t>
  </si>
  <si>
    <t>X</t>
  </si>
  <si>
    <t>Exercise price of puts in strategy</t>
  </si>
  <si>
    <r>
      <t xml:space="preserve">Mean, </t>
    </r>
    <r>
      <rPr>
        <sz val="10"/>
        <rFont val="Symbol"/>
        <family val="1"/>
        <charset val="2"/>
      </rPr>
      <t>m</t>
    </r>
  </si>
  <si>
    <t>Mean of lognormal distribution</t>
  </si>
  <si>
    <r>
      <t xml:space="preserve">Sigma, </t>
    </r>
    <r>
      <rPr>
        <sz val="10"/>
        <rFont val="Symbol"/>
        <family val="1"/>
        <charset val="2"/>
      </rPr>
      <t>s</t>
    </r>
  </si>
  <si>
    <t>Sigma of lognormal distribution</t>
  </si>
  <si>
    <t>r</t>
  </si>
  <si>
    <t>Interest rate</t>
  </si>
  <si>
    <t>Initial</t>
  </si>
  <si>
    <t>Initial investment</t>
  </si>
  <si>
    <t>Portfolio value, beginning of week</t>
  </si>
  <si>
    <t>Portfolio value, end of week</t>
  </si>
  <si>
    <t>Week</t>
  </si>
  <si>
    <t>Stock price
at begin. of
week</t>
  </si>
  <si>
    <t>Stock price
at end of
week</t>
  </si>
  <si>
    <r>
      <t>d</t>
    </r>
    <r>
      <rPr>
        <b/>
        <vertAlign val="subscript"/>
        <sz val="10"/>
        <rFont val="Arial"/>
        <family val="2"/>
      </rPr>
      <t>1</t>
    </r>
    <r>
      <rPr>
        <b/>
        <sz val="10"/>
        <rFont val="Arial"/>
        <family val="2"/>
      </rPr>
      <t>, beginning of week</t>
    </r>
  </si>
  <si>
    <t>Omega,
beginning of week</t>
  </si>
  <si>
    <t>Stocks</t>
  </si>
  <si>
    <t>Bonds</t>
  </si>
  <si>
    <t>Portfolio
value</t>
  </si>
  <si>
    <t>Standard
normal
deviates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</si>
</sst>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1">
    <xf numFmtId="0" fontId="0" fillId="0" borderId="0" xfId="0">
      <alignment vertical="center"/>
    </xf>
    <xf numFmtId="2" fontId="3" fillId="0" borderId="0" xfId="1" applyNumberFormat="1" applyFont="1" applyAlignment="1">
      <alignment horizontal="center"/>
    </xf>
    <xf numFmtId="0" fontId="2" fillId="0" borderId="0" xfId="1" applyAlignment="1">
      <alignment horizontal="centerContinuous"/>
    </xf>
    <xf numFmtId="2" fontId="2" fillId="0" borderId="0" xfId="1" applyNumberFormat="1" applyAlignment="1">
      <alignment horizontal="centerContinuous"/>
    </xf>
    <xf numFmtId="176" fontId="2" fillId="0" borderId="0" xfId="1" applyNumberFormat="1" applyAlignment="1">
      <alignment horizontal="centerContinuous"/>
    </xf>
    <xf numFmtId="0" fontId="2" fillId="0" borderId="0" xfId="1"/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176" fontId="2" fillId="0" borderId="0" xfId="1" applyNumberFormat="1"/>
    <xf numFmtId="9" fontId="2" fillId="0" borderId="0" xfId="1" applyNumberFormat="1"/>
    <xf numFmtId="2" fontId="2" fillId="0" borderId="0" xfId="1" applyNumberFormat="1"/>
    <xf numFmtId="0" fontId="5" fillId="0" borderId="0" xfId="1" applyFont="1" applyAlignment="1">
      <alignment horizontal="centerContinuous"/>
    </xf>
    <xf numFmtId="2" fontId="5" fillId="0" borderId="0" xfId="1" applyNumberFormat="1" applyFont="1" applyAlignment="1">
      <alignment horizontal="centerContinuous"/>
    </xf>
    <xf numFmtId="0" fontId="5" fillId="0" borderId="0" xfId="1" applyFont="1"/>
    <xf numFmtId="176" fontId="5" fillId="0" borderId="0" xfId="1" applyNumberFormat="1" applyFont="1" applyAlignment="1">
      <alignment horizontal="center"/>
    </xf>
    <xf numFmtId="2" fontId="5" fillId="0" borderId="0" xfId="1" applyNumberFormat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2" fontId="5" fillId="0" borderId="0" xfId="1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76" fontId="5" fillId="0" borderId="0" xfId="1" applyNumberFormat="1" applyFont="1" applyAlignment="1">
      <alignment horizontal="center" vertical="center" wrapText="1"/>
    </xf>
    <xf numFmtId="177" fontId="2" fillId="0" borderId="0" xfId="1" applyNumberFormat="1"/>
  </cellXfs>
  <cellStyles count="2">
    <cellStyle name="常规" xfId="0" builtinId="0"/>
    <cellStyle name="常规 2" xfId="1" xr:uid="{9CC0C66F-D0E8-43AC-BE4D-50129089B74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Portfolio Insurance Simulation</a:t>
            </a:r>
          </a:p>
        </c:rich>
      </c:tx>
      <c:layout>
        <c:manualLayout>
          <c:xMode val="edge"/>
          <c:yMode val="edge"/>
          <c:x val="0.32436501939715456"/>
          <c:y val="3.797482437261807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05542234450759"/>
          <c:y val="8.1012958661585227E-2"/>
          <c:w val="0.76532207341632785"/>
          <c:h val="0.76455979736871049"/>
        </c:manualLayout>
      </c:layout>
      <c:lineChart>
        <c:grouping val="standard"/>
        <c:varyColors val="0"/>
        <c:ser>
          <c:idx val="1"/>
          <c:order val="0"/>
          <c:tx>
            <c:v>Insured portfolio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'Page 585-86'!$A$10:$A$62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cat>
          <c:val>
            <c:numRef>
              <c:f>'Page 585-86'!$I$10:$I$62</c:f>
              <c:numCache>
                <c:formatCode>0.00</c:formatCode>
                <c:ptCount val="53"/>
                <c:pt idx="0">
                  <c:v>1000</c:v>
                </c:pt>
                <c:pt idx="1">
                  <c:v>988.84523788623824</c:v>
                </c:pt>
                <c:pt idx="2">
                  <c:v>979.184305742829</c:v>
                </c:pt>
                <c:pt idx="3">
                  <c:v>986.71593990012923</c:v>
                </c:pt>
                <c:pt idx="4">
                  <c:v>989.5208531500241</c:v>
                </c:pt>
                <c:pt idx="5">
                  <c:v>961.59216955544548</c:v>
                </c:pt>
                <c:pt idx="6">
                  <c:v>961.78684786550389</c:v>
                </c:pt>
                <c:pt idx="7">
                  <c:v>952.28250362690346</c:v>
                </c:pt>
                <c:pt idx="8">
                  <c:v>905.19189435597855</c:v>
                </c:pt>
                <c:pt idx="9">
                  <c:v>905.55826184876435</c:v>
                </c:pt>
                <c:pt idx="10">
                  <c:v>942.17890013208341</c:v>
                </c:pt>
                <c:pt idx="11">
                  <c:v>942.10452627155712</c:v>
                </c:pt>
                <c:pt idx="12">
                  <c:v>940.24448604911595</c:v>
                </c:pt>
                <c:pt idx="13">
                  <c:v>929.06038424742258</c:v>
                </c:pt>
                <c:pt idx="14">
                  <c:v>960.25169397415107</c:v>
                </c:pt>
                <c:pt idx="15">
                  <c:v>972.24786089518557</c:v>
                </c:pt>
                <c:pt idx="16">
                  <c:v>957.02119971520779</c:v>
                </c:pt>
                <c:pt idx="17">
                  <c:v>991.46677834857076</c:v>
                </c:pt>
                <c:pt idx="18">
                  <c:v>995.62421925260401</c:v>
                </c:pt>
                <c:pt idx="19">
                  <c:v>1018.1226078538209</c:v>
                </c:pt>
                <c:pt idx="20">
                  <c:v>1022.6209504426809</c:v>
                </c:pt>
                <c:pt idx="21">
                  <c:v>1050.3572825789083</c:v>
                </c:pt>
                <c:pt idx="22">
                  <c:v>1000.0606807654353</c:v>
                </c:pt>
                <c:pt idx="23">
                  <c:v>1090.3564749460841</c:v>
                </c:pt>
                <c:pt idx="24">
                  <c:v>1078.5541933120057</c:v>
                </c:pt>
                <c:pt idx="25">
                  <c:v>1063.6840914966574</c:v>
                </c:pt>
                <c:pt idx="26">
                  <c:v>1050.5976365446343</c:v>
                </c:pt>
                <c:pt idx="27">
                  <c:v>1080.0098915175618</c:v>
                </c:pt>
                <c:pt idx="28">
                  <c:v>991.02083534154031</c:v>
                </c:pt>
                <c:pt idx="29">
                  <c:v>1009.2550572608577</c:v>
                </c:pt>
                <c:pt idx="30">
                  <c:v>961.04402984705416</c:v>
                </c:pt>
                <c:pt idx="31">
                  <c:v>920.39491723354433</c:v>
                </c:pt>
                <c:pt idx="32">
                  <c:v>873.25068134236631</c:v>
                </c:pt>
                <c:pt idx="33">
                  <c:v>878.29800289527418</c:v>
                </c:pt>
                <c:pt idx="34">
                  <c:v>874.15623805246128</c:v>
                </c:pt>
                <c:pt idx="35">
                  <c:v>835.02554622843945</c:v>
                </c:pt>
                <c:pt idx="36">
                  <c:v>836.14719354938313</c:v>
                </c:pt>
                <c:pt idx="37">
                  <c:v>834.533309777775</c:v>
                </c:pt>
                <c:pt idx="38">
                  <c:v>831.3491360224034</c:v>
                </c:pt>
                <c:pt idx="39">
                  <c:v>836.13799693360738</c:v>
                </c:pt>
                <c:pt idx="40">
                  <c:v>836.98227959795634</c:v>
                </c:pt>
                <c:pt idx="41">
                  <c:v>832.29870270613651</c:v>
                </c:pt>
                <c:pt idx="42">
                  <c:v>831.85450830957734</c:v>
                </c:pt>
                <c:pt idx="43">
                  <c:v>832.80055521277961</c:v>
                </c:pt>
                <c:pt idx="44">
                  <c:v>833.84227978991078</c:v>
                </c:pt>
                <c:pt idx="45">
                  <c:v>834.92410921471333</c:v>
                </c:pt>
                <c:pt idx="46">
                  <c:v>836.20989229844952</c:v>
                </c:pt>
                <c:pt idx="47">
                  <c:v>837.49798622125604</c:v>
                </c:pt>
                <c:pt idx="48">
                  <c:v>838.78668342668448</c:v>
                </c:pt>
                <c:pt idx="49">
                  <c:v>840.07809442889902</c:v>
                </c:pt>
                <c:pt idx="50">
                  <c:v>841.37151699683091</c:v>
                </c:pt>
                <c:pt idx="51">
                  <c:v>842.66693093214928</c:v>
                </c:pt>
                <c:pt idx="52">
                  <c:v>843.96433934569461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3-4E18-9053-8D1E7392E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11384"/>
        <c:axId val="1"/>
      </c:lineChart>
      <c:lineChart>
        <c:grouping val="standard"/>
        <c:varyColors val="0"/>
        <c:ser>
          <c:idx val="0"/>
          <c:order val="1"/>
          <c:tx>
            <c:v>Stock price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'Page 585-86'!$B$10:$B$62</c:f>
              <c:numCache>
                <c:formatCode>0.00</c:formatCode>
                <c:ptCount val="53"/>
                <c:pt idx="0">
                  <c:v>56</c:v>
                </c:pt>
                <c:pt idx="1">
                  <c:v>55.144026161138058</c:v>
                </c:pt>
                <c:pt idx="2">
                  <c:v>54.382796134027103</c:v>
                </c:pt>
                <c:pt idx="3">
                  <c:v>54.930875192149266</c:v>
                </c:pt>
                <c:pt idx="4">
                  <c:v>55.113143655514577</c:v>
                </c:pt>
                <c:pt idx="5">
                  <c:v>52.971511861450331</c:v>
                </c:pt>
                <c:pt idx="6">
                  <c:v>52.94990476316984</c:v>
                </c:pt>
                <c:pt idx="7">
                  <c:v>52.149502519797778</c:v>
                </c:pt>
                <c:pt idx="8">
                  <c:v>48.228490720157644</c:v>
                </c:pt>
                <c:pt idx="9">
                  <c:v>48.20297016831433</c:v>
                </c:pt>
                <c:pt idx="10">
                  <c:v>51.712027843409587</c:v>
                </c:pt>
                <c:pt idx="11">
                  <c:v>51.66303946376074</c:v>
                </c:pt>
                <c:pt idx="12">
                  <c:v>51.462762161388</c:v>
                </c:pt>
                <c:pt idx="13">
                  <c:v>50.465607804801692</c:v>
                </c:pt>
                <c:pt idx="14">
                  <c:v>53.187471428720713</c:v>
                </c:pt>
                <c:pt idx="15">
                  <c:v>54.113242266613305</c:v>
                </c:pt>
                <c:pt idx="16">
                  <c:v>52.895116210736724</c:v>
                </c:pt>
                <c:pt idx="17">
                  <c:v>55.64868496140982</c:v>
                </c:pt>
                <c:pt idx="18">
                  <c:v>55.929958390678337</c:v>
                </c:pt>
                <c:pt idx="19">
                  <c:v>57.560345047952765</c:v>
                </c:pt>
                <c:pt idx="20">
                  <c:v>57.855891491944341</c:v>
                </c:pt>
                <c:pt idx="21">
                  <c:v>59.775568446910349</c:v>
                </c:pt>
                <c:pt idx="22">
                  <c:v>56.381697381190499</c:v>
                </c:pt>
                <c:pt idx="23">
                  <c:v>62.8963504358248</c:v>
                </c:pt>
                <c:pt idx="24">
                  <c:v>62.128918205433045</c:v>
                </c:pt>
                <c:pt idx="25">
                  <c:v>61.156922268840617</c:v>
                </c:pt>
                <c:pt idx="26">
                  <c:v>60.289115837161255</c:v>
                </c:pt>
                <c:pt idx="27">
                  <c:v>62.218573715241412</c:v>
                </c:pt>
                <c:pt idx="28">
                  <c:v>56.520167117934008</c:v>
                </c:pt>
                <c:pt idx="29">
                  <c:v>57.808342758474268</c:v>
                </c:pt>
                <c:pt idx="30">
                  <c:v>54.452427035714237</c:v>
                </c:pt>
                <c:pt idx="31">
                  <c:v>51.302471394873976</c:v>
                </c:pt>
                <c:pt idx="32">
                  <c:v>47.048477836153971</c:v>
                </c:pt>
                <c:pt idx="33">
                  <c:v>47.581624055068282</c:v>
                </c:pt>
                <c:pt idx="34">
                  <c:v>46.99849645449607</c:v>
                </c:pt>
                <c:pt idx="35">
                  <c:v>41.889776122150252</c:v>
                </c:pt>
                <c:pt idx="36">
                  <c:v>41.908772490723621</c:v>
                </c:pt>
                <c:pt idx="37">
                  <c:v>41.128365461305421</c:v>
                </c:pt>
                <c:pt idx="38">
                  <c:v>39.553756360121881</c:v>
                </c:pt>
                <c:pt idx="39">
                  <c:v>41.720198419480752</c:v>
                </c:pt>
                <c:pt idx="40">
                  <c:v>41.619462757192188</c:v>
                </c:pt>
                <c:pt idx="41">
                  <c:v>39.190855911645009</c:v>
                </c:pt>
                <c:pt idx="42">
                  <c:v>37.482575139322243</c:v>
                </c:pt>
                <c:pt idx="43">
                  <c:v>36.653022289840273</c:v>
                </c:pt>
                <c:pt idx="44">
                  <c:v>35.328425215449641</c:v>
                </c:pt>
                <c:pt idx="45">
                  <c:v>30.865872525370936</c:v>
                </c:pt>
                <c:pt idx="46">
                  <c:v>32.41047965588043</c:v>
                </c:pt>
                <c:pt idx="47">
                  <c:v>34.361443018885787</c:v>
                </c:pt>
                <c:pt idx="48">
                  <c:v>33.475915531204606</c:v>
                </c:pt>
                <c:pt idx="49">
                  <c:v>32.43786552144406</c:v>
                </c:pt>
                <c:pt idx="50">
                  <c:v>33.999829164447561</c:v>
                </c:pt>
                <c:pt idx="51">
                  <c:v>34.187588322956678</c:v>
                </c:pt>
                <c:pt idx="52">
                  <c:v>34.127787327566402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73-4E18-9053-8D1E7392E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01711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Week</a:t>
                </a:r>
              </a:p>
            </c:rich>
          </c:tx>
          <c:layout>
            <c:manualLayout>
              <c:xMode val="edge"/>
              <c:yMode val="edge"/>
              <c:x val="0.47982106555984616"/>
              <c:y val="0.924054059733706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Insured portfolio value</a:t>
                </a:r>
              </a:p>
            </c:rich>
          </c:tx>
          <c:layout>
            <c:manualLayout>
              <c:xMode val="edge"/>
              <c:yMode val="edge"/>
              <c:x val="1.3452927071771389E-2"/>
              <c:y val="0.278482045399199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71138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</a:t>
                </a:r>
              </a:p>
            </c:rich>
          </c:tx>
          <c:layout>
            <c:manualLayout>
              <c:xMode val="edge"/>
              <c:yMode val="edge"/>
              <c:x val="0.93124150730150834"/>
              <c:y val="0.369621623893482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554596955027173"/>
          <c:y val="0.7139266982052197"/>
          <c:w val="0.2496265356650913"/>
          <c:h val="0.129114402866901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144780</xdr:colOff>
      <xdr:row>8</xdr:row>
      <xdr:rowOff>99060</xdr:rowOff>
    </xdr:from>
    <xdr:to>
      <xdr:col>25</xdr:col>
      <xdr:colOff>419100</xdr:colOff>
      <xdr:row>26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2AB3151-BEE2-4529-A0E4-8022737B4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441960</xdr:colOff>
      <xdr:row>3</xdr:row>
      <xdr:rowOff>68580</xdr:rowOff>
    </xdr:from>
    <xdr:to>
      <xdr:col>55</xdr:col>
      <xdr:colOff>472440</xdr:colOff>
      <xdr:row>80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FFC99C-95DA-E73A-325F-13438A8CB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6931640" y="624840"/>
          <a:ext cx="17106900" cy="135178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3</xdr:row>
          <xdr:rowOff>30480</xdr:rowOff>
        </xdr:from>
        <xdr:to>
          <xdr:col>21</xdr:col>
          <xdr:colOff>22860</xdr:colOff>
          <xdr:row>6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Simulating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77"/>
      <sheetName val="Page 577 中文"/>
      <sheetName val="Page 581"/>
      <sheetName val="Page 581 中文"/>
      <sheetName val="Page 582"/>
      <sheetName val="Page 582 中文"/>
      <sheetName val="Pages 581-583"/>
      <sheetName val="Pages 581-583 中文"/>
      <sheetName val="Page 585-86"/>
      <sheetName val="Page 585-86 中文"/>
      <sheetName val="Page 587"/>
      <sheetName val="Page 587 中文"/>
      <sheetName val="Simulation to play with"/>
      <sheetName val="Simulation to play with 中文"/>
      <sheetName val="Page 589"/>
      <sheetName val="Page 589 中文"/>
      <sheetName val="Page 590"/>
      <sheetName val="Page 590 中文"/>
      <sheetName val="Page 591, top"/>
      <sheetName val="Page 591, top中文"/>
      <sheetName val="Page 591, bottom"/>
      <sheetName val="Page 591, bottom 中文"/>
      <sheetName val="Page 593"/>
      <sheetName val="Page 593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0">
          <cell r="A10">
            <v>0</v>
          </cell>
          <cell r="B10">
            <v>56</v>
          </cell>
          <cell r="I10">
            <v>1000</v>
          </cell>
        </row>
        <row r="11">
          <cell r="A11">
            <v>1</v>
          </cell>
          <cell r="B11">
            <v>53.605538214904747</v>
          </cell>
          <cell r="I11">
            <v>968.11681741236453</v>
          </cell>
        </row>
        <row r="12">
          <cell r="A12">
            <v>2</v>
          </cell>
          <cell r="B12">
            <v>50.961906974142302</v>
          </cell>
          <cell r="I12">
            <v>934.99808053165157</v>
          </cell>
        </row>
        <row r="13">
          <cell r="A13">
            <v>3</v>
          </cell>
          <cell r="B13">
            <v>50.508595825590675</v>
          </cell>
          <cell r="I13">
            <v>930.22854057495147</v>
          </cell>
        </row>
        <row r="14">
          <cell r="A14">
            <v>4</v>
          </cell>
          <cell r="B14">
            <v>47.695533813971444</v>
          </cell>
          <cell r="I14">
            <v>898.48312566507059</v>
          </cell>
        </row>
        <row r="15">
          <cell r="A15">
            <v>5</v>
          </cell>
          <cell r="B15">
            <v>47.679429711378539</v>
          </cell>
          <cell r="I15">
            <v>898.95671777145549</v>
          </cell>
        </row>
        <row r="16">
          <cell r="A16">
            <v>6</v>
          </cell>
          <cell r="B16">
            <v>45.32541154479987</v>
          </cell>
          <cell r="I16">
            <v>875.76550302985515</v>
          </cell>
        </row>
        <row r="17">
          <cell r="A17">
            <v>7</v>
          </cell>
          <cell r="B17">
            <v>46.705976063183073</v>
          </cell>
          <cell r="I17">
            <v>888.73266962956268</v>
          </cell>
        </row>
        <row r="18">
          <cell r="A18">
            <v>8</v>
          </cell>
          <cell r="B18">
            <v>48.310815307673209</v>
          </cell>
          <cell r="I18">
            <v>904.73348415870771</v>
          </cell>
        </row>
        <row r="19">
          <cell r="A19">
            <v>9</v>
          </cell>
          <cell r="B19">
            <v>49.114473978126156</v>
          </cell>
          <cell r="I19">
            <v>913.65423741582583</v>
          </cell>
        </row>
        <row r="20">
          <cell r="A20">
            <v>10</v>
          </cell>
          <cell r="B20">
            <v>48.019022244604272</v>
          </cell>
          <cell r="I20">
            <v>902.54063934313649</v>
          </cell>
        </row>
        <row r="21">
          <cell r="A21">
            <v>11</v>
          </cell>
          <cell r="B21">
            <v>45.44825232844174</v>
          </cell>
          <cell r="I21">
            <v>877.18600739391809</v>
          </cell>
        </row>
        <row r="22">
          <cell r="A22">
            <v>12</v>
          </cell>
          <cell r="B22">
            <v>47.187163311987518</v>
          </cell>
          <cell r="I22">
            <v>892.98695130588362</v>
          </cell>
        </row>
        <row r="23">
          <cell r="A23">
            <v>13</v>
          </cell>
          <cell r="B23">
            <v>47.85416433168443</v>
          </cell>
          <cell r="I23">
            <v>900.05157252734568</v>
          </cell>
        </row>
        <row r="24">
          <cell r="A24">
            <v>14</v>
          </cell>
          <cell r="B24">
            <v>48.498173656850497</v>
          </cell>
          <cell r="I24">
            <v>907.08269634242788</v>
          </cell>
        </row>
        <row r="25">
          <cell r="A25">
            <v>15</v>
          </cell>
          <cell r="B25">
            <v>44.493678701420407</v>
          </cell>
          <cell r="I25">
            <v>866.81973255630032</v>
          </cell>
        </row>
        <row r="26">
          <cell r="A26">
            <v>16</v>
          </cell>
          <cell r="B26">
            <v>42.458775973341318</v>
          </cell>
          <cell r="I26">
            <v>851.71290123828385</v>
          </cell>
        </row>
        <row r="27">
          <cell r="A27">
            <v>17</v>
          </cell>
          <cell r="B27">
            <v>43.186581833356669</v>
          </cell>
          <cell r="I27">
            <v>857.3217161157479</v>
          </cell>
        </row>
        <row r="28">
          <cell r="A28">
            <v>18</v>
          </cell>
          <cell r="B28">
            <v>43.461949741209551</v>
          </cell>
          <cell r="I28">
            <v>860.07349717468378</v>
          </cell>
        </row>
        <row r="29">
          <cell r="A29">
            <v>19</v>
          </cell>
          <cell r="B29">
            <v>42.547685200912973</v>
          </cell>
          <cell r="I29">
            <v>854.58193909721581</v>
          </cell>
        </row>
        <row r="30">
          <cell r="A30">
            <v>20</v>
          </cell>
          <cell r="B30">
            <v>44.126260183484142</v>
          </cell>
          <cell r="I30">
            <v>865.39761859038299</v>
          </cell>
        </row>
        <row r="31">
          <cell r="A31">
            <v>21</v>
          </cell>
          <cell r="B31">
            <v>42.791218791382228</v>
          </cell>
          <cell r="I31">
            <v>856.6289776183628</v>
          </cell>
        </row>
        <row r="32">
          <cell r="A32">
            <v>22</v>
          </cell>
          <cell r="B32">
            <v>38.002806488360342</v>
          </cell>
          <cell r="I32">
            <v>827.6634758253756</v>
          </cell>
        </row>
        <row r="33">
          <cell r="A33">
            <v>23</v>
          </cell>
          <cell r="B33">
            <v>37.270705152349869</v>
          </cell>
          <cell r="I33">
            <v>826.41206977523996</v>
          </cell>
        </row>
        <row r="34">
          <cell r="A34">
            <v>24</v>
          </cell>
          <cell r="B34">
            <v>37.112204468838065</v>
          </cell>
          <cell r="I34">
            <v>827.10048485568814</v>
          </cell>
        </row>
        <row r="35">
          <cell r="A35">
            <v>25</v>
          </cell>
          <cell r="B35">
            <v>36.76329026215744</v>
          </cell>
          <cell r="I35">
            <v>827.3533234950055</v>
          </cell>
        </row>
        <row r="36">
          <cell r="A36">
            <v>26</v>
          </cell>
          <cell r="B36">
            <v>37.716763605432597</v>
          </cell>
          <cell r="I36">
            <v>830.63163965446586</v>
          </cell>
        </row>
        <row r="37">
          <cell r="A37">
            <v>27</v>
          </cell>
          <cell r="B37">
            <v>40.106259217473607</v>
          </cell>
          <cell r="I37">
            <v>837.90582216495977</v>
          </cell>
        </row>
        <row r="38">
          <cell r="A38">
            <v>28</v>
          </cell>
          <cell r="B38">
            <v>37.712396690421166</v>
          </cell>
          <cell r="I38">
            <v>829.95730163240387</v>
          </cell>
        </row>
        <row r="39">
          <cell r="A39">
            <v>29</v>
          </cell>
          <cell r="B39">
            <v>39.183931166409884</v>
          </cell>
          <cell r="I39">
            <v>834.5012474926873</v>
          </cell>
        </row>
        <row r="40">
          <cell r="A40">
            <v>30</v>
          </cell>
          <cell r="B40">
            <v>37.157015005262068</v>
          </cell>
          <cell r="I40">
            <v>829.6471558108193</v>
          </cell>
        </row>
        <row r="41">
          <cell r="A41">
            <v>31</v>
          </cell>
          <cell r="B41">
            <v>35.922063813602783</v>
          </cell>
          <cell r="I41">
            <v>828.59906040222529</v>
          </cell>
        </row>
        <row r="42">
          <cell r="A42">
            <v>32</v>
          </cell>
          <cell r="B42">
            <v>33.177557363236467</v>
          </cell>
          <cell r="I42">
            <v>826.49476297687704</v>
          </cell>
        </row>
        <row r="43">
          <cell r="A43">
            <v>33</v>
          </cell>
          <cell r="B43">
            <v>33.541653587687108</v>
          </cell>
          <cell r="I43">
            <v>827.9048938463817</v>
          </cell>
        </row>
        <row r="44">
          <cell r="A44">
            <v>34</v>
          </cell>
          <cell r="B44">
            <v>35.217894902239941</v>
          </cell>
          <cell r="I44">
            <v>829.88799259767893</v>
          </cell>
        </row>
        <row r="45">
          <cell r="A45">
            <v>35</v>
          </cell>
          <cell r="B45">
            <v>34.576537625919755</v>
          </cell>
          <cell r="I45">
            <v>830.68136762747167</v>
          </cell>
        </row>
        <row r="46">
          <cell r="A46">
            <v>36</v>
          </cell>
          <cell r="B46">
            <v>33.142675037912653</v>
          </cell>
          <cell r="I46">
            <v>831.25279334193192</v>
          </cell>
        </row>
        <row r="47">
          <cell r="A47">
            <v>37</v>
          </cell>
          <cell r="B47">
            <v>33.151573455317099</v>
          </cell>
          <cell r="I47">
            <v>832.52362371414654</v>
          </cell>
        </row>
        <row r="48">
          <cell r="A48">
            <v>38</v>
          </cell>
          <cell r="B48">
            <v>33.466782240434767</v>
          </cell>
          <cell r="I48">
            <v>833.85038105551257</v>
          </cell>
        </row>
        <row r="49">
          <cell r="A49">
            <v>39</v>
          </cell>
          <cell r="B49">
            <v>34.201059931862794</v>
          </cell>
          <cell r="I49">
            <v>835.23965873650036</v>
          </cell>
        </row>
        <row r="50">
          <cell r="A50">
            <v>40</v>
          </cell>
          <cell r="B50">
            <v>35.102641178794251</v>
          </cell>
          <cell r="I50">
            <v>836.67138180176892</v>
          </cell>
        </row>
        <row r="51">
          <cell r="A51">
            <v>41</v>
          </cell>
          <cell r="B51">
            <v>35.184163468063069</v>
          </cell>
          <cell r="I51">
            <v>837.96521636088812</v>
          </cell>
        </row>
        <row r="52">
          <cell r="A52">
            <v>42</v>
          </cell>
          <cell r="B52">
            <v>37.679580866763828</v>
          </cell>
          <cell r="I52">
            <v>839.64033993394185</v>
          </cell>
        </row>
        <row r="53">
          <cell r="A53">
            <v>43</v>
          </cell>
          <cell r="B53">
            <v>36.824005906089425</v>
          </cell>
          <cell r="I53">
            <v>840.55091838924091</v>
          </cell>
        </row>
        <row r="54">
          <cell r="A54">
            <v>44</v>
          </cell>
          <cell r="B54">
            <v>37.280236935847086</v>
          </cell>
          <cell r="I54">
            <v>841.92254743250112</v>
          </cell>
        </row>
        <row r="55">
          <cell r="A55">
            <v>45</v>
          </cell>
          <cell r="B55">
            <v>36.699705396384076</v>
          </cell>
          <cell r="I55">
            <v>843.11153331108289</v>
          </cell>
        </row>
        <row r="56">
          <cell r="A56">
            <v>46</v>
          </cell>
          <cell r="B56">
            <v>37.699113861103044</v>
          </cell>
          <cell r="I56">
            <v>844.47302247438256</v>
          </cell>
        </row>
        <row r="57">
          <cell r="A57">
            <v>47</v>
          </cell>
          <cell r="B57">
            <v>35.600758733462804</v>
          </cell>
          <cell r="I57">
            <v>845.61608652598795</v>
          </cell>
        </row>
        <row r="58">
          <cell r="A58">
            <v>48</v>
          </cell>
          <cell r="B58">
            <v>37.716819787685843</v>
          </cell>
          <cell r="I58">
            <v>846.92555894621</v>
          </cell>
        </row>
        <row r="59">
          <cell r="A59">
            <v>49</v>
          </cell>
          <cell r="B59">
            <v>38.958048236838025</v>
          </cell>
          <cell r="I59">
            <v>848.2402659388647</v>
          </cell>
        </row>
        <row r="60">
          <cell r="A60">
            <v>50</v>
          </cell>
          <cell r="B60">
            <v>38.994848957226985</v>
          </cell>
          <cell r="I60">
            <v>849.54610298099374</v>
          </cell>
        </row>
        <row r="61">
          <cell r="A61">
            <v>51</v>
          </cell>
          <cell r="B61">
            <v>41.969696180210676</v>
          </cell>
          <cell r="I61">
            <v>850.85495225921215</v>
          </cell>
        </row>
        <row r="62">
          <cell r="A62">
            <v>52</v>
          </cell>
          <cell r="B62">
            <v>42.837689747508755</v>
          </cell>
          <cell r="I62">
            <v>852.16519444014648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57DB-E59C-4827-9EA8-A83823C598F4}">
  <sheetPr codeName="Sheet11"/>
  <dimension ref="A1:O308"/>
  <sheetViews>
    <sheetView tabSelected="1" zoomScale="115" zoomScaleNormal="115" workbookViewId="0">
      <selection activeCell="V37" sqref="V37"/>
    </sheetView>
  </sheetViews>
  <sheetFormatPr defaultRowHeight="13.2" x14ac:dyDescent="0.25"/>
  <cols>
    <col min="1" max="1" width="8.88671875" style="6" customWidth="1"/>
    <col min="2" max="2" width="11.33203125" style="10" customWidth="1"/>
    <col min="3" max="3" width="11.5546875" style="10" customWidth="1"/>
    <col min="4" max="4" width="10" style="5" customWidth="1"/>
    <col min="5" max="5" width="10.33203125" style="5" customWidth="1"/>
    <col min="6" max="6" width="3.44140625" style="5" customWidth="1"/>
    <col min="7" max="7" width="9.5546875" style="5" customWidth="1"/>
    <col min="8" max="8" width="8.88671875" style="5"/>
    <col min="9" max="9" width="11.88671875" style="7" customWidth="1"/>
    <col min="10" max="10" width="3.44140625" style="5" customWidth="1"/>
    <col min="11" max="11" width="10.33203125" style="5" customWidth="1"/>
    <col min="12" max="12" width="8.88671875" style="5"/>
    <col min="13" max="13" width="10.88671875" style="7" customWidth="1"/>
    <col min="14" max="14" width="3.33203125" style="5" customWidth="1"/>
    <col min="15" max="15" width="11" style="8" customWidth="1"/>
    <col min="16" max="257" width="8.88671875" style="5"/>
    <col min="258" max="258" width="11.33203125" style="5" customWidth="1"/>
    <col min="259" max="259" width="11.5546875" style="5" customWidth="1"/>
    <col min="260" max="260" width="10" style="5" customWidth="1"/>
    <col min="261" max="261" width="10.33203125" style="5" customWidth="1"/>
    <col min="262" max="262" width="3.44140625" style="5" customWidth="1"/>
    <col min="263" max="263" width="9.5546875" style="5" customWidth="1"/>
    <col min="264" max="264" width="8.88671875" style="5"/>
    <col min="265" max="265" width="11.88671875" style="5" customWidth="1"/>
    <col min="266" max="266" width="3.44140625" style="5" customWidth="1"/>
    <col min="267" max="267" width="10.33203125" style="5" customWidth="1"/>
    <col min="268" max="268" width="8.88671875" style="5"/>
    <col min="269" max="269" width="10.88671875" style="5" customWidth="1"/>
    <col min="270" max="270" width="3.33203125" style="5" customWidth="1"/>
    <col min="271" max="271" width="11" style="5" customWidth="1"/>
    <col min="272" max="513" width="8.88671875" style="5"/>
    <col min="514" max="514" width="11.33203125" style="5" customWidth="1"/>
    <col min="515" max="515" width="11.5546875" style="5" customWidth="1"/>
    <col min="516" max="516" width="10" style="5" customWidth="1"/>
    <col min="517" max="517" width="10.33203125" style="5" customWidth="1"/>
    <col min="518" max="518" width="3.44140625" style="5" customWidth="1"/>
    <col min="519" max="519" width="9.5546875" style="5" customWidth="1"/>
    <col min="520" max="520" width="8.88671875" style="5"/>
    <col min="521" max="521" width="11.88671875" style="5" customWidth="1"/>
    <col min="522" max="522" width="3.44140625" style="5" customWidth="1"/>
    <col min="523" max="523" width="10.33203125" style="5" customWidth="1"/>
    <col min="524" max="524" width="8.88671875" style="5"/>
    <col min="525" max="525" width="10.88671875" style="5" customWidth="1"/>
    <col min="526" max="526" width="3.33203125" style="5" customWidth="1"/>
    <col min="527" max="527" width="11" style="5" customWidth="1"/>
    <col min="528" max="769" width="8.88671875" style="5"/>
    <col min="770" max="770" width="11.33203125" style="5" customWidth="1"/>
    <col min="771" max="771" width="11.5546875" style="5" customWidth="1"/>
    <col min="772" max="772" width="10" style="5" customWidth="1"/>
    <col min="773" max="773" width="10.33203125" style="5" customWidth="1"/>
    <col min="774" max="774" width="3.44140625" style="5" customWidth="1"/>
    <col min="775" max="775" width="9.5546875" style="5" customWidth="1"/>
    <col min="776" max="776" width="8.88671875" style="5"/>
    <col min="777" max="777" width="11.88671875" style="5" customWidth="1"/>
    <col min="778" max="778" width="3.44140625" style="5" customWidth="1"/>
    <col min="779" max="779" width="10.33203125" style="5" customWidth="1"/>
    <col min="780" max="780" width="8.88671875" style="5"/>
    <col min="781" max="781" width="10.88671875" style="5" customWidth="1"/>
    <col min="782" max="782" width="3.33203125" style="5" customWidth="1"/>
    <col min="783" max="783" width="11" style="5" customWidth="1"/>
    <col min="784" max="1025" width="8.88671875" style="5"/>
    <col min="1026" max="1026" width="11.33203125" style="5" customWidth="1"/>
    <col min="1027" max="1027" width="11.5546875" style="5" customWidth="1"/>
    <col min="1028" max="1028" width="10" style="5" customWidth="1"/>
    <col min="1029" max="1029" width="10.33203125" style="5" customWidth="1"/>
    <col min="1030" max="1030" width="3.44140625" style="5" customWidth="1"/>
    <col min="1031" max="1031" width="9.5546875" style="5" customWidth="1"/>
    <col min="1032" max="1032" width="8.88671875" style="5"/>
    <col min="1033" max="1033" width="11.88671875" style="5" customWidth="1"/>
    <col min="1034" max="1034" width="3.44140625" style="5" customWidth="1"/>
    <col min="1035" max="1035" width="10.33203125" style="5" customWidth="1"/>
    <col min="1036" max="1036" width="8.88671875" style="5"/>
    <col min="1037" max="1037" width="10.88671875" style="5" customWidth="1"/>
    <col min="1038" max="1038" width="3.33203125" style="5" customWidth="1"/>
    <col min="1039" max="1039" width="11" style="5" customWidth="1"/>
    <col min="1040" max="1281" width="8.88671875" style="5"/>
    <col min="1282" max="1282" width="11.33203125" style="5" customWidth="1"/>
    <col min="1283" max="1283" width="11.5546875" style="5" customWidth="1"/>
    <col min="1284" max="1284" width="10" style="5" customWidth="1"/>
    <col min="1285" max="1285" width="10.33203125" style="5" customWidth="1"/>
    <col min="1286" max="1286" width="3.44140625" style="5" customWidth="1"/>
    <col min="1287" max="1287" width="9.5546875" style="5" customWidth="1"/>
    <col min="1288" max="1288" width="8.88671875" style="5"/>
    <col min="1289" max="1289" width="11.88671875" style="5" customWidth="1"/>
    <col min="1290" max="1290" width="3.44140625" style="5" customWidth="1"/>
    <col min="1291" max="1291" width="10.33203125" style="5" customWidth="1"/>
    <col min="1292" max="1292" width="8.88671875" style="5"/>
    <col min="1293" max="1293" width="10.88671875" style="5" customWidth="1"/>
    <col min="1294" max="1294" width="3.33203125" style="5" customWidth="1"/>
    <col min="1295" max="1295" width="11" style="5" customWidth="1"/>
    <col min="1296" max="1537" width="8.88671875" style="5"/>
    <col min="1538" max="1538" width="11.33203125" style="5" customWidth="1"/>
    <col min="1539" max="1539" width="11.5546875" style="5" customWidth="1"/>
    <col min="1540" max="1540" width="10" style="5" customWidth="1"/>
    <col min="1541" max="1541" width="10.33203125" style="5" customWidth="1"/>
    <col min="1542" max="1542" width="3.44140625" style="5" customWidth="1"/>
    <col min="1543" max="1543" width="9.5546875" style="5" customWidth="1"/>
    <col min="1544" max="1544" width="8.88671875" style="5"/>
    <col min="1545" max="1545" width="11.88671875" style="5" customWidth="1"/>
    <col min="1546" max="1546" width="3.44140625" style="5" customWidth="1"/>
    <col min="1547" max="1547" width="10.33203125" style="5" customWidth="1"/>
    <col min="1548" max="1548" width="8.88671875" style="5"/>
    <col min="1549" max="1549" width="10.88671875" style="5" customWidth="1"/>
    <col min="1550" max="1550" width="3.33203125" style="5" customWidth="1"/>
    <col min="1551" max="1551" width="11" style="5" customWidth="1"/>
    <col min="1552" max="1793" width="8.88671875" style="5"/>
    <col min="1794" max="1794" width="11.33203125" style="5" customWidth="1"/>
    <col min="1795" max="1795" width="11.5546875" style="5" customWidth="1"/>
    <col min="1796" max="1796" width="10" style="5" customWidth="1"/>
    <col min="1797" max="1797" width="10.33203125" style="5" customWidth="1"/>
    <col min="1798" max="1798" width="3.44140625" style="5" customWidth="1"/>
    <col min="1799" max="1799" width="9.5546875" style="5" customWidth="1"/>
    <col min="1800" max="1800" width="8.88671875" style="5"/>
    <col min="1801" max="1801" width="11.88671875" style="5" customWidth="1"/>
    <col min="1802" max="1802" width="3.44140625" style="5" customWidth="1"/>
    <col min="1803" max="1803" width="10.33203125" style="5" customWidth="1"/>
    <col min="1804" max="1804" width="8.88671875" style="5"/>
    <col min="1805" max="1805" width="10.88671875" style="5" customWidth="1"/>
    <col min="1806" max="1806" width="3.33203125" style="5" customWidth="1"/>
    <col min="1807" max="1807" width="11" style="5" customWidth="1"/>
    <col min="1808" max="2049" width="8.88671875" style="5"/>
    <col min="2050" max="2050" width="11.33203125" style="5" customWidth="1"/>
    <col min="2051" max="2051" width="11.5546875" style="5" customWidth="1"/>
    <col min="2052" max="2052" width="10" style="5" customWidth="1"/>
    <col min="2053" max="2053" width="10.33203125" style="5" customWidth="1"/>
    <col min="2054" max="2054" width="3.44140625" style="5" customWidth="1"/>
    <col min="2055" max="2055" width="9.5546875" style="5" customWidth="1"/>
    <col min="2056" max="2056" width="8.88671875" style="5"/>
    <col min="2057" max="2057" width="11.88671875" style="5" customWidth="1"/>
    <col min="2058" max="2058" width="3.44140625" style="5" customWidth="1"/>
    <col min="2059" max="2059" width="10.33203125" style="5" customWidth="1"/>
    <col min="2060" max="2060" width="8.88671875" style="5"/>
    <col min="2061" max="2061" width="10.88671875" style="5" customWidth="1"/>
    <col min="2062" max="2062" width="3.33203125" style="5" customWidth="1"/>
    <col min="2063" max="2063" width="11" style="5" customWidth="1"/>
    <col min="2064" max="2305" width="8.88671875" style="5"/>
    <col min="2306" max="2306" width="11.33203125" style="5" customWidth="1"/>
    <col min="2307" max="2307" width="11.5546875" style="5" customWidth="1"/>
    <col min="2308" max="2308" width="10" style="5" customWidth="1"/>
    <col min="2309" max="2309" width="10.33203125" style="5" customWidth="1"/>
    <col min="2310" max="2310" width="3.44140625" style="5" customWidth="1"/>
    <col min="2311" max="2311" width="9.5546875" style="5" customWidth="1"/>
    <col min="2312" max="2312" width="8.88671875" style="5"/>
    <col min="2313" max="2313" width="11.88671875" style="5" customWidth="1"/>
    <col min="2314" max="2314" width="3.44140625" style="5" customWidth="1"/>
    <col min="2315" max="2315" width="10.33203125" style="5" customWidth="1"/>
    <col min="2316" max="2316" width="8.88671875" style="5"/>
    <col min="2317" max="2317" width="10.88671875" style="5" customWidth="1"/>
    <col min="2318" max="2318" width="3.33203125" style="5" customWidth="1"/>
    <col min="2319" max="2319" width="11" style="5" customWidth="1"/>
    <col min="2320" max="2561" width="8.88671875" style="5"/>
    <col min="2562" max="2562" width="11.33203125" style="5" customWidth="1"/>
    <col min="2563" max="2563" width="11.5546875" style="5" customWidth="1"/>
    <col min="2564" max="2564" width="10" style="5" customWidth="1"/>
    <col min="2565" max="2565" width="10.33203125" style="5" customWidth="1"/>
    <col min="2566" max="2566" width="3.44140625" style="5" customWidth="1"/>
    <col min="2567" max="2567" width="9.5546875" style="5" customWidth="1"/>
    <col min="2568" max="2568" width="8.88671875" style="5"/>
    <col min="2569" max="2569" width="11.88671875" style="5" customWidth="1"/>
    <col min="2570" max="2570" width="3.44140625" style="5" customWidth="1"/>
    <col min="2571" max="2571" width="10.33203125" style="5" customWidth="1"/>
    <col min="2572" max="2572" width="8.88671875" style="5"/>
    <col min="2573" max="2573" width="10.88671875" style="5" customWidth="1"/>
    <col min="2574" max="2574" width="3.33203125" style="5" customWidth="1"/>
    <col min="2575" max="2575" width="11" style="5" customWidth="1"/>
    <col min="2576" max="2817" width="8.88671875" style="5"/>
    <col min="2818" max="2818" width="11.33203125" style="5" customWidth="1"/>
    <col min="2819" max="2819" width="11.5546875" style="5" customWidth="1"/>
    <col min="2820" max="2820" width="10" style="5" customWidth="1"/>
    <col min="2821" max="2821" width="10.33203125" style="5" customWidth="1"/>
    <col min="2822" max="2822" width="3.44140625" style="5" customWidth="1"/>
    <col min="2823" max="2823" width="9.5546875" style="5" customWidth="1"/>
    <col min="2824" max="2824" width="8.88671875" style="5"/>
    <col min="2825" max="2825" width="11.88671875" style="5" customWidth="1"/>
    <col min="2826" max="2826" width="3.44140625" style="5" customWidth="1"/>
    <col min="2827" max="2827" width="10.33203125" style="5" customWidth="1"/>
    <col min="2828" max="2828" width="8.88671875" style="5"/>
    <col min="2829" max="2829" width="10.88671875" style="5" customWidth="1"/>
    <col min="2830" max="2830" width="3.33203125" style="5" customWidth="1"/>
    <col min="2831" max="2831" width="11" style="5" customWidth="1"/>
    <col min="2832" max="3073" width="8.88671875" style="5"/>
    <col min="3074" max="3074" width="11.33203125" style="5" customWidth="1"/>
    <col min="3075" max="3075" width="11.5546875" style="5" customWidth="1"/>
    <col min="3076" max="3076" width="10" style="5" customWidth="1"/>
    <col min="3077" max="3077" width="10.33203125" style="5" customWidth="1"/>
    <col min="3078" max="3078" width="3.44140625" style="5" customWidth="1"/>
    <col min="3079" max="3079" width="9.5546875" style="5" customWidth="1"/>
    <col min="3080" max="3080" width="8.88671875" style="5"/>
    <col min="3081" max="3081" width="11.88671875" style="5" customWidth="1"/>
    <col min="3082" max="3082" width="3.44140625" style="5" customWidth="1"/>
    <col min="3083" max="3083" width="10.33203125" style="5" customWidth="1"/>
    <col min="3084" max="3084" width="8.88671875" style="5"/>
    <col min="3085" max="3085" width="10.88671875" style="5" customWidth="1"/>
    <col min="3086" max="3086" width="3.33203125" style="5" customWidth="1"/>
    <col min="3087" max="3087" width="11" style="5" customWidth="1"/>
    <col min="3088" max="3329" width="8.88671875" style="5"/>
    <col min="3330" max="3330" width="11.33203125" style="5" customWidth="1"/>
    <col min="3331" max="3331" width="11.5546875" style="5" customWidth="1"/>
    <col min="3332" max="3332" width="10" style="5" customWidth="1"/>
    <col min="3333" max="3333" width="10.33203125" style="5" customWidth="1"/>
    <col min="3334" max="3334" width="3.44140625" style="5" customWidth="1"/>
    <col min="3335" max="3335" width="9.5546875" style="5" customWidth="1"/>
    <col min="3336" max="3336" width="8.88671875" style="5"/>
    <col min="3337" max="3337" width="11.88671875" style="5" customWidth="1"/>
    <col min="3338" max="3338" width="3.44140625" style="5" customWidth="1"/>
    <col min="3339" max="3339" width="10.33203125" style="5" customWidth="1"/>
    <col min="3340" max="3340" width="8.88671875" style="5"/>
    <col min="3341" max="3341" width="10.88671875" style="5" customWidth="1"/>
    <col min="3342" max="3342" width="3.33203125" style="5" customWidth="1"/>
    <col min="3343" max="3343" width="11" style="5" customWidth="1"/>
    <col min="3344" max="3585" width="8.88671875" style="5"/>
    <col min="3586" max="3586" width="11.33203125" style="5" customWidth="1"/>
    <col min="3587" max="3587" width="11.5546875" style="5" customWidth="1"/>
    <col min="3588" max="3588" width="10" style="5" customWidth="1"/>
    <col min="3589" max="3589" width="10.33203125" style="5" customWidth="1"/>
    <col min="3590" max="3590" width="3.44140625" style="5" customWidth="1"/>
    <col min="3591" max="3591" width="9.5546875" style="5" customWidth="1"/>
    <col min="3592" max="3592" width="8.88671875" style="5"/>
    <col min="3593" max="3593" width="11.88671875" style="5" customWidth="1"/>
    <col min="3594" max="3594" width="3.44140625" style="5" customWidth="1"/>
    <col min="3595" max="3595" width="10.33203125" style="5" customWidth="1"/>
    <col min="3596" max="3596" width="8.88671875" style="5"/>
    <col min="3597" max="3597" width="10.88671875" style="5" customWidth="1"/>
    <col min="3598" max="3598" width="3.33203125" style="5" customWidth="1"/>
    <col min="3599" max="3599" width="11" style="5" customWidth="1"/>
    <col min="3600" max="3841" width="8.88671875" style="5"/>
    <col min="3842" max="3842" width="11.33203125" style="5" customWidth="1"/>
    <col min="3843" max="3843" width="11.5546875" style="5" customWidth="1"/>
    <col min="3844" max="3844" width="10" style="5" customWidth="1"/>
    <col min="3845" max="3845" width="10.33203125" style="5" customWidth="1"/>
    <col min="3846" max="3846" width="3.44140625" style="5" customWidth="1"/>
    <col min="3847" max="3847" width="9.5546875" style="5" customWidth="1"/>
    <col min="3848" max="3848" width="8.88671875" style="5"/>
    <col min="3849" max="3849" width="11.88671875" style="5" customWidth="1"/>
    <col min="3850" max="3850" width="3.44140625" style="5" customWidth="1"/>
    <col min="3851" max="3851" width="10.33203125" style="5" customWidth="1"/>
    <col min="3852" max="3852" width="8.88671875" style="5"/>
    <col min="3853" max="3853" width="10.88671875" style="5" customWidth="1"/>
    <col min="3854" max="3854" width="3.33203125" style="5" customWidth="1"/>
    <col min="3855" max="3855" width="11" style="5" customWidth="1"/>
    <col min="3856" max="4097" width="8.88671875" style="5"/>
    <col min="4098" max="4098" width="11.33203125" style="5" customWidth="1"/>
    <col min="4099" max="4099" width="11.5546875" style="5" customWidth="1"/>
    <col min="4100" max="4100" width="10" style="5" customWidth="1"/>
    <col min="4101" max="4101" width="10.33203125" style="5" customWidth="1"/>
    <col min="4102" max="4102" width="3.44140625" style="5" customWidth="1"/>
    <col min="4103" max="4103" width="9.5546875" style="5" customWidth="1"/>
    <col min="4104" max="4104" width="8.88671875" style="5"/>
    <col min="4105" max="4105" width="11.88671875" style="5" customWidth="1"/>
    <col min="4106" max="4106" width="3.44140625" style="5" customWidth="1"/>
    <col min="4107" max="4107" width="10.33203125" style="5" customWidth="1"/>
    <col min="4108" max="4108" width="8.88671875" style="5"/>
    <col min="4109" max="4109" width="10.88671875" style="5" customWidth="1"/>
    <col min="4110" max="4110" width="3.33203125" style="5" customWidth="1"/>
    <col min="4111" max="4111" width="11" style="5" customWidth="1"/>
    <col min="4112" max="4353" width="8.88671875" style="5"/>
    <col min="4354" max="4354" width="11.33203125" style="5" customWidth="1"/>
    <col min="4355" max="4355" width="11.5546875" style="5" customWidth="1"/>
    <col min="4356" max="4356" width="10" style="5" customWidth="1"/>
    <col min="4357" max="4357" width="10.33203125" style="5" customWidth="1"/>
    <col min="4358" max="4358" width="3.44140625" style="5" customWidth="1"/>
    <col min="4359" max="4359" width="9.5546875" style="5" customWidth="1"/>
    <col min="4360" max="4360" width="8.88671875" style="5"/>
    <col min="4361" max="4361" width="11.88671875" style="5" customWidth="1"/>
    <col min="4362" max="4362" width="3.44140625" style="5" customWidth="1"/>
    <col min="4363" max="4363" width="10.33203125" style="5" customWidth="1"/>
    <col min="4364" max="4364" width="8.88671875" style="5"/>
    <col min="4365" max="4365" width="10.88671875" style="5" customWidth="1"/>
    <col min="4366" max="4366" width="3.33203125" style="5" customWidth="1"/>
    <col min="4367" max="4367" width="11" style="5" customWidth="1"/>
    <col min="4368" max="4609" width="8.88671875" style="5"/>
    <col min="4610" max="4610" width="11.33203125" style="5" customWidth="1"/>
    <col min="4611" max="4611" width="11.5546875" style="5" customWidth="1"/>
    <col min="4612" max="4612" width="10" style="5" customWidth="1"/>
    <col min="4613" max="4613" width="10.33203125" style="5" customWidth="1"/>
    <col min="4614" max="4614" width="3.44140625" style="5" customWidth="1"/>
    <col min="4615" max="4615" width="9.5546875" style="5" customWidth="1"/>
    <col min="4616" max="4616" width="8.88671875" style="5"/>
    <col min="4617" max="4617" width="11.88671875" style="5" customWidth="1"/>
    <col min="4618" max="4618" width="3.44140625" style="5" customWidth="1"/>
    <col min="4619" max="4619" width="10.33203125" style="5" customWidth="1"/>
    <col min="4620" max="4620" width="8.88671875" style="5"/>
    <col min="4621" max="4621" width="10.88671875" style="5" customWidth="1"/>
    <col min="4622" max="4622" width="3.33203125" style="5" customWidth="1"/>
    <col min="4623" max="4623" width="11" style="5" customWidth="1"/>
    <col min="4624" max="4865" width="8.88671875" style="5"/>
    <col min="4866" max="4866" width="11.33203125" style="5" customWidth="1"/>
    <col min="4867" max="4867" width="11.5546875" style="5" customWidth="1"/>
    <col min="4868" max="4868" width="10" style="5" customWidth="1"/>
    <col min="4869" max="4869" width="10.33203125" style="5" customWidth="1"/>
    <col min="4870" max="4870" width="3.44140625" style="5" customWidth="1"/>
    <col min="4871" max="4871" width="9.5546875" style="5" customWidth="1"/>
    <col min="4872" max="4872" width="8.88671875" style="5"/>
    <col min="4873" max="4873" width="11.88671875" style="5" customWidth="1"/>
    <col min="4874" max="4874" width="3.44140625" style="5" customWidth="1"/>
    <col min="4875" max="4875" width="10.33203125" style="5" customWidth="1"/>
    <col min="4876" max="4876" width="8.88671875" style="5"/>
    <col min="4877" max="4877" width="10.88671875" style="5" customWidth="1"/>
    <col min="4878" max="4878" width="3.33203125" style="5" customWidth="1"/>
    <col min="4879" max="4879" width="11" style="5" customWidth="1"/>
    <col min="4880" max="5121" width="8.88671875" style="5"/>
    <col min="5122" max="5122" width="11.33203125" style="5" customWidth="1"/>
    <col min="5123" max="5123" width="11.5546875" style="5" customWidth="1"/>
    <col min="5124" max="5124" width="10" style="5" customWidth="1"/>
    <col min="5125" max="5125" width="10.33203125" style="5" customWidth="1"/>
    <col min="5126" max="5126" width="3.44140625" style="5" customWidth="1"/>
    <col min="5127" max="5127" width="9.5546875" style="5" customWidth="1"/>
    <col min="5128" max="5128" width="8.88671875" style="5"/>
    <col min="5129" max="5129" width="11.88671875" style="5" customWidth="1"/>
    <col min="5130" max="5130" width="3.44140625" style="5" customWidth="1"/>
    <col min="5131" max="5131" width="10.33203125" style="5" customWidth="1"/>
    <col min="5132" max="5132" width="8.88671875" style="5"/>
    <col min="5133" max="5133" width="10.88671875" style="5" customWidth="1"/>
    <col min="5134" max="5134" width="3.33203125" style="5" customWidth="1"/>
    <col min="5135" max="5135" width="11" style="5" customWidth="1"/>
    <col min="5136" max="5377" width="8.88671875" style="5"/>
    <col min="5378" max="5378" width="11.33203125" style="5" customWidth="1"/>
    <col min="5379" max="5379" width="11.5546875" style="5" customWidth="1"/>
    <col min="5380" max="5380" width="10" style="5" customWidth="1"/>
    <col min="5381" max="5381" width="10.33203125" style="5" customWidth="1"/>
    <col min="5382" max="5382" width="3.44140625" style="5" customWidth="1"/>
    <col min="5383" max="5383" width="9.5546875" style="5" customWidth="1"/>
    <col min="5384" max="5384" width="8.88671875" style="5"/>
    <col min="5385" max="5385" width="11.88671875" style="5" customWidth="1"/>
    <col min="5386" max="5386" width="3.44140625" style="5" customWidth="1"/>
    <col min="5387" max="5387" width="10.33203125" style="5" customWidth="1"/>
    <col min="5388" max="5388" width="8.88671875" style="5"/>
    <col min="5389" max="5389" width="10.88671875" style="5" customWidth="1"/>
    <col min="5390" max="5390" width="3.33203125" style="5" customWidth="1"/>
    <col min="5391" max="5391" width="11" style="5" customWidth="1"/>
    <col min="5392" max="5633" width="8.88671875" style="5"/>
    <col min="5634" max="5634" width="11.33203125" style="5" customWidth="1"/>
    <col min="5635" max="5635" width="11.5546875" style="5" customWidth="1"/>
    <col min="5636" max="5636" width="10" style="5" customWidth="1"/>
    <col min="5637" max="5637" width="10.33203125" style="5" customWidth="1"/>
    <col min="5638" max="5638" width="3.44140625" style="5" customWidth="1"/>
    <col min="5639" max="5639" width="9.5546875" style="5" customWidth="1"/>
    <col min="5640" max="5640" width="8.88671875" style="5"/>
    <col min="5641" max="5641" width="11.88671875" style="5" customWidth="1"/>
    <col min="5642" max="5642" width="3.44140625" style="5" customWidth="1"/>
    <col min="5643" max="5643" width="10.33203125" style="5" customWidth="1"/>
    <col min="5644" max="5644" width="8.88671875" style="5"/>
    <col min="5645" max="5645" width="10.88671875" style="5" customWidth="1"/>
    <col min="5646" max="5646" width="3.33203125" style="5" customWidth="1"/>
    <col min="5647" max="5647" width="11" style="5" customWidth="1"/>
    <col min="5648" max="5889" width="8.88671875" style="5"/>
    <col min="5890" max="5890" width="11.33203125" style="5" customWidth="1"/>
    <col min="5891" max="5891" width="11.5546875" style="5" customWidth="1"/>
    <col min="5892" max="5892" width="10" style="5" customWidth="1"/>
    <col min="5893" max="5893" width="10.33203125" style="5" customWidth="1"/>
    <col min="5894" max="5894" width="3.44140625" style="5" customWidth="1"/>
    <col min="5895" max="5895" width="9.5546875" style="5" customWidth="1"/>
    <col min="5896" max="5896" width="8.88671875" style="5"/>
    <col min="5897" max="5897" width="11.88671875" style="5" customWidth="1"/>
    <col min="5898" max="5898" width="3.44140625" style="5" customWidth="1"/>
    <col min="5899" max="5899" width="10.33203125" style="5" customWidth="1"/>
    <col min="5900" max="5900" width="8.88671875" style="5"/>
    <col min="5901" max="5901" width="10.88671875" style="5" customWidth="1"/>
    <col min="5902" max="5902" width="3.33203125" style="5" customWidth="1"/>
    <col min="5903" max="5903" width="11" style="5" customWidth="1"/>
    <col min="5904" max="6145" width="8.88671875" style="5"/>
    <col min="6146" max="6146" width="11.33203125" style="5" customWidth="1"/>
    <col min="6147" max="6147" width="11.5546875" style="5" customWidth="1"/>
    <col min="6148" max="6148" width="10" style="5" customWidth="1"/>
    <col min="6149" max="6149" width="10.33203125" style="5" customWidth="1"/>
    <col min="6150" max="6150" width="3.44140625" style="5" customWidth="1"/>
    <col min="6151" max="6151" width="9.5546875" style="5" customWidth="1"/>
    <col min="6152" max="6152" width="8.88671875" style="5"/>
    <col min="6153" max="6153" width="11.88671875" style="5" customWidth="1"/>
    <col min="6154" max="6154" width="3.44140625" style="5" customWidth="1"/>
    <col min="6155" max="6155" width="10.33203125" style="5" customWidth="1"/>
    <col min="6156" max="6156" width="8.88671875" style="5"/>
    <col min="6157" max="6157" width="10.88671875" style="5" customWidth="1"/>
    <col min="6158" max="6158" width="3.33203125" style="5" customWidth="1"/>
    <col min="6159" max="6159" width="11" style="5" customWidth="1"/>
    <col min="6160" max="6401" width="8.88671875" style="5"/>
    <col min="6402" max="6402" width="11.33203125" style="5" customWidth="1"/>
    <col min="6403" max="6403" width="11.5546875" style="5" customWidth="1"/>
    <col min="6404" max="6404" width="10" style="5" customWidth="1"/>
    <col min="6405" max="6405" width="10.33203125" style="5" customWidth="1"/>
    <col min="6406" max="6406" width="3.44140625" style="5" customWidth="1"/>
    <col min="6407" max="6407" width="9.5546875" style="5" customWidth="1"/>
    <col min="6408" max="6408" width="8.88671875" style="5"/>
    <col min="6409" max="6409" width="11.88671875" style="5" customWidth="1"/>
    <col min="6410" max="6410" width="3.44140625" style="5" customWidth="1"/>
    <col min="6411" max="6411" width="10.33203125" style="5" customWidth="1"/>
    <col min="6412" max="6412" width="8.88671875" style="5"/>
    <col min="6413" max="6413" width="10.88671875" style="5" customWidth="1"/>
    <col min="6414" max="6414" width="3.33203125" style="5" customWidth="1"/>
    <col min="6415" max="6415" width="11" style="5" customWidth="1"/>
    <col min="6416" max="6657" width="8.88671875" style="5"/>
    <col min="6658" max="6658" width="11.33203125" style="5" customWidth="1"/>
    <col min="6659" max="6659" width="11.5546875" style="5" customWidth="1"/>
    <col min="6660" max="6660" width="10" style="5" customWidth="1"/>
    <col min="6661" max="6661" width="10.33203125" style="5" customWidth="1"/>
    <col min="6662" max="6662" width="3.44140625" style="5" customWidth="1"/>
    <col min="6663" max="6663" width="9.5546875" style="5" customWidth="1"/>
    <col min="6664" max="6664" width="8.88671875" style="5"/>
    <col min="6665" max="6665" width="11.88671875" style="5" customWidth="1"/>
    <col min="6666" max="6666" width="3.44140625" style="5" customWidth="1"/>
    <col min="6667" max="6667" width="10.33203125" style="5" customWidth="1"/>
    <col min="6668" max="6668" width="8.88671875" style="5"/>
    <col min="6669" max="6669" width="10.88671875" style="5" customWidth="1"/>
    <col min="6670" max="6670" width="3.33203125" style="5" customWidth="1"/>
    <col min="6671" max="6671" width="11" style="5" customWidth="1"/>
    <col min="6672" max="6913" width="8.88671875" style="5"/>
    <col min="6914" max="6914" width="11.33203125" style="5" customWidth="1"/>
    <col min="6915" max="6915" width="11.5546875" style="5" customWidth="1"/>
    <col min="6916" max="6916" width="10" style="5" customWidth="1"/>
    <col min="6917" max="6917" width="10.33203125" style="5" customWidth="1"/>
    <col min="6918" max="6918" width="3.44140625" style="5" customWidth="1"/>
    <col min="6919" max="6919" width="9.5546875" style="5" customWidth="1"/>
    <col min="6920" max="6920" width="8.88671875" style="5"/>
    <col min="6921" max="6921" width="11.88671875" style="5" customWidth="1"/>
    <col min="6922" max="6922" width="3.44140625" style="5" customWidth="1"/>
    <col min="6923" max="6923" width="10.33203125" style="5" customWidth="1"/>
    <col min="6924" max="6924" width="8.88671875" style="5"/>
    <col min="6925" max="6925" width="10.88671875" style="5" customWidth="1"/>
    <col min="6926" max="6926" width="3.33203125" style="5" customWidth="1"/>
    <col min="6927" max="6927" width="11" style="5" customWidth="1"/>
    <col min="6928" max="7169" width="8.88671875" style="5"/>
    <col min="7170" max="7170" width="11.33203125" style="5" customWidth="1"/>
    <col min="7171" max="7171" width="11.5546875" style="5" customWidth="1"/>
    <col min="7172" max="7172" width="10" style="5" customWidth="1"/>
    <col min="7173" max="7173" width="10.33203125" style="5" customWidth="1"/>
    <col min="7174" max="7174" width="3.44140625" style="5" customWidth="1"/>
    <col min="7175" max="7175" width="9.5546875" style="5" customWidth="1"/>
    <col min="7176" max="7176" width="8.88671875" style="5"/>
    <col min="7177" max="7177" width="11.88671875" style="5" customWidth="1"/>
    <col min="7178" max="7178" width="3.44140625" style="5" customWidth="1"/>
    <col min="7179" max="7179" width="10.33203125" style="5" customWidth="1"/>
    <col min="7180" max="7180" width="8.88671875" style="5"/>
    <col min="7181" max="7181" width="10.88671875" style="5" customWidth="1"/>
    <col min="7182" max="7182" width="3.33203125" style="5" customWidth="1"/>
    <col min="7183" max="7183" width="11" style="5" customWidth="1"/>
    <col min="7184" max="7425" width="8.88671875" style="5"/>
    <col min="7426" max="7426" width="11.33203125" style="5" customWidth="1"/>
    <col min="7427" max="7427" width="11.5546875" style="5" customWidth="1"/>
    <col min="7428" max="7428" width="10" style="5" customWidth="1"/>
    <col min="7429" max="7429" width="10.33203125" style="5" customWidth="1"/>
    <col min="7430" max="7430" width="3.44140625" style="5" customWidth="1"/>
    <col min="7431" max="7431" width="9.5546875" style="5" customWidth="1"/>
    <col min="7432" max="7432" width="8.88671875" style="5"/>
    <col min="7433" max="7433" width="11.88671875" style="5" customWidth="1"/>
    <col min="7434" max="7434" width="3.44140625" style="5" customWidth="1"/>
    <col min="7435" max="7435" width="10.33203125" style="5" customWidth="1"/>
    <col min="7436" max="7436" width="8.88671875" style="5"/>
    <col min="7437" max="7437" width="10.88671875" style="5" customWidth="1"/>
    <col min="7438" max="7438" width="3.33203125" style="5" customWidth="1"/>
    <col min="7439" max="7439" width="11" style="5" customWidth="1"/>
    <col min="7440" max="7681" width="8.88671875" style="5"/>
    <col min="7682" max="7682" width="11.33203125" style="5" customWidth="1"/>
    <col min="7683" max="7683" width="11.5546875" style="5" customWidth="1"/>
    <col min="7684" max="7684" width="10" style="5" customWidth="1"/>
    <col min="7685" max="7685" width="10.33203125" style="5" customWidth="1"/>
    <col min="7686" max="7686" width="3.44140625" style="5" customWidth="1"/>
    <col min="7687" max="7687" width="9.5546875" style="5" customWidth="1"/>
    <col min="7688" max="7688" width="8.88671875" style="5"/>
    <col min="7689" max="7689" width="11.88671875" style="5" customWidth="1"/>
    <col min="7690" max="7690" width="3.44140625" style="5" customWidth="1"/>
    <col min="7691" max="7691" width="10.33203125" style="5" customWidth="1"/>
    <col min="7692" max="7692" width="8.88671875" style="5"/>
    <col min="7693" max="7693" width="10.88671875" style="5" customWidth="1"/>
    <col min="7694" max="7694" width="3.33203125" style="5" customWidth="1"/>
    <col min="7695" max="7695" width="11" style="5" customWidth="1"/>
    <col min="7696" max="7937" width="8.88671875" style="5"/>
    <col min="7938" max="7938" width="11.33203125" style="5" customWidth="1"/>
    <col min="7939" max="7939" width="11.5546875" style="5" customWidth="1"/>
    <col min="7940" max="7940" width="10" style="5" customWidth="1"/>
    <col min="7941" max="7941" width="10.33203125" style="5" customWidth="1"/>
    <col min="7942" max="7942" width="3.44140625" style="5" customWidth="1"/>
    <col min="7943" max="7943" width="9.5546875" style="5" customWidth="1"/>
    <col min="7944" max="7944" width="8.88671875" style="5"/>
    <col min="7945" max="7945" width="11.88671875" style="5" customWidth="1"/>
    <col min="7946" max="7946" width="3.44140625" style="5" customWidth="1"/>
    <col min="7947" max="7947" width="10.33203125" style="5" customWidth="1"/>
    <col min="7948" max="7948" width="8.88671875" style="5"/>
    <col min="7949" max="7949" width="10.88671875" style="5" customWidth="1"/>
    <col min="7950" max="7950" width="3.33203125" style="5" customWidth="1"/>
    <col min="7951" max="7951" width="11" style="5" customWidth="1"/>
    <col min="7952" max="8193" width="8.88671875" style="5"/>
    <col min="8194" max="8194" width="11.33203125" style="5" customWidth="1"/>
    <col min="8195" max="8195" width="11.5546875" style="5" customWidth="1"/>
    <col min="8196" max="8196" width="10" style="5" customWidth="1"/>
    <col min="8197" max="8197" width="10.33203125" style="5" customWidth="1"/>
    <col min="8198" max="8198" width="3.44140625" style="5" customWidth="1"/>
    <col min="8199" max="8199" width="9.5546875" style="5" customWidth="1"/>
    <col min="8200" max="8200" width="8.88671875" style="5"/>
    <col min="8201" max="8201" width="11.88671875" style="5" customWidth="1"/>
    <col min="8202" max="8202" width="3.44140625" style="5" customWidth="1"/>
    <col min="8203" max="8203" width="10.33203125" style="5" customWidth="1"/>
    <col min="8204" max="8204" width="8.88671875" style="5"/>
    <col min="8205" max="8205" width="10.88671875" style="5" customWidth="1"/>
    <col min="8206" max="8206" width="3.33203125" style="5" customWidth="1"/>
    <col min="8207" max="8207" width="11" style="5" customWidth="1"/>
    <col min="8208" max="8449" width="8.88671875" style="5"/>
    <col min="8450" max="8450" width="11.33203125" style="5" customWidth="1"/>
    <col min="8451" max="8451" width="11.5546875" style="5" customWidth="1"/>
    <col min="8452" max="8452" width="10" style="5" customWidth="1"/>
    <col min="8453" max="8453" width="10.33203125" style="5" customWidth="1"/>
    <col min="8454" max="8454" width="3.44140625" style="5" customWidth="1"/>
    <col min="8455" max="8455" width="9.5546875" style="5" customWidth="1"/>
    <col min="8456" max="8456" width="8.88671875" style="5"/>
    <col min="8457" max="8457" width="11.88671875" style="5" customWidth="1"/>
    <col min="8458" max="8458" width="3.44140625" style="5" customWidth="1"/>
    <col min="8459" max="8459" width="10.33203125" style="5" customWidth="1"/>
    <col min="8460" max="8460" width="8.88671875" style="5"/>
    <col min="8461" max="8461" width="10.88671875" style="5" customWidth="1"/>
    <col min="8462" max="8462" width="3.33203125" style="5" customWidth="1"/>
    <col min="8463" max="8463" width="11" style="5" customWidth="1"/>
    <col min="8464" max="8705" width="8.88671875" style="5"/>
    <col min="8706" max="8706" width="11.33203125" style="5" customWidth="1"/>
    <col min="8707" max="8707" width="11.5546875" style="5" customWidth="1"/>
    <col min="8708" max="8708" width="10" style="5" customWidth="1"/>
    <col min="8709" max="8709" width="10.33203125" style="5" customWidth="1"/>
    <col min="8710" max="8710" width="3.44140625" style="5" customWidth="1"/>
    <col min="8711" max="8711" width="9.5546875" style="5" customWidth="1"/>
    <col min="8712" max="8712" width="8.88671875" style="5"/>
    <col min="8713" max="8713" width="11.88671875" style="5" customWidth="1"/>
    <col min="8714" max="8714" width="3.44140625" style="5" customWidth="1"/>
    <col min="8715" max="8715" width="10.33203125" style="5" customWidth="1"/>
    <col min="8716" max="8716" width="8.88671875" style="5"/>
    <col min="8717" max="8717" width="10.88671875" style="5" customWidth="1"/>
    <col min="8718" max="8718" width="3.33203125" style="5" customWidth="1"/>
    <col min="8719" max="8719" width="11" style="5" customWidth="1"/>
    <col min="8720" max="8961" width="8.88671875" style="5"/>
    <col min="8962" max="8962" width="11.33203125" style="5" customWidth="1"/>
    <col min="8963" max="8963" width="11.5546875" style="5" customWidth="1"/>
    <col min="8964" max="8964" width="10" style="5" customWidth="1"/>
    <col min="8965" max="8965" width="10.33203125" style="5" customWidth="1"/>
    <col min="8966" max="8966" width="3.44140625" style="5" customWidth="1"/>
    <col min="8967" max="8967" width="9.5546875" style="5" customWidth="1"/>
    <col min="8968" max="8968" width="8.88671875" style="5"/>
    <col min="8969" max="8969" width="11.88671875" style="5" customWidth="1"/>
    <col min="8970" max="8970" width="3.44140625" style="5" customWidth="1"/>
    <col min="8971" max="8971" width="10.33203125" style="5" customWidth="1"/>
    <col min="8972" max="8972" width="8.88671875" style="5"/>
    <col min="8973" max="8973" width="10.88671875" style="5" customWidth="1"/>
    <col min="8974" max="8974" width="3.33203125" style="5" customWidth="1"/>
    <col min="8975" max="8975" width="11" style="5" customWidth="1"/>
    <col min="8976" max="9217" width="8.88671875" style="5"/>
    <col min="9218" max="9218" width="11.33203125" style="5" customWidth="1"/>
    <col min="9219" max="9219" width="11.5546875" style="5" customWidth="1"/>
    <col min="9220" max="9220" width="10" style="5" customWidth="1"/>
    <col min="9221" max="9221" width="10.33203125" style="5" customWidth="1"/>
    <col min="9222" max="9222" width="3.44140625" style="5" customWidth="1"/>
    <col min="9223" max="9223" width="9.5546875" style="5" customWidth="1"/>
    <col min="9224" max="9224" width="8.88671875" style="5"/>
    <col min="9225" max="9225" width="11.88671875" style="5" customWidth="1"/>
    <col min="9226" max="9226" width="3.44140625" style="5" customWidth="1"/>
    <col min="9227" max="9227" width="10.33203125" style="5" customWidth="1"/>
    <col min="9228" max="9228" width="8.88671875" style="5"/>
    <col min="9229" max="9229" width="10.88671875" style="5" customWidth="1"/>
    <col min="9230" max="9230" width="3.33203125" style="5" customWidth="1"/>
    <col min="9231" max="9231" width="11" style="5" customWidth="1"/>
    <col min="9232" max="9473" width="8.88671875" style="5"/>
    <col min="9474" max="9474" width="11.33203125" style="5" customWidth="1"/>
    <col min="9475" max="9475" width="11.5546875" style="5" customWidth="1"/>
    <col min="9476" max="9476" width="10" style="5" customWidth="1"/>
    <col min="9477" max="9477" width="10.33203125" style="5" customWidth="1"/>
    <col min="9478" max="9478" width="3.44140625" style="5" customWidth="1"/>
    <col min="9479" max="9479" width="9.5546875" style="5" customWidth="1"/>
    <col min="9480" max="9480" width="8.88671875" style="5"/>
    <col min="9481" max="9481" width="11.88671875" style="5" customWidth="1"/>
    <col min="9482" max="9482" width="3.44140625" style="5" customWidth="1"/>
    <col min="9483" max="9483" width="10.33203125" style="5" customWidth="1"/>
    <col min="9484" max="9484" width="8.88671875" style="5"/>
    <col min="9485" max="9485" width="10.88671875" style="5" customWidth="1"/>
    <col min="9486" max="9486" width="3.33203125" style="5" customWidth="1"/>
    <col min="9487" max="9487" width="11" style="5" customWidth="1"/>
    <col min="9488" max="9729" width="8.88671875" style="5"/>
    <col min="9730" max="9730" width="11.33203125" style="5" customWidth="1"/>
    <col min="9731" max="9731" width="11.5546875" style="5" customWidth="1"/>
    <col min="9732" max="9732" width="10" style="5" customWidth="1"/>
    <col min="9733" max="9733" width="10.33203125" style="5" customWidth="1"/>
    <col min="9734" max="9734" width="3.44140625" style="5" customWidth="1"/>
    <col min="9735" max="9735" width="9.5546875" style="5" customWidth="1"/>
    <col min="9736" max="9736" width="8.88671875" style="5"/>
    <col min="9737" max="9737" width="11.88671875" style="5" customWidth="1"/>
    <col min="9738" max="9738" width="3.44140625" style="5" customWidth="1"/>
    <col min="9739" max="9739" width="10.33203125" style="5" customWidth="1"/>
    <col min="9740" max="9740" width="8.88671875" style="5"/>
    <col min="9741" max="9741" width="10.88671875" style="5" customWidth="1"/>
    <col min="9742" max="9742" width="3.33203125" style="5" customWidth="1"/>
    <col min="9743" max="9743" width="11" style="5" customWidth="1"/>
    <col min="9744" max="9985" width="8.88671875" style="5"/>
    <col min="9986" max="9986" width="11.33203125" style="5" customWidth="1"/>
    <col min="9987" max="9987" width="11.5546875" style="5" customWidth="1"/>
    <col min="9988" max="9988" width="10" style="5" customWidth="1"/>
    <col min="9989" max="9989" width="10.33203125" style="5" customWidth="1"/>
    <col min="9990" max="9990" width="3.44140625" style="5" customWidth="1"/>
    <col min="9991" max="9991" width="9.5546875" style="5" customWidth="1"/>
    <col min="9992" max="9992" width="8.88671875" style="5"/>
    <col min="9993" max="9993" width="11.88671875" style="5" customWidth="1"/>
    <col min="9994" max="9994" width="3.44140625" style="5" customWidth="1"/>
    <col min="9995" max="9995" width="10.33203125" style="5" customWidth="1"/>
    <col min="9996" max="9996" width="8.88671875" style="5"/>
    <col min="9997" max="9997" width="10.88671875" style="5" customWidth="1"/>
    <col min="9998" max="9998" width="3.33203125" style="5" customWidth="1"/>
    <col min="9999" max="9999" width="11" style="5" customWidth="1"/>
    <col min="10000" max="10241" width="8.88671875" style="5"/>
    <col min="10242" max="10242" width="11.33203125" style="5" customWidth="1"/>
    <col min="10243" max="10243" width="11.5546875" style="5" customWidth="1"/>
    <col min="10244" max="10244" width="10" style="5" customWidth="1"/>
    <col min="10245" max="10245" width="10.33203125" style="5" customWidth="1"/>
    <col min="10246" max="10246" width="3.44140625" style="5" customWidth="1"/>
    <col min="10247" max="10247" width="9.5546875" style="5" customWidth="1"/>
    <col min="10248" max="10248" width="8.88671875" style="5"/>
    <col min="10249" max="10249" width="11.88671875" style="5" customWidth="1"/>
    <col min="10250" max="10250" width="3.44140625" style="5" customWidth="1"/>
    <col min="10251" max="10251" width="10.33203125" style="5" customWidth="1"/>
    <col min="10252" max="10252" width="8.88671875" style="5"/>
    <col min="10253" max="10253" width="10.88671875" style="5" customWidth="1"/>
    <col min="10254" max="10254" width="3.33203125" style="5" customWidth="1"/>
    <col min="10255" max="10255" width="11" style="5" customWidth="1"/>
    <col min="10256" max="10497" width="8.88671875" style="5"/>
    <col min="10498" max="10498" width="11.33203125" style="5" customWidth="1"/>
    <col min="10499" max="10499" width="11.5546875" style="5" customWidth="1"/>
    <col min="10500" max="10500" width="10" style="5" customWidth="1"/>
    <col min="10501" max="10501" width="10.33203125" style="5" customWidth="1"/>
    <col min="10502" max="10502" width="3.44140625" style="5" customWidth="1"/>
    <col min="10503" max="10503" width="9.5546875" style="5" customWidth="1"/>
    <col min="10504" max="10504" width="8.88671875" style="5"/>
    <col min="10505" max="10505" width="11.88671875" style="5" customWidth="1"/>
    <col min="10506" max="10506" width="3.44140625" style="5" customWidth="1"/>
    <col min="10507" max="10507" width="10.33203125" style="5" customWidth="1"/>
    <col min="10508" max="10508" width="8.88671875" style="5"/>
    <col min="10509" max="10509" width="10.88671875" style="5" customWidth="1"/>
    <col min="10510" max="10510" width="3.33203125" style="5" customWidth="1"/>
    <col min="10511" max="10511" width="11" style="5" customWidth="1"/>
    <col min="10512" max="10753" width="8.88671875" style="5"/>
    <col min="10754" max="10754" width="11.33203125" style="5" customWidth="1"/>
    <col min="10755" max="10755" width="11.5546875" style="5" customWidth="1"/>
    <col min="10756" max="10756" width="10" style="5" customWidth="1"/>
    <col min="10757" max="10757" width="10.33203125" style="5" customWidth="1"/>
    <col min="10758" max="10758" width="3.44140625" style="5" customWidth="1"/>
    <col min="10759" max="10759" width="9.5546875" style="5" customWidth="1"/>
    <col min="10760" max="10760" width="8.88671875" style="5"/>
    <col min="10761" max="10761" width="11.88671875" style="5" customWidth="1"/>
    <col min="10762" max="10762" width="3.44140625" style="5" customWidth="1"/>
    <col min="10763" max="10763" width="10.33203125" style="5" customWidth="1"/>
    <col min="10764" max="10764" width="8.88671875" style="5"/>
    <col min="10765" max="10765" width="10.88671875" style="5" customWidth="1"/>
    <col min="10766" max="10766" width="3.33203125" style="5" customWidth="1"/>
    <col min="10767" max="10767" width="11" style="5" customWidth="1"/>
    <col min="10768" max="11009" width="8.88671875" style="5"/>
    <col min="11010" max="11010" width="11.33203125" style="5" customWidth="1"/>
    <col min="11011" max="11011" width="11.5546875" style="5" customWidth="1"/>
    <col min="11012" max="11012" width="10" style="5" customWidth="1"/>
    <col min="11013" max="11013" width="10.33203125" style="5" customWidth="1"/>
    <col min="11014" max="11014" width="3.44140625" style="5" customWidth="1"/>
    <col min="11015" max="11015" width="9.5546875" style="5" customWidth="1"/>
    <col min="11016" max="11016" width="8.88671875" style="5"/>
    <col min="11017" max="11017" width="11.88671875" style="5" customWidth="1"/>
    <col min="11018" max="11018" width="3.44140625" style="5" customWidth="1"/>
    <col min="11019" max="11019" width="10.33203125" style="5" customWidth="1"/>
    <col min="11020" max="11020" width="8.88671875" style="5"/>
    <col min="11021" max="11021" width="10.88671875" style="5" customWidth="1"/>
    <col min="11022" max="11022" width="3.33203125" style="5" customWidth="1"/>
    <col min="11023" max="11023" width="11" style="5" customWidth="1"/>
    <col min="11024" max="11265" width="8.88671875" style="5"/>
    <col min="11266" max="11266" width="11.33203125" style="5" customWidth="1"/>
    <col min="11267" max="11267" width="11.5546875" style="5" customWidth="1"/>
    <col min="11268" max="11268" width="10" style="5" customWidth="1"/>
    <col min="11269" max="11269" width="10.33203125" style="5" customWidth="1"/>
    <col min="11270" max="11270" width="3.44140625" style="5" customWidth="1"/>
    <col min="11271" max="11271" width="9.5546875" style="5" customWidth="1"/>
    <col min="11272" max="11272" width="8.88671875" style="5"/>
    <col min="11273" max="11273" width="11.88671875" style="5" customWidth="1"/>
    <col min="11274" max="11274" width="3.44140625" style="5" customWidth="1"/>
    <col min="11275" max="11275" width="10.33203125" style="5" customWidth="1"/>
    <col min="11276" max="11276" width="8.88671875" style="5"/>
    <col min="11277" max="11277" width="10.88671875" style="5" customWidth="1"/>
    <col min="11278" max="11278" width="3.33203125" style="5" customWidth="1"/>
    <col min="11279" max="11279" width="11" style="5" customWidth="1"/>
    <col min="11280" max="11521" width="8.88671875" style="5"/>
    <col min="11522" max="11522" width="11.33203125" style="5" customWidth="1"/>
    <col min="11523" max="11523" width="11.5546875" style="5" customWidth="1"/>
    <col min="11524" max="11524" width="10" style="5" customWidth="1"/>
    <col min="11525" max="11525" width="10.33203125" style="5" customWidth="1"/>
    <col min="11526" max="11526" width="3.44140625" style="5" customWidth="1"/>
    <col min="11527" max="11527" width="9.5546875" style="5" customWidth="1"/>
    <col min="11528" max="11528" width="8.88671875" style="5"/>
    <col min="11529" max="11529" width="11.88671875" style="5" customWidth="1"/>
    <col min="11530" max="11530" width="3.44140625" style="5" customWidth="1"/>
    <col min="11531" max="11531" width="10.33203125" style="5" customWidth="1"/>
    <col min="11532" max="11532" width="8.88671875" style="5"/>
    <col min="11533" max="11533" width="10.88671875" style="5" customWidth="1"/>
    <col min="11534" max="11534" width="3.33203125" style="5" customWidth="1"/>
    <col min="11535" max="11535" width="11" style="5" customWidth="1"/>
    <col min="11536" max="11777" width="8.88671875" style="5"/>
    <col min="11778" max="11778" width="11.33203125" style="5" customWidth="1"/>
    <col min="11779" max="11779" width="11.5546875" style="5" customWidth="1"/>
    <col min="11780" max="11780" width="10" style="5" customWidth="1"/>
    <col min="11781" max="11781" width="10.33203125" style="5" customWidth="1"/>
    <col min="11782" max="11782" width="3.44140625" style="5" customWidth="1"/>
    <col min="11783" max="11783" width="9.5546875" style="5" customWidth="1"/>
    <col min="11784" max="11784" width="8.88671875" style="5"/>
    <col min="11785" max="11785" width="11.88671875" style="5" customWidth="1"/>
    <col min="11786" max="11786" width="3.44140625" style="5" customWidth="1"/>
    <col min="11787" max="11787" width="10.33203125" style="5" customWidth="1"/>
    <col min="11788" max="11788" width="8.88671875" style="5"/>
    <col min="11789" max="11789" width="10.88671875" style="5" customWidth="1"/>
    <col min="11790" max="11790" width="3.33203125" style="5" customWidth="1"/>
    <col min="11791" max="11791" width="11" style="5" customWidth="1"/>
    <col min="11792" max="12033" width="8.88671875" style="5"/>
    <col min="12034" max="12034" width="11.33203125" style="5" customWidth="1"/>
    <col min="12035" max="12035" width="11.5546875" style="5" customWidth="1"/>
    <col min="12036" max="12036" width="10" style="5" customWidth="1"/>
    <col min="12037" max="12037" width="10.33203125" style="5" customWidth="1"/>
    <col min="12038" max="12038" width="3.44140625" style="5" customWidth="1"/>
    <col min="12039" max="12039" width="9.5546875" style="5" customWidth="1"/>
    <col min="12040" max="12040" width="8.88671875" style="5"/>
    <col min="12041" max="12041" width="11.88671875" style="5" customWidth="1"/>
    <col min="12042" max="12042" width="3.44140625" style="5" customWidth="1"/>
    <col min="12043" max="12043" width="10.33203125" style="5" customWidth="1"/>
    <col min="12044" max="12044" width="8.88671875" style="5"/>
    <col min="12045" max="12045" width="10.88671875" style="5" customWidth="1"/>
    <col min="12046" max="12046" width="3.33203125" style="5" customWidth="1"/>
    <col min="12047" max="12047" width="11" style="5" customWidth="1"/>
    <col min="12048" max="12289" width="8.88671875" style="5"/>
    <col min="12290" max="12290" width="11.33203125" style="5" customWidth="1"/>
    <col min="12291" max="12291" width="11.5546875" style="5" customWidth="1"/>
    <col min="12292" max="12292" width="10" style="5" customWidth="1"/>
    <col min="12293" max="12293" width="10.33203125" style="5" customWidth="1"/>
    <col min="12294" max="12294" width="3.44140625" style="5" customWidth="1"/>
    <col min="12295" max="12295" width="9.5546875" style="5" customWidth="1"/>
    <col min="12296" max="12296" width="8.88671875" style="5"/>
    <col min="12297" max="12297" width="11.88671875" style="5" customWidth="1"/>
    <col min="12298" max="12298" width="3.44140625" style="5" customWidth="1"/>
    <col min="12299" max="12299" width="10.33203125" style="5" customWidth="1"/>
    <col min="12300" max="12300" width="8.88671875" style="5"/>
    <col min="12301" max="12301" width="10.88671875" style="5" customWidth="1"/>
    <col min="12302" max="12302" width="3.33203125" style="5" customWidth="1"/>
    <col min="12303" max="12303" width="11" style="5" customWidth="1"/>
    <col min="12304" max="12545" width="8.88671875" style="5"/>
    <col min="12546" max="12546" width="11.33203125" style="5" customWidth="1"/>
    <col min="12547" max="12547" width="11.5546875" style="5" customWidth="1"/>
    <col min="12548" max="12548" width="10" style="5" customWidth="1"/>
    <col min="12549" max="12549" width="10.33203125" style="5" customWidth="1"/>
    <col min="12550" max="12550" width="3.44140625" style="5" customWidth="1"/>
    <col min="12551" max="12551" width="9.5546875" style="5" customWidth="1"/>
    <col min="12552" max="12552" width="8.88671875" style="5"/>
    <col min="12553" max="12553" width="11.88671875" style="5" customWidth="1"/>
    <col min="12554" max="12554" width="3.44140625" style="5" customWidth="1"/>
    <col min="12555" max="12555" width="10.33203125" style="5" customWidth="1"/>
    <col min="12556" max="12556" width="8.88671875" style="5"/>
    <col min="12557" max="12557" width="10.88671875" style="5" customWidth="1"/>
    <col min="12558" max="12558" width="3.33203125" style="5" customWidth="1"/>
    <col min="12559" max="12559" width="11" style="5" customWidth="1"/>
    <col min="12560" max="12801" width="8.88671875" style="5"/>
    <col min="12802" max="12802" width="11.33203125" style="5" customWidth="1"/>
    <col min="12803" max="12803" width="11.5546875" style="5" customWidth="1"/>
    <col min="12804" max="12804" width="10" style="5" customWidth="1"/>
    <col min="12805" max="12805" width="10.33203125" style="5" customWidth="1"/>
    <col min="12806" max="12806" width="3.44140625" style="5" customWidth="1"/>
    <col min="12807" max="12807" width="9.5546875" style="5" customWidth="1"/>
    <col min="12808" max="12808" width="8.88671875" style="5"/>
    <col min="12809" max="12809" width="11.88671875" style="5" customWidth="1"/>
    <col min="12810" max="12810" width="3.44140625" style="5" customWidth="1"/>
    <col min="12811" max="12811" width="10.33203125" style="5" customWidth="1"/>
    <col min="12812" max="12812" width="8.88671875" style="5"/>
    <col min="12813" max="12813" width="10.88671875" style="5" customWidth="1"/>
    <col min="12814" max="12814" width="3.33203125" style="5" customWidth="1"/>
    <col min="12815" max="12815" width="11" style="5" customWidth="1"/>
    <col min="12816" max="13057" width="8.88671875" style="5"/>
    <col min="13058" max="13058" width="11.33203125" style="5" customWidth="1"/>
    <col min="13059" max="13059" width="11.5546875" style="5" customWidth="1"/>
    <col min="13060" max="13060" width="10" style="5" customWidth="1"/>
    <col min="13061" max="13061" width="10.33203125" style="5" customWidth="1"/>
    <col min="13062" max="13062" width="3.44140625" style="5" customWidth="1"/>
    <col min="13063" max="13063" width="9.5546875" style="5" customWidth="1"/>
    <col min="13064" max="13064" width="8.88671875" style="5"/>
    <col min="13065" max="13065" width="11.88671875" style="5" customWidth="1"/>
    <col min="13066" max="13066" width="3.44140625" style="5" customWidth="1"/>
    <col min="13067" max="13067" width="10.33203125" style="5" customWidth="1"/>
    <col min="13068" max="13068" width="8.88671875" style="5"/>
    <col min="13069" max="13069" width="10.88671875" style="5" customWidth="1"/>
    <col min="13070" max="13070" width="3.33203125" style="5" customWidth="1"/>
    <col min="13071" max="13071" width="11" style="5" customWidth="1"/>
    <col min="13072" max="13313" width="8.88671875" style="5"/>
    <col min="13314" max="13314" width="11.33203125" style="5" customWidth="1"/>
    <col min="13315" max="13315" width="11.5546875" style="5" customWidth="1"/>
    <col min="13316" max="13316" width="10" style="5" customWidth="1"/>
    <col min="13317" max="13317" width="10.33203125" style="5" customWidth="1"/>
    <col min="13318" max="13318" width="3.44140625" style="5" customWidth="1"/>
    <col min="13319" max="13319" width="9.5546875" style="5" customWidth="1"/>
    <col min="13320" max="13320" width="8.88671875" style="5"/>
    <col min="13321" max="13321" width="11.88671875" style="5" customWidth="1"/>
    <col min="13322" max="13322" width="3.44140625" style="5" customWidth="1"/>
    <col min="13323" max="13323" width="10.33203125" style="5" customWidth="1"/>
    <col min="13324" max="13324" width="8.88671875" style="5"/>
    <col min="13325" max="13325" width="10.88671875" style="5" customWidth="1"/>
    <col min="13326" max="13326" width="3.33203125" style="5" customWidth="1"/>
    <col min="13327" max="13327" width="11" style="5" customWidth="1"/>
    <col min="13328" max="13569" width="8.88671875" style="5"/>
    <col min="13570" max="13570" width="11.33203125" style="5" customWidth="1"/>
    <col min="13571" max="13571" width="11.5546875" style="5" customWidth="1"/>
    <col min="13572" max="13572" width="10" style="5" customWidth="1"/>
    <col min="13573" max="13573" width="10.33203125" style="5" customWidth="1"/>
    <col min="13574" max="13574" width="3.44140625" style="5" customWidth="1"/>
    <col min="13575" max="13575" width="9.5546875" style="5" customWidth="1"/>
    <col min="13576" max="13576" width="8.88671875" style="5"/>
    <col min="13577" max="13577" width="11.88671875" style="5" customWidth="1"/>
    <col min="13578" max="13578" width="3.44140625" style="5" customWidth="1"/>
    <col min="13579" max="13579" width="10.33203125" style="5" customWidth="1"/>
    <col min="13580" max="13580" width="8.88671875" style="5"/>
    <col min="13581" max="13581" width="10.88671875" style="5" customWidth="1"/>
    <col min="13582" max="13582" width="3.33203125" style="5" customWidth="1"/>
    <col min="13583" max="13583" width="11" style="5" customWidth="1"/>
    <col min="13584" max="13825" width="8.88671875" style="5"/>
    <col min="13826" max="13826" width="11.33203125" style="5" customWidth="1"/>
    <col min="13827" max="13827" width="11.5546875" style="5" customWidth="1"/>
    <col min="13828" max="13828" width="10" style="5" customWidth="1"/>
    <col min="13829" max="13829" width="10.33203125" style="5" customWidth="1"/>
    <col min="13830" max="13830" width="3.44140625" style="5" customWidth="1"/>
    <col min="13831" max="13831" width="9.5546875" style="5" customWidth="1"/>
    <col min="13832" max="13832" width="8.88671875" style="5"/>
    <col min="13833" max="13833" width="11.88671875" style="5" customWidth="1"/>
    <col min="13834" max="13834" width="3.44140625" style="5" customWidth="1"/>
    <col min="13835" max="13835" width="10.33203125" style="5" customWidth="1"/>
    <col min="13836" max="13836" width="8.88671875" style="5"/>
    <col min="13837" max="13837" width="10.88671875" style="5" customWidth="1"/>
    <col min="13838" max="13838" width="3.33203125" style="5" customWidth="1"/>
    <col min="13839" max="13839" width="11" style="5" customWidth="1"/>
    <col min="13840" max="14081" width="8.88671875" style="5"/>
    <col min="14082" max="14082" width="11.33203125" style="5" customWidth="1"/>
    <col min="14083" max="14083" width="11.5546875" style="5" customWidth="1"/>
    <col min="14084" max="14084" width="10" style="5" customWidth="1"/>
    <col min="14085" max="14085" width="10.33203125" style="5" customWidth="1"/>
    <col min="14086" max="14086" width="3.44140625" style="5" customWidth="1"/>
    <col min="14087" max="14087" width="9.5546875" style="5" customWidth="1"/>
    <col min="14088" max="14088" width="8.88671875" style="5"/>
    <col min="14089" max="14089" width="11.88671875" style="5" customWidth="1"/>
    <col min="14090" max="14090" width="3.44140625" style="5" customWidth="1"/>
    <col min="14091" max="14091" width="10.33203125" style="5" customWidth="1"/>
    <col min="14092" max="14092" width="8.88671875" style="5"/>
    <col min="14093" max="14093" width="10.88671875" style="5" customWidth="1"/>
    <col min="14094" max="14094" width="3.33203125" style="5" customWidth="1"/>
    <col min="14095" max="14095" width="11" style="5" customWidth="1"/>
    <col min="14096" max="14337" width="8.88671875" style="5"/>
    <col min="14338" max="14338" width="11.33203125" style="5" customWidth="1"/>
    <col min="14339" max="14339" width="11.5546875" style="5" customWidth="1"/>
    <col min="14340" max="14340" width="10" style="5" customWidth="1"/>
    <col min="14341" max="14341" width="10.33203125" style="5" customWidth="1"/>
    <col min="14342" max="14342" width="3.44140625" style="5" customWidth="1"/>
    <col min="14343" max="14343" width="9.5546875" style="5" customWidth="1"/>
    <col min="14344" max="14344" width="8.88671875" style="5"/>
    <col min="14345" max="14345" width="11.88671875" style="5" customWidth="1"/>
    <col min="14346" max="14346" width="3.44140625" style="5" customWidth="1"/>
    <col min="14347" max="14347" width="10.33203125" style="5" customWidth="1"/>
    <col min="14348" max="14348" width="8.88671875" style="5"/>
    <col min="14349" max="14349" width="10.88671875" style="5" customWidth="1"/>
    <col min="14350" max="14350" width="3.33203125" style="5" customWidth="1"/>
    <col min="14351" max="14351" width="11" style="5" customWidth="1"/>
    <col min="14352" max="14593" width="8.88671875" style="5"/>
    <col min="14594" max="14594" width="11.33203125" style="5" customWidth="1"/>
    <col min="14595" max="14595" width="11.5546875" style="5" customWidth="1"/>
    <col min="14596" max="14596" width="10" style="5" customWidth="1"/>
    <col min="14597" max="14597" width="10.33203125" style="5" customWidth="1"/>
    <col min="14598" max="14598" width="3.44140625" style="5" customWidth="1"/>
    <col min="14599" max="14599" width="9.5546875" style="5" customWidth="1"/>
    <col min="14600" max="14600" width="8.88671875" style="5"/>
    <col min="14601" max="14601" width="11.88671875" style="5" customWidth="1"/>
    <col min="14602" max="14602" width="3.44140625" style="5" customWidth="1"/>
    <col min="14603" max="14603" width="10.33203125" style="5" customWidth="1"/>
    <col min="14604" max="14604" width="8.88671875" style="5"/>
    <col min="14605" max="14605" width="10.88671875" style="5" customWidth="1"/>
    <col min="14606" max="14606" width="3.33203125" style="5" customWidth="1"/>
    <col min="14607" max="14607" width="11" style="5" customWidth="1"/>
    <col min="14608" max="14849" width="8.88671875" style="5"/>
    <col min="14850" max="14850" width="11.33203125" style="5" customWidth="1"/>
    <col min="14851" max="14851" width="11.5546875" style="5" customWidth="1"/>
    <col min="14852" max="14852" width="10" style="5" customWidth="1"/>
    <col min="14853" max="14853" width="10.33203125" style="5" customWidth="1"/>
    <col min="14854" max="14854" width="3.44140625" style="5" customWidth="1"/>
    <col min="14855" max="14855" width="9.5546875" style="5" customWidth="1"/>
    <col min="14856" max="14856" width="8.88671875" style="5"/>
    <col min="14857" max="14857" width="11.88671875" style="5" customWidth="1"/>
    <col min="14858" max="14858" width="3.44140625" style="5" customWidth="1"/>
    <col min="14859" max="14859" width="10.33203125" style="5" customWidth="1"/>
    <col min="14860" max="14860" width="8.88671875" style="5"/>
    <col min="14861" max="14861" width="10.88671875" style="5" customWidth="1"/>
    <col min="14862" max="14862" width="3.33203125" style="5" customWidth="1"/>
    <col min="14863" max="14863" width="11" style="5" customWidth="1"/>
    <col min="14864" max="15105" width="8.88671875" style="5"/>
    <col min="15106" max="15106" width="11.33203125" style="5" customWidth="1"/>
    <col min="15107" max="15107" width="11.5546875" style="5" customWidth="1"/>
    <col min="15108" max="15108" width="10" style="5" customWidth="1"/>
    <col min="15109" max="15109" width="10.33203125" style="5" customWidth="1"/>
    <col min="15110" max="15110" width="3.44140625" style="5" customWidth="1"/>
    <col min="15111" max="15111" width="9.5546875" style="5" customWidth="1"/>
    <col min="15112" max="15112" width="8.88671875" style="5"/>
    <col min="15113" max="15113" width="11.88671875" style="5" customWidth="1"/>
    <col min="15114" max="15114" width="3.44140625" style="5" customWidth="1"/>
    <col min="15115" max="15115" width="10.33203125" style="5" customWidth="1"/>
    <col min="15116" max="15116" width="8.88671875" style="5"/>
    <col min="15117" max="15117" width="10.88671875" style="5" customWidth="1"/>
    <col min="15118" max="15118" width="3.33203125" style="5" customWidth="1"/>
    <col min="15119" max="15119" width="11" style="5" customWidth="1"/>
    <col min="15120" max="15361" width="8.88671875" style="5"/>
    <col min="15362" max="15362" width="11.33203125" style="5" customWidth="1"/>
    <col min="15363" max="15363" width="11.5546875" style="5" customWidth="1"/>
    <col min="15364" max="15364" width="10" style="5" customWidth="1"/>
    <col min="15365" max="15365" width="10.33203125" style="5" customWidth="1"/>
    <col min="15366" max="15366" width="3.44140625" style="5" customWidth="1"/>
    <col min="15367" max="15367" width="9.5546875" style="5" customWidth="1"/>
    <col min="15368" max="15368" width="8.88671875" style="5"/>
    <col min="15369" max="15369" width="11.88671875" style="5" customWidth="1"/>
    <col min="15370" max="15370" width="3.44140625" style="5" customWidth="1"/>
    <col min="15371" max="15371" width="10.33203125" style="5" customWidth="1"/>
    <col min="15372" max="15372" width="8.88671875" style="5"/>
    <col min="15373" max="15373" width="10.88671875" style="5" customWidth="1"/>
    <col min="15374" max="15374" width="3.33203125" style="5" customWidth="1"/>
    <col min="15375" max="15375" width="11" style="5" customWidth="1"/>
    <col min="15376" max="15617" width="8.88671875" style="5"/>
    <col min="15618" max="15618" width="11.33203125" style="5" customWidth="1"/>
    <col min="15619" max="15619" width="11.5546875" style="5" customWidth="1"/>
    <col min="15620" max="15620" width="10" style="5" customWidth="1"/>
    <col min="15621" max="15621" width="10.33203125" style="5" customWidth="1"/>
    <col min="15622" max="15622" width="3.44140625" style="5" customWidth="1"/>
    <col min="15623" max="15623" width="9.5546875" style="5" customWidth="1"/>
    <col min="15624" max="15624" width="8.88671875" style="5"/>
    <col min="15625" max="15625" width="11.88671875" style="5" customWidth="1"/>
    <col min="15626" max="15626" width="3.44140625" style="5" customWidth="1"/>
    <col min="15627" max="15627" width="10.33203125" style="5" customWidth="1"/>
    <col min="15628" max="15628" width="8.88671875" style="5"/>
    <col min="15629" max="15629" width="10.88671875" style="5" customWidth="1"/>
    <col min="15630" max="15630" width="3.33203125" style="5" customWidth="1"/>
    <col min="15631" max="15631" width="11" style="5" customWidth="1"/>
    <col min="15632" max="15873" width="8.88671875" style="5"/>
    <col min="15874" max="15874" width="11.33203125" style="5" customWidth="1"/>
    <col min="15875" max="15875" width="11.5546875" style="5" customWidth="1"/>
    <col min="15876" max="15876" width="10" style="5" customWidth="1"/>
    <col min="15877" max="15877" width="10.33203125" style="5" customWidth="1"/>
    <col min="15878" max="15878" width="3.44140625" style="5" customWidth="1"/>
    <col min="15879" max="15879" width="9.5546875" style="5" customWidth="1"/>
    <col min="15880" max="15880" width="8.88671875" style="5"/>
    <col min="15881" max="15881" width="11.88671875" style="5" customWidth="1"/>
    <col min="15882" max="15882" width="3.44140625" style="5" customWidth="1"/>
    <col min="15883" max="15883" width="10.33203125" style="5" customWidth="1"/>
    <col min="15884" max="15884" width="8.88671875" style="5"/>
    <col min="15885" max="15885" width="10.88671875" style="5" customWidth="1"/>
    <col min="15886" max="15886" width="3.33203125" style="5" customWidth="1"/>
    <col min="15887" max="15887" width="11" style="5" customWidth="1"/>
    <col min="15888" max="16129" width="8.88671875" style="5"/>
    <col min="16130" max="16130" width="11.33203125" style="5" customWidth="1"/>
    <col min="16131" max="16131" width="11.5546875" style="5" customWidth="1"/>
    <col min="16132" max="16132" width="10" style="5" customWidth="1"/>
    <col min="16133" max="16133" width="10.33203125" style="5" customWidth="1"/>
    <col min="16134" max="16134" width="3.44140625" style="5" customWidth="1"/>
    <col min="16135" max="16135" width="9.5546875" style="5" customWidth="1"/>
    <col min="16136" max="16136" width="8.88671875" style="5"/>
    <col min="16137" max="16137" width="11.88671875" style="5" customWidth="1"/>
    <col min="16138" max="16138" width="3.44140625" style="5" customWidth="1"/>
    <col min="16139" max="16139" width="10.33203125" style="5" customWidth="1"/>
    <col min="16140" max="16140" width="8.88671875" style="5"/>
    <col min="16141" max="16141" width="10.88671875" style="5" customWidth="1"/>
    <col min="16142" max="16142" width="3.33203125" style="5" customWidth="1"/>
    <col min="16143" max="16143" width="11" style="5" customWidth="1"/>
    <col min="16144" max="16384" width="8.88671875" style="5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3"/>
      <c r="N1" s="2"/>
      <c r="O1" s="4"/>
    </row>
    <row r="2" spans="1:15" x14ac:dyDescent="0.25">
      <c r="A2" s="6" t="s">
        <v>1</v>
      </c>
      <c r="B2" s="5">
        <v>50</v>
      </c>
      <c r="C2" s="5" t="s">
        <v>2</v>
      </c>
    </row>
    <row r="3" spans="1:15" x14ac:dyDescent="0.25">
      <c r="A3" s="6" t="s">
        <v>3</v>
      </c>
      <c r="B3" s="9">
        <v>0.15</v>
      </c>
      <c r="C3" s="5" t="s">
        <v>4</v>
      </c>
    </row>
    <row r="4" spans="1:15" x14ac:dyDescent="0.25">
      <c r="A4" s="6" t="s">
        <v>5</v>
      </c>
      <c r="B4" s="9">
        <v>0.3</v>
      </c>
      <c r="C4" s="9" t="s">
        <v>6</v>
      </c>
    </row>
    <row r="5" spans="1:15" x14ac:dyDescent="0.25">
      <c r="A5" s="6" t="s">
        <v>7</v>
      </c>
      <c r="B5" s="9">
        <v>0.08</v>
      </c>
      <c r="C5" s="9" t="s">
        <v>8</v>
      </c>
    </row>
    <row r="6" spans="1:15" x14ac:dyDescent="0.25">
      <c r="A6" s="6" t="s">
        <v>9</v>
      </c>
      <c r="B6" s="5">
        <v>1000</v>
      </c>
      <c r="C6" s="5" t="s">
        <v>10</v>
      </c>
    </row>
    <row r="7" spans="1:15" x14ac:dyDescent="0.25">
      <c r="G7" s="11"/>
      <c r="H7" s="11"/>
      <c r="I7" s="12"/>
      <c r="J7" s="13"/>
      <c r="K7" s="11"/>
      <c r="L7" s="11"/>
      <c r="M7" s="12"/>
      <c r="O7" s="14"/>
    </row>
    <row r="8" spans="1:15" x14ac:dyDescent="0.25">
      <c r="B8" s="15"/>
      <c r="C8" s="15"/>
      <c r="G8" s="11" t="s">
        <v>11</v>
      </c>
      <c r="H8" s="11"/>
      <c r="I8" s="12"/>
      <c r="J8" s="13"/>
      <c r="K8" s="11" t="s">
        <v>12</v>
      </c>
      <c r="L8" s="11"/>
      <c r="M8" s="12"/>
      <c r="O8" s="14"/>
    </row>
    <row r="9" spans="1:15" ht="66.75" customHeight="1" x14ac:dyDescent="0.25">
      <c r="A9" s="16" t="s">
        <v>13</v>
      </c>
      <c r="B9" s="17" t="s">
        <v>14</v>
      </c>
      <c r="C9" s="17" t="s">
        <v>15</v>
      </c>
      <c r="D9" s="16" t="s">
        <v>16</v>
      </c>
      <c r="E9" s="16" t="s">
        <v>17</v>
      </c>
      <c r="F9" s="18"/>
      <c r="G9" s="16" t="s">
        <v>18</v>
      </c>
      <c r="H9" s="16" t="s">
        <v>19</v>
      </c>
      <c r="I9" s="17" t="s">
        <v>20</v>
      </c>
      <c r="J9" s="18"/>
      <c r="K9" s="16" t="s">
        <v>18</v>
      </c>
      <c r="L9" s="16" t="s">
        <v>19</v>
      </c>
      <c r="M9" s="17" t="s">
        <v>20</v>
      </c>
      <c r="N9" s="18"/>
      <c r="O9" s="19" t="s">
        <v>21</v>
      </c>
    </row>
    <row r="10" spans="1:15" ht="13.8" x14ac:dyDescent="0.25">
      <c r="A10" s="6">
        <v>0</v>
      </c>
      <c r="B10" s="10">
        <v>56</v>
      </c>
      <c r="C10" s="10">
        <f t="shared" ref="C10:C41" si="0">B10*EXP(mean/52+Sigma*O10*SQRT(1/52))</f>
        <v>55.144026161138058</v>
      </c>
      <c r="D10" s="20">
        <f t="shared" ref="D10:D41" si="1">(LN(B10/X)+(r_+Sigma^2/2)*(1-A10/52))/(Sigma*SQRT(1-A10/52))</f>
        <v>0.79442895102334421</v>
      </c>
      <c r="E10" s="20">
        <f t="shared" ref="E10:E41" si="2">B10*NORMSDIST(D10)/(B10*NORMSDIST(D10)+X*EXP(-r_*(1-A10/52))*NORMSDIST(Sigma*SQRT(1-A10/52)-D10))</f>
        <v>0.75450155419085319</v>
      </c>
      <c r="F10" s="20"/>
      <c r="G10" s="10">
        <f>Initial*E10</f>
        <v>754.5015541908532</v>
      </c>
      <c r="H10" s="10">
        <f>Initial*(1-E10)</f>
        <v>245.4984458091468</v>
      </c>
      <c r="I10" s="7">
        <f t="shared" ref="I10:I61" si="3">H10+G10</f>
        <v>1000</v>
      </c>
      <c r="J10" s="10"/>
      <c r="K10" s="10">
        <f t="shared" ref="K10:K61" si="4">G10*C10/B10</f>
        <v>742.96881148070952</v>
      </c>
      <c r="L10" s="10">
        <f t="shared" ref="L10:L41" si="5">H10*EXP(r_/52)</f>
        <v>245.87642640552878</v>
      </c>
      <c r="M10" s="7">
        <f t="shared" ref="M10:M61" si="6">L10+K10</f>
        <v>988.84523788623824</v>
      </c>
      <c r="N10" s="20"/>
      <c r="O10">
        <v>-0.43958607420790941</v>
      </c>
    </row>
    <row r="11" spans="1:15" ht="13.8" x14ac:dyDescent="0.25">
      <c r="A11" s="6">
        <v>1</v>
      </c>
      <c r="B11" s="10">
        <f t="shared" ref="B11:B62" si="7">C10</f>
        <v>55.144026161138058</v>
      </c>
      <c r="C11" s="10">
        <f t="shared" si="0"/>
        <v>54.382796134027103</v>
      </c>
      <c r="D11" s="20">
        <f t="shared" si="1"/>
        <v>0.74224349766635545</v>
      </c>
      <c r="E11" s="20">
        <f t="shared" si="2"/>
        <v>0.73706513461331657</v>
      </c>
      <c r="F11" s="20"/>
      <c r="G11" s="10">
        <f t="shared" ref="G11:G61" si="8">M10*E11</f>
        <v>728.84334837435722</v>
      </c>
      <c r="H11" s="10">
        <f t="shared" ref="H11:H61" si="9">M10*(1-E11)</f>
        <v>260.00188951188102</v>
      </c>
      <c r="I11" s="7">
        <f t="shared" si="3"/>
        <v>988.84523788623824</v>
      </c>
      <c r="J11" s="10"/>
      <c r="K11" s="10">
        <f t="shared" si="4"/>
        <v>718.78210547161007</v>
      </c>
      <c r="L11" s="10">
        <f t="shared" si="5"/>
        <v>260.40220027121893</v>
      </c>
      <c r="M11" s="7">
        <f t="shared" si="6"/>
        <v>979.184305742829</v>
      </c>
      <c r="N11" s="20"/>
      <c r="O11">
        <v>-0.40346549212699756</v>
      </c>
    </row>
    <row r="12" spans="1:15" ht="13.8" x14ac:dyDescent="0.25">
      <c r="A12" s="6">
        <v>2</v>
      </c>
      <c r="B12" s="10">
        <f t="shared" si="7"/>
        <v>54.382796134027103</v>
      </c>
      <c r="C12" s="10">
        <f t="shared" si="0"/>
        <v>54.930875192149266</v>
      </c>
      <c r="D12" s="20">
        <f t="shared" si="1"/>
        <v>0.69420485104944751</v>
      </c>
      <c r="E12" s="20">
        <f t="shared" si="2"/>
        <v>0.72051063314590191</v>
      </c>
      <c r="F12" s="20"/>
      <c r="G12" s="10">
        <f t="shared" si="8"/>
        <v>705.51270409729614</v>
      </c>
      <c r="H12" s="10">
        <f t="shared" si="9"/>
        <v>273.67160164553286</v>
      </c>
      <c r="I12" s="7">
        <f t="shared" si="3"/>
        <v>979.184305742829</v>
      </c>
      <c r="J12" s="10"/>
      <c r="K12" s="10">
        <f t="shared" si="4"/>
        <v>712.62298098342569</v>
      </c>
      <c r="L12" s="10">
        <f t="shared" si="5"/>
        <v>274.09295891670354</v>
      </c>
      <c r="M12" s="7">
        <f t="shared" si="6"/>
        <v>986.71593990012923</v>
      </c>
      <c r="N12" s="20"/>
      <c r="O12">
        <v>0.17169895727420226</v>
      </c>
    </row>
    <row r="13" spans="1:15" ht="13.8" x14ac:dyDescent="0.25">
      <c r="A13" s="6">
        <v>3</v>
      </c>
      <c r="B13" s="10">
        <f t="shared" si="7"/>
        <v>54.930875192149266</v>
      </c>
      <c r="C13" s="10">
        <f t="shared" si="0"/>
        <v>55.113143655514577</v>
      </c>
      <c r="D13" s="20">
        <f t="shared" si="1"/>
        <v>0.7274321126369776</v>
      </c>
      <c r="E13" s="20">
        <f t="shared" si="2"/>
        <v>0.73265803127364104</v>
      </c>
      <c r="F13" s="20"/>
      <c r="G13" s="10">
        <f t="shared" si="8"/>
        <v>722.925357953549</v>
      </c>
      <c r="H13" s="10">
        <f t="shared" si="9"/>
        <v>263.79058194658023</v>
      </c>
      <c r="I13" s="7">
        <f t="shared" si="3"/>
        <v>986.71593990012923</v>
      </c>
      <c r="J13" s="10"/>
      <c r="K13" s="10">
        <f t="shared" si="4"/>
        <v>725.32412720055424</v>
      </c>
      <c r="L13" s="10">
        <f t="shared" si="5"/>
        <v>264.19672594946991</v>
      </c>
      <c r="M13" s="7">
        <f t="shared" si="6"/>
        <v>989.5208531500241</v>
      </c>
      <c r="N13" s="20"/>
      <c r="O13">
        <v>1.0288658813806251E-2</v>
      </c>
    </row>
    <row r="14" spans="1:15" ht="13.8" x14ac:dyDescent="0.25">
      <c r="A14" s="6">
        <v>4</v>
      </c>
      <c r="B14" s="10">
        <f t="shared" si="7"/>
        <v>55.113143655514577</v>
      </c>
      <c r="C14" s="10">
        <f t="shared" si="0"/>
        <v>52.971511861450331</v>
      </c>
      <c r="D14" s="20">
        <f t="shared" si="1"/>
        <v>0.73812351217031347</v>
      </c>
      <c r="E14" s="20">
        <f t="shared" si="2"/>
        <v>0.73676304411359606</v>
      </c>
      <c r="F14" s="20"/>
      <c r="G14" s="10">
        <f t="shared" si="8"/>
        <v>729.04239598069444</v>
      </c>
      <c r="H14" s="10">
        <f t="shared" si="9"/>
        <v>260.47845716932972</v>
      </c>
      <c r="I14" s="7">
        <f t="shared" si="3"/>
        <v>989.5208531500241</v>
      </c>
      <c r="J14" s="10"/>
      <c r="K14" s="10">
        <f t="shared" si="4"/>
        <v>700.71266788149171</v>
      </c>
      <c r="L14" s="10">
        <f t="shared" si="5"/>
        <v>260.87950167395383</v>
      </c>
      <c r="M14" s="7">
        <f t="shared" si="6"/>
        <v>961.59216955544548</v>
      </c>
      <c r="N14" s="20"/>
      <c r="O14">
        <v>-1.0220196600130294</v>
      </c>
    </row>
    <row r="15" spans="1:15" ht="13.8" x14ac:dyDescent="0.25">
      <c r="A15" s="6">
        <v>5</v>
      </c>
      <c r="B15" s="10">
        <f t="shared" si="7"/>
        <v>52.971511861450331</v>
      </c>
      <c r="C15" s="10">
        <f t="shared" si="0"/>
        <v>52.94990476316984</v>
      </c>
      <c r="D15" s="20">
        <f t="shared" si="1"/>
        <v>0.59854332439613034</v>
      </c>
      <c r="E15" s="20">
        <f t="shared" si="2"/>
        <v>0.68660329075636961</v>
      </c>
      <c r="F15" s="20"/>
      <c r="G15" s="10">
        <f t="shared" si="8"/>
        <v>660.23234798232579</v>
      </c>
      <c r="H15" s="10">
        <f t="shared" si="9"/>
        <v>301.35982157311969</v>
      </c>
      <c r="I15" s="7">
        <f t="shared" si="3"/>
        <v>961.59216955544548</v>
      </c>
      <c r="J15" s="10"/>
      <c r="K15" s="10">
        <f t="shared" si="4"/>
        <v>659.96303897585221</v>
      </c>
      <c r="L15" s="10">
        <f t="shared" si="5"/>
        <v>301.82380888965173</v>
      </c>
      <c r="M15" s="7">
        <f t="shared" si="6"/>
        <v>961.78684786550389</v>
      </c>
      <c r="N15" s="20"/>
      <c r="O15">
        <v>-7.9144228948280215E-2</v>
      </c>
    </row>
    <row r="16" spans="1:15" ht="13.8" x14ac:dyDescent="0.25">
      <c r="A16" s="6">
        <v>6</v>
      </c>
      <c r="B16" s="10">
        <f t="shared" si="7"/>
        <v>52.94990476316984</v>
      </c>
      <c r="C16" s="10">
        <f t="shared" si="0"/>
        <v>52.149502519797778</v>
      </c>
      <c r="D16" s="20">
        <f t="shared" si="1"/>
        <v>0.59504894787141049</v>
      </c>
      <c r="E16" s="20">
        <f t="shared" si="2"/>
        <v>0.68574118562406217</v>
      </c>
      <c r="F16" s="20"/>
      <c r="G16" s="10">
        <f t="shared" si="8"/>
        <v>659.53685337292018</v>
      </c>
      <c r="H16" s="10">
        <f t="shared" si="9"/>
        <v>302.24999449258377</v>
      </c>
      <c r="I16" s="7">
        <f t="shared" si="3"/>
        <v>961.78684786550389</v>
      </c>
      <c r="J16" s="10"/>
      <c r="K16" s="10">
        <f t="shared" si="4"/>
        <v>649.56715126698896</v>
      </c>
      <c r="L16" s="10">
        <f t="shared" si="5"/>
        <v>302.7153523599145</v>
      </c>
      <c r="M16" s="7">
        <f t="shared" si="6"/>
        <v>952.28250362690346</v>
      </c>
      <c r="N16" s="20"/>
      <c r="O16">
        <v>-0.43546037886699196</v>
      </c>
    </row>
    <row r="17" spans="1:15" ht="13.8" x14ac:dyDescent="0.25">
      <c r="A17" s="6">
        <v>7</v>
      </c>
      <c r="B17" s="10">
        <f t="shared" si="7"/>
        <v>52.149502519797778</v>
      </c>
      <c r="C17" s="10">
        <f t="shared" si="0"/>
        <v>48.228490720157644</v>
      </c>
      <c r="D17" s="20">
        <f t="shared" si="1"/>
        <v>0.53843237804648847</v>
      </c>
      <c r="E17" s="20">
        <f t="shared" si="2"/>
        <v>0.6645578698909258</v>
      </c>
      <c r="F17" s="20"/>
      <c r="G17" s="10">
        <f t="shared" si="8"/>
        <v>632.84683214469283</v>
      </c>
      <c r="H17" s="10">
        <f t="shared" si="9"/>
        <v>319.43567148221069</v>
      </c>
      <c r="I17" s="7">
        <f t="shared" si="3"/>
        <v>952.28250362690346</v>
      </c>
      <c r="J17" s="10"/>
      <c r="K17" s="10">
        <f t="shared" si="4"/>
        <v>585.26440515486308</v>
      </c>
      <c r="L17" s="10">
        <f t="shared" si="5"/>
        <v>319.92748920111546</v>
      </c>
      <c r="M17" s="7">
        <f t="shared" si="6"/>
        <v>905.19189435597855</v>
      </c>
      <c r="N17" s="20"/>
      <c r="O17">
        <v>-1.9481831259327009</v>
      </c>
    </row>
    <row r="18" spans="1:15" ht="13.8" x14ac:dyDescent="0.25">
      <c r="A18" s="6">
        <v>8</v>
      </c>
      <c r="B18" s="10">
        <f t="shared" si="7"/>
        <v>48.228490720157644</v>
      </c>
      <c r="C18" s="10">
        <f t="shared" si="0"/>
        <v>48.20297016831433</v>
      </c>
      <c r="D18" s="20">
        <f t="shared" si="1"/>
        <v>0.25255906679939039</v>
      </c>
      <c r="E18" s="20">
        <f t="shared" si="2"/>
        <v>0.54858023596930294</v>
      </c>
      <c r="F18" s="20"/>
      <c r="G18" s="10">
        <f t="shared" si="8"/>
        <v>496.57038300330305</v>
      </c>
      <c r="H18" s="10">
        <f t="shared" si="9"/>
        <v>408.6215113526755</v>
      </c>
      <c r="I18" s="7">
        <f t="shared" si="3"/>
        <v>905.19189435597855</v>
      </c>
      <c r="J18" s="10"/>
      <c r="K18" s="10">
        <f t="shared" si="4"/>
        <v>496.30761819324869</v>
      </c>
      <c r="L18" s="10">
        <f t="shared" si="5"/>
        <v>409.25064365551566</v>
      </c>
      <c r="M18" s="7">
        <f t="shared" si="6"/>
        <v>905.55826184876435</v>
      </c>
      <c r="N18" s="20"/>
      <c r="O18">
        <v>-8.2060296335839666E-2</v>
      </c>
    </row>
    <row r="19" spans="1:15" ht="13.8" x14ac:dyDescent="0.25">
      <c r="A19" s="6">
        <v>9</v>
      </c>
      <c r="B19" s="10">
        <f t="shared" si="7"/>
        <v>48.20297016831433</v>
      </c>
      <c r="C19" s="10">
        <f t="shared" si="0"/>
        <v>51.712027843409587</v>
      </c>
      <c r="D19" s="20">
        <f t="shared" si="1"/>
        <v>0.24472715615351801</v>
      </c>
      <c r="E19" s="20">
        <f t="shared" si="2"/>
        <v>0.5459072604059243</v>
      </c>
      <c r="F19" s="20"/>
      <c r="G19" s="10">
        <f t="shared" si="8"/>
        <v>494.35082986380957</v>
      </c>
      <c r="H19" s="10">
        <f t="shared" si="9"/>
        <v>411.20743198495478</v>
      </c>
      <c r="I19" s="7">
        <f t="shared" si="3"/>
        <v>905.55826184876435</v>
      </c>
      <c r="J19" s="10"/>
      <c r="K19" s="10">
        <f t="shared" si="4"/>
        <v>530.33835444302315</v>
      </c>
      <c r="L19" s="10">
        <f t="shared" si="5"/>
        <v>411.84054568906026</v>
      </c>
      <c r="M19" s="7">
        <f t="shared" si="6"/>
        <v>942.17890013208341</v>
      </c>
      <c r="N19" s="20"/>
      <c r="O19">
        <v>1.6197373042814434</v>
      </c>
    </row>
    <row r="20" spans="1:15" ht="13.8" x14ac:dyDescent="0.25">
      <c r="A20" s="6">
        <v>10</v>
      </c>
      <c r="B20" s="10">
        <f t="shared" si="7"/>
        <v>51.712027843409587</v>
      </c>
      <c r="C20" s="10">
        <f t="shared" si="0"/>
        <v>51.66303946376074</v>
      </c>
      <c r="D20" s="20">
        <f t="shared" si="1"/>
        <v>0.49933749715806991</v>
      </c>
      <c r="E20" s="20">
        <f t="shared" si="2"/>
        <v>0.65082401187618499</v>
      </c>
      <c r="F20" s="20"/>
      <c r="G20" s="10">
        <f t="shared" si="8"/>
        <v>613.19265168905395</v>
      </c>
      <c r="H20" s="10">
        <f t="shared" si="9"/>
        <v>328.98624844302947</v>
      </c>
      <c r="I20" s="7">
        <f t="shared" si="3"/>
        <v>942.17890013208341</v>
      </c>
      <c r="J20" s="10"/>
      <c r="K20" s="10">
        <f t="shared" si="4"/>
        <v>612.61175560604227</v>
      </c>
      <c r="L20" s="10">
        <f t="shared" si="5"/>
        <v>329.49277066551485</v>
      </c>
      <c r="M20" s="7">
        <f t="shared" si="6"/>
        <v>942.10452627155712</v>
      </c>
      <c r="N20" s="20"/>
      <c r="O20">
        <v>-9.2119307737448253E-2</v>
      </c>
    </row>
    <row r="21" spans="1:15" ht="13.8" x14ac:dyDescent="0.25">
      <c r="A21" s="6">
        <v>11</v>
      </c>
      <c r="B21" s="10">
        <f t="shared" si="7"/>
        <v>51.66303946376074</v>
      </c>
      <c r="C21" s="10">
        <f t="shared" si="0"/>
        <v>51.462762161388</v>
      </c>
      <c r="D21" s="20">
        <f t="shared" si="1"/>
        <v>0.49280845871719564</v>
      </c>
      <c r="E21" s="20">
        <f t="shared" si="2"/>
        <v>0.6487864842441059</v>
      </c>
      <c r="F21" s="20"/>
      <c r="G21" s="10">
        <f t="shared" si="8"/>
        <v>611.22468339018246</v>
      </c>
      <c r="H21" s="10">
        <f t="shared" si="9"/>
        <v>330.87984288137466</v>
      </c>
      <c r="I21" s="7">
        <f t="shared" si="3"/>
        <v>942.10452627155712</v>
      </c>
      <c r="J21" s="10"/>
      <c r="K21" s="10">
        <f t="shared" si="4"/>
        <v>608.85520548095326</v>
      </c>
      <c r="L21" s="10">
        <f t="shared" si="5"/>
        <v>331.38928056816269</v>
      </c>
      <c r="M21" s="7">
        <f t="shared" si="6"/>
        <v>940.24448604911595</v>
      </c>
      <c r="N21" s="20"/>
      <c r="O21">
        <v>-0.16270064406853635</v>
      </c>
    </row>
    <row r="22" spans="1:15" ht="13.8" x14ac:dyDescent="0.25">
      <c r="A22" s="6">
        <v>12</v>
      </c>
      <c r="B22" s="10">
        <f t="shared" si="7"/>
        <v>51.462762161388</v>
      </c>
      <c r="C22" s="10">
        <f t="shared" si="0"/>
        <v>50.465607804801692</v>
      </c>
      <c r="D22" s="20">
        <f t="shared" si="1"/>
        <v>0.47503251126334028</v>
      </c>
      <c r="E22" s="20">
        <f t="shared" si="2"/>
        <v>0.64231267310481055</v>
      </c>
      <c r="F22" s="20"/>
      <c r="G22" s="10">
        <f t="shared" si="8"/>
        <v>603.9309492062664</v>
      </c>
      <c r="H22" s="10">
        <f t="shared" si="9"/>
        <v>336.31353684284954</v>
      </c>
      <c r="I22" s="7">
        <f t="shared" si="3"/>
        <v>940.24448604911595</v>
      </c>
      <c r="J22" s="10"/>
      <c r="K22" s="10">
        <f t="shared" si="4"/>
        <v>592.22904375490748</v>
      </c>
      <c r="L22" s="10">
        <f t="shared" si="5"/>
        <v>336.8313404925151</v>
      </c>
      <c r="M22" s="7">
        <f t="shared" si="6"/>
        <v>929.06038424742258</v>
      </c>
      <c r="N22" s="20"/>
      <c r="O22">
        <v>-0.53965550250723027</v>
      </c>
    </row>
    <row r="23" spans="1:15" ht="13.8" x14ac:dyDescent="0.25">
      <c r="A23" s="6">
        <v>13</v>
      </c>
      <c r="B23" s="10">
        <f t="shared" si="7"/>
        <v>50.465607804801692</v>
      </c>
      <c r="C23" s="10">
        <f t="shared" si="0"/>
        <v>53.187471428720713</v>
      </c>
      <c r="D23" s="20">
        <f t="shared" si="1"/>
        <v>0.3965205671257786</v>
      </c>
      <c r="E23" s="20">
        <f t="shared" si="2"/>
        <v>0.61137680348861068</v>
      </c>
      <c r="F23" s="20"/>
      <c r="G23" s="10">
        <f t="shared" si="8"/>
        <v>568.00596796908962</v>
      </c>
      <c r="H23" s="10">
        <f t="shared" si="9"/>
        <v>361.05441627833295</v>
      </c>
      <c r="I23" s="7">
        <f t="shared" si="3"/>
        <v>929.06038424742258</v>
      </c>
      <c r="J23" s="10"/>
      <c r="K23" s="10">
        <f t="shared" si="4"/>
        <v>598.64138186054538</v>
      </c>
      <c r="L23" s="10">
        <f t="shared" si="5"/>
        <v>361.61031211360569</v>
      </c>
      <c r="M23" s="7">
        <f t="shared" si="6"/>
        <v>960.25169397415107</v>
      </c>
      <c r="N23" s="20"/>
      <c r="O23">
        <v>1.1933457244595047</v>
      </c>
    </row>
    <row r="24" spans="1:15" ht="13.8" x14ac:dyDescent="0.25">
      <c r="A24" s="6">
        <v>14</v>
      </c>
      <c r="B24" s="10">
        <f t="shared" si="7"/>
        <v>53.187471428720713</v>
      </c>
      <c r="C24" s="10">
        <f t="shared" si="0"/>
        <v>54.113242266613305</v>
      </c>
      <c r="D24" s="20">
        <f t="shared" si="1"/>
        <v>0.59716497379943123</v>
      </c>
      <c r="E24" s="20">
        <f t="shared" si="2"/>
        <v>0.69034256616872935</v>
      </c>
      <c r="F24" s="20"/>
      <c r="G24" s="10">
        <f t="shared" si="8"/>
        <v>662.90261858598478</v>
      </c>
      <c r="H24" s="10">
        <f t="shared" si="9"/>
        <v>297.34907538816623</v>
      </c>
      <c r="I24" s="7">
        <f t="shared" si="3"/>
        <v>960.25169397415107</v>
      </c>
      <c r="J24" s="10"/>
      <c r="K24" s="10">
        <f t="shared" si="4"/>
        <v>674.44097331811349</v>
      </c>
      <c r="L24" s="10">
        <f t="shared" si="5"/>
        <v>297.80688757707196</v>
      </c>
      <c r="M24" s="7">
        <f t="shared" si="6"/>
        <v>972.24786089518545</v>
      </c>
      <c r="N24" s="20"/>
      <c r="O24">
        <v>0.34544655136414804</v>
      </c>
    </row>
    <row r="25" spans="1:15" ht="13.8" x14ac:dyDescent="0.25">
      <c r="A25" s="6">
        <v>15</v>
      </c>
      <c r="B25" s="10">
        <f t="shared" si="7"/>
        <v>54.113242266613305</v>
      </c>
      <c r="C25" s="10">
        <f t="shared" si="0"/>
        <v>52.895116210736724</v>
      </c>
      <c r="D25" s="20">
        <f t="shared" si="1"/>
        <v>0.66387186938662346</v>
      </c>
      <c r="E25" s="20">
        <f t="shared" si="2"/>
        <v>0.7152060722913739</v>
      </c>
      <c r="F25" s="20"/>
      <c r="G25" s="10">
        <f t="shared" si="8"/>
        <v>695.35757388453567</v>
      </c>
      <c r="H25" s="10">
        <f t="shared" si="9"/>
        <v>276.89028701064984</v>
      </c>
      <c r="I25" s="7">
        <f t="shared" si="3"/>
        <v>972.24786089518557</v>
      </c>
      <c r="J25" s="10"/>
      <c r="K25" s="10">
        <f t="shared" si="4"/>
        <v>679.70459979869941</v>
      </c>
      <c r="L25" s="10">
        <f t="shared" si="5"/>
        <v>277.31659991650844</v>
      </c>
      <c r="M25" s="7">
        <f t="shared" si="6"/>
        <v>957.02119971520779</v>
      </c>
      <c r="N25" s="20"/>
      <c r="O25">
        <v>-0.61661012296099216</v>
      </c>
    </row>
    <row r="26" spans="1:15" ht="13.8" x14ac:dyDescent="0.25">
      <c r="A26" s="6">
        <v>16</v>
      </c>
      <c r="B26" s="10">
        <f t="shared" si="7"/>
        <v>52.895116210736724</v>
      </c>
      <c r="C26" s="10">
        <f t="shared" si="0"/>
        <v>55.64868496140982</v>
      </c>
      <c r="D26" s="20">
        <f t="shared" si="1"/>
        <v>0.57218684385850316</v>
      </c>
      <c r="E26" s="20">
        <f t="shared" si="2"/>
        <v>0.68199826592869883</v>
      </c>
      <c r="F26" s="20"/>
      <c r="G26" s="10">
        <f t="shared" si="8"/>
        <v>652.68679866277466</v>
      </c>
      <c r="H26" s="10">
        <f t="shared" si="9"/>
        <v>304.33440105243312</v>
      </c>
      <c r="I26" s="7">
        <f t="shared" si="3"/>
        <v>957.02119971520779</v>
      </c>
      <c r="J26" s="10"/>
      <c r="K26" s="10">
        <f t="shared" si="4"/>
        <v>686.66381018146524</v>
      </c>
      <c r="L26" s="10">
        <f t="shared" si="5"/>
        <v>304.80296816710552</v>
      </c>
      <c r="M26" s="7">
        <f t="shared" si="6"/>
        <v>991.46677834857076</v>
      </c>
      <c r="N26" s="20"/>
      <c r="O26">
        <v>1.1504789654281922</v>
      </c>
    </row>
    <row r="27" spans="1:15" ht="13.8" x14ac:dyDescent="0.25">
      <c r="A27" s="6">
        <v>17</v>
      </c>
      <c r="B27" s="10">
        <f t="shared" si="7"/>
        <v>55.64868496140982</v>
      </c>
      <c r="C27" s="10">
        <f t="shared" si="0"/>
        <v>55.929958390678337</v>
      </c>
      <c r="D27" s="20">
        <f t="shared" si="1"/>
        <v>0.77672317668773827</v>
      </c>
      <c r="E27" s="20">
        <f t="shared" si="2"/>
        <v>0.75497171584744338</v>
      </c>
      <c r="F27" s="20"/>
      <c r="G27" s="10">
        <f t="shared" si="8"/>
        <v>748.52937485555731</v>
      </c>
      <c r="H27" s="10">
        <f t="shared" si="9"/>
        <v>242.93740349301348</v>
      </c>
      <c r="I27" s="7">
        <f t="shared" si="3"/>
        <v>991.46677834857076</v>
      </c>
      <c r="J27" s="10"/>
      <c r="K27" s="10">
        <f t="shared" si="4"/>
        <v>752.31277826068435</v>
      </c>
      <c r="L27" s="10">
        <f t="shared" si="5"/>
        <v>243.31144099191954</v>
      </c>
      <c r="M27" s="7">
        <f t="shared" si="6"/>
        <v>995.62421925260389</v>
      </c>
      <c r="N27" s="20"/>
      <c r="O27">
        <v>5.1850292948074639E-2</v>
      </c>
    </row>
    <row r="28" spans="1:15" ht="13.8" x14ac:dyDescent="0.25">
      <c r="A28" s="6">
        <v>18</v>
      </c>
      <c r="B28" s="10">
        <f t="shared" si="7"/>
        <v>55.929958390678337</v>
      </c>
      <c r="C28" s="10">
        <f t="shared" si="0"/>
        <v>57.560345047952765</v>
      </c>
      <c r="D28" s="20">
        <f t="shared" si="1"/>
        <v>0.7989369340916046</v>
      </c>
      <c r="E28" s="20">
        <f t="shared" si="2"/>
        <v>0.762657246025225</v>
      </c>
      <c r="F28" s="20"/>
      <c r="G28" s="10">
        <f t="shared" si="8"/>
        <v>759.32002513120574</v>
      </c>
      <c r="H28" s="10">
        <f t="shared" si="9"/>
        <v>236.30419412139821</v>
      </c>
      <c r="I28" s="7">
        <f t="shared" si="3"/>
        <v>995.62421925260401</v>
      </c>
      <c r="J28" s="10"/>
      <c r="K28" s="10">
        <f t="shared" si="4"/>
        <v>781.45458902499058</v>
      </c>
      <c r="L28" s="10">
        <f t="shared" si="5"/>
        <v>236.66801882883038</v>
      </c>
      <c r="M28" s="7">
        <f t="shared" si="6"/>
        <v>1018.1226078538209</v>
      </c>
      <c r="N28" s="20"/>
      <c r="O28">
        <v>0.62133494793670252</v>
      </c>
    </row>
    <row r="29" spans="1:15" ht="13.8" x14ac:dyDescent="0.25">
      <c r="A29" s="6">
        <v>19</v>
      </c>
      <c r="B29" s="10">
        <f t="shared" si="7"/>
        <v>57.560345047952765</v>
      </c>
      <c r="C29" s="10">
        <f t="shared" si="0"/>
        <v>57.855891491944341</v>
      </c>
      <c r="D29" s="20">
        <f t="shared" si="1"/>
        <v>0.92112391444054798</v>
      </c>
      <c r="E29" s="20">
        <f t="shared" si="2"/>
        <v>0.80075195881415506</v>
      </c>
      <c r="F29" s="20"/>
      <c r="G29" s="10">
        <f t="shared" si="8"/>
        <v>815.26367255192292</v>
      </c>
      <c r="H29" s="10">
        <f t="shared" si="9"/>
        <v>202.85893530189796</v>
      </c>
      <c r="I29" s="7">
        <f t="shared" si="3"/>
        <v>1018.1226078538209</v>
      </c>
      <c r="J29" s="10"/>
      <c r="K29" s="10">
        <f t="shared" si="4"/>
        <v>819.44968427818173</v>
      </c>
      <c r="L29" s="10">
        <f t="shared" si="5"/>
        <v>203.17126616449914</v>
      </c>
      <c r="M29" s="7">
        <f t="shared" si="6"/>
        <v>1022.6209504426809</v>
      </c>
      <c r="N29" s="20"/>
      <c r="O29">
        <v>5.3765916163683869E-2</v>
      </c>
    </row>
    <row r="30" spans="1:15" ht="13.8" x14ac:dyDescent="0.25">
      <c r="A30" s="6">
        <v>20</v>
      </c>
      <c r="B30" s="10">
        <f t="shared" si="7"/>
        <v>57.855891491944341</v>
      </c>
      <c r="C30" s="10">
        <f t="shared" si="0"/>
        <v>59.775568446910349</v>
      </c>
      <c r="D30" s="20">
        <f t="shared" si="1"/>
        <v>0.94695319442965398</v>
      </c>
      <c r="E30" s="20">
        <f t="shared" si="2"/>
        <v>0.8085524187598242</v>
      </c>
      <c r="F30" s="20"/>
      <c r="G30" s="10">
        <f t="shared" si="8"/>
        <v>826.84264295489993</v>
      </c>
      <c r="H30" s="10">
        <f t="shared" si="9"/>
        <v>195.77830748778092</v>
      </c>
      <c r="I30" s="7">
        <f t="shared" si="3"/>
        <v>1022.6209504426809</v>
      </c>
      <c r="J30" s="10"/>
      <c r="K30" s="10">
        <f t="shared" si="4"/>
        <v>854.27754588582638</v>
      </c>
      <c r="L30" s="10">
        <f t="shared" si="5"/>
        <v>196.07973669308194</v>
      </c>
      <c r="M30" s="7">
        <f t="shared" si="6"/>
        <v>1050.3572825789083</v>
      </c>
      <c r="N30" s="20"/>
      <c r="O30">
        <v>0.71527210820931941</v>
      </c>
    </row>
    <row r="31" spans="1:15" ht="13.8" x14ac:dyDescent="0.25">
      <c r="A31" s="6">
        <v>21</v>
      </c>
      <c r="B31" s="10">
        <f t="shared" si="7"/>
        <v>59.775568446910349</v>
      </c>
      <c r="C31" s="10">
        <f t="shared" si="0"/>
        <v>56.381697381190499</v>
      </c>
      <c r="D31" s="20">
        <f t="shared" si="1"/>
        <v>1.0926476351784571</v>
      </c>
      <c r="E31" s="20">
        <f t="shared" si="2"/>
        <v>0.84752761881796879</v>
      </c>
      <c r="F31" s="20"/>
      <c r="G31" s="10">
        <f t="shared" si="8"/>
        <v>890.20680661221456</v>
      </c>
      <c r="H31" s="10">
        <f t="shared" si="9"/>
        <v>160.15047596669379</v>
      </c>
      <c r="I31" s="7">
        <f t="shared" si="3"/>
        <v>1050.3572825789083</v>
      </c>
      <c r="J31" s="10"/>
      <c r="K31" s="10">
        <f t="shared" si="4"/>
        <v>839.6636298266792</v>
      </c>
      <c r="L31" s="10">
        <f t="shared" si="5"/>
        <v>160.39705093875617</v>
      </c>
      <c r="M31" s="7">
        <f t="shared" si="6"/>
        <v>1000.0606807654353</v>
      </c>
      <c r="N31" s="20"/>
      <c r="O31">
        <v>-1.4743591236765496</v>
      </c>
    </row>
    <row r="32" spans="1:15" ht="13.8" x14ac:dyDescent="0.25">
      <c r="A32" s="6">
        <v>22</v>
      </c>
      <c r="B32" s="10">
        <f t="shared" si="7"/>
        <v>56.381697381190499</v>
      </c>
      <c r="C32" s="10">
        <f t="shared" si="0"/>
        <v>62.8963504358248</v>
      </c>
      <c r="D32" s="20">
        <f t="shared" si="1"/>
        <v>0.84363910731301328</v>
      </c>
      <c r="E32" s="20">
        <f t="shared" si="2"/>
        <v>0.7784744697992847</v>
      </c>
      <c r="F32" s="20"/>
      <c r="G32" s="10">
        <f t="shared" si="8"/>
        <v>778.52170822598396</v>
      </c>
      <c r="H32" s="10">
        <f t="shared" si="9"/>
        <v>221.53897253945135</v>
      </c>
      <c r="I32" s="7">
        <f t="shared" si="3"/>
        <v>1000.0606807654353</v>
      </c>
      <c r="J32" s="10"/>
      <c r="K32" s="10">
        <f t="shared" si="4"/>
        <v>868.47641090731054</v>
      </c>
      <c r="L32" s="10">
        <f t="shared" si="5"/>
        <v>221.88006403877355</v>
      </c>
      <c r="M32" s="7">
        <f t="shared" si="6"/>
        <v>1090.3564749460841</v>
      </c>
      <c r="N32" s="20"/>
      <c r="O32">
        <v>2.5589542929083109</v>
      </c>
    </row>
    <row r="33" spans="1:15" ht="13.8" x14ac:dyDescent="0.25">
      <c r="A33" s="6">
        <v>23</v>
      </c>
      <c r="B33" s="10">
        <f t="shared" si="7"/>
        <v>62.8963504358248</v>
      </c>
      <c r="C33" s="10">
        <f t="shared" si="0"/>
        <v>62.128918205433045</v>
      </c>
      <c r="D33" s="20">
        <f t="shared" si="1"/>
        <v>1.3353931586564551</v>
      </c>
      <c r="E33" s="20">
        <f t="shared" si="2"/>
        <v>0.89976868128535858</v>
      </c>
      <c r="F33" s="20"/>
      <c r="G33" s="10">
        <f t="shared" si="8"/>
        <v>981.06860759319022</v>
      </c>
      <c r="H33" s="10">
        <f t="shared" si="9"/>
        <v>109.28786735289388</v>
      </c>
      <c r="I33" s="7">
        <f t="shared" si="3"/>
        <v>1090.3564749460841</v>
      </c>
      <c r="J33" s="10"/>
      <c r="K33" s="10">
        <f t="shared" si="4"/>
        <v>969.09806137746364</v>
      </c>
      <c r="L33" s="10">
        <f t="shared" si="5"/>
        <v>109.45613193454209</v>
      </c>
      <c r="M33" s="7">
        <f t="shared" si="6"/>
        <v>1078.5541933120057</v>
      </c>
      <c r="N33" s="20"/>
      <c r="O33">
        <v>-0.36442997952690348</v>
      </c>
    </row>
    <row r="34" spans="1:15" ht="13.8" x14ac:dyDescent="0.25">
      <c r="A34" s="6">
        <v>24</v>
      </c>
      <c r="B34" s="10">
        <f t="shared" si="7"/>
        <v>62.128918205433045</v>
      </c>
      <c r="C34" s="10">
        <f t="shared" si="0"/>
        <v>61.156922268840617</v>
      </c>
      <c r="D34" s="20">
        <f t="shared" si="1"/>
        <v>1.2923434049994698</v>
      </c>
      <c r="E34" s="20">
        <f t="shared" si="2"/>
        <v>0.89189346012642989</v>
      </c>
      <c r="F34" s="20"/>
      <c r="G34" s="10">
        <f t="shared" si="8"/>
        <v>961.95543140691518</v>
      </c>
      <c r="H34" s="10">
        <f t="shared" si="9"/>
        <v>116.59876190509058</v>
      </c>
      <c r="I34" s="7">
        <f t="shared" si="3"/>
        <v>1078.5541933120057</v>
      </c>
      <c r="J34" s="10"/>
      <c r="K34" s="10">
        <f t="shared" si="4"/>
        <v>946.90580882345341</v>
      </c>
      <c r="L34" s="10">
        <f t="shared" si="5"/>
        <v>116.7782826732039</v>
      </c>
      <c r="M34" s="7">
        <f t="shared" si="6"/>
        <v>1063.6840914966574</v>
      </c>
      <c r="N34" s="20"/>
      <c r="O34">
        <v>-0.4483649718167726</v>
      </c>
    </row>
    <row r="35" spans="1:15" ht="13.8" x14ac:dyDescent="0.25">
      <c r="A35" s="6">
        <v>25</v>
      </c>
      <c r="B35" s="10">
        <f t="shared" si="7"/>
        <v>61.156922268840617</v>
      </c>
      <c r="C35" s="10">
        <f t="shared" si="0"/>
        <v>60.289115837161255</v>
      </c>
      <c r="D35" s="20">
        <f t="shared" si="1"/>
        <v>1.2319942291420978</v>
      </c>
      <c r="E35" s="20">
        <f t="shared" si="2"/>
        <v>0.88004184526745111</v>
      </c>
      <c r="F35" s="20"/>
      <c r="G35" s="10">
        <f t="shared" si="8"/>
        <v>936.08651066235063</v>
      </c>
      <c r="H35" s="10">
        <f t="shared" si="9"/>
        <v>127.59758083430673</v>
      </c>
      <c r="I35" s="7">
        <f t="shared" si="3"/>
        <v>1063.6840914966574</v>
      </c>
      <c r="J35" s="10"/>
      <c r="K35" s="10">
        <f t="shared" si="4"/>
        <v>922.80360065929165</v>
      </c>
      <c r="L35" s="10">
        <f t="shared" si="5"/>
        <v>127.79403588534254</v>
      </c>
      <c r="M35" s="7">
        <f t="shared" si="6"/>
        <v>1050.5976365446343</v>
      </c>
      <c r="N35" s="20"/>
      <c r="O35">
        <v>-0.41286170926468913</v>
      </c>
    </row>
    <row r="36" spans="1:15" ht="13.8" x14ac:dyDescent="0.25">
      <c r="A36" s="6">
        <v>26</v>
      </c>
      <c r="B36" s="10">
        <f t="shared" si="7"/>
        <v>60.289115837161255</v>
      </c>
      <c r="C36" s="10">
        <f t="shared" si="0"/>
        <v>62.218573715241412</v>
      </c>
      <c r="D36" s="20">
        <f t="shared" si="1"/>
        <v>1.1767604197915276</v>
      </c>
      <c r="E36" s="20">
        <f t="shared" si="2"/>
        <v>0.86844430904053294</v>
      </c>
      <c r="F36" s="20"/>
      <c r="G36" s="10">
        <f t="shared" si="8"/>
        <v>912.38553854862187</v>
      </c>
      <c r="H36" s="10">
        <f t="shared" si="9"/>
        <v>138.2120979960124</v>
      </c>
      <c r="I36" s="7">
        <f t="shared" si="3"/>
        <v>1050.5976365446343</v>
      </c>
      <c r="J36" s="10"/>
      <c r="K36" s="10">
        <f t="shared" si="4"/>
        <v>941.58499587610777</v>
      </c>
      <c r="L36" s="10">
        <f t="shared" si="5"/>
        <v>138.4248956414539</v>
      </c>
      <c r="M36" s="7">
        <f t="shared" si="6"/>
        <v>1080.0098915175618</v>
      </c>
      <c r="N36" s="20"/>
      <c r="O36">
        <v>0.68787585405516438</v>
      </c>
    </row>
    <row r="37" spans="1:15" ht="13.8" x14ac:dyDescent="0.25">
      <c r="A37" s="6">
        <v>27</v>
      </c>
      <c r="B37" s="10">
        <f t="shared" si="7"/>
        <v>62.218573715241412</v>
      </c>
      <c r="C37" s="10">
        <f t="shared" si="0"/>
        <v>56.520167117934008</v>
      </c>
      <c r="D37" s="20">
        <f t="shared" si="1"/>
        <v>1.3399512902967654</v>
      </c>
      <c r="E37" s="20">
        <f t="shared" si="2"/>
        <v>0.90131294115514127</v>
      </c>
      <c r="F37" s="20"/>
      <c r="G37" s="10">
        <f t="shared" si="8"/>
        <v>973.42689180033869</v>
      </c>
      <c r="H37" s="10">
        <f t="shared" si="9"/>
        <v>106.58299971722312</v>
      </c>
      <c r="I37" s="7">
        <f t="shared" si="3"/>
        <v>1080.0098915175618</v>
      </c>
      <c r="J37" s="10"/>
      <c r="K37" s="10">
        <f t="shared" si="4"/>
        <v>884.27373558016211</v>
      </c>
      <c r="L37" s="10">
        <f t="shared" si="5"/>
        <v>106.74709976137824</v>
      </c>
      <c r="M37" s="7">
        <f t="shared" si="6"/>
        <v>991.02083534154031</v>
      </c>
      <c r="N37" s="20"/>
      <c r="O37">
        <v>-2.37823769566603</v>
      </c>
    </row>
    <row r="38" spans="1:15" ht="13.8" x14ac:dyDescent="0.25">
      <c r="A38" s="6">
        <v>28</v>
      </c>
      <c r="B38" s="10">
        <f t="shared" si="7"/>
        <v>56.520167117934008</v>
      </c>
      <c r="C38" s="10">
        <f t="shared" si="0"/>
        <v>57.808342758474268</v>
      </c>
      <c r="D38" s="20">
        <f t="shared" si="1"/>
        <v>0.88448523262286849</v>
      </c>
      <c r="E38" s="20">
        <f t="shared" si="2"/>
        <v>0.79333502677123402</v>
      </c>
      <c r="F38" s="20"/>
      <c r="G38" s="10">
        <f t="shared" si="8"/>
        <v>786.21154093653161</v>
      </c>
      <c r="H38" s="10">
        <f t="shared" si="9"/>
        <v>204.80929440500873</v>
      </c>
      <c r="I38" s="7">
        <f t="shared" si="3"/>
        <v>991.02083534154031</v>
      </c>
      <c r="J38" s="10"/>
      <c r="K38" s="10">
        <f t="shared" si="4"/>
        <v>804.13042913148013</v>
      </c>
      <c r="L38" s="10">
        <f t="shared" si="5"/>
        <v>205.12462812937764</v>
      </c>
      <c r="M38" s="7">
        <f t="shared" si="6"/>
        <v>1009.2550572608577</v>
      </c>
      <c r="N38" s="20"/>
      <c r="O38">
        <v>0.47235062083927915</v>
      </c>
    </row>
    <row r="39" spans="1:15" ht="13.8" x14ac:dyDescent="0.25">
      <c r="A39" s="6">
        <v>29</v>
      </c>
      <c r="B39" s="10">
        <f t="shared" si="7"/>
        <v>57.808342758474268</v>
      </c>
      <c r="C39" s="10">
        <f t="shared" si="0"/>
        <v>54.452427035714237</v>
      </c>
      <c r="D39" s="20">
        <f t="shared" si="1"/>
        <v>1.0044101552395217</v>
      </c>
      <c r="E39" s="20">
        <f t="shared" si="2"/>
        <v>0.8274347683969524</v>
      </c>
      <c r="F39" s="20"/>
      <c r="G39" s="10">
        <f t="shared" si="8"/>
        <v>835.09272455809071</v>
      </c>
      <c r="H39" s="10">
        <f t="shared" si="9"/>
        <v>174.16233270276697</v>
      </c>
      <c r="I39" s="7">
        <f t="shared" si="3"/>
        <v>1009.2550572608577</v>
      </c>
      <c r="J39" s="10"/>
      <c r="K39" s="10">
        <f t="shared" si="4"/>
        <v>786.61354887896812</v>
      </c>
      <c r="L39" s="10">
        <f t="shared" si="5"/>
        <v>174.4304809680861</v>
      </c>
      <c r="M39" s="7">
        <f t="shared" si="6"/>
        <v>961.04402984705416</v>
      </c>
      <c r="N39" s="20"/>
      <c r="O39">
        <v>-1.5068872016854584</v>
      </c>
    </row>
    <row r="40" spans="1:15" ht="13.8" x14ac:dyDescent="0.25">
      <c r="A40" s="6">
        <v>30</v>
      </c>
      <c r="B40" s="10">
        <f t="shared" si="7"/>
        <v>54.452427035714237</v>
      </c>
      <c r="C40" s="10">
        <f t="shared" si="0"/>
        <v>51.302471394873976</v>
      </c>
      <c r="D40" s="20">
        <f t="shared" si="1"/>
        <v>0.70817835930193351</v>
      </c>
      <c r="E40" s="20">
        <f t="shared" si="2"/>
        <v>0.73814317741835511</v>
      </c>
      <c r="F40" s="20"/>
      <c r="G40" s="10">
        <f t="shared" si="8"/>
        <v>709.38809383024511</v>
      </c>
      <c r="H40" s="10">
        <f t="shared" si="9"/>
        <v>251.65593601680911</v>
      </c>
      <c r="I40" s="7">
        <f t="shared" si="3"/>
        <v>961.04402984705416</v>
      </c>
      <c r="J40" s="10"/>
      <c r="K40" s="10">
        <f t="shared" si="4"/>
        <v>668.35152026778633</v>
      </c>
      <c r="L40" s="10">
        <f t="shared" si="5"/>
        <v>252.04339696575803</v>
      </c>
      <c r="M40" s="7">
        <f t="shared" si="6"/>
        <v>920.39491723354433</v>
      </c>
      <c r="N40" s="20"/>
      <c r="O40">
        <v>-1.5016667020972818</v>
      </c>
    </row>
    <row r="41" spans="1:15" ht="13.8" x14ac:dyDescent="0.25">
      <c r="A41" s="6">
        <v>31</v>
      </c>
      <c r="B41" s="10">
        <f t="shared" si="7"/>
        <v>51.302471394873976</v>
      </c>
      <c r="C41" s="10">
        <f t="shared" si="0"/>
        <v>47.048477836153971</v>
      </c>
      <c r="D41" s="20">
        <f t="shared" si="1"/>
        <v>0.39967490144078949</v>
      </c>
      <c r="E41" s="20">
        <f t="shared" si="2"/>
        <v>0.62469457783712923</v>
      </c>
      <c r="F41" s="20"/>
      <c r="G41" s="10">
        <f t="shared" si="8"/>
        <v>574.96571426464845</v>
      </c>
      <c r="H41" s="10">
        <f t="shared" si="9"/>
        <v>345.42920296889588</v>
      </c>
      <c r="I41" s="7">
        <f t="shared" si="3"/>
        <v>920.39491723354433</v>
      </c>
      <c r="J41" s="10"/>
      <c r="K41" s="10">
        <f t="shared" si="4"/>
        <v>527.28963982876758</v>
      </c>
      <c r="L41" s="10">
        <f t="shared" si="5"/>
        <v>345.96104151359867</v>
      </c>
      <c r="M41" s="7">
        <f t="shared" si="6"/>
        <v>873.25068134236631</v>
      </c>
      <c r="N41" s="20"/>
      <c r="O41">
        <v>-2.149990905309096</v>
      </c>
    </row>
    <row r="42" spans="1:15" ht="13.8" x14ac:dyDescent="0.25">
      <c r="A42" s="6">
        <v>32</v>
      </c>
      <c r="B42" s="10">
        <f t="shared" si="7"/>
        <v>47.048477836153971</v>
      </c>
      <c r="C42" s="10">
        <f t="shared" ref="C42:C61" si="10">B42*EXP(mean/52+Sigma*O42*SQRT(1/52))</f>
        <v>47.581624055068282</v>
      </c>
      <c r="D42" s="20">
        <f t="shared" ref="D42:D61" si="11">(LN(B42/X)+(r_+Sigma^2/2)*(1-A42/52))/(Sigma*SQRT(1-A42/52))</f>
        <v>-6.86236208117839E-2</v>
      </c>
      <c r="E42" s="20">
        <f t="shared" ref="E42:E61" si="12">B42*NORMSDIST(D42)/(B42*NORMSDIST(D42)+X*EXP(-r_*(1-A42/52))*NORMSDIST(Sigma*SQRT(1-A42/52)-D42))</f>
        <v>0.43302588065309516</v>
      </c>
      <c r="F42" s="20"/>
      <c r="G42" s="10">
        <f t="shared" si="8"/>
        <v>378.14014531919355</v>
      </c>
      <c r="H42" s="10">
        <f t="shared" si="9"/>
        <v>495.11053602317281</v>
      </c>
      <c r="I42" s="7">
        <f t="shared" si="3"/>
        <v>873.25068134236631</v>
      </c>
      <c r="J42" s="10"/>
      <c r="K42" s="10">
        <f t="shared" si="4"/>
        <v>382.42517212492191</v>
      </c>
      <c r="L42" s="10">
        <f t="shared" ref="L42:L61" si="13">H42*EXP(r_/52)</f>
        <v>495.87283077035227</v>
      </c>
      <c r="M42" s="7">
        <f t="shared" si="6"/>
        <v>878.29800289527418</v>
      </c>
      <c r="N42" s="20"/>
      <c r="O42">
        <v>0.20151446733507328</v>
      </c>
    </row>
    <row r="43" spans="1:15" ht="13.8" x14ac:dyDescent="0.25">
      <c r="A43" s="6">
        <v>33</v>
      </c>
      <c r="B43" s="10">
        <f t="shared" si="7"/>
        <v>47.581624055068282</v>
      </c>
      <c r="C43" s="10">
        <f t="shared" si="10"/>
        <v>46.99849645449607</v>
      </c>
      <c r="D43" s="20">
        <f t="shared" si="11"/>
        <v>-2.1524573472979605E-2</v>
      </c>
      <c r="E43" s="20">
        <f t="shared" si="12"/>
        <v>0.45344956491670096</v>
      </c>
      <c r="F43" s="20"/>
      <c r="G43" s="10">
        <f t="shared" si="8"/>
        <v>398.26384728006946</v>
      </c>
      <c r="H43" s="10">
        <f t="shared" si="9"/>
        <v>480.03415561520472</v>
      </c>
      <c r="I43" s="7">
        <f t="shared" si="3"/>
        <v>878.29800289527418</v>
      </c>
      <c r="J43" s="10"/>
      <c r="K43" s="10">
        <f t="shared" si="4"/>
        <v>393.38299997249737</v>
      </c>
      <c r="L43" s="10">
        <f t="shared" si="13"/>
        <v>480.77323807996385</v>
      </c>
      <c r="M43" s="7">
        <f t="shared" si="6"/>
        <v>874.15623805246128</v>
      </c>
      <c r="N43" s="20"/>
      <c r="O43">
        <v>-0.36573851502907928</v>
      </c>
    </row>
    <row r="44" spans="1:15" ht="13.8" x14ac:dyDescent="0.25">
      <c r="A44" s="6">
        <v>34</v>
      </c>
      <c r="B44" s="10">
        <f t="shared" si="7"/>
        <v>46.99849645449607</v>
      </c>
      <c r="C44" s="10">
        <f t="shared" si="10"/>
        <v>41.889776122150252</v>
      </c>
      <c r="D44" s="20">
        <f t="shared" si="11"/>
        <v>-0.10559595651659594</v>
      </c>
      <c r="E44" s="20">
        <f t="shared" si="12"/>
        <v>0.42002808440230155</v>
      </c>
      <c r="F44" s="20"/>
      <c r="G44" s="10">
        <f t="shared" si="8"/>
        <v>367.17017013749762</v>
      </c>
      <c r="H44" s="10">
        <f t="shared" si="9"/>
        <v>506.98606791496366</v>
      </c>
      <c r="I44" s="7">
        <f t="shared" si="3"/>
        <v>874.15623805246128</v>
      </c>
      <c r="J44" s="10"/>
      <c r="K44" s="10">
        <f t="shared" si="4"/>
        <v>327.25889945613812</v>
      </c>
      <c r="L44" s="10">
        <f t="shared" si="13"/>
        <v>507.76664677230121</v>
      </c>
      <c r="M44" s="7">
        <f t="shared" si="6"/>
        <v>835.02554622843934</v>
      </c>
      <c r="N44" s="20"/>
      <c r="O44">
        <v>-2.8353679226711392</v>
      </c>
    </row>
    <row r="45" spans="1:15" ht="13.8" x14ac:dyDescent="0.25">
      <c r="A45" s="6">
        <v>35</v>
      </c>
      <c r="B45" s="10">
        <f t="shared" si="7"/>
        <v>41.889776122150252</v>
      </c>
      <c r="C45" s="10">
        <f t="shared" si="10"/>
        <v>41.908772490723621</v>
      </c>
      <c r="D45" s="20">
        <f t="shared" si="11"/>
        <v>-0.79353227086089229</v>
      </c>
      <c r="E45" s="20">
        <f t="shared" si="12"/>
        <v>0.18081709203734181</v>
      </c>
      <c r="F45" s="20"/>
      <c r="G45" s="10">
        <f t="shared" si="8"/>
        <v>150.98689104591932</v>
      </c>
      <c r="H45" s="10">
        <f t="shared" si="9"/>
        <v>684.03865518252007</v>
      </c>
      <c r="I45" s="7">
        <f t="shared" si="3"/>
        <v>835.02554622843945</v>
      </c>
      <c r="J45" s="10"/>
      <c r="K45" s="10">
        <f t="shared" si="4"/>
        <v>151.0553612765477</v>
      </c>
      <c r="L45" s="10">
        <f t="shared" si="13"/>
        <v>685.0918322728354</v>
      </c>
      <c r="M45" s="7">
        <f t="shared" si="6"/>
        <v>836.14719354938313</v>
      </c>
      <c r="N45" s="20"/>
      <c r="O45">
        <v>-5.8439582062419504E-2</v>
      </c>
    </row>
    <row r="46" spans="1:15" ht="13.8" x14ac:dyDescent="0.25">
      <c r="A46" s="6">
        <v>36</v>
      </c>
      <c r="B46" s="10">
        <f t="shared" si="7"/>
        <v>41.908772490723621</v>
      </c>
      <c r="C46" s="10">
        <f t="shared" si="10"/>
        <v>41.128365461305421</v>
      </c>
      <c r="D46" s="20">
        <f t="shared" si="11"/>
        <v>-0.82967517451752315</v>
      </c>
      <c r="E46" s="20">
        <f t="shared" si="12"/>
        <v>0.17210218118523071</v>
      </c>
      <c r="F46" s="20"/>
      <c r="G46" s="10">
        <f t="shared" si="8"/>
        <v>143.9027558017581</v>
      </c>
      <c r="H46" s="10">
        <f t="shared" si="9"/>
        <v>692.24443774762506</v>
      </c>
      <c r="I46" s="7">
        <f t="shared" si="3"/>
        <v>836.14719354938313</v>
      </c>
      <c r="J46" s="10"/>
      <c r="K46" s="10">
        <f t="shared" si="4"/>
        <v>141.22306094299793</v>
      </c>
      <c r="L46" s="10">
        <f t="shared" si="13"/>
        <v>693.31024883477698</v>
      </c>
      <c r="M46" s="7">
        <f t="shared" si="6"/>
        <v>834.53330977777489</v>
      </c>
      <c r="N46" s="20"/>
      <c r="O46">
        <v>-0.52116433835180942</v>
      </c>
    </row>
    <row r="47" spans="1:15" ht="13.8" x14ac:dyDescent="0.25">
      <c r="A47" s="6">
        <v>37</v>
      </c>
      <c r="B47" s="10">
        <f t="shared" si="7"/>
        <v>41.128365461305421</v>
      </c>
      <c r="C47" s="10">
        <f t="shared" si="10"/>
        <v>39.553756360121881</v>
      </c>
      <c r="D47" s="20">
        <f t="shared" si="11"/>
        <v>-0.9884650772079141</v>
      </c>
      <c r="E47" s="20">
        <f t="shared" si="12"/>
        <v>0.13446769683263962</v>
      </c>
      <c r="F47" s="20"/>
      <c r="G47" s="10">
        <f t="shared" si="8"/>
        <v>112.21777209593716</v>
      </c>
      <c r="H47" s="10">
        <f t="shared" si="9"/>
        <v>722.31553768183778</v>
      </c>
      <c r="I47" s="7">
        <f t="shared" si="3"/>
        <v>834.533309777775</v>
      </c>
      <c r="J47" s="10"/>
      <c r="K47" s="10">
        <f t="shared" si="4"/>
        <v>107.9214884173882</v>
      </c>
      <c r="L47" s="10">
        <f t="shared" si="13"/>
        <v>723.42764760501507</v>
      </c>
      <c r="M47" s="7">
        <f t="shared" si="6"/>
        <v>831.34913602240329</v>
      </c>
      <c r="N47" s="20"/>
      <c r="O47">
        <v>-1.0076792023028247</v>
      </c>
    </row>
    <row r="48" spans="1:15" ht="13.8" x14ac:dyDescent="0.25">
      <c r="A48" s="6">
        <v>38</v>
      </c>
      <c r="B48" s="10">
        <f t="shared" si="7"/>
        <v>39.553756360121881</v>
      </c>
      <c r="C48" s="10">
        <f t="shared" si="10"/>
        <v>41.720198419480752</v>
      </c>
      <c r="D48" s="20">
        <f t="shared" si="11"/>
        <v>-1.2893836158281466</v>
      </c>
      <c r="E48" s="20">
        <f t="shared" si="12"/>
        <v>7.9288164402915015E-2</v>
      </c>
      <c r="F48" s="20"/>
      <c r="G48" s="10">
        <f t="shared" si="8"/>
        <v>65.916146973165667</v>
      </c>
      <c r="H48" s="10">
        <f t="shared" si="9"/>
        <v>765.43298904923768</v>
      </c>
      <c r="I48" s="7">
        <f t="shared" si="3"/>
        <v>831.3491360224034</v>
      </c>
      <c r="J48" s="10"/>
      <c r="K48" s="10">
        <f t="shared" si="4"/>
        <v>69.526512367880031</v>
      </c>
      <c r="L48" s="10">
        <f t="shared" si="13"/>
        <v>766.61148456572732</v>
      </c>
      <c r="M48" s="7">
        <f t="shared" si="6"/>
        <v>836.13799693360738</v>
      </c>
      <c r="N48" s="20"/>
      <c r="O48">
        <v>1.2124291970394552</v>
      </c>
    </row>
    <row r="49" spans="1:15" ht="13.8" x14ac:dyDescent="0.25">
      <c r="A49" s="6">
        <v>39</v>
      </c>
      <c r="B49" s="10">
        <f t="shared" si="7"/>
        <v>41.720198419480752</v>
      </c>
      <c r="C49" s="10">
        <f t="shared" si="10"/>
        <v>41.619462757192188</v>
      </c>
      <c r="D49" s="20">
        <f t="shared" si="11"/>
        <v>-0.99858412884666792</v>
      </c>
      <c r="E49" s="20">
        <f t="shared" si="12"/>
        <v>0.13401063376243441</v>
      </c>
      <c r="F49" s="20"/>
      <c r="G49" s="10">
        <f t="shared" si="8"/>
        <v>112.05138288192516</v>
      </c>
      <c r="H49" s="10">
        <f t="shared" si="9"/>
        <v>724.0866140516822</v>
      </c>
      <c r="I49" s="7">
        <f t="shared" si="3"/>
        <v>836.13799693360738</v>
      </c>
      <c r="J49" s="10"/>
      <c r="K49" s="10">
        <f t="shared" si="4"/>
        <v>111.78082879319653</v>
      </c>
      <c r="L49" s="10">
        <f t="shared" si="13"/>
        <v>725.20145080475982</v>
      </c>
      <c r="M49" s="7">
        <f t="shared" si="6"/>
        <v>836.98227959795634</v>
      </c>
      <c r="N49" s="20"/>
      <c r="O49">
        <v>-0.12744635569106322</v>
      </c>
    </row>
    <row r="50" spans="1:15" ht="13.8" x14ac:dyDescent="0.25">
      <c r="A50" s="6">
        <v>40</v>
      </c>
      <c r="B50" s="10">
        <f t="shared" si="7"/>
        <v>41.619462757192188</v>
      </c>
      <c r="C50" s="10">
        <f t="shared" si="10"/>
        <v>39.190855911645009</v>
      </c>
      <c r="D50" s="20">
        <f t="shared" si="11"/>
        <v>-1.0728139049917724</v>
      </c>
      <c r="E50" s="20">
        <f t="shared" si="12"/>
        <v>0.1191377407252923</v>
      </c>
      <c r="F50" s="20"/>
      <c r="G50" s="10">
        <f t="shared" si="8"/>
        <v>99.716177818405427</v>
      </c>
      <c r="H50" s="10">
        <f t="shared" si="9"/>
        <v>737.26610177955092</v>
      </c>
      <c r="I50" s="7">
        <f t="shared" si="3"/>
        <v>836.98227959795634</v>
      </c>
      <c r="J50" s="10"/>
      <c r="K50" s="10">
        <f t="shared" si="4"/>
        <v>93.897472433513599</v>
      </c>
      <c r="L50" s="10">
        <f t="shared" si="13"/>
        <v>738.40123027262291</v>
      </c>
      <c r="M50" s="7">
        <f t="shared" si="6"/>
        <v>832.29870270613651</v>
      </c>
      <c r="N50" s="20"/>
      <c r="O50">
        <v>-1.5145496945478953</v>
      </c>
    </row>
    <row r="51" spans="1:15" ht="13.8" x14ac:dyDescent="0.25">
      <c r="A51" s="6">
        <v>41</v>
      </c>
      <c r="B51" s="10">
        <f t="shared" si="7"/>
        <v>39.190855911645009</v>
      </c>
      <c r="C51" s="10">
        <f t="shared" si="10"/>
        <v>37.482575139322243</v>
      </c>
      <c r="D51" s="20">
        <f t="shared" si="11"/>
        <v>-1.5736871522704918</v>
      </c>
      <c r="E51" s="20">
        <f t="shared" si="12"/>
        <v>4.5943159031214299E-2</v>
      </c>
      <c r="F51" s="20"/>
      <c r="G51" s="10">
        <f t="shared" si="8"/>
        <v>38.23843165990138</v>
      </c>
      <c r="H51" s="10">
        <f t="shared" si="9"/>
        <v>794.06027104623513</v>
      </c>
      <c r="I51" s="7">
        <f t="shared" si="3"/>
        <v>832.29870270613651</v>
      </c>
      <c r="J51" s="10"/>
      <c r="K51" s="10">
        <f t="shared" si="4"/>
        <v>36.571665878728993</v>
      </c>
      <c r="L51" s="10">
        <f t="shared" si="13"/>
        <v>795.2828424308484</v>
      </c>
      <c r="M51" s="7">
        <f t="shared" si="6"/>
        <v>831.85450830957734</v>
      </c>
      <c r="N51" s="20"/>
      <c r="O51">
        <v>-1.1406018529669382</v>
      </c>
    </row>
    <row r="52" spans="1:15" ht="13.8" x14ac:dyDescent="0.25">
      <c r="A52" s="6">
        <v>42</v>
      </c>
      <c r="B52" s="10">
        <f t="shared" si="7"/>
        <v>37.482575139322243</v>
      </c>
      <c r="C52" s="10">
        <f t="shared" si="10"/>
        <v>36.653022289840273</v>
      </c>
      <c r="D52" s="20">
        <f t="shared" si="11"/>
        <v>-2.007532577017602</v>
      </c>
      <c r="E52" s="20">
        <f t="shared" si="12"/>
        <v>1.6998240077085197E-2</v>
      </c>
      <c r="F52" s="20"/>
      <c r="G52" s="10">
        <f t="shared" si="8"/>
        <v>14.140062641451859</v>
      </c>
      <c r="H52" s="10">
        <f t="shared" si="9"/>
        <v>817.71444566812545</v>
      </c>
      <c r="I52" s="7">
        <f t="shared" si="3"/>
        <v>831.85450830957734</v>
      </c>
      <c r="J52" s="10"/>
      <c r="K52" s="10">
        <f t="shared" si="4"/>
        <v>13.827119114693893</v>
      </c>
      <c r="L52" s="10">
        <f t="shared" si="13"/>
        <v>818.97343609808559</v>
      </c>
      <c r="M52" s="7">
        <f t="shared" si="6"/>
        <v>832.8005552127795</v>
      </c>
      <c r="N52" s="20"/>
      <c r="O52">
        <v>-0.60729234974132851</v>
      </c>
    </row>
    <row r="53" spans="1:15" ht="13.8" x14ac:dyDescent="0.25">
      <c r="A53" s="6">
        <v>43</v>
      </c>
      <c r="B53" s="10">
        <f t="shared" si="7"/>
        <v>36.653022289840273</v>
      </c>
      <c r="C53" s="10">
        <f t="shared" si="10"/>
        <v>35.328425215449641</v>
      </c>
      <c r="D53" s="20">
        <f t="shared" si="11"/>
        <v>-2.3147038386721084</v>
      </c>
      <c r="E53" s="20">
        <f t="shared" si="12"/>
        <v>7.6642277456684749E-3</v>
      </c>
      <c r="F53" s="20"/>
      <c r="G53" s="10">
        <f t="shared" si="8"/>
        <v>6.3827731218698949</v>
      </c>
      <c r="H53" s="10">
        <f t="shared" si="9"/>
        <v>826.41778209090967</v>
      </c>
      <c r="I53" s="7">
        <f t="shared" si="3"/>
        <v>832.80055521277961</v>
      </c>
      <c r="J53" s="10"/>
      <c r="K53" s="10">
        <f t="shared" si="4"/>
        <v>6.1521072156078747</v>
      </c>
      <c r="L53" s="10">
        <f t="shared" si="13"/>
        <v>827.69017257430289</v>
      </c>
      <c r="M53" s="7">
        <f t="shared" si="6"/>
        <v>833.84227978991078</v>
      </c>
      <c r="N53" s="20"/>
      <c r="O53">
        <v>-0.95409177447436377</v>
      </c>
    </row>
    <row r="54" spans="1:15" ht="13.8" x14ac:dyDescent="0.25">
      <c r="A54" s="6">
        <v>44</v>
      </c>
      <c r="B54" s="10">
        <f t="shared" si="7"/>
        <v>35.328425215449641</v>
      </c>
      <c r="C54" s="10">
        <f t="shared" si="10"/>
        <v>30.865872525370936</v>
      </c>
      <c r="D54" s="20">
        <f t="shared" si="11"/>
        <v>-2.7883508001325548</v>
      </c>
      <c r="E54" s="20">
        <f t="shared" si="12"/>
        <v>1.8946542712040767E-3</v>
      </c>
      <c r="F54" s="20"/>
      <c r="G54" s="10">
        <f t="shared" si="8"/>
        <v>1.5798428369144992</v>
      </c>
      <c r="H54" s="10">
        <f t="shared" si="9"/>
        <v>832.26243695299627</v>
      </c>
      <c r="I54" s="7">
        <f t="shared" si="3"/>
        <v>833.84227978991078</v>
      </c>
      <c r="J54" s="10"/>
      <c r="K54" s="10">
        <f t="shared" si="4"/>
        <v>1.380283081313187</v>
      </c>
      <c r="L54" s="10">
        <f t="shared" si="13"/>
        <v>833.5438261334001</v>
      </c>
      <c r="M54" s="7">
        <f t="shared" si="6"/>
        <v>834.92410921471333</v>
      </c>
      <c r="N54" s="20"/>
      <c r="O54">
        <v>-3.3152173273265362</v>
      </c>
    </row>
    <row r="55" spans="1:15" ht="13.8" x14ac:dyDescent="0.25">
      <c r="A55" s="6">
        <v>45</v>
      </c>
      <c r="B55" s="10">
        <f t="shared" si="7"/>
        <v>30.865872525370936</v>
      </c>
      <c r="C55" s="10">
        <f t="shared" si="10"/>
        <v>32.41047965588043</v>
      </c>
      <c r="D55" s="20">
        <f t="shared" si="11"/>
        <v>-4.229538907471408</v>
      </c>
      <c r="E55" s="20">
        <f t="shared" si="12"/>
        <v>7.3061435502348619E-6</v>
      </c>
      <c r="F55" s="20"/>
      <c r="G55" s="10">
        <f t="shared" si="8"/>
        <v>6.1000753954746651E-3</v>
      </c>
      <c r="H55" s="10">
        <f t="shared" si="9"/>
        <v>834.91800913931786</v>
      </c>
      <c r="I55" s="7">
        <f t="shared" si="3"/>
        <v>834.92410921471333</v>
      </c>
      <c r="J55" s="10"/>
      <c r="K55" s="10">
        <f t="shared" si="4"/>
        <v>6.4053387553473168E-3</v>
      </c>
      <c r="L55" s="10">
        <f t="shared" si="13"/>
        <v>836.20348695969426</v>
      </c>
      <c r="M55" s="7">
        <f t="shared" si="6"/>
        <v>836.20989229844963</v>
      </c>
      <c r="N55" s="20"/>
      <c r="O55">
        <v>1.1044062375731301</v>
      </c>
    </row>
    <row r="56" spans="1:15" ht="13.8" x14ac:dyDescent="0.25">
      <c r="A56" s="6">
        <v>46</v>
      </c>
      <c r="B56" s="10">
        <f t="shared" si="7"/>
        <v>32.41047965588043</v>
      </c>
      <c r="C56" s="10">
        <f t="shared" si="10"/>
        <v>34.361443018885787</v>
      </c>
      <c r="D56" s="20">
        <f t="shared" si="11"/>
        <v>-4.1128343760824499</v>
      </c>
      <c r="E56" s="20">
        <f t="shared" si="12"/>
        <v>1.2784477308070162E-5</v>
      </c>
      <c r="F56" s="20"/>
      <c r="G56" s="10">
        <f t="shared" si="8"/>
        <v>1.0690506392873323E-2</v>
      </c>
      <c r="H56" s="10">
        <f t="shared" si="9"/>
        <v>836.19920179205667</v>
      </c>
      <c r="I56" s="7">
        <f t="shared" si="3"/>
        <v>836.20989229844952</v>
      </c>
      <c r="J56" s="10"/>
      <c r="K56" s="10">
        <f t="shared" si="4"/>
        <v>1.1334026221210275E-2</v>
      </c>
      <c r="L56" s="10">
        <f t="shared" si="13"/>
        <v>837.48665219503482</v>
      </c>
      <c r="M56" s="7">
        <f t="shared" si="6"/>
        <v>837.49798622125604</v>
      </c>
      <c r="N56" s="20"/>
      <c r="O56">
        <v>1.3357043826545123</v>
      </c>
    </row>
    <row r="57" spans="1:15" ht="13.8" x14ac:dyDescent="0.25">
      <c r="A57" s="6">
        <v>47</v>
      </c>
      <c r="B57" s="10">
        <f t="shared" si="7"/>
        <v>34.361443018885787</v>
      </c>
      <c r="C57" s="10">
        <f t="shared" si="10"/>
        <v>33.475915531204606</v>
      </c>
      <c r="D57" s="20">
        <f t="shared" si="11"/>
        <v>-3.902871052692896</v>
      </c>
      <c r="E57" s="20">
        <f t="shared" si="12"/>
        <v>3.2915624470001418E-5</v>
      </c>
      <c r="F57" s="20"/>
      <c r="G57" s="10">
        <f t="shared" si="8"/>
        <v>2.7566769208841286E-2</v>
      </c>
      <c r="H57" s="10">
        <f t="shared" si="9"/>
        <v>837.47041945204717</v>
      </c>
      <c r="I57" s="7">
        <f t="shared" si="3"/>
        <v>837.49798622125604</v>
      </c>
      <c r="J57" s="10"/>
      <c r="K57" s="10">
        <f t="shared" si="4"/>
        <v>2.6856347010693924E-2</v>
      </c>
      <c r="L57" s="10">
        <f t="shared" si="13"/>
        <v>838.75982707967364</v>
      </c>
      <c r="M57" s="7">
        <f t="shared" si="6"/>
        <v>838.78668342668436</v>
      </c>
      <c r="N57" s="20"/>
      <c r="O57">
        <v>-0.69691623139078729</v>
      </c>
    </row>
    <row r="58" spans="1:15" ht="13.8" x14ac:dyDescent="0.25">
      <c r="A58" s="6">
        <v>48</v>
      </c>
      <c r="B58" s="10">
        <f t="shared" si="7"/>
        <v>33.475915531204606</v>
      </c>
      <c r="C58" s="10">
        <f t="shared" si="10"/>
        <v>32.43786552144406</v>
      </c>
      <c r="D58" s="20">
        <f t="shared" si="11"/>
        <v>-4.7062224792701199</v>
      </c>
      <c r="E58" s="20">
        <f t="shared" si="12"/>
        <v>8.4997632104606841E-7</v>
      </c>
      <c r="F58" s="20"/>
      <c r="G58" s="10">
        <f t="shared" si="8"/>
        <v>7.1294881932144644E-4</v>
      </c>
      <c r="H58" s="10">
        <f t="shared" si="9"/>
        <v>838.78597047786513</v>
      </c>
      <c r="I58" s="7">
        <f t="shared" si="3"/>
        <v>838.78668342668448</v>
      </c>
      <c r="J58" s="10"/>
      <c r="K58" s="10">
        <f t="shared" si="4"/>
        <v>6.9084108852120792E-4</v>
      </c>
      <c r="L58" s="10">
        <f t="shared" si="13"/>
        <v>840.07740358781052</v>
      </c>
      <c r="M58" s="7">
        <f t="shared" si="6"/>
        <v>840.07809442889902</v>
      </c>
      <c r="N58" s="20"/>
      <c r="O58">
        <v>-0.82649876276263967</v>
      </c>
    </row>
    <row r="59" spans="1:15" ht="13.8" x14ac:dyDescent="0.25">
      <c r="A59" s="6">
        <v>49</v>
      </c>
      <c r="B59" s="10">
        <f t="shared" si="7"/>
        <v>32.43786552144406</v>
      </c>
      <c r="C59" s="10">
        <f t="shared" si="10"/>
        <v>33.999829164447561</v>
      </c>
      <c r="D59" s="20">
        <f t="shared" si="11"/>
        <v>-5.9047849073030987</v>
      </c>
      <c r="E59" s="20">
        <f t="shared" si="12"/>
        <v>1.1507029033593944E-9</v>
      </c>
      <c r="F59" s="20"/>
      <c r="G59" s="10">
        <f t="shared" si="8"/>
        <v>9.666803023079616E-7</v>
      </c>
      <c r="H59" s="10">
        <f t="shared" si="9"/>
        <v>840.0780934622187</v>
      </c>
      <c r="I59" s="7">
        <f t="shared" si="3"/>
        <v>840.07809442889902</v>
      </c>
      <c r="J59" s="10"/>
      <c r="K59" s="10">
        <f t="shared" si="4"/>
        <v>1.0132283554039487E-6</v>
      </c>
      <c r="L59" s="10">
        <f t="shared" si="13"/>
        <v>841.37151598360254</v>
      </c>
      <c r="M59" s="7">
        <f t="shared" si="6"/>
        <v>841.37151699683091</v>
      </c>
      <c r="N59" s="20"/>
      <c r="O59">
        <v>1.0611006473482121</v>
      </c>
    </row>
    <row r="60" spans="1:15" ht="13.8" x14ac:dyDescent="0.25">
      <c r="A60" s="6">
        <v>50</v>
      </c>
      <c r="B60" s="10">
        <f t="shared" si="7"/>
        <v>33.999829164447561</v>
      </c>
      <c r="C60" s="10">
        <f t="shared" si="10"/>
        <v>34.187588322956678</v>
      </c>
      <c r="D60" s="20">
        <f t="shared" si="11"/>
        <v>-6.473372062997818</v>
      </c>
      <c r="E60" s="20">
        <f t="shared" si="12"/>
        <v>3.268570558384592E-11</v>
      </c>
      <c r="F60" s="20"/>
      <c r="G60" s="10">
        <f t="shared" si="8"/>
        <v>2.7500821691192227E-8</v>
      </c>
      <c r="H60" s="10">
        <f t="shared" si="9"/>
        <v>841.37151696933006</v>
      </c>
      <c r="I60" s="7">
        <f t="shared" si="3"/>
        <v>841.37151699683091</v>
      </c>
      <c r="J60" s="10"/>
      <c r="K60" s="10">
        <f t="shared" si="4"/>
        <v>2.7652691017184218E-8</v>
      </c>
      <c r="L60" s="10">
        <f t="shared" si="13"/>
        <v>842.66693090449655</v>
      </c>
      <c r="M60" s="7">
        <f t="shared" si="6"/>
        <v>842.66693093214928</v>
      </c>
      <c r="N60" s="20"/>
      <c r="O60">
        <v>6.3038214648258872E-2</v>
      </c>
    </row>
    <row r="61" spans="1:15" ht="13.8" x14ac:dyDescent="0.25">
      <c r="A61" s="6">
        <v>51</v>
      </c>
      <c r="B61" s="10">
        <f t="shared" si="7"/>
        <v>34.187588322956678</v>
      </c>
      <c r="C61" s="10">
        <f t="shared" si="10"/>
        <v>34.127787327566402</v>
      </c>
      <c r="D61" s="20">
        <f t="shared" si="11"/>
        <v>-9.0801360970423151</v>
      </c>
      <c r="E61" s="20">
        <f t="shared" si="12"/>
        <v>3.712981701076227E-20</v>
      </c>
      <c r="F61" s="20"/>
      <c r="G61" s="10">
        <f t="shared" si="8"/>
        <v>3.1288068946531353E-17</v>
      </c>
      <c r="H61" s="10">
        <f t="shared" si="9"/>
        <v>842.66693093214928</v>
      </c>
      <c r="I61" s="7">
        <f t="shared" si="3"/>
        <v>842.66693093214928</v>
      </c>
      <c r="J61" s="10"/>
      <c r="K61" s="10">
        <f t="shared" si="4"/>
        <v>3.1233339796023078E-17</v>
      </c>
      <c r="L61" s="10">
        <f t="shared" si="13"/>
        <v>843.96433934569461</v>
      </c>
      <c r="M61" s="7">
        <f t="shared" si="6"/>
        <v>843.96433934569461</v>
      </c>
      <c r="N61" s="20"/>
      <c r="O61">
        <v>-0.11141992217744701</v>
      </c>
    </row>
    <row r="62" spans="1:15" x14ac:dyDescent="0.25">
      <c r="A62" s="6">
        <v>52</v>
      </c>
      <c r="B62" s="10">
        <f t="shared" si="7"/>
        <v>34.127787327566402</v>
      </c>
      <c r="D62" s="20"/>
      <c r="E62" s="20"/>
      <c r="F62" s="20"/>
      <c r="G62" s="10"/>
      <c r="H62" s="10"/>
      <c r="I62" s="7">
        <f>M61</f>
        <v>843.96433934569461</v>
      </c>
      <c r="J62" s="20"/>
      <c r="K62" s="20"/>
      <c r="L62" s="20"/>
      <c r="N62" s="20"/>
    </row>
    <row r="63" spans="1:15" x14ac:dyDescent="0.25">
      <c r="D63" s="20"/>
      <c r="E63" s="20"/>
      <c r="F63" s="20"/>
      <c r="G63" s="20"/>
      <c r="H63" s="20"/>
      <c r="J63" s="20"/>
      <c r="K63" s="20"/>
      <c r="L63" s="20"/>
      <c r="N63" s="20"/>
    </row>
    <row r="64" spans="1:15" x14ac:dyDescent="0.25">
      <c r="D64" s="20"/>
      <c r="E64" s="20"/>
      <c r="F64" s="20"/>
      <c r="G64" s="20"/>
      <c r="H64" s="20"/>
      <c r="J64" s="20"/>
      <c r="K64" s="20"/>
      <c r="L64" s="20"/>
      <c r="N64" s="20"/>
    </row>
    <row r="65" spans="4:14" x14ac:dyDescent="0.25">
      <c r="D65" s="20"/>
      <c r="E65" s="20"/>
      <c r="F65" s="20"/>
      <c r="G65" s="20"/>
      <c r="H65" s="20"/>
      <c r="J65" s="20"/>
      <c r="K65" s="20"/>
      <c r="L65" s="20"/>
      <c r="N65" s="20"/>
    </row>
    <row r="66" spans="4:14" x14ac:dyDescent="0.25">
      <c r="D66" s="20"/>
      <c r="E66" s="20"/>
      <c r="F66" s="20"/>
      <c r="G66" s="20"/>
      <c r="H66" s="20"/>
      <c r="J66" s="20"/>
      <c r="K66" s="20"/>
      <c r="L66" s="20"/>
      <c r="N66" s="20"/>
    </row>
    <row r="67" spans="4:14" x14ac:dyDescent="0.25">
      <c r="D67" s="20"/>
      <c r="E67" s="20"/>
      <c r="F67" s="20"/>
      <c r="G67" s="20"/>
      <c r="H67" s="20"/>
      <c r="J67" s="20"/>
      <c r="K67" s="20"/>
      <c r="L67" s="20"/>
      <c r="N67" s="20"/>
    </row>
    <row r="68" spans="4:14" x14ac:dyDescent="0.25">
      <c r="D68" s="20"/>
      <c r="E68" s="20"/>
      <c r="F68" s="20"/>
      <c r="G68" s="20"/>
      <c r="H68" s="20"/>
      <c r="J68" s="20"/>
      <c r="K68" s="20"/>
      <c r="L68" s="20"/>
      <c r="N68" s="20"/>
    </row>
    <row r="69" spans="4:14" x14ac:dyDescent="0.25">
      <c r="D69" s="20"/>
      <c r="E69" s="20"/>
      <c r="F69" s="20"/>
      <c r="G69" s="20"/>
      <c r="H69" s="20"/>
      <c r="J69" s="20"/>
      <c r="K69" s="20"/>
      <c r="L69" s="20"/>
      <c r="N69" s="20"/>
    </row>
    <row r="70" spans="4:14" x14ac:dyDescent="0.25">
      <c r="D70" s="20"/>
      <c r="E70" s="20"/>
      <c r="F70" s="20"/>
      <c r="G70" s="20"/>
      <c r="H70" s="20"/>
      <c r="J70" s="20"/>
      <c r="K70" s="20"/>
      <c r="L70" s="20"/>
      <c r="N70" s="20"/>
    </row>
    <row r="71" spans="4:14" x14ac:dyDescent="0.25">
      <c r="D71" s="20"/>
      <c r="E71" s="20"/>
      <c r="F71" s="20"/>
      <c r="G71" s="20"/>
      <c r="H71" s="20"/>
      <c r="J71" s="20"/>
      <c r="K71" s="20"/>
      <c r="L71" s="20"/>
      <c r="N71" s="20"/>
    </row>
    <row r="72" spans="4:14" x14ac:dyDescent="0.25">
      <c r="D72" s="20"/>
      <c r="E72" s="20"/>
      <c r="F72" s="20"/>
      <c r="G72" s="20"/>
      <c r="H72" s="20"/>
      <c r="J72" s="20"/>
      <c r="K72" s="20"/>
      <c r="L72" s="20"/>
      <c r="N72" s="20"/>
    </row>
    <row r="73" spans="4:14" x14ac:dyDescent="0.25">
      <c r="D73" s="20"/>
      <c r="E73" s="20"/>
      <c r="F73" s="20"/>
      <c r="G73" s="20"/>
      <c r="H73" s="20"/>
      <c r="J73" s="20"/>
      <c r="K73" s="20"/>
      <c r="L73" s="20"/>
      <c r="N73" s="20"/>
    </row>
    <row r="74" spans="4:14" x14ac:dyDescent="0.25">
      <c r="D74" s="20"/>
      <c r="E74" s="20"/>
      <c r="F74" s="20"/>
      <c r="G74" s="20"/>
      <c r="H74" s="20"/>
      <c r="J74" s="20"/>
      <c r="K74" s="20"/>
      <c r="L74" s="20"/>
      <c r="N74" s="20"/>
    </row>
    <row r="75" spans="4:14" x14ac:dyDescent="0.25">
      <c r="D75" s="20"/>
      <c r="E75" s="20"/>
      <c r="F75" s="20"/>
      <c r="G75" s="20"/>
      <c r="H75" s="20"/>
      <c r="J75" s="20"/>
      <c r="K75" s="20"/>
      <c r="L75" s="20"/>
      <c r="N75" s="20"/>
    </row>
    <row r="76" spans="4:14" x14ac:dyDescent="0.25">
      <c r="D76" s="20"/>
      <c r="E76" s="20"/>
      <c r="F76" s="20"/>
      <c r="G76" s="20"/>
      <c r="H76" s="20"/>
      <c r="J76" s="20"/>
      <c r="K76" s="20"/>
      <c r="L76" s="20"/>
      <c r="N76" s="20"/>
    </row>
    <row r="77" spans="4:14" x14ac:dyDescent="0.25">
      <c r="D77" s="20"/>
      <c r="E77" s="20"/>
      <c r="F77" s="20"/>
      <c r="G77" s="20"/>
      <c r="H77" s="20"/>
      <c r="J77" s="20"/>
      <c r="K77" s="20"/>
      <c r="L77" s="20"/>
      <c r="N77" s="20"/>
    </row>
    <row r="78" spans="4:14" x14ac:dyDescent="0.25">
      <c r="D78" s="20"/>
      <c r="E78" s="20"/>
      <c r="F78" s="20"/>
      <c r="G78" s="20"/>
      <c r="H78" s="20"/>
      <c r="J78" s="20"/>
      <c r="K78" s="20"/>
      <c r="L78" s="20"/>
      <c r="N78" s="20"/>
    </row>
    <row r="79" spans="4:14" x14ac:dyDescent="0.25">
      <c r="D79" s="20"/>
      <c r="E79" s="20"/>
      <c r="F79" s="20"/>
      <c r="G79" s="20"/>
      <c r="H79" s="20"/>
      <c r="J79" s="20"/>
      <c r="K79" s="20"/>
      <c r="L79" s="20"/>
      <c r="N79" s="20"/>
    </row>
    <row r="80" spans="4:14" x14ac:dyDescent="0.25">
      <c r="D80" s="20"/>
      <c r="E80" s="20"/>
      <c r="F80" s="20"/>
      <c r="G80" s="20"/>
      <c r="H80" s="20"/>
      <c r="J80" s="20"/>
      <c r="K80" s="20"/>
      <c r="L80" s="20"/>
      <c r="N80" s="20"/>
    </row>
    <row r="81" spans="4:14" x14ac:dyDescent="0.25">
      <c r="D81" s="20"/>
      <c r="E81" s="20"/>
      <c r="F81" s="20"/>
      <c r="G81" s="20"/>
      <c r="H81" s="20"/>
      <c r="J81" s="20"/>
      <c r="K81" s="20"/>
      <c r="L81" s="20"/>
      <c r="N81" s="20"/>
    </row>
    <row r="82" spans="4:14" x14ac:dyDescent="0.25">
      <c r="D82" s="20"/>
      <c r="E82" s="20"/>
      <c r="F82" s="20"/>
      <c r="G82" s="20"/>
      <c r="H82" s="20"/>
      <c r="J82" s="20"/>
      <c r="K82" s="20"/>
      <c r="L82" s="20"/>
      <c r="N82" s="20"/>
    </row>
    <row r="83" spans="4:14" x14ac:dyDescent="0.25">
      <c r="D83" s="20"/>
      <c r="E83" s="20"/>
      <c r="F83" s="20"/>
      <c r="G83" s="20"/>
      <c r="H83" s="20"/>
      <c r="J83" s="20"/>
      <c r="K83" s="20"/>
      <c r="L83" s="20"/>
      <c r="N83" s="20"/>
    </row>
    <row r="84" spans="4:14" x14ac:dyDescent="0.25">
      <c r="D84" s="20"/>
      <c r="E84" s="20"/>
      <c r="F84" s="20"/>
      <c r="G84" s="20"/>
      <c r="H84" s="20"/>
      <c r="J84" s="20"/>
      <c r="K84" s="20"/>
      <c r="L84" s="20"/>
      <c r="N84" s="20"/>
    </row>
    <row r="85" spans="4:14" x14ac:dyDescent="0.25">
      <c r="D85" s="20"/>
      <c r="E85" s="20"/>
      <c r="F85" s="20"/>
      <c r="G85" s="20"/>
      <c r="H85" s="20"/>
      <c r="J85" s="20"/>
      <c r="K85" s="20"/>
      <c r="L85" s="20"/>
      <c r="N85" s="20"/>
    </row>
    <row r="86" spans="4:14" x14ac:dyDescent="0.25">
      <c r="D86" s="20"/>
      <c r="E86" s="20"/>
      <c r="F86" s="20"/>
      <c r="G86" s="20"/>
      <c r="H86" s="20"/>
      <c r="J86" s="20"/>
      <c r="K86" s="20"/>
      <c r="L86" s="20"/>
      <c r="N86" s="20"/>
    </row>
    <row r="87" spans="4:14" x14ac:dyDescent="0.25">
      <c r="D87" s="20"/>
      <c r="E87" s="20"/>
      <c r="F87" s="20"/>
      <c r="G87" s="20"/>
      <c r="H87" s="20"/>
      <c r="J87" s="20"/>
      <c r="K87" s="20"/>
      <c r="L87" s="20"/>
      <c r="N87" s="20"/>
    </row>
    <row r="88" spans="4:14" x14ac:dyDescent="0.25">
      <c r="D88" s="20"/>
      <c r="E88" s="20"/>
      <c r="F88" s="20"/>
      <c r="G88" s="20"/>
      <c r="H88" s="20"/>
      <c r="J88" s="20"/>
      <c r="K88" s="20"/>
      <c r="L88" s="20"/>
      <c r="N88" s="20"/>
    </row>
    <row r="89" spans="4:14" x14ac:dyDescent="0.25">
      <c r="D89" s="20"/>
      <c r="E89" s="20"/>
      <c r="F89" s="20"/>
      <c r="G89" s="20"/>
      <c r="H89" s="20"/>
      <c r="J89" s="20"/>
      <c r="K89" s="20"/>
      <c r="L89" s="20"/>
      <c r="N89" s="20"/>
    </row>
    <row r="90" spans="4:14" x14ac:dyDescent="0.25">
      <c r="D90" s="20"/>
      <c r="E90" s="20"/>
      <c r="F90" s="20"/>
      <c r="G90" s="20"/>
      <c r="H90" s="20"/>
      <c r="J90" s="20"/>
      <c r="K90" s="20"/>
      <c r="L90" s="20"/>
      <c r="N90" s="20"/>
    </row>
    <row r="91" spans="4:14" x14ac:dyDescent="0.25">
      <c r="D91" s="20"/>
      <c r="E91" s="20"/>
      <c r="F91" s="20"/>
      <c r="G91" s="20"/>
      <c r="H91" s="20"/>
      <c r="J91" s="20"/>
      <c r="K91" s="20"/>
      <c r="L91" s="20"/>
      <c r="N91" s="20"/>
    </row>
    <row r="92" spans="4:14" x14ac:dyDescent="0.25">
      <c r="D92" s="20"/>
      <c r="E92" s="20"/>
      <c r="F92" s="20"/>
      <c r="G92" s="20"/>
      <c r="H92" s="20"/>
      <c r="J92" s="20"/>
      <c r="K92" s="20"/>
      <c r="L92" s="20"/>
      <c r="N92" s="20"/>
    </row>
    <row r="93" spans="4:14" x14ac:dyDescent="0.25">
      <c r="D93" s="20"/>
      <c r="E93" s="20"/>
      <c r="F93" s="20"/>
      <c r="G93" s="20"/>
      <c r="H93" s="20"/>
      <c r="J93" s="20"/>
      <c r="K93" s="20"/>
      <c r="L93" s="20"/>
      <c r="N93" s="20"/>
    </row>
    <row r="94" spans="4:14" x14ac:dyDescent="0.25">
      <c r="D94" s="20"/>
      <c r="E94" s="20"/>
      <c r="F94" s="20"/>
      <c r="G94" s="20"/>
      <c r="H94" s="20"/>
      <c r="J94" s="20"/>
      <c r="K94" s="20"/>
      <c r="L94" s="20"/>
      <c r="N94" s="20"/>
    </row>
    <row r="95" spans="4:14" x14ac:dyDescent="0.25">
      <c r="D95" s="20"/>
      <c r="E95" s="20"/>
      <c r="F95" s="20"/>
      <c r="G95" s="20"/>
      <c r="H95" s="20"/>
      <c r="J95" s="20"/>
      <c r="K95" s="20"/>
      <c r="L95" s="20"/>
      <c r="N95" s="20"/>
    </row>
    <row r="96" spans="4:14" x14ac:dyDescent="0.25">
      <c r="D96" s="20"/>
      <c r="E96" s="20"/>
      <c r="F96" s="20"/>
      <c r="G96" s="20"/>
      <c r="H96" s="20"/>
      <c r="J96" s="20"/>
      <c r="K96" s="20"/>
      <c r="L96" s="20"/>
      <c r="N96" s="20"/>
    </row>
    <row r="97" spans="4:14" x14ac:dyDescent="0.25">
      <c r="D97" s="20"/>
      <c r="E97" s="20"/>
      <c r="F97" s="20"/>
      <c r="G97" s="20"/>
      <c r="H97" s="20"/>
      <c r="J97" s="20"/>
      <c r="K97" s="20"/>
      <c r="L97" s="20"/>
      <c r="N97" s="20"/>
    </row>
    <row r="98" spans="4:14" x14ac:dyDescent="0.25">
      <c r="D98" s="20"/>
      <c r="E98" s="20"/>
      <c r="F98" s="20"/>
      <c r="G98" s="20"/>
      <c r="H98" s="20"/>
      <c r="J98" s="20"/>
      <c r="K98" s="20"/>
      <c r="L98" s="20"/>
      <c r="N98" s="20"/>
    </row>
    <row r="99" spans="4:14" x14ac:dyDescent="0.25">
      <c r="D99" s="20"/>
      <c r="E99" s="20"/>
      <c r="F99" s="20"/>
      <c r="G99" s="20"/>
      <c r="H99" s="20"/>
      <c r="J99" s="20"/>
      <c r="K99" s="20"/>
      <c r="L99" s="20"/>
      <c r="N99" s="20"/>
    </row>
    <row r="100" spans="4:14" x14ac:dyDescent="0.25">
      <c r="D100" s="20"/>
      <c r="E100" s="20"/>
      <c r="F100" s="20"/>
      <c r="G100" s="20"/>
      <c r="H100" s="20"/>
      <c r="J100" s="20"/>
      <c r="K100" s="20"/>
      <c r="L100" s="20"/>
      <c r="N100" s="20"/>
    </row>
    <row r="101" spans="4:14" x14ac:dyDescent="0.25">
      <c r="D101" s="20"/>
      <c r="E101" s="20"/>
      <c r="F101" s="20"/>
      <c r="G101" s="20"/>
      <c r="H101" s="20"/>
      <c r="J101" s="20"/>
      <c r="K101" s="20"/>
      <c r="L101" s="20"/>
      <c r="N101" s="20"/>
    </row>
    <row r="102" spans="4:14" x14ac:dyDescent="0.25">
      <c r="D102" s="20"/>
      <c r="E102" s="20"/>
      <c r="F102" s="20"/>
      <c r="G102" s="20"/>
      <c r="H102" s="20"/>
      <c r="J102" s="20"/>
      <c r="K102" s="20"/>
      <c r="L102" s="20"/>
      <c r="N102" s="20"/>
    </row>
    <row r="103" spans="4:14" x14ac:dyDescent="0.25">
      <c r="D103" s="20"/>
      <c r="E103" s="20"/>
      <c r="F103" s="20"/>
      <c r="G103" s="20"/>
      <c r="H103" s="20"/>
      <c r="J103" s="20"/>
      <c r="K103" s="20"/>
      <c r="L103" s="20"/>
      <c r="N103" s="20"/>
    </row>
    <row r="104" spans="4:14" x14ac:dyDescent="0.25">
      <c r="D104" s="20"/>
      <c r="E104" s="20"/>
      <c r="F104" s="20"/>
      <c r="G104" s="20"/>
      <c r="H104" s="20"/>
      <c r="J104" s="20"/>
      <c r="K104" s="20"/>
      <c r="L104" s="20"/>
      <c r="N104" s="20"/>
    </row>
    <row r="105" spans="4:14" x14ac:dyDescent="0.25">
      <c r="D105" s="20"/>
      <c r="E105" s="20"/>
      <c r="F105" s="20"/>
      <c r="G105" s="20"/>
      <c r="H105" s="20"/>
      <c r="J105" s="20"/>
      <c r="K105" s="20"/>
      <c r="L105" s="20"/>
      <c r="N105" s="20"/>
    </row>
    <row r="106" spans="4:14" x14ac:dyDescent="0.25">
      <c r="D106" s="20"/>
      <c r="E106" s="20"/>
      <c r="F106" s="20"/>
      <c r="G106" s="20"/>
      <c r="H106" s="20"/>
      <c r="J106" s="20"/>
      <c r="K106" s="20"/>
      <c r="L106" s="20"/>
      <c r="N106" s="20"/>
    </row>
    <row r="107" spans="4:14" x14ac:dyDescent="0.25">
      <c r="D107" s="20"/>
      <c r="E107" s="20"/>
      <c r="F107" s="20"/>
      <c r="G107" s="20"/>
      <c r="H107" s="20"/>
      <c r="J107" s="20"/>
      <c r="K107" s="20"/>
      <c r="L107" s="20"/>
      <c r="N107" s="20"/>
    </row>
    <row r="108" spans="4:14" x14ac:dyDescent="0.25">
      <c r="D108" s="20"/>
      <c r="E108" s="20"/>
      <c r="F108" s="20"/>
      <c r="G108" s="20"/>
      <c r="H108" s="20"/>
      <c r="J108" s="20"/>
      <c r="K108" s="20"/>
      <c r="L108" s="20"/>
      <c r="N108" s="20"/>
    </row>
    <row r="109" spans="4:14" x14ac:dyDescent="0.25">
      <c r="D109" s="20"/>
      <c r="E109" s="20"/>
      <c r="F109" s="20"/>
      <c r="G109" s="20"/>
      <c r="H109" s="20"/>
      <c r="J109" s="20"/>
      <c r="K109" s="20"/>
      <c r="L109" s="20"/>
      <c r="N109" s="20"/>
    </row>
    <row r="110" spans="4:14" x14ac:dyDescent="0.25">
      <c r="D110" s="20"/>
      <c r="E110" s="20"/>
      <c r="F110" s="20"/>
      <c r="G110" s="20"/>
      <c r="H110" s="20"/>
      <c r="J110" s="20"/>
      <c r="K110" s="20"/>
      <c r="L110" s="20"/>
      <c r="N110" s="20"/>
    </row>
    <row r="111" spans="4:14" x14ac:dyDescent="0.25">
      <c r="D111" s="20"/>
      <c r="E111" s="20"/>
      <c r="F111" s="20"/>
      <c r="G111" s="20"/>
      <c r="H111" s="20"/>
      <c r="J111" s="20"/>
      <c r="K111" s="20"/>
      <c r="L111" s="20"/>
      <c r="N111" s="20"/>
    </row>
    <row r="112" spans="4:14" x14ac:dyDescent="0.25">
      <c r="D112" s="20"/>
      <c r="E112" s="20"/>
      <c r="F112" s="20"/>
      <c r="G112" s="20"/>
      <c r="H112" s="20"/>
      <c r="J112" s="20"/>
      <c r="K112" s="20"/>
      <c r="L112" s="20"/>
      <c r="N112" s="20"/>
    </row>
    <row r="113" spans="4:14" x14ac:dyDescent="0.25">
      <c r="D113" s="20"/>
      <c r="E113" s="20"/>
      <c r="F113" s="20"/>
      <c r="G113" s="20"/>
      <c r="H113" s="20"/>
      <c r="J113" s="20"/>
      <c r="K113" s="20"/>
      <c r="L113" s="20"/>
      <c r="N113" s="20"/>
    </row>
    <row r="114" spans="4:14" x14ac:dyDescent="0.25">
      <c r="D114" s="20"/>
      <c r="E114" s="20"/>
      <c r="F114" s="20"/>
      <c r="G114" s="20"/>
      <c r="H114" s="20"/>
      <c r="J114" s="20"/>
      <c r="K114" s="20"/>
      <c r="L114" s="20"/>
      <c r="N114" s="20"/>
    </row>
    <row r="115" spans="4:14" x14ac:dyDescent="0.25">
      <c r="D115" s="20"/>
      <c r="E115" s="20"/>
      <c r="F115" s="20"/>
      <c r="G115" s="20"/>
      <c r="H115" s="20"/>
      <c r="J115" s="20"/>
      <c r="K115" s="20"/>
      <c r="L115" s="20"/>
      <c r="N115" s="20"/>
    </row>
    <row r="116" spans="4:14" x14ac:dyDescent="0.25">
      <c r="D116" s="20"/>
      <c r="E116" s="20"/>
      <c r="F116" s="20"/>
      <c r="G116" s="20"/>
      <c r="H116" s="20"/>
      <c r="J116" s="20"/>
      <c r="K116" s="20"/>
      <c r="L116" s="20"/>
      <c r="N116" s="20"/>
    </row>
    <row r="117" spans="4:14" x14ac:dyDescent="0.25">
      <c r="D117" s="20"/>
      <c r="E117" s="20"/>
      <c r="F117" s="20"/>
      <c r="G117" s="20"/>
      <c r="H117" s="20"/>
      <c r="J117" s="20"/>
      <c r="K117" s="20"/>
      <c r="L117" s="20"/>
      <c r="N117" s="20"/>
    </row>
    <row r="118" spans="4:14" x14ac:dyDescent="0.25">
      <c r="D118" s="20"/>
      <c r="E118" s="20"/>
      <c r="F118" s="20"/>
      <c r="G118" s="20"/>
      <c r="H118" s="20"/>
      <c r="J118" s="20"/>
      <c r="K118" s="20"/>
      <c r="L118" s="20"/>
      <c r="N118" s="20"/>
    </row>
    <row r="119" spans="4:14" x14ac:dyDescent="0.25">
      <c r="D119" s="20"/>
      <c r="E119" s="20"/>
      <c r="F119" s="20"/>
      <c r="G119" s="20"/>
      <c r="H119" s="20"/>
      <c r="J119" s="20"/>
      <c r="K119" s="20"/>
      <c r="L119" s="20"/>
      <c r="N119" s="20"/>
    </row>
    <row r="120" spans="4:14" x14ac:dyDescent="0.25">
      <c r="D120" s="20"/>
      <c r="E120" s="20"/>
      <c r="F120" s="20"/>
      <c r="G120" s="20"/>
      <c r="H120" s="20"/>
      <c r="J120" s="20"/>
      <c r="K120" s="20"/>
      <c r="L120" s="20"/>
      <c r="N120" s="20"/>
    </row>
    <row r="121" spans="4:14" x14ac:dyDescent="0.25">
      <c r="D121" s="20"/>
      <c r="E121" s="20"/>
      <c r="F121" s="20"/>
      <c r="G121" s="20"/>
      <c r="H121" s="20"/>
      <c r="J121" s="20"/>
      <c r="K121" s="20"/>
      <c r="L121" s="20"/>
      <c r="N121" s="20"/>
    </row>
    <row r="122" spans="4:14" x14ac:dyDescent="0.25">
      <c r="D122" s="20"/>
      <c r="E122" s="20"/>
      <c r="F122" s="20"/>
      <c r="G122" s="20"/>
      <c r="H122" s="20"/>
      <c r="J122" s="20"/>
      <c r="K122" s="20"/>
      <c r="L122" s="20"/>
      <c r="N122" s="20"/>
    </row>
    <row r="123" spans="4:14" x14ac:dyDescent="0.25">
      <c r="D123" s="20"/>
      <c r="E123" s="20"/>
      <c r="F123" s="20"/>
      <c r="G123" s="20"/>
      <c r="H123" s="20"/>
      <c r="J123" s="20"/>
      <c r="K123" s="20"/>
      <c r="L123" s="20"/>
      <c r="N123" s="20"/>
    </row>
    <row r="124" spans="4:14" x14ac:dyDescent="0.25">
      <c r="D124" s="20"/>
      <c r="E124" s="20"/>
      <c r="F124" s="20"/>
      <c r="G124" s="20"/>
      <c r="H124" s="20"/>
      <c r="J124" s="20"/>
      <c r="K124" s="20"/>
      <c r="L124" s="20"/>
      <c r="N124" s="20"/>
    </row>
    <row r="125" spans="4:14" x14ac:dyDescent="0.25">
      <c r="D125" s="20"/>
      <c r="E125" s="20"/>
      <c r="F125" s="20"/>
      <c r="G125" s="20"/>
      <c r="H125" s="20"/>
      <c r="J125" s="20"/>
      <c r="K125" s="20"/>
      <c r="L125" s="20"/>
      <c r="N125" s="20"/>
    </row>
    <row r="126" spans="4:14" x14ac:dyDescent="0.25">
      <c r="D126" s="20"/>
      <c r="E126" s="20"/>
      <c r="F126" s="20"/>
      <c r="G126" s="20"/>
      <c r="H126" s="20"/>
      <c r="J126" s="20"/>
      <c r="K126" s="20"/>
      <c r="L126" s="20"/>
      <c r="N126" s="20"/>
    </row>
    <row r="127" spans="4:14" x14ac:dyDescent="0.25">
      <c r="D127" s="20"/>
      <c r="E127" s="20"/>
      <c r="F127" s="20"/>
      <c r="G127" s="20"/>
      <c r="H127" s="20"/>
      <c r="J127" s="20"/>
      <c r="K127" s="20"/>
      <c r="L127" s="20"/>
      <c r="N127" s="20"/>
    </row>
    <row r="128" spans="4:14" x14ac:dyDescent="0.25">
      <c r="D128" s="20"/>
      <c r="E128" s="20"/>
      <c r="F128" s="20"/>
      <c r="G128" s="20"/>
      <c r="H128" s="20"/>
      <c r="J128" s="20"/>
      <c r="K128" s="20"/>
      <c r="L128" s="20"/>
      <c r="N128" s="20"/>
    </row>
    <row r="129" spans="4:14" x14ac:dyDescent="0.25">
      <c r="D129" s="20"/>
      <c r="E129" s="20"/>
      <c r="F129" s="20"/>
      <c r="G129" s="20"/>
      <c r="H129" s="20"/>
      <c r="J129" s="20"/>
      <c r="K129" s="20"/>
      <c r="L129" s="20"/>
      <c r="N129" s="20"/>
    </row>
    <row r="130" spans="4:14" x14ac:dyDescent="0.25">
      <c r="D130" s="20"/>
      <c r="E130" s="20"/>
      <c r="F130" s="20"/>
      <c r="G130" s="20"/>
      <c r="H130" s="20"/>
      <c r="J130" s="20"/>
      <c r="K130" s="20"/>
      <c r="L130" s="20"/>
      <c r="N130" s="20"/>
    </row>
    <row r="131" spans="4:14" x14ac:dyDescent="0.25">
      <c r="D131" s="20"/>
      <c r="E131" s="20"/>
      <c r="F131" s="20"/>
      <c r="G131" s="20"/>
      <c r="H131" s="20"/>
      <c r="J131" s="20"/>
      <c r="K131" s="20"/>
      <c r="L131" s="20"/>
      <c r="N131" s="20"/>
    </row>
    <row r="132" spans="4:14" x14ac:dyDescent="0.25">
      <c r="D132" s="20"/>
      <c r="E132" s="20"/>
      <c r="F132" s="20"/>
      <c r="G132" s="20"/>
      <c r="H132" s="20"/>
      <c r="J132" s="20"/>
      <c r="K132" s="20"/>
      <c r="L132" s="20"/>
      <c r="N132" s="20"/>
    </row>
    <row r="133" spans="4:14" x14ac:dyDescent="0.25">
      <c r="D133" s="20"/>
      <c r="E133" s="20"/>
      <c r="F133" s="20"/>
      <c r="G133" s="20"/>
      <c r="H133" s="20"/>
      <c r="J133" s="20"/>
      <c r="K133" s="20"/>
      <c r="L133" s="20"/>
      <c r="N133" s="20"/>
    </row>
    <row r="134" spans="4:14" x14ac:dyDescent="0.25">
      <c r="D134" s="20"/>
      <c r="E134" s="20"/>
      <c r="F134" s="20"/>
      <c r="G134" s="20"/>
      <c r="H134" s="20"/>
      <c r="J134" s="20"/>
      <c r="K134" s="20"/>
      <c r="L134" s="20"/>
      <c r="N134" s="20"/>
    </row>
    <row r="135" spans="4:14" x14ac:dyDescent="0.25">
      <c r="D135" s="20"/>
      <c r="E135" s="20"/>
      <c r="F135" s="20"/>
      <c r="G135" s="20"/>
      <c r="H135" s="20"/>
      <c r="J135" s="20"/>
      <c r="K135" s="20"/>
      <c r="L135" s="20"/>
      <c r="N135" s="20"/>
    </row>
    <row r="136" spans="4:14" x14ac:dyDescent="0.25">
      <c r="D136" s="20"/>
      <c r="E136" s="20"/>
      <c r="F136" s="20"/>
      <c r="G136" s="20"/>
      <c r="H136" s="20"/>
      <c r="J136" s="20"/>
      <c r="K136" s="20"/>
      <c r="L136" s="20"/>
      <c r="N136" s="20"/>
    </row>
    <row r="137" spans="4:14" x14ac:dyDescent="0.25">
      <c r="D137" s="20"/>
      <c r="E137" s="20"/>
      <c r="F137" s="20"/>
      <c r="G137" s="20"/>
      <c r="H137" s="20"/>
      <c r="J137" s="20"/>
      <c r="K137" s="20"/>
      <c r="L137" s="20"/>
      <c r="N137" s="20"/>
    </row>
    <row r="138" spans="4:14" x14ac:dyDescent="0.25">
      <c r="D138" s="20"/>
      <c r="E138" s="20"/>
      <c r="F138" s="20"/>
      <c r="G138" s="20"/>
      <c r="H138" s="20"/>
      <c r="J138" s="20"/>
      <c r="K138" s="20"/>
      <c r="L138" s="20"/>
      <c r="N138" s="20"/>
    </row>
    <row r="139" spans="4:14" x14ac:dyDescent="0.25">
      <c r="D139" s="20"/>
      <c r="E139" s="20"/>
      <c r="F139" s="20"/>
      <c r="G139" s="20"/>
      <c r="H139" s="20"/>
      <c r="J139" s="20"/>
      <c r="K139" s="20"/>
      <c r="L139" s="20"/>
      <c r="N139" s="20"/>
    </row>
    <row r="140" spans="4:14" x14ac:dyDescent="0.25">
      <c r="D140" s="20"/>
      <c r="E140" s="20"/>
      <c r="F140" s="20"/>
      <c r="G140" s="20"/>
      <c r="H140" s="20"/>
      <c r="J140" s="20"/>
      <c r="K140" s="20"/>
      <c r="L140" s="20"/>
      <c r="N140" s="20"/>
    </row>
    <row r="141" spans="4:14" x14ac:dyDescent="0.25">
      <c r="D141" s="20"/>
      <c r="E141" s="20"/>
      <c r="F141" s="20"/>
      <c r="G141" s="20"/>
      <c r="H141" s="20"/>
      <c r="J141" s="20"/>
      <c r="K141" s="20"/>
      <c r="L141" s="20"/>
      <c r="N141" s="20"/>
    </row>
    <row r="142" spans="4:14" x14ac:dyDescent="0.25">
      <c r="D142" s="20"/>
      <c r="E142" s="20"/>
      <c r="F142" s="20"/>
      <c r="G142" s="20"/>
      <c r="H142" s="20"/>
      <c r="J142" s="20"/>
      <c r="K142" s="20"/>
      <c r="L142" s="20"/>
      <c r="N142" s="20"/>
    </row>
    <row r="143" spans="4:14" x14ac:dyDescent="0.25">
      <c r="D143" s="20"/>
      <c r="E143" s="20"/>
      <c r="F143" s="20"/>
      <c r="G143" s="20"/>
      <c r="H143" s="20"/>
      <c r="J143" s="20"/>
      <c r="K143" s="20"/>
      <c r="L143" s="20"/>
      <c r="N143" s="20"/>
    </row>
    <row r="144" spans="4:14" x14ac:dyDescent="0.25">
      <c r="D144" s="20"/>
      <c r="E144" s="20"/>
      <c r="F144" s="20"/>
      <c r="G144" s="20"/>
      <c r="H144" s="20"/>
      <c r="J144" s="20"/>
      <c r="K144" s="20"/>
      <c r="L144" s="20"/>
      <c r="N144" s="20"/>
    </row>
    <row r="145" spans="4:14" x14ac:dyDescent="0.25">
      <c r="D145" s="20"/>
      <c r="E145" s="20"/>
      <c r="F145" s="20"/>
      <c r="G145" s="20"/>
      <c r="H145" s="20"/>
      <c r="J145" s="20"/>
      <c r="K145" s="20"/>
      <c r="L145" s="20"/>
      <c r="N145" s="20"/>
    </row>
    <row r="146" spans="4:14" x14ac:dyDescent="0.25">
      <c r="D146" s="20"/>
      <c r="E146" s="20"/>
      <c r="F146" s="20"/>
      <c r="G146" s="20"/>
      <c r="H146" s="20"/>
      <c r="J146" s="20"/>
      <c r="K146" s="20"/>
      <c r="L146" s="20"/>
      <c r="N146" s="20"/>
    </row>
    <row r="147" spans="4:14" x14ac:dyDescent="0.25">
      <c r="D147" s="20"/>
      <c r="E147" s="20"/>
      <c r="F147" s="20"/>
      <c r="G147" s="20"/>
      <c r="H147" s="20"/>
      <c r="J147" s="20"/>
      <c r="K147" s="20"/>
      <c r="L147" s="20"/>
      <c r="N147" s="20"/>
    </row>
    <row r="148" spans="4:14" x14ac:dyDescent="0.25">
      <c r="D148" s="20"/>
      <c r="E148" s="20"/>
      <c r="F148" s="20"/>
      <c r="G148" s="20"/>
      <c r="H148" s="20"/>
      <c r="J148" s="20"/>
      <c r="K148" s="20"/>
      <c r="L148" s="20"/>
      <c r="N148" s="20"/>
    </row>
    <row r="149" spans="4:14" x14ac:dyDescent="0.25">
      <c r="D149" s="20"/>
      <c r="E149" s="20"/>
      <c r="F149" s="20"/>
      <c r="G149" s="20"/>
      <c r="H149" s="20"/>
      <c r="J149" s="20"/>
      <c r="K149" s="20"/>
      <c r="L149" s="20"/>
      <c r="N149" s="20"/>
    </row>
    <row r="150" spans="4:14" x14ac:dyDescent="0.25">
      <c r="D150" s="20"/>
      <c r="E150" s="20"/>
      <c r="F150" s="20"/>
      <c r="G150" s="20"/>
      <c r="H150" s="20"/>
      <c r="J150" s="20"/>
      <c r="K150" s="20"/>
      <c r="L150" s="20"/>
      <c r="N150" s="20"/>
    </row>
    <row r="151" spans="4:14" x14ac:dyDescent="0.25">
      <c r="D151" s="20"/>
      <c r="E151" s="20"/>
      <c r="F151" s="20"/>
      <c r="G151" s="20"/>
      <c r="H151" s="20"/>
      <c r="J151" s="20"/>
      <c r="K151" s="20"/>
      <c r="L151" s="20"/>
      <c r="N151" s="20"/>
    </row>
    <row r="152" spans="4:14" x14ac:dyDescent="0.25">
      <c r="D152" s="20"/>
      <c r="E152" s="20"/>
      <c r="F152" s="20"/>
      <c r="G152" s="20"/>
      <c r="H152" s="20"/>
      <c r="J152" s="20"/>
      <c r="K152" s="20"/>
      <c r="L152" s="20"/>
      <c r="N152" s="20"/>
    </row>
    <row r="153" spans="4:14" x14ac:dyDescent="0.25">
      <c r="D153" s="20"/>
      <c r="E153" s="20"/>
      <c r="F153" s="20"/>
      <c r="G153" s="20"/>
      <c r="H153" s="20"/>
      <c r="J153" s="20"/>
      <c r="K153" s="20"/>
      <c r="L153" s="20"/>
      <c r="N153" s="20"/>
    </row>
    <row r="154" spans="4:14" x14ac:dyDescent="0.25">
      <c r="D154" s="20"/>
      <c r="E154" s="20"/>
      <c r="F154" s="20"/>
      <c r="G154" s="20"/>
      <c r="H154" s="20"/>
      <c r="J154" s="20"/>
      <c r="K154" s="20"/>
      <c r="L154" s="20"/>
      <c r="N154" s="20"/>
    </row>
    <row r="155" spans="4:14" x14ac:dyDescent="0.25">
      <c r="D155" s="20"/>
      <c r="E155" s="20"/>
      <c r="F155" s="20"/>
      <c r="G155" s="20"/>
      <c r="H155" s="20"/>
      <c r="J155" s="20"/>
      <c r="K155" s="20"/>
      <c r="L155" s="20"/>
      <c r="N155" s="20"/>
    </row>
    <row r="156" spans="4:14" x14ac:dyDescent="0.25">
      <c r="D156" s="20"/>
      <c r="E156" s="20"/>
      <c r="F156" s="20"/>
      <c r="G156" s="20"/>
      <c r="H156" s="20"/>
      <c r="J156" s="20"/>
      <c r="K156" s="20"/>
      <c r="L156" s="20"/>
      <c r="N156" s="20"/>
    </row>
    <row r="157" spans="4:14" x14ac:dyDescent="0.25">
      <c r="D157" s="20"/>
      <c r="E157" s="20"/>
      <c r="F157" s="20"/>
      <c r="G157" s="20"/>
      <c r="H157" s="20"/>
      <c r="J157" s="20"/>
      <c r="K157" s="20"/>
      <c r="L157" s="20"/>
      <c r="N157" s="20"/>
    </row>
    <row r="158" spans="4:14" x14ac:dyDescent="0.25">
      <c r="D158" s="20"/>
      <c r="E158" s="20"/>
      <c r="F158" s="20"/>
      <c r="G158" s="20"/>
      <c r="H158" s="20"/>
      <c r="J158" s="20"/>
      <c r="K158" s="20"/>
      <c r="L158" s="20"/>
      <c r="N158" s="20"/>
    </row>
    <row r="159" spans="4:14" x14ac:dyDescent="0.25">
      <c r="D159" s="20"/>
      <c r="E159" s="20"/>
      <c r="F159" s="20"/>
      <c r="G159" s="20"/>
      <c r="H159" s="20"/>
      <c r="J159" s="20"/>
      <c r="K159" s="20"/>
      <c r="L159" s="20"/>
      <c r="N159" s="20"/>
    </row>
    <row r="160" spans="4:14" x14ac:dyDescent="0.25">
      <c r="D160" s="20"/>
      <c r="E160" s="20"/>
      <c r="F160" s="20"/>
      <c r="G160" s="20"/>
      <c r="H160" s="20"/>
      <c r="J160" s="20"/>
      <c r="K160" s="20"/>
      <c r="L160" s="20"/>
      <c r="N160" s="20"/>
    </row>
    <row r="161" spans="4:14" x14ac:dyDescent="0.25">
      <c r="D161" s="20"/>
      <c r="E161" s="20"/>
      <c r="F161" s="20"/>
      <c r="G161" s="20"/>
      <c r="H161" s="20"/>
      <c r="J161" s="20"/>
      <c r="K161" s="20"/>
      <c r="L161" s="20"/>
      <c r="N161" s="20"/>
    </row>
    <row r="162" spans="4:14" x14ac:dyDescent="0.25">
      <c r="D162" s="20"/>
      <c r="E162" s="20"/>
      <c r="F162" s="20"/>
      <c r="G162" s="20"/>
      <c r="H162" s="20"/>
      <c r="J162" s="20"/>
      <c r="K162" s="20"/>
      <c r="L162" s="20"/>
      <c r="N162" s="20"/>
    </row>
    <row r="163" spans="4:14" x14ac:dyDescent="0.25">
      <c r="D163" s="20"/>
      <c r="E163" s="20"/>
      <c r="F163" s="20"/>
      <c r="G163" s="20"/>
      <c r="H163" s="20"/>
      <c r="J163" s="20"/>
      <c r="K163" s="20"/>
      <c r="L163" s="20"/>
      <c r="N163" s="20"/>
    </row>
    <row r="164" spans="4:14" x14ac:dyDescent="0.25">
      <c r="D164" s="20"/>
      <c r="E164" s="20"/>
      <c r="F164" s="20"/>
      <c r="G164" s="20"/>
      <c r="H164" s="20"/>
      <c r="J164" s="20"/>
      <c r="K164" s="20"/>
      <c r="L164" s="20"/>
      <c r="N164" s="20"/>
    </row>
    <row r="165" spans="4:14" x14ac:dyDescent="0.25">
      <c r="D165" s="20"/>
      <c r="E165" s="20"/>
      <c r="F165" s="20"/>
      <c r="G165" s="20"/>
      <c r="H165" s="20"/>
      <c r="J165" s="20"/>
      <c r="K165" s="20"/>
      <c r="L165" s="20"/>
      <c r="N165" s="20"/>
    </row>
    <row r="166" spans="4:14" x14ac:dyDescent="0.25">
      <c r="D166" s="20"/>
      <c r="E166" s="20"/>
      <c r="F166" s="20"/>
      <c r="G166" s="20"/>
      <c r="H166" s="20"/>
      <c r="J166" s="20"/>
      <c r="K166" s="20"/>
      <c r="L166" s="20"/>
      <c r="N166" s="20"/>
    </row>
    <row r="167" spans="4:14" x14ac:dyDescent="0.25">
      <c r="D167" s="20"/>
      <c r="E167" s="20"/>
      <c r="F167" s="20"/>
      <c r="G167" s="20"/>
      <c r="H167" s="20"/>
      <c r="J167" s="20"/>
      <c r="K167" s="20"/>
      <c r="L167" s="20"/>
      <c r="N167" s="20"/>
    </row>
    <row r="168" spans="4:14" x14ac:dyDescent="0.25">
      <c r="D168" s="20"/>
      <c r="E168" s="20"/>
      <c r="F168" s="20"/>
      <c r="G168" s="20"/>
      <c r="H168" s="20"/>
      <c r="J168" s="20"/>
      <c r="K168" s="20"/>
      <c r="L168" s="20"/>
      <c r="N168" s="20"/>
    </row>
    <row r="169" spans="4:14" x14ac:dyDescent="0.25">
      <c r="D169" s="20"/>
      <c r="E169" s="20"/>
      <c r="F169" s="20"/>
      <c r="G169" s="20"/>
      <c r="H169" s="20"/>
      <c r="J169" s="20"/>
      <c r="K169" s="20"/>
      <c r="L169" s="20"/>
      <c r="N169" s="20"/>
    </row>
    <row r="170" spans="4:14" x14ac:dyDescent="0.25">
      <c r="D170" s="20"/>
      <c r="E170" s="20"/>
      <c r="F170" s="20"/>
      <c r="G170" s="20"/>
      <c r="H170" s="20"/>
      <c r="J170" s="20"/>
      <c r="K170" s="20"/>
      <c r="L170" s="20"/>
      <c r="N170" s="20"/>
    </row>
    <row r="171" spans="4:14" x14ac:dyDescent="0.25">
      <c r="D171" s="20"/>
      <c r="E171" s="20"/>
      <c r="F171" s="20"/>
      <c r="G171" s="20"/>
      <c r="H171" s="20"/>
      <c r="J171" s="20"/>
      <c r="K171" s="20"/>
      <c r="L171" s="20"/>
      <c r="N171" s="20"/>
    </row>
    <row r="172" spans="4:14" x14ac:dyDescent="0.25">
      <c r="D172" s="20"/>
      <c r="E172" s="20"/>
      <c r="F172" s="20"/>
      <c r="G172" s="20"/>
      <c r="H172" s="20"/>
      <c r="J172" s="20"/>
      <c r="K172" s="20"/>
      <c r="L172" s="20"/>
      <c r="N172" s="20"/>
    </row>
    <row r="173" spans="4:14" x14ac:dyDescent="0.25">
      <c r="D173" s="20"/>
      <c r="E173" s="20"/>
      <c r="F173" s="20"/>
      <c r="G173" s="20"/>
      <c r="H173" s="20"/>
      <c r="J173" s="20"/>
      <c r="K173" s="20"/>
      <c r="L173" s="20"/>
      <c r="N173" s="20"/>
    </row>
    <row r="174" spans="4:14" x14ac:dyDescent="0.25">
      <c r="D174" s="20"/>
      <c r="E174" s="20"/>
      <c r="F174" s="20"/>
      <c r="G174" s="20"/>
      <c r="H174" s="20"/>
      <c r="J174" s="20"/>
      <c r="K174" s="20"/>
      <c r="L174" s="20"/>
      <c r="N174" s="20"/>
    </row>
    <row r="175" spans="4:14" x14ac:dyDescent="0.25">
      <c r="D175" s="20"/>
      <c r="E175" s="20"/>
      <c r="F175" s="20"/>
      <c r="G175" s="20"/>
      <c r="H175" s="20"/>
      <c r="J175" s="20"/>
      <c r="K175" s="20"/>
      <c r="L175" s="20"/>
      <c r="N175" s="20"/>
    </row>
    <row r="176" spans="4:14" x14ac:dyDescent="0.25">
      <c r="D176" s="20"/>
      <c r="E176" s="20"/>
      <c r="F176" s="20"/>
      <c r="G176" s="20"/>
      <c r="H176" s="20"/>
      <c r="J176" s="20"/>
      <c r="K176" s="20"/>
      <c r="L176" s="20"/>
      <c r="N176" s="20"/>
    </row>
    <row r="177" spans="4:14" x14ac:dyDescent="0.25">
      <c r="D177" s="20"/>
      <c r="E177" s="20"/>
      <c r="F177" s="20"/>
      <c r="G177" s="20"/>
      <c r="H177" s="20"/>
      <c r="J177" s="20"/>
      <c r="K177" s="20"/>
      <c r="L177" s="20"/>
      <c r="N177" s="20"/>
    </row>
    <row r="178" spans="4:14" x14ac:dyDescent="0.25">
      <c r="D178" s="20"/>
      <c r="E178" s="20"/>
      <c r="F178" s="20"/>
      <c r="G178" s="20"/>
      <c r="H178" s="20"/>
      <c r="J178" s="20"/>
      <c r="K178" s="20"/>
      <c r="L178" s="20"/>
      <c r="N178" s="20"/>
    </row>
    <row r="179" spans="4:14" x14ac:dyDescent="0.25">
      <c r="D179" s="20"/>
      <c r="E179" s="20"/>
      <c r="F179" s="20"/>
      <c r="G179" s="20"/>
      <c r="H179" s="20"/>
      <c r="J179" s="20"/>
      <c r="K179" s="20"/>
      <c r="L179" s="20"/>
      <c r="N179" s="20"/>
    </row>
    <row r="180" spans="4:14" x14ac:dyDescent="0.25">
      <c r="D180" s="20"/>
      <c r="E180" s="20"/>
      <c r="F180" s="20"/>
      <c r="G180" s="20"/>
      <c r="H180" s="20"/>
      <c r="J180" s="20"/>
      <c r="K180" s="20"/>
      <c r="L180" s="20"/>
      <c r="N180" s="20"/>
    </row>
    <row r="181" spans="4:14" x14ac:dyDescent="0.25">
      <c r="D181" s="20"/>
      <c r="E181" s="20"/>
      <c r="F181" s="20"/>
      <c r="G181" s="20"/>
      <c r="H181" s="20"/>
      <c r="J181" s="20"/>
      <c r="K181" s="20"/>
      <c r="L181" s="20"/>
      <c r="N181" s="20"/>
    </row>
    <row r="182" spans="4:14" x14ac:dyDescent="0.25">
      <c r="D182" s="20"/>
      <c r="E182" s="20"/>
      <c r="F182" s="20"/>
      <c r="G182" s="20"/>
      <c r="H182" s="20"/>
      <c r="J182" s="20"/>
      <c r="K182" s="20"/>
      <c r="L182" s="20"/>
      <c r="N182" s="20"/>
    </row>
    <row r="183" spans="4:14" x14ac:dyDescent="0.25">
      <c r="D183" s="20"/>
      <c r="E183" s="20"/>
      <c r="F183" s="20"/>
      <c r="G183" s="20"/>
      <c r="H183" s="20"/>
      <c r="J183" s="20"/>
      <c r="K183" s="20"/>
      <c r="L183" s="20"/>
      <c r="N183" s="20"/>
    </row>
    <row r="184" spans="4:14" x14ac:dyDescent="0.25">
      <c r="D184" s="20"/>
      <c r="E184" s="20"/>
      <c r="F184" s="20"/>
      <c r="G184" s="20"/>
      <c r="H184" s="20"/>
      <c r="J184" s="20"/>
      <c r="K184" s="20"/>
      <c r="L184" s="20"/>
      <c r="N184" s="20"/>
    </row>
    <row r="185" spans="4:14" x14ac:dyDescent="0.25">
      <c r="D185" s="20"/>
      <c r="E185" s="20"/>
      <c r="F185" s="20"/>
      <c r="G185" s="20"/>
      <c r="H185" s="20"/>
      <c r="J185" s="20"/>
      <c r="K185" s="20"/>
      <c r="L185" s="20"/>
      <c r="N185" s="20"/>
    </row>
    <row r="186" spans="4:14" x14ac:dyDescent="0.25">
      <c r="D186" s="20"/>
      <c r="E186" s="20"/>
      <c r="F186" s="20"/>
      <c r="G186" s="20"/>
      <c r="H186" s="20"/>
      <c r="J186" s="20"/>
      <c r="K186" s="20"/>
      <c r="L186" s="20"/>
      <c r="N186" s="20"/>
    </row>
    <row r="187" spans="4:14" x14ac:dyDescent="0.25">
      <c r="D187" s="20"/>
      <c r="E187" s="20"/>
      <c r="F187" s="20"/>
      <c r="G187" s="20"/>
      <c r="H187" s="20"/>
      <c r="J187" s="20"/>
      <c r="K187" s="20"/>
      <c r="L187" s="20"/>
      <c r="N187" s="20"/>
    </row>
    <row r="188" spans="4:14" x14ac:dyDescent="0.25">
      <c r="D188" s="20"/>
      <c r="E188" s="20"/>
      <c r="F188" s="20"/>
      <c r="G188" s="20"/>
      <c r="H188" s="20"/>
      <c r="J188" s="20"/>
      <c r="K188" s="20"/>
      <c r="L188" s="20"/>
      <c r="N188" s="20"/>
    </row>
    <row r="189" spans="4:14" x14ac:dyDescent="0.25">
      <c r="D189" s="20"/>
      <c r="E189" s="20"/>
      <c r="F189" s="20"/>
      <c r="G189" s="20"/>
      <c r="H189" s="20"/>
      <c r="J189" s="20"/>
      <c r="K189" s="20"/>
      <c r="L189" s="20"/>
      <c r="N189" s="20"/>
    </row>
    <row r="190" spans="4:14" x14ac:dyDescent="0.25">
      <c r="D190" s="20"/>
      <c r="E190" s="20"/>
      <c r="F190" s="20"/>
      <c r="G190" s="20"/>
      <c r="H190" s="20"/>
      <c r="J190" s="20"/>
      <c r="K190" s="20"/>
      <c r="L190" s="20"/>
      <c r="N190" s="20"/>
    </row>
    <row r="191" spans="4:14" x14ac:dyDescent="0.25">
      <c r="D191" s="20"/>
      <c r="E191" s="20"/>
      <c r="F191" s="20"/>
      <c r="G191" s="20"/>
      <c r="H191" s="20"/>
      <c r="J191" s="20"/>
      <c r="K191" s="20"/>
      <c r="L191" s="20"/>
      <c r="N191" s="20"/>
    </row>
    <row r="192" spans="4:14" x14ac:dyDescent="0.25">
      <c r="D192" s="20"/>
      <c r="E192" s="20"/>
      <c r="F192" s="20"/>
      <c r="G192" s="20"/>
      <c r="H192" s="20"/>
      <c r="J192" s="20"/>
      <c r="K192" s="20"/>
      <c r="L192" s="20"/>
      <c r="N192" s="20"/>
    </row>
    <row r="193" spans="4:14" x14ac:dyDescent="0.25">
      <c r="D193" s="20"/>
      <c r="E193" s="20"/>
      <c r="F193" s="20"/>
      <c r="G193" s="20"/>
      <c r="H193" s="20"/>
      <c r="J193" s="20"/>
      <c r="K193" s="20"/>
      <c r="L193" s="20"/>
      <c r="N193" s="20"/>
    </row>
    <row r="194" spans="4:14" x14ac:dyDescent="0.25">
      <c r="D194" s="20"/>
      <c r="E194" s="20"/>
      <c r="F194" s="20"/>
      <c r="G194" s="20"/>
      <c r="H194" s="20"/>
      <c r="J194" s="20"/>
      <c r="K194" s="20"/>
      <c r="L194" s="20"/>
      <c r="N194" s="20"/>
    </row>
    <row r="195" spans="4:14" x14ac:dyDescent="0.25">
      <c r="D195" s="20"/>
      <c r="E195" s="20"/>
      <c r="F195" s="20"/>
      <c r="G195" s="20"/>
      <c r="H195" s="20"/>
      <c r="J195" s="20"/>
      <c r="K195" s="20"/>
      <c r="L195" s="20"/>
      <c r="N195" s="20"/>
    </row>
    <row r="196" spans="4:14" x14ac:dyDescent="0.25">
      <c r="D196" s="20"/>
      <c r="E196" s="20"/>
      <c r="F196" s="20"/>
      <c r="G196" s="20"/>
      <c r="H196" s="20"/>
      <c r="J196" s="20"/>
      <c r="K196" s="20"/>
      <c r="L196" s="20"/>
      <c r="N196" s="20"/>
    </row>
    <row r="197" spans="4:14" x14ac:dyDescent="0.25">
      <c r="D197" s="20"/>
      <c r="E197" s="20"/>
      <c r="F197" s="20"/>
      <c r="G197" s="20"/>
      <c r="H197" s="20"/>
      <c r="J197" s="20"/>
      <c r="K197" s="20"/>
      <c r="L197" s="20"/>
      <c r="N197" s="20"/>
    </row>
    <row r="198" spans="4:14" x14ac:dyDescent="0.25">
      <c r="D198" s="20"/>
      <c r="E198" s="20"/>
      <c r="F198" s="20"/>
      <c r="G198" s="20"/>
      <c r="H198" s="20"/>
      <c r="J198" s="20"/>
      <c r="K198" s="20"/>
      <c r="L198" s="20"/>
      <c r="N198" s="20"/>
    </row>
    <row r="199" spans="4:14" x14ac:dyDescent="0.25">
      <c r="D199" s="20"/>
      <c r="E199" s="20"/>
      <c r="F199" s="20"/>
      <c r="G199" s="20"/>
      <c r="H199" s="20"/>
      <c r="J199" s="20"/>
      <c r="K199" s="20"/>
      <c r="L199" s="20"/>
      <c r="N199" s="20"/>
    </row>
    <row r="200" spans="4:14" x14ac:dyDescent="0.25">
      <c r="D200" s="20"/>
      <c r="E200" s="20"/>
      <c r="F200" s="20"/>
      <c r="G200" s="20"/>
      <c r="H200" s="20"/>
      <c r="J200" s="20"/>
      <c r="K200" s="20"/>
      <c r="L200" s="20"/>
      <c r="N200" s="20"/>
    </row>
    <row r="201" spans="4:14" x14ac:dyDescent="0.25">
      <c r="D201" s="20"/>
      <c r="E201" s="20"/>
      <c r="F201" s="20"/>
      <c r="G201" s="20"/>
      <c r="H201" s="20"/>
      <c r="J201" s="20"/>
      <c r="K201" s="20"/>
      <c r="L201" s="20"/>
      <c r="N201" s="20"/>
    </row>
    <row r="202" spans="4:14" x14ac:dyDescent="0.25">
      <c r="D202" s="20"/>
      <c r="E202" s="20"/>
      <c r="F202" s="20"/>
      <c r="G202" s="20"/>
      <c r="H202" s="20"/>
      <c r="J202" s="20"/>
      <c r="K202" s="20"/>
      <c r="L202" s="20"/>
      <c r="N202" s="20"/>
    </row>
    <row r="203" spans="4:14" x14ac:dyDescent="0.25">
      <c r="D203" s="20"/>
      <c r="E203" s="20"/>
      <c r="F203" s="20"/>
      <c r="G203" s="20"/>
      <c r="H203" s="20"/>
      <c r="J203" s="20"/>
      <c r="K203" s="20"/>
      <c r="L203" s="20"/>
      <c r="N203" s="20"/>
    </row>
    <row r="204" spans="4:14" x14ac:dyDescent="0.25">
      <c r="D204" s="20"/>
      <c r="E204" s="20"/>
      <c r="F204" s="20"/>
      <c r="G204" s="20"/>
      <c r="H204" s="20"/>
      <c r="J204" s="20"/>
      <c r="K204" s="20"/>
      <c r="L204" s="20"/>
      <c r="N204" s="20"/>
    </row>
    <row r="205" spans="4:14" x14ac:dyDescent="0.25">
      <c r="D205" s="20"/>
      <c r="E205" s="20"/>
      <c r="F205" s="20"/>
      <c r="G205" s="20"/>
      <c r="H205" s="20"/>
      <c r="J205" s="20"/>
      <c r="K205" s="20"/>
      <c r="L205" s="20"/>
      <c r="N205" s="20"/>
    </row>
    <row r="206" spans="4:14" x14ac:dyDescent="0.25">
      <c r="D206" s="20"/>
      <c r="E206" s="20"/>
      <c r="F206" s="20"/>
      <c r="G206" s="20"/>
      <c r="H206" s="20"/>
      <c r="J206" s="20"/>
      <c r="K206" s="20"/>
      <c r="L206" s="20"/>
      <c r="N206" s="20"/>
    </row>
    <row r="207" spans="4:14" x14ac:dyDescent="0.25">
      <c r="D207" s="20"/>
      <c r="E207" s="20"/>
      <c r="F207" s="20"/>
      <c r="G207" s="20"/>
      <c r="H207" s="20"/>
      <c r="J207" s="20"/>
      <c r="K207" s="20"/>
      <c r="L207" s="20"/>
      <c r="N207" s="20"/>
    </row>
    <row r="208" spans="4:14" x14ac:dyDescent="0.25">
      <c r="D208" s="20"/>
      <c r="E208" s="20"/>
      <c r="F208" s="20"/>
      <c r="G208" s="20"/>
      <c r="H208" s="20"/>
      <c r="J208" s="20"/>
      <c r="K208" s="20"/>
      <c r="L208" s="20"/>
      <c r="N208" s="20"/>
    </row>
    <row r="209" spans="4:14" x14ac:dyDescent="0.25">
      <c r="D209" s="20"/>
      <c r="E209" s="20"/>
      <c r="F209" s="20"/>
      <c r="G209" s="20"/>
      <c r="H209" s="20"/>
      <c r="J209" s="20"/>
      <c r="K209" s="20"/>
      <c r="L209" s="20"/>
      <c r="N209" s="20"/>
    </row>
    <row r="210" spans="4:14" x14ac:dyDescent="0.25">
      <c r="D210" s="20"/>
      <c r="E210" s="20"/>
      <c r="F210" s="20"/>
      <c r="G210" s="20"/>
      <c r="H210" s="20"/>
      <c r="J210" s="20"/>
      <c r="K210" s="20"/>
      <c r="L210" s="20"/>
      <c r="N210" s="20"/>
    </row>
    <row r="211" spans="4:14" x14ac:dyDescent="0.25">
      <c r="D211" s="20"/>
      <c r="E211" s="20"/>
      <c r="F211" s="20"/>
      <c r="G211" s="20"/>
      <c r="H211" s="20"/>
      <c r="J211" s="20"/>
      <c r="K211" s="20"/>
      <c r="L211" s="20"/>
      <c r="N211" s="20"/>
    </row>
    <row r="212" spans="4:14" x14ac:dyDescent="0.25">
      <c r="D212" s="20"/>
      <c r="E212" s="20"/>
      <c r="F212" s="20"/>
      <c r="G212" s="20"/>
      <c r="H212" s="20"/>
      <c r="J212" s="20"/>
      <c r="K212" s="20"/>
      <c r="L212" s="20"/>
      <c r="N212" s="20"/>
    </row>
    <row r="213" spans="4:14" x14ac:dyDescent="0.25">
      <c r="D213" s="20"/>
      <c r="E213" s="20"/>
      <c r="F213" s="20"/>
      <c r="G213" s="20"/>
      <c r="H213" s="20"/>
      <c r="J213" s="20"/>
      <c r="K213" s="20"/>
      <c r="L213" s="20"/>
      <c r="N213" s="20"/>
    </row>
    <row r="214" spans="4:14" x14ac:dyDescent="0.25">
      <c r="D214" s="20"/>
      <c r="E214" s="20"/>
      <c r="F214" s="20"/>
      <c r="G214" s="20"/>
      <c r="H214" s="20"/>
      <c r="J214" s="20"/>
      <c r="K214" s="20"/>
      <c r="L214" s="20"/>
      <c r="N214" s="20"/>
    </row>
    <row r="215" spans="4:14" x14ac:dyDescent="0.25">
      <c r="D215" s="20"/>
      <c r="E215" s="20"/>
      <c r="F215" s="20"/>
      <c r="G215" s="20"/>
      <c r="H215" s="20"/>
      <c r="J215" s="20"/>
      <c r="K215" s="20"/>
      <c r="L215" s="20"/>
      <c r="N215" s="20"/>
    </row>
    <row r="216" spans="4:14" x14ac:dyDescent="0.25">
      <c r="D216" s="20"/>
      <c r="E216" s="20"/>
      <c r="F216" s="20"/>
      <c r="G216" s="20"/>
      <c r="H216" s="20"/>
      <c r="J216" s="20"/>
      <c r="K216" s="20"/>
      <c r="L216" s="20"/>
      <c r="N216" s="20"/>
    </row>
    <row r="217" spans="4:14" x14ac:dyDescent="0.25">
      <c r="D217" s="20"/>
      <c r="E217" s="20"/>
      <c r="F217" s="20"/>
      <c r="G217" s="20"/>
      <c r="H217" s="20"/>
      <c r="J217" s="20"/>
      <c r="K217" s="20"/>
      <c r="L217" s="20"/>
      <c r="N217" s="20"/>
    </row>
    <row r="218" spans="4:14" x14ac:dyDescent="0.25">
      <c r="D218" s="20"/>
      <c r="E218" s="20"/>
      <c r="F218" s="20"/>
      <c r="G218" s="20"/>
      <c r="H218" s="20"/>
      <c r="J218" s="20"/>
      <c r="K218" s="20"/>
      <c r="L218" s="20"/>
      <c r="N218" s="20"/>
    </row>
    <row r="219" spans="4:14" x14ac:dyDescent="0.25">
      <c r="D219" s="20"/>
      <c r="E219" s="20"/>
      <c r="F219" s="20"/>
      <c r="G219" s="20"/>
      <c r="H219" s="20"/>
      <c r="J219" s="20"/>
      <c r="K219" s="20"/>
      <c r="L219" s="20"/>
      <c r="N219" s="20"/>
    </row>
    <row r="220" spans="4:14" x14ac:dyDescent="0.25">
      <c r="D220" s="20"/>
      <c r="E220" s="20"/>
      <c r="F220" s="20"/>
      <c r="G220" s="20"/>
      <c r="H220" s="20"/>
      <c r="J220" s="20"/>
      <c r="K220" s="20"/>
      <c r="L220" s="20"/>
      <c r="N220" s="20"/>
    </row>
    <row r="221" spans="4:14" x14ac:dyDescent="0.25">
      <c r="D221" s="20"/>
      <c r="E221" s="20"/>
      <c r="F221" s="20"/>
      <c r="G221" s="20"/>
      <c r="H221" s="20"/>
      <c r="J221" s="20"/>
      <c r="K221" s="20"/>
      <c r="L221" s="20"/>
      <c r="N221" s="20"/>
    </row>
    <row r="222" spans="4:14" x14ac:dyDescent="0.25">
      <c r="D222" s="20"/>
      <c r="E222" s="20"/>
      <c r="F222" s="20"/>
      <c r="G222" s="20"/>
      <c r="H222" s="20"/>
      <c r="J222" s="20"/>
      <c r="K222" s="20"/>
      <c r="L222" s="20"/>
      <c r="N222" s="20"/>
    </row>
    <row r="223" spans="4:14" x14ac:dyDescent="0.25">
      <c r="D223" s="20"/>
      <c r="E223" s="20"/>
      <c r="F223" s="20"/>
      <c r="G223" s="20"/>
      <c r="H223" s="20"/>
      <c r="J223" s="20"/>
      <c r="K223" s="20"/>
      <c r="L223" s="20"/>
      <c r="N223" s="20"/>
    </row>
    <row r="224" spans="4:14" x14ac:dyDescent="0.25">
      <c r="D224" s="20"/>
      <c r="E224" s="20"/>
      <c r="F224" s="20"/>
      <c r="G224" s="20"/>
      <c r="H224" s="20"/>
      <c r="J224" s="20"/>
      <c r="K224" s="20"/>
      <c r="L224" s="20"/>
      <c r="N224" s="20"/>
    </row>
    <row r="225" spans="4:14" x14ac:dyDescent="0.25">
      <c r="D225" s="20"/>
      <c r="E225" s="20"/>
      <c r="F225" s="20"/>
      <c r="G225" s="20"/>
      <c r="H225" s="20"/>
      <c r="J225" s="20"/>
      <c r="K225" s="20"/>
      <c r="L225" s="20"/>
      <c r="N225" s="20"/>
    </row>
    <row r="226" spans="4:14" x14ac:dyDescent="0.25">
      <c r="D226" s="20"/>
      <c r="E226" s="20"/>
      <c r="F226" s="20"/>
      <c r="G226" s="20"/>
      <c r="H226" s="20"/>
      <c r="J226" s="20"/>
      <c r="K226" s="20"/>
      <c r="L226" s="20"/>
      <c r="N226" s="20"/>
    </row>
    <row r="227" spans="4:14" x14ac:dyDescent="0.25">
      <c r="D227" s="20"/>
      <c r="E227" s="20"/>
      <c r="F227" s="20"/>
      <c r="G227" s="20"/>
      <c r="H227" s="20"/>
      <c r="J227" s="20"/>
      <c r="K227" s="20"/>
      <c r="L227" s="20"/>
      <c r="N227" s="20"/>
    </row>
    <row r="228" spans="4:14" x14ac:dyDescent="0.25">
      <c r="D228" s="20"/>
      <c r="E228" s="20"/>
      <c r="F228" s="20"/>
      <c r="G228" s="20"/>
      <c r="H228" s="20"/>
      <c r="J228" s="20"/>
      <c r="K228" s="20"/>
      <c r="L228" s="20"/>
      <c r="N228" s="20"/>
    </row>
    <row r="229" spans="4:14" x14ac:dyDescent="0.25">
      <c r="D229" s="20"/>
      <c r="E229" s="20"/>
      <c r="F229" s="20"/>
      <c r="G229" s="20"/>
      <c r="H229" s="20"/>
      <c r="J229" s="20"/>
      <c r="K229" s="20"/>
      <c r="L229" s="20"/>
      <c r="N229" s="20"/>
    </row>
    <row r="230" spans="4:14" x14ac:dyDescent="0.25">
      <c r="D230" s="20"/>
      <c r="E230" s="20"/>
      <c r="F230" s="20"/>
      <c r="G230" s="20"/>
      <c r="H230" s="20"/>
      <c r="J230" s="20"/>
      <c r="K230" s="20"/>
      <c r="L230" s="20"/>
      <c r="N230" s="20"/>
    </row>
    <row r="231" spans="4:14" x14ac:dyDescent="0.25">
      <c r="D231" s="20"/>
      <c r="E231" s="20"/>
      <c r="F231" s="20"/>
      <c r="G231" s="20"/>
      <c r="H231" s="20"/>
      <c r="J231" s="20"/>
      <c r="K231" s="20"/>
      <c r="L231" s="20"/>
      <c r="N231" s="20"/>
    </row>
    <row r="232" spans="4:14" x14ac:dyDescent="0.25">
      <c r="D232" s="20"/>
      <c r="E232" s="20"/>
      <c r="F232" s="20"/>
      <c r="G232" s="20"/>
      <c r="H232" s="20"/>
      <c r="J232" s="20"/>
      <c r="K232" s="20"/>
      <c r="L232" s="20"/>
      <c r="N232" s="20"/>
    </row>
    <row r="233" spans="4:14" x14ac:dyDescent="0.25">
      <c r="D233" s="20"/>
      <c r="E233" s="20"/>
      <c r="F233" s="20"/>
      <c r="G233" s="20"/>
      <c r="H233" s="20"/>
      <c r="J233" s="20"/>
      <c r="K233" s="20"/>
      <c r="L233" s="20"/>
      <c r="N233" s="20"/>
    </row>
    <row r="234" spans="4:14" x14ac:dyDescent="0.25">
      <c r="D234" s="20"/>
      <c r="E234" s="20"/>
      <c r="F234" s="20"/>
      <c r="G234" s="20"/>
      <c r="H234" s="20"/>
      <c r="J234" s="20"/>
      <c r="K234" s="20"/>
      <c r="L234" s="20"/>
      <c r="N234" s="20"/>
    </row>
    <row r="235" spans="4:14" x14ac:dyDescent="0.25">
      <c r="D235" s="20"/>
      <c r="E235" s="20"/>
      <c r="F235" s="20"/>
      <c r="G235" s="20"/>
      <c r="H235" s="20"/>
      <c r="J235" s="20"/>
      <c r="K235" s="20"/>
      <c r="L235" s="20"/>
      <c r="N235" s="20"/>
    </row>
    <row r="236" spans="4:14" x14ac:dyDescent="0.25">
      <c r="D236" s="20"/>
      <c r="E236" s="20"/>
      <c r="F236" s="20"/>
      <c r="G236" s="20"/>
      <c r="H236" s="20"/>
      <c r="J236" s="20"/>
      <c r="K236" s="20"/>
      <c r="L236" s="20"/>
      <c r="N236" s="20"/>
    </row>
    <row r="237" spans="4:14" x14ac:dyDescent="0.25">
      <c r="D237" s="20"/>
      <c r="E237" s="20"/>
      <c r="F237" s="20"/>
      <c r="G237" s="20"/>
      <c r="H237" s="20"/>
      <c r="J237" s="20"/>
      <c r="K237" s="20"/>
      <c r="L237" s="20"/>
      <c r="N237" s="20"/>
    </row>
    <row r="238" spans="4:14" x14ac:dyDescent="0.25">
      <c r="D238" s="20"/>
      <c r="E238" s="20"/>
      <c r="F238" s="20"/>
      <c r="G238" s="20"/>
      <c r="H238" s="20"/>
      <c r="J238" s="20"/>
      <c r="K238" s="20"/>
      <c r="L238" s="20"/>
      <c r="N238" s="20"/>
    </row>
    <row r="239" spans="4:14" x14ac:dyDescent="0.25">
      <c r="D239" s="20"/>
      <c r="E239" s="20"/>
      <c r="F239" s="20"/>
      <c r="G239" s="20"/>
      <c r="H239" s="20"/>
      <c r="J239" s="20"/>
      <c r="K239" s="20"/>
      <c r="L239" s="20"/>
      <c r="N239" s="20"/>
    </row>
    <row r="240" spans="4:14" x14ac:dyDescent="0.25">
      <c r="D240" s="20"/>
      <c r="E240" s="20"/>
      <c r="F240" s="20"/>
      <c r="G240" s="20"/>
      <c r="H240" s="20"/>
      <c r="J240" s="20"/>
      <c r="K240" s="20"/>
      <c r="L240" s="20"/>
      <c r="N240" s="20"/>
    </row>
    <row r="241" spans="4:14" x14ac:dyDescent="0.25">
      <c r="D241" s="20"/>
      <c r="E241" s="20"/>
      <c r="F241" s="20"/>
      <c r="G241" s="20"/>
      <c r="H241" s="20"/>
      <c r="J241" s="20"/>
      <c r="K241" s="20"/>
      <c r="L241" s="20"/>
      <c r="N241" s="20"/>
    </row>
    <row r="242" spans="4:14" x14ac:dyDescent="0.25">
      <c r="D242" s="20"/>
      <c r="E242" s="20"/>
      <c r="F242" s="20"/>
      <c r="G242" s="20"/>
      <c r="H242" s="20"/>
      <c r="J242" s="20"/>
      <c r="K242" s="20"/>
      <c r="L242" s="20"/>
      <c r="N242" s="20"/>
    </row>
    <row r="243" spans="4:14" x14ac:dyDescent="0.25">
      <c r="D243" s="20"/>
      <c r="E243" s="20"/>
      <c r="F243" s="20"/>
      <c r="G243" s="20"/>
      <c r="H243" s="20"/>
      <c r="J243" s="20"/>
      <c r="K243" s="20"/>
      <c r="L243" s="20"/>
      <c r="N243" s="20"/>
    </row>
    <row r="244" spans="4:14" x14ac:dyDescent="0.25">
      <c r="D244" s="20"/>
      <c r="E244" s="20"/>
      <c r="F244" s="20"/>
      <c r="G244" s="20"/>
      <c r="H244" s="20"/>
      <c r="J244" s="20"/>
      <c r="K244" s="20"/>
      <c r="L244" s="20"/>
      <c r="N244" s="20"/>
    </row>
    <row r="245" spans="4:14" x14ac:dyDescent="0.25">
      <c r="D245" s="20"/>
      <c r="E245" s="20"/>
      <c r="F245" s="20"/>
      <c r="G245" s="20"/>
      <c r="H245" s="20"/>
      <c r="J245" s="20"/>
      <c r="K245" s="20"/>
      <c r="L245" s="20"/>
      <c r="N245" s="20"/>
    </row>
    <row r="246" spans="4:14" x14ac:dyDescent="0.25">
      <c r="D246" s="20"/>
      <c r="E246" s="20"/>
      <c r="F246" s="20"/>
      <c r="G246" s="20"/>
      <c r="H246" s="20"/>
      <c r="J246" s="20"/>
      <c r="K246" s="20"/>
      <c r="L246" s="20"/>
      <c r="N246" s="20"/>
    </row>
    <row r="247" spans="4:14" x14ac:dyDescent="0.25">
      <c r="D247" s="20"/>
      <c r="E247" s="20"/>
      <c r="F247" s="20"/>
      <c r="G247" s="20"/>
      <c r="H247" s="20"/>
      <c r="J247" s="20"/>
      <c r="K247" s="20"/>
      <c r="L247" s="20"/>
      <c r="N247" s="20"/>
    </row>
    <row r="248" spans="4:14" x14ac:dyDescent="0.25">
      <c r="D248" s="20"/>
      <c r="E248" s="20"/>
      <c r="F248" s="20"/>
      <c r="G248" s="20"/>
      <c r="H248" s="20"/>
      <c r="J248" s="20"/>
      <c r="K248" s="20"/>
      <c r="L248" s="20"/>
      <c r="N248" s="20"/>
    </row>
    <row r="249" spans="4:14" x14ac:dyDescent="0.25">
      <c r="D249" s="20"/>
      <c r="E249" s="20"/>
      <c r="F249" s="20"/>
      <c r="G249" s="20"/>
      <c r="H249" s="20"/>
      <c r="J249" s="20"/>
      <c r="K249" s="20"/>
      <c r="L249" s="20"/>
      <c r="N249" s="20"/>
    </row>
    <row r="250" spans="4:14" x14ac:dyDescent="0.25">
      <c r="D250" s="20"/>
      <c r="E250" s="20"/>
      <c r="F250" s="20"/>
      <c r="G250" s="20"/>
      <c r="H250" s="20"/>
      <c r="J250" s="20"/>
      <c r="K250" s="20"/>
      <c r="L250" s="20"/>
      <c r="N250" s="20"/>
    </row>
    <row r="251" spans="4:14" x14ac:dyDescent="0.25">
      <c r="D251" s="20"/>
      <c r="E251" s="20"/>
      <c r="F251" s="20"/>
      <c r="G251" s="20"/>
      <c r="H251" s="20"/>
      <c r="J251" s="20"/>
      <c r="K251" s="20"/>
      <c r="L251" s="20"/>
      <c r="N251" s="20"/>
    </row>
    <row r="252" spans="4:14" x14ac:dyDescent="0.25">
      <c r="D252" s="20"/>
      <c r="E252" s="20"/>
      <c r="F252" s="20"/>
      <c r="G252" s="20"/>
      <c r="H252" s="20"/>
      <c r="J252" s="20"/>
      <c r="K252" s="20"/>
      <c r="L252" s="20"/>
      <c r="N252" s="20"/>
    </row>
    <row r="253" spans="4:14" x14ac:dyDescent="0.25">
      <c r="D253" s="20"/>
      <c r="E253" s="20"/>
      <c r="F253" s="20"/>
      <c r="G253" s="20"/>
      <c r="H253" s="20"/>
      <c r="J253" s="20"/>
      <c r="K253" s="20"/>
      <c r="L253" s="20"/>
      <c r="N253" s="20"/>
    </row>
    <row r="254" spans="4:14" x14ac:dyDescent="0.25">
      <c r="D254" s="20"/>
      <c r="E254" s="20"/>
      <c r="F254" s="20"/>
      <c r="G254" s="20"/>
      <c r="H254" s="20"/>
      <c r="J254" s="20"/>
      <c r="K254" s="20"/>
      <c r="L254" s="20"/>
      <c r="N254" s="20"/>
    </row>
    <row r="255" spans="4:14" x14ac:dyDescent="0.25">
      <c r="D255" s="20"/>
      <c r="E255" s="20"/>
      <c r="F255" s="20"/>
      <c r="G255" s="20"/>
      <c r="H255" s="20"/>
      <c r="J255" s="20"/>
      <c r="K255" s="20"/>
      <c r="L255" s="20"/>
      <c r="N255" s="20"/>
    </row>
    <row r="256" spans="4:14" x14ac:dyDescent="0.25">
      <c r="D256" s="20"/>
      <c r="E256" s="20"/>
      <c r="F256" s="20"/>
      <c r="G256" s="20"/>
      <c r="H256" s="20"/>
      <c r="J256" s="20"/>
      <c r="K256" s="20"/>
      <c r="L256" s="20"/>
      <c r="N256" s="20"/>
    </row>
    <row r="257" spans="4:14" x14ac:dyDescent="0.25">
      <c r="D257" s="20"/>
      <c r="E257" s="20"/>
      <c r="F257" s="20"/>
      <c r="G257" s="20"/>
      <c r="H257" s="20"/>
      <c r="J257" s="20"/>
      <c r="K257" s="20"/>
      <c r="L257" s="20"/>
      <c r="N257" s="20"/>
    </row>
    <row r="258" spans="4:14" x14ac:dyDescent="0.25">
      <c r="D258" s="20"/>
      <c r="E258" s="20"/>
      <c r="F258" s="20"/>
      <c r="G258" s="20"/>
      <c r="H258" s="20"/>
      <c r="J258" s="20"/>
      <c r="K258" s="20"/>
      <c r="L258" s="20"/>
      <c r="N258" s="20"/>
    </row>
    <row r="259" spans="4:14" x14ac:dyDescent="0.25">
      <c r="D259" s="20"/>
      <c r="E259" s="20"/>
      <c r="F259" s="20"/>
      <c r="G259" s="20"/>
      <c r="H259" s="20"/>
      <c r="J259" s="20"/>
      <c r="K259" s="20"/>
      <c r="L259" s="20"/>
      <c r="N259" s="20"/>
    </row>
    <row r="260" spans="4:14" x14ac:dyDescent="0.25">
      <c r="D260" s="20"/>
      <c r="E260" s="20"/>
      <c r="F260" s="20"/>
      <c r="G260" s="20"/>
      <c r="H260" s="20"/>
      <c r="J260" s="20"/>
      <c r="K260" s="20"/>
      <c r="L260" s="20"/>
      <c r="N260" s="20"/>
    </row>
    <row r="261" spans="4:14" x14ac:dyDescent="0.25">
      <c r="D261" s="20"/>
      <c r="E261" s="20"/>
      <c r="F261" s="20"/>
      <c r="G261" s="20"/>
      <c r="H261" s="20"/>
      <c r="J261" s="20"/>
      <c r="K261" s="20"/>
      <c r="L261" s="20"/>
      <c r="N261" s="20"/>
    </row>
    <row r="262" spans="4:14" x14ac:dyDescent="0.25">
      <c r="D262" s="20"/>
      <c r="E262" s="20"/>
      <c r="F262" s="20"/>
      <c r="G262" s="20"/>
      <c r="H262" s="20"/>
      <c r="J262" s="20"/>
      <c r="K262" s="20"/>
      <c r="L262" s="20"/>
      <c r="N262" s="20"/>
    </row>
    <row r="263" spans="4:14" x14ac:dyDescent="0.25">
      <c r="D263" s="20"/>
      <c r="E263" s="20"/>
      <c r="F263" s="20"/>
      <c r="G263" s="20"/>
      <c r="H263" s="20"/>
      <c r="J263" s="20"/>
      <c r="K263" s="20"/>
      <c r="L263" s="20"/>
      <c r="N263" s="20"/>
    </row>
    <row r="264" spans="4:14" x14ac:dyDescent="0.25">
      <c r="D264" s="20"/>
      <c r="E264" s="20"/>
      <c r="F264" s="20"/>
      <c r="G264" s="20"/>
      <c r="H264" s="20"/>
      <c r="J264" s="20"/>
      <c r="K264" s="20"/>
      <c r="L264" s="20"/>
      <c r="N264" s="20"/>
    </row>
    <row r="265" spans="4:14" x14ac:dyDescent="0.25">
      <c r="D265" s="20"/>
      <c r="E265" s="20"/>
      <c r="F265" s="20"/>
      <c r="G265" s="20"/>
      <c r="H265" s="20"/>
      <c r="J265" s="20"/>
      <c r="K265" s="20"/>
      <c r="L265" s="20"/>
      <c r="N265" s="20"/>
    </row>
    <row r="266" spans="4:14" x14ac:dyDescent="0.25">
      <c r="D266" s="20"/>
      <c r="E266" s="20"/>
      <c r="F266" s="20"/>
      <c r="G266" s="20"/>
      <c r="H266" s="20"/>
      <c r="J266" s="20"/>
      <c r="K266" s="20"/>
      <c r="L266" s="20"/>
      <c r="N266" s="20"/>
    </row>
    <row r="267" spans="4:14" x14ac:dyDescent="0.25">
      <c r="D267" s="20"/>
      <c r="E267" s="20"/>
      <c r="F267" s="20"/>
      <c r="G267" s="20"/>
      <c r="H267" s="20"/>
      <c r="J267" s="20"/>
      <c r="K267" s="20"/>
      <c r="L267" s="20"/>
      <c r="N267" s="20"/>
    </row>
    <row r="268" spans="4:14" x14ac:dyDescent="0.25">
      <c r="D268" s="20"/>
      <c r="E268" s="20"/>
      <c r="F268" s="20"/>
      <c r="G268" s="20"/>
      <c r="H268" s="20"/>
      <c r="J268" s="20"/>
      <c r="K268" s="20"/>
      <c r="L268" s="20"/>
      <c r="N268" s="20"/>
    </row>
    <row r="269" spans="4:14" x14ac:dyDescent="0.25">
      <c r="D269" s="20"/>
      <c r="E269" s="20"/>
      <c r="F269" s="20"/>
      <c r="G269" s="20"/>
      <c r="H269" s="20"/>
      <c r="J269" s="20"/>
      <c r="K269" s="20"/>
      <c r="L269" s="20"/>
      <c r="N269" s="20"/>
    </row>
    <row r="270" spans="4:14" x14ac:dyDescent="0.25">
      <c r="D270" s="20"/>
      <c r="E270" s="20"/>
      <c r="F270" s="20"/>
      <c r="G270" s="20"/>
      <c r="H270" s="20"/>
      <c r="J270" s="20"/>
      <c r="K270" s="20"/>
      <c r="L270" s="20"/>
      <c r="N270" s="20"/>
    </row>
    <row r="271" spans="4:14" x14ac:dyDescent="0.25">
      <c r="D271" s="20"/>
      <c r="E271" s="20"/>
      <c r="F271" s="20"/>
      <c r="G271" s="20"/>
      <c r="H271" s="20"/>
      <c r="J271" s="20"/>
      <c r="K271" s="20"/>
      <c r="L271" s="20"/>
      <c r="N271" s="20"/>
    </row>
    <row r="272" spans="4:14" x14ac:dyDescent="0.25">
      <c r="D272" s="20"/>
      <c r="E272" s="20"/>
      <c r="F272" s="20"/>
      <c r="G272" s="20"/>
      <c r="H272" s="20"/>
      <c r="J272" s="20"/>
      <c r="K272" s="20"/>
      <c r="L272" s="20"/>
      <c r="N272" s="20"/>
    </row>
    <row r="273" spans="4:14" x14ac:dyDescent="0.25">
      <c r="D273" s="20"/>
      <c r="E273" s="20"/>
      <c r="F273" s="20"/>
      <c r="G273" s="20"/>
      <c r="H273" s="20"/>
      <c r="J273" s="20"/>
      <c r="K273" s="20"/>
      <c r="L273" s="20"/>
      <c r="N273" s="20"/>
    </row>
    <row r="274" spans="4:14" x14ac:dyDescent="0.25">
      <c r="D274" s="20"/>
      <c r="E274" s="20"/>
      <c r="F274" s="20"/>
      <c r="G274" s="20"/>
      <c r="H274" s="20"/>
      <c r="J274" s="20"/>
      <c r="K274" s="20"/>
      <c r="L274" s="20"/>
      <c r="N274" s="20"/>
    </row>
    <row r="275" spans="4:14" x14ac:dyDescent="0.25">
      <c r="D275" s="20"/>
      <c r="E275" s="20"/>
      <c r="F275" s="20"/>
      <c r="G275" s="20"/>
      <c r="H275" s="20"/>
      <c r="J275" s="20"/>
      <c r="K275" s="20"/>
      <c r="L275" s="20"/>
      <c r="N275" s="20"/>
    </row>
    <row r="276" spans="4:14" x14ac:dyDescent="0.25">
      <c r="D276" s="20"/>
      <c r="E276" s="20"/>
      <c r="F276" s="20"/>
      <c r="G276" s="20"/>
      <c r="H276" s="20"/>
      <c r="J276" s="20"/>
      <c r="K276" s="20"/>
      <c r="L276" s="20"/>
      <c r="N276" s="20"/>
    </row>
    <row r="277" spans="4:14" x14ac:dyDescent="0.25">
      <c r="D277" s="20"/>
      <c r="E277" s="20"/>
      <c r="F277" s="20"/>
      <c r="G277" s="20"/>
      <c r="H277" s="20"/>
      <c r="J277" s="20"/>
      <c r="K277" s="20"/>
      <c r="L277" s="20"/>
      <c r="N277" s="20"/>
    </row>
    <row r="278" spans="4:14" x14ac:dyDescent="0.25">
      <c r="D278" s="20"/>
      <c r="E278" s="20"/>
      <c r="F278" s="20"/>
      <c r="G278" s="20"/>
      <c r="H278" s="20"/>
      <c r="J278" s="20"/>
      <c r="K278" s="20"/>
      <c r="L278" s="20"/>
      <c r="N278" s="20"/>
    </row>
    <row r="279" spans="4:14" x14ac:dyDescent="0.25">
      <c r="D279" s="20"/>
      <c r="E279" s="20"/>
      <c r="F279" s="20"/>
      <c r="G279" s="20"/>
      <c r="H279" s="20"/>
      <c r="J279" s="20"/>
      <c r="K279" s="20"/>
      <c r="L279" s="20"/>
      <c r="N279" s="20"/>
    </row>
    <row r="280" spans="4:14" x14ac:dyDescent="0.25">
      <c r="D280" s="20"/>
      <c r="E280" s="20"/>
      <c r="F280" s="20"/>
      <c r="G280" s="20"/>
      <c r="H280" s="20"/>
      <c r="J280" s="20"/>
      <c r="K280" s="20"/>
      <c r="L280" s="20"/>
      <c r="N280" s="20"/>
    </row>
    <row r="281" spans="4:14" x14ac:dyDescent="0.25">
      <c r="D281" s="20"/>
      <c r="E281" s="20"/>
      <c r="F281" s="20"/>
      <c r="G281" s="20"/>
      <c r="H281" s="20"/>
      <c r="J281" s="20"/>
      <c r="K281" s="20"/>
      <c r="L281" s="20"/>
      <c r="N281" s="20"/>
    </row>
    <row r="282" spans="4:14" x14ac:dyDescent="0.25">
      <c r="D282" s="20"/>
      <c r="E282" s="20"/>
      <c r="F282" s="20"/>
      <c r="G282" s="20"/>
      <c r="H282" s="20"/>
      <c r="J282" s="20"/>
      <c r="K282" s="20"/>
      <c r="L282" s="20"/>
      <c r="N282" s="20"/>
    </row>
    <row r="283" spans="4:14" x14ac:dyDescent="0.25">
      <c r="D283" s="20"/>
      <c r="E283" s="20"/>
      <c r="F283" s="20"/>
      <c r="G283" s="20"/>
      <c r="H283" s="20"/>
      <c r="J283" s="20"/>
      <c r="K283" s="20"/>
      <c r="L283" s="20"/>
      <c r="N283" s="20"/>
    </row>
    <row r="284" spans="4:14" x14ac:dyDescent="0.25">
      <c r="D284" s="20"/>
      <c r="E284" s="20"/>
      <c r="F284" s="20"/>
      <c r="G284" s="20"/>
      <c r="H284" s="20"/>
      <c r="J284" s="20"/>
      <c r="K284" s="20"/>
      <c r="L284" s="20"/>
      <c r="N284" s="20"/>
    </row>
    <row r="285" spans="4:14" x14ac:dyDescent="0.25">
      <c r="D285" s="20"/>
      <c r="E285" s="20"/>
      <c r="F285" s="20"/>
      <c r="G285" s="20"/>
      <c r="H285" s="20"/>
      <c r="J285" s="20"/>
      <c r="K285" s="20"/>
      <c r="L285" s="20"/>
      <c r="N285" s="20"/>
    </row>
    <row r="286" spans="4:14" x14ac:dyDescent="0.25">
      <c r="D286" s="20"/>
      <c r="E286" s="20"/>
      <c r="F286" s="20"/>
      <c r="G286" s="20"/>
      <c r="H286" s="20"/>
      <c r="J286" s="20"/>
      <c r="K286" s="20"/>
      <c r="L286" s="20"/>
      <c r="N286" s="20"/>
    </row>
    <row r="287" spans="4:14" x14ac:dyDescent="0.25">
      <c r="D287" s="20"/>
      <c r="E287" s="20"/>
      <c r="F287" s="20"/>
      <c r="G287" s="20"/>
      <c r="H287" s="20"/>
      <c r="J287" s="20"/>
      <c r="K287" s="20"/>
      <c r="L287" s="20"/>
      <c r="N287" s="20"/>
    </row>
    <row r="288" spans="4:14" x14ac:dyDescent="0.25">
      <c r="D288" s="20"/>
      <c r="E288" s="20"/>
      <c r="F288" s="20"/>
      <c r="G288" s="20"/>
      <c r="H288" s="20"/>
      <c r="J288" s="20"/>
      <c r="K288" s="20"/>
      <c r="L288" s="20"/>
      <c r="N288" s="20"/>
    </row>
    <row r="289" spans="4:14" x14ac:dyDescent="0.25">
      <c r="D289" s="20"/>
      <c r="E289" s="20"/>
      <c r="F289" s="20"/>
      <c r="G289" s="20"/>
      <c r="H289" s="20"/>
      <c r="J289" s="20"/>
      <c r="K289" s="20"/>
      <c r="L289" s="20"/>
      <c r="N289" s="20"/>
    </row>
    <row r="290" spans="4:14" x14ac:dyDescent="0.25">
      <c r="D290" s="20"/>
      <c r="E290" s="20"/>
      <c r="F290" s="20"/>
      <c r="G290" s="20"/>
      <c r="H290" s="20"/>
      <c r="J290" s="20"/>
      <c r="K290" s="20"/>
      <c r="L290" s="20"/>
      <c r="N290" s="20"/>
    </row>
    <row r="291" spans="4:14" x14ac:dyDescent="0.25">
      <c r="D291" s="20"/>
      <c r="E291" s="20"/>
      <c r="F291" s="20"/>
      <c r="G291" s="20"/>
      <c r="H291" s="20"/>
      <c r="J291" s="20"/>
      <c r="K291" s="20"/>
      <c r="L291" s="20"/>
      <c r="N291" s="20"/>
    </row>
    <row r="292" spans="4:14" x14ac:dyDescent="0.25">
      <c r="D292" s="20"/>
      <c r="E292" s="20"/>
      <c r="F292" s="20"/>
      <c r="G292" s="20"/>
      <c r="H292" s="20"/>
      <c r="J292" s="20"/>
      <c r="K292" s="20"/>
      <c r="L292" s="20"/>
      <c r="N292" s="20"/>
    </row>
    <row r="293" spans="4:14" x14ac:dyDescent="0.25">
      <c r="D293" s="20"/>
      <c r="E293" s="20"/>
      <c r="F293" s="20"/>
      <c r="G293" s="20"/>
      <c r="H293" s="20"/>
      <c r="J293" s="20"/>
      <c r="K293" s="20"/>
      <c r="L293" s="20"/>
      <c r="N293" s="20"/>
    </row>
    <row r="294" spans="4:14" x14ac:dyDescent="0.25">
      <c r="D294" s="20"/>
      <c r="E294" s="20"/>
      <c r="F294" s="20"/>
      <c r="G294" s="20"/>
      <c r="H294" s="20"/>
      <c r="J294" s="20"/>
      <c r="K294" s="20"/>
      <c r="L294" s="20"/>
      <c r="N294" s="20"/>
    </row>
    <row r="295" spans="4:14" x14ac:dyDescent="0.25">
      <c r="D295" s="20"/>
      <c r="E295" s="20"/>
      <c r="F295" s="20"/>
      <c r="G295" s="20"/>
      <c r="H295" s="20"/>
      <c r="J295" s="20"/>
      <c r="K295" s="20"/>
      <c r="L295" s="20"/>
      <c r="N295" s="20"/>
    </row>
    <row r="296" spans="4:14" x14ac:dyDescent="0.25">
      <c r="D296" s="20"/>
      <c r="E296" s="20"/>
      <c r="F296" s="20"/>
      <c r="G296" s="20"/>
      <c r="H296" s="20"/>
      <c r="J296" s="20"/>
      <c r="K296" s="20"/>
      <c r="L296" s="20"/>
      <c r="N296" s="20"/>
    </row>
    <row r="297" spans="4:14" x14ac:dyDescent="0.25">
      <c r="D297" s="20"/>
      <c r="E297" s="20"/>
      <c r="F297" s="20"/>
      <c r="G297" s="20"/>
      <c r="H297" s="20"/>
      <c r="J297" s="20"/>
      <c r="K297" s="20"/>
      <c r="L297" s="20"/>
      <c r="N297" s="20"/>
    </row>
    <row r="298" spans="4:14" x14ac:dyDescent="0.25">
      <c r="D298" s="20"/>
      <c r="E298" s="20"/>
      <c r="F298" s="20"/>
      <c r="G298" s="20"/>
      <c r="H298" s="20"/>
      <c r="J298" s="20"/>
      <c r="K298" s="20"/>
      <c r="L298" s="20"/>
      <c r="N298" s="20"/>
    </row>
    <row r="299" spans="4:14" x14ac:dyDescent="0.25">
      <c r="D299" s="20"/>
      <c r="E299" s="20"/>
      <c r="F299" s="20"/>
      <c r="G299" s="20"/>
      <c r="H299" s="20"/>
      <c r="J299" s="20"/>
      <c r="K299" s="20"/>
      <c r="L299" s="20"/>
      <c r="N299" s="20"/>
    </row>
    <row r="300" spans="4:14" x14ac:dyDescent="0.25">
      <c r="D300" s="20"/>
      <c r="E300" s="20"/>
      <c r="F300" s="20"/>
      <c r="G300" s="20"/>
      <c r="H300" s="20"/>
      <c r="J300" s="20"/>
      <c r="K300" s="20"/>
      <c r="L300" s="20"/>
      <c r="N300" s="20"/>
    </row>
    <row r="301" spans="4:14" x14ac:dyDescent="0.25">
      <c r="D301" s="20"/>
      <c r="E301" s="20"/>
      <c r="F301" s="20"/>
      <c r="G301" s="20"/>
      <c r="H301" s="20"/>
      <c r="J301" s="20"/>
      <c r="K301" s="20"/>
      <c r="L301" s="20"/>
      <c r="N301" s="20"/>
    </row>
    <row r="302" spans="4:14" x14ac:dyDescent="0.25">
      <c r="D302" s="20"/>
      <c r="E302" s="20"/>
      <c r="F302" s="20"/>
      <c r="G302" s="20"/>
      <c r="H302" s="20"/>
      <c r="J302" s="20"/>
      <c r="K302" s="20"/>
      <c r="L302" s="20"/>
      <c r="N302" s="20"/>
    </row>
    <row r="303" spans="4:14" x14ac:dyDescent="0.25">
      <c r="D303" s="20"/>
      <c r="E303" s="20"/>
      <c r="F303" s="20"/>
      <c r="G303" s="20"/>
      <c r="H303" s="20"/>
      <c r="J303" s="20"/>
      <c r="K303" s="20"/>
      <c r="L303" s="20"/>
      <c r="N303" s="20"/>
    </row>
    <row r="304" spans="4:14" x14ac:dyDescent="0.25">
      <c r="D304" s="20"/>
      <c r="E304" s="20"/>
      <c r="F304" s="20"/>
      <c r="G304" s="20"/>
      <c r="H304" s="20"/>
      <c r="J304" s="20"/>
      <c r="K304" s="20"/>
      <c r="L304" s="20"/>
      <c r="N304" s="20"/>
    </row>
    <row r="305" spans="4:14" x14ac:dyDescent="0.25">
      <c r="D305" s="20"/>
      <c r="E305" s="20"/>
      <c r="F305" s="20"/>
      <c r="G305" s="20"/>
      <c r="H305" s="20"/>
      <c r="J305" s="20"/>
      <c r="K305" s="20"/>
      <c r="L305" s="20"/>
      <c r="N305" s="20"/>
    </row>
    <row r="306" spans="4:14" x14ac:dyDescent="0.25">
      <c r="D306" s="20"/>
      <c r="E306" s="20"/>
      <c r="F306" s="20"/>
      <c r="G306" s="20"/>
      <c r="H306" s="20"/>
      <c r="J306" s="20"/>
      <c r="K306" s="20"/>
      <c r="L306" s="20"/>
      <c r="N306" s="20"/>
    </row>
    <row r="307" spans="4:14" x14ac:dyDescent="0.25">
      <c r="D307" s="20"/>
      <c r="E307" s="20"/>
      <c r="F307" s="20"/>
      <c r="G307" s="20"/>
      <c r="H307" s="20"/>
      <c r="J307" s="20"/>
      <c r="K307" s="20"/>
      <c r="L307" s="20"/>
      <c r="N307" s="20"/>
    </row>
    <row r="308" spans="4:14" x14ac:dyDescent="0.25">
      <c r="D308" s="20"/>
      <c r="E308" s="20"/>
      <c r="F308" s="20"/>
      <c r="G308" s="20"/>
      <c r="H308" s="20"/>
      <c r="J308" s="20"/>
      <c r="K308" s="20"/>
      <c r="L308" s="20"/>
      <c r="N308" s="20"/>
    </row>
  </sheetData>
  <mergeCells count="1">
    <mergeCell ref="A1:I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宏1">
                <anchor moveWithCells="1" sizeWithCells="1">
                  <from>
                    <xdr:col>17</xdr:col>
                    <xdr:colOff>381000</xdr:colOff>
                    <xdr:row>3</xdr:row>
                    <xdr:rowOff>30480</xdr:rowOff>
                  </from>
                  <to>
                    <xdr:col>21</xdr:col>
                    <xdr:colOff>22860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Sheet1</vt:lpstr>
      <vt:lpstr>Page 585-86</vt:lpstr>
      <vt:lpstr>'Page 585-86'!Initial</vt:lpstr>
      <vt:lpstr>'Page 585-86'!mean</vt:lpstr>
      <vt:lpstr>'Page 585-86'!r_</vt:lpstr>
      <vt:lpstr>'Page 585-86'!Sigma</vt:lpstr>
      <vt:lpstr>'Page 585-86'!X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2024-12-06T08:31:39Z</dcterms:modified>
</cp:coreProperties>
</file>