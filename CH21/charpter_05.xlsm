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"/>
    </mc:Choice>
  </mc:AlternateContent>
  <xr:revisionPtr revIDLastSave="0" documentId="13_ncr:1_{D31A4D1D-B263-4D13-8791-4E80518BA7C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Sheet1!$B$12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C10" i="1"/>
  <c r="B12" i="1"/>
  <c r="C12" i="1"/>
  <c r="C15" i="1"/>
  <c r="B15" i="1" l="1"/>
</calcChain>
</file>

<file path=xl/sharedStrings.xml><?xml version="1.0" encoding="utf-8"?>
<sst xmlns="http://schemas.openxmlformats.org/spreadsheetml/2006/main" count="17" uniqueCount="17">
  <si>
    <t>INSURING TOTAL PORTFOLIO RETURNS</t>
  </si>
  <si>
    <t>z</t>
  </si>
  <si>
    <t>Insurance level</t>
  </si>
  <si>
    <r>
      <t>S</t>
    </r>
    <r>
      <rPr>
        <vertAlign val="subscript"/>
        <sz val="10"/>
        <rFont val="Arial"/>
        <family val="2"/>
      </rPr>
      <t>0</t>
    </r>
  </si>
  <si>
    <t>Current stock price</t>
  </si>
  <si>
    <t>X</t>
  </si>
  <si>
    <t>Exercise price</t>
  </si>
  <si>
    <t>T</t>
  </si>
  <si>
    <t>Time to maturity of option (in years)</t>
  </si>
  <si>
    <t>r</t>
  </si>
  <si>
    <t>Risk-free rate of interest</t>
  </si>
  <si>
    <t>Sigma</t>
  </si>
  <si>
    <t>Stock volatility</t>
  </si>
  <si>
    <t>Alpha</t>
  </si>
  <si>
    <t>Equation to be solved</t>
  </si>
  <si>
    <t>Data table</t>
  </si>
  <si>
    <r>
      <t xml:space="preserve">Exercise price </t>
    </r>
    <r>
      <rPr>
        <b/>
        <sz val="10"/>
        <rFont val="Symbol"/>
        <family val="1"/>
        <charset val="2"/>
      </rPr>
      <t>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</si>
</sst>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9" fontId="4" fillId="0" borderId="0" xfId="1" applyFont="1" applyAlignment="1">
      <alignment horizontal="center"/>
    </xf>
    <xf numFmtId="9" fontId="3" fillId="0" borderId="0" xfId="1" applyFont="1" applyAlignment="1">
      <alignment horizontal="left"/>
    </xf>
    <xf numFmtId="176" fontId="3" fillId="0" borderId="0" xfId="1" applyNumberFormat="1" applyFont="1" applyAlignment="1">
      <alignment horizontal="right"/>
    </xf>
    <xf numFmtId="9" fontId="3" fillId="0" borderId="0" xfId="1" applyFont="1" applyAlignment="1"/>
    <xf numFmtId="0" fontId="2" fillId="0" borderId="0" xfId="1" applyNumberFormat="1" applyAlignment="1"/>
    <xf numFmtId="9" fontId="2" fillId="0" borderId="0" xfId="1" applyAlignment="1"/>
    <xf numFmtId="9" fontId="2" fillId="2" borderId="0" xfId="1" applyFill="1" applyAlignment="1"/>
    <xf numFmtId="176" fontId="2" fillId="2" borderId="0" xfId="1" applyNumberFormat="1" applyFill="1" applyAlignment="1"/>
    <xf numFmtId="9" fontId="2" fillId="0" borderId="0" xfId="1" quotePrefix="1" applyAlignment="1"/>
    <xf numFmtId="0" fontId="3" fillId="0" borderId="0" xfId="1" applyNumberFormat="1" applyFont="1" applyAlignment="1"/>
    <xf numFmtId="10" fontId="2" fillId="0" borderId="0" xfId="1" applyNumberFormat="1" applyAlignment="1"/>
    <xf numFmtId="176" fontId="2" fillId="0" borderId="0" xfId="1" applyNumberFormat="1" applyAlignment="1"/>
    <xf numFmtId="0" fontId="3" fillId="2" borderId="0" xfId="1" applyNumberFormat="1" applyFont="1" applyFill="1" applyAlignment="1"/>
    <xf numFmtId="0" fontId="0" fillId="0" borderId="0" xfId="0" applyAlignment="1"/>
    <xf numFmtId="2" fontId="3" fillId="0" borderId="0" xfId="1" applyNumberFormat="1" applyFont="1" applyAlignment="1"/>
    <xf numFmtId="0" fontId="0" fillId="2" borderId="0" xfId="0" applyFill="1" applyAlignment="1"/>
    <xf numFmtId="2" fontId="3" fillId="2" borderId="0" xfId="1" applyNumberFormat="1" applyFont="1" applyFill="1" applyAlignment="1"/>
    <xf numFmtId="176" fontId="0" fillId="0" borderId="0" xfId="0" applyNumberFormat="1" applyAlignment="1"/>
    <xf numFmtId="2" fontId="3" fillId="0" borderId="0" xfId="1" applyNumberFormat="1" applyFont="1" applyFill="1" applyAlignment="1"/>
    <xf numFmtId="0" fontId="6" fillId="3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2" fontId="0" fillId="0" borderId="0" xfId="0" applyNumberFormat="1" applyAlignment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At Which X to Create a Synthetic Put?</a:t>
            </a:r>
          </a:p>
        </c:rich>
      </c:tx>
      <c:layout>
        <c:manualLayout>
          <c:xMode val="edge"/>
          <c:yMode val="edge"/>
          <c:x val="0.1872041163800709"/>
          <c:y val="4.46738018791387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37460088434599"/>
          <c:y val="0.16494942232297394"/>
          <c:w val="0.82227630865676715"/>
          <c:h val="0.749145293050173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Sheet1!$A$16:$A$26</c:f>
              <c:numCache>
                <c:formatCode>General</c:formatCode>
                <c:ptCount val="11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</c:numCache>
            </c:numRef>
          </c:xVal>
          <c:yVal>
            <c:numRef>
              <c:f>Sheet1!$B$16:$B$26</c:f>
              <c:numCache>
                <c:formatCode>General</c:formatCode>
                <c:ptCount val="11"/>
                <c:pt idx="0">
                  <c:v>4.613534771687803</c:v>
                </c:pt>
                <c:pt idx="1">
                  <c:v>3.835801231412141</c:v>
                </c:pt>
                <c:pt idx="2">
                  <c:v>3.0800190318807594</c:v>
                </c:pt>
                <c:pt idx="3">
                  <c:v>2.3463254383797079</c:v>
                </c:pt>
                <c:pt idx="4">
                  <c:v>1.6347656973953377</c:v>
                </c:pt>
                <c:pt idx="5">
                  <c:v>0.94529758619689375</c:v>
                </c:pt>
                <c:pt idx="6">
                  <c:v>0.27779666103081269</c:v>
                </c:pt>
                <c:pt idx="7">
                  <c:v>-0.3679379575463031</c:v>
                </c:pt>
                <c:pt idx="8">
                  <c:v>-0.99217741318996389</c:v>
                </c:pt>
                <c:pt idx="9">
                  <c:v>-1.5952566945549975</c:v>
                </c:pt>
                <c:pt idx="10">
                  <c:v>-2.1775680928183903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8-4511-864B-5340E8C1D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294672"/>
        <c:axId val="1"/>
      </c:scatterChart>
      <c:valAx>
        <c:axId val="951294672"/>
        <c:scaling>
          <c:orientation val="minMax"/>
          <c:max val="6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X($)</a:t>
                </a:r>
              </a:p>
            </c:rich>
          </c:tx>
          <c:layout>
            <c:manualLayout>
              <c:xMode val="edge"/>
              <c:yMode val="edge"/>
              <c:x val="0.49289185072221209"/>
              <c:y val="0.756018185646963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512946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15</xdr:row>
      <xdr:rowOff>28575</xdr:rowOff>
    </xdr:from>
    <xdr:to>
      <xdr:col>3</xdr:col>
      <xdr:colOff>1695450</xdr:colOff>
      <xdr:row>31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1942600-8B67-4150-959C-A9D0F7484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1847850</xdr:colOff>
      <xdr:row>0</xdr:row>
      <xdr:rowOff>28575</xdr:rowOff>
    </xdr:from>
    <xdr:to>
      <xdr:col>15</xdr:col>
      <xdr:colOff>244816</xdr:colOff>
      <xdr:row>35</xdr:row>
      <xdr:rowOff>134215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72ABF542-D865-013B-E813-07ED9CB2C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8575"/>
          <a:ext cx="6988516" cy="619973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77"/>
      <sheetName val="Page 577 中文"/>
      <sheetName val="Page 581"/>
      <sheetName val="Page 581 中文"/>
      <sheetName val="Page 582"/>
      <sheetName val="Page 582 中文"/>
      <sheetName val="Pages 581-583"/>
      <sheetName val="Pages 581-583 中文"/>
      <sheetName val="Page 585-86"/>
      <sheetName val="Page 585-86 中文"/>
      <sheetName val="Page 587"/>
      <sheetName val="Page 587 中文"/>
      <sheetName val="Simulation to play with"/>
      <sheetName val="Simulation to play with 中文"/>
      <sheetName val="Page 589"/>
      <sheetName val="Page 589 中文"/>
      <sheetName val="Page 590"/>
      <sheetName val="Page 590 中文"/>
      <sheetName val="Page 591, top"/>
      <sheetName val="Page 591, top中文"/>
      <sheetName val="Page 591, bottom"/>
      <sheetName val="Page 591, bottom 中文"/>
      <sheetName val="Page 593"/>
      <sheetName val="Page 593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6">
          <cell r="A16">
            <v>50</v>
          </cell>
          <cell r="B16">
            <v>4.613534771687803</v>
          </cell>
        </row>
        <row r="17">
          <cell r="A17">
            <v>51</v>
          </cell>
          <cell r="B17">
            <v>3.835801231412141</v>
          </cell>
        </row>
        <row r="18">
          <cell r="A18">
            <v>52</v>
          </cell>
          <cell r="B18">
            <v>3.0800190318807594</v>
          </cell>
        </row>
        <row r="19">
          <cell r="A19">
            <v>53</v>
          </cell>
          <cell r="B19">
            <v>2.3463254383797079</v>
          </cell>
        </row>
        <row r="20">
          <cell r="A20">
            <v>54</v>
          </cell>
          <cell r="B20">
            <v>1.6347656973953377</v>
          </cell>
        </row>
        <row r="21">
          <cell r="A21">
            <v>55</v>
          </cell>
          <cell r="B21">
            <v>0.94529758619689375</v>
          </cell>
        </row>
        <row r="22">
          <cell r="A22">
            <v>56</v>
          </cell>
          <cell r="B22">
            <v>0.27779666103081269</v>
          </cell>
        </row>
        <row r="23">
          <cell r="A23">
            <v>57</v>
          </cell>
          <cell r="B23">
            <v>-0.3679379575463031</v>
          </cell>
        </row>
        <row r="24">
          <cell r="A24">
            <v>58</v>
          </cell>
          <cell r="B24">
            <v>-0.99217741318996389</v>
          </cell>
        </row>
        <row r="25">
          <cell r="A25">
            <v>59</v>
          </cell>
          <cell r="B25">
            <v>-1.5952566945549975</v>
          </cell>
        </row>
        <row r="26">
          <cell r="A26">
            <v>60</v>
          </cell>
          <cell r="B26">
            <v>-2.1775680928183903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D26"/>
  <sheetViews>
    <sheetView tabSelected="1" workbookViewId="0">
      <selection activeCell="D38" sqref="D38"/>
    </sheetView>
  </sheetViews>
  <sheetFormatPr defaultRowHeight="13.8" x14ac:dyDescent="0.25"/>
  <cols>
    <col min="1" max="1" width="21.109375" style="14" bestFit="1" customWidth="1"/>
    <col min="2" max="2" width="9.5546875" style="14" bestFit="1" customWidth="1"/>
    <col min="3" max="3" width="42.6640625" style="14" bestFit="1" customWidth="1"/>
    <col min="4" max="4" width="27.6640625" style="14" customWidth="1"/>
  </cols>
  <sheetData>
    <row r="1" spans="1:4" ht="17.399999999999999" x14ac:dyDescent="0.3">
      <c r="A1" s="1" t="s">
        <v>0</v>
      </c>
      <c r="B1" s="1"/>
      <c r="C1" s="1"/>
      <c r="D1" s="1"/>
    </row>
    <row r="2" spans="1:4" x14ac:dyDescent="0.25">
      <c r="A2" s="2" t="s">
        <v>1</v>
      </c>
      <c r="B2" s="3">
        <v>0.93</v>
      </c>
      <c r="C2" s="2" t="s">
        <v>2</v>
      </c>
      <c r="D2" s="2"/>
    </row>
    <row r="3" spans="1:4" x14ac:dyDescent="0.25">
      <c r="A3" s="2"/>
      <c r="B3" s="2"/>
      <c r="C3" s="2"/>
      <c r="D3" s="2"/>
    </row>
    <row r="4" spans="1:4" ht="15.6" x14ac:dyDescent="0.35">
      <c r="A4" s="4" t="s">
        <v>3</v>
      </c>
      <c r="B4" s="5">
        <v>56</v>
      </c>
      <c r="C4" s="4" t="s">
        <v>4</v>
      </c>
      <c r="D4" s="6"/>
    </row>
    <row r="5" spans="1:4" x14ac:dyDescent="0.25">
      <c r="A5" s="7" t="s">
        <v>5</v>
      </c>
      <c r="B5" s="8">
        <v>56.426102949210375</v>
      </c>
      <c r="C5" s="4" t="s">
        <v>6</v>
      </c>
      <c r="D5" s="9"/>
    </row>
    <row r="6" spans="1:4" x14ac:dyDescent="0.25">
      <c r="A6" s="6" t="s">
        <v>7</v>
      </c>
      <c r="B6" s="10">
        <v>1</v>
      </c>
      <c r="C6" s="4" t="s">
        <v>8</v>
      </c>
      <c r="D6" s="6"/>
    </row>
    <row r="7" spans="1:4" x14ac:dyDescent="0.25">
      <c r="A7" s="6" t="s">
        <v>9</v>
      </c>
      <c r="B7" s="11">
        <v>0.08</v>
      </c>
      <c r="C7" s="4" t="s">
        <v>10</v>
      </c>
      <c r="D7" s="6"/>
    </row>
    <row r="8" spans="1:4" x14ac:dyDescent="0.25">
      <c r="A8" s="4" t="s">
        <v>11</v>
      </c>
      <c r="B8" s="4">
        <v>0.3</v>
      </c>
      <c r="C8" s="4" t="s">
        <v>12</v>
      </c>
      <c r="D8" s="6"/>
    </row>
    <row r="9" spans="1:4" x14ac:dyDescent="0.25">
      <c r="A9" s="6"/>
      <c r="B9" s="12"/>
      <c r="C9" s="6"/>
      <c r="D9" s="6"/>
    </row>
    <row r="10" spans="1:4" x14ac:dyDescent="0.25">
      <c r="A10" s="13" t="s">
        <v>13</v>
      </c>
      <c r="B10" s="8">
        <f>1000/(B4+[2]!BSPut(B4,B5,B6,B7,B8))</f>
        <v>16.481733627623722</v>
      </c>
      <c r="C10" s="12" t="str">
        <f ca="1">_xlfn.FORMULATEXT(B10)</f>
        <v>=1000/(B4+BSPut(B4,B5,B6,B7,B8))</v>
      </c>
    </row>
    <row r="11" spans="1:4" x14ac:dyDescent="0.25">
      <c r="A11" s="10"/>
      <c r="B11" s="15"/>
      <c r="C11" s="12"/>
    </row>
    <row r="12" spans="1:4" x14ac:dyDescent="0.25">
      <c r="A12" s="16" t="s">
        <v>14</v>
      </c>
      <c r="B12" s="17">
        <f>B4+[2]!BSPut(B4,B5,B6,B7,B8)-B5/B2</f>
        <v>1.0087683932624714E-7</v>
      </c>
      <c r="C12" s="18" t="str">
        <f ca="1">_xlfn.FORMULATEXT(B12)</f>
        <v>=B4+BSPut(B4,B5,B6,B7,B8)-B5/B2</v>
      </c>
    </row>
    <row r="13" spans="1:4" x14ac:dyDescent="0.25">
      <c r="B13" s="19"/>
      <c r="C13" s="18"/>
    </row>
    <row r="14" spans="1:4" ht="15.6" x14ac:dyDescent="0.3">
      <c r="A14" s="20" t="s">
        <v>15</v>
      </c>
      <c r="B14" s="20"/>
      <c r="C14" s="18"/>
    </row>
    <row r="15" spans="1:4" x14ac:dyDescent="0.25">
      <c r="A15" s="21" t="s">
        <v>16</v>
      </c>
      <c r="B15" s="22">
        <f>B12</f>
        <v>1.0087683932624714E-7</v>
      </c>
      <c r="C15" s="14" t="str">
        <f ca="1">_xlfn.FORMULATEXT(B15)&amp;", data table header"</f>
        <v>=B12, data table header</v>
      </c>
    </row>
    <row r="16" spans="1:4" x14ac:dyDescent="0.25">
      <c r="A16" s="23">
        <v>50</v>
      </c>
      <c r="B16" s="14">
        <f t="dataTable" ref="B16:B26" dt2D="0" dtr="0" r1="B5"/>
        <v>4.613534771687803</v>
      </c>
    </row>
    <row r="17" spans="1:2" x14ac:dyDescent="0.25">
      <c r="A17" s="23">
        <v>51</v>
      </c>
      <c r="B17" s="14">
        <v>3.835801231412141</v>
      </c>
    </row>
    <row r="18" spans="1:2" x14ac:dyDescent="0.25">
      <c r="A18" s="23">
        <v>52</v>
      </c>
      <c r="B18" s="14">
        <v>3.0800190318807594</v>
      </c>
    </row>
    <row r="19" spans="1:2" x14ac:dyDescent="0.25">
      <c r="A19" s="23">
        <v>53</v>
      </c>
      <c r="B19" s="14">
        <v>2.3463254383797079</v>
      </c>
    </row>
    <row r="20" spans="1:2" x14ac:dyDescent="0.25">
      <c r="A20" s="23">
        <v>54</v>
      </c>
      <c r="B20" s="14">
        <v>1.6347656973953377</v>
      </c>
    </row>
    <row r="21" spans="1:2" x14ac:dyDescent="0.25">
      <c r="A21" s="23">
        <v>55</v>
      </c>
      <c r="B21" s="14">
        <v>0.94529758619689375</v>
      </c>
    </row>
    <row r="22" spans="1:2" x14ac:dyDescent="0.25">
      <c r="A22" s="23">
        <v>56</v>
      </c>
      <c r="B22" s="14">
        <v>0.27779666103081269</v>
      </c>
    </row>
    <row r="23" spans="1:2" x14ac:dyDescent="0.25">
      <c r="A23" s="24">
        <v>57</v>
      </c>
      <c r="B23" s="25">
        <v>-0.3679379575463031</v>
      </c>
    </row>
    <row r="24" spans="1:2" x14ac:dyDescent="0.25">
      <c r="A24" s="23">
        <v>58</v>
      </c>
      <c r="B24" s="14">
        <v>-0.99217741318996389</v>
      </c>
    </row>
    <row r="25" spans="1:2" x14ac:dyDescent="0.25">
      <c r="A25" s="23">
        <v>59</v>
      </c>
      <c r="B25" s="14">
        <v>-1.5952566945549975</v>
      </c>
    </row>
    <row r="26" spans="1:2" x14ac:dyDescent="0.25">
      <c r="A26" s="23">
        <v>60</v>
      </c>
      <c r="B26" s="14">
        <v>-2.1775680928183903</v>
      </c>
    </row>
  </sheetData>
  <mergeCells count="2">
    <mergeCell ref="A1:D1"/>
    <mergeCell ref="A14:B1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2024-12-06T08:12:44Z</dcterms:modified>
</cp:coreProperties>
</file>