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BB95C19A-5B60-40C2-B01B-1CD7202BA8E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100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10" i="1" s="1"/>
  <c r="D13" i="1"/>
  <c r="B8" i="1" l="1"/>
  <c r="B11" i="1" s="1"/>
  <c r="B13" i="1" s="1"/>
  <c r="B14" i="1" s="1"/>
</calcChain>
</file>

<file path=xl/sharedStrings.xml><?xml version="1.0" encoding="utf-8"?>
<sst xmlns="http://schemas.openxmlformats.org/spreadsheetml/2006/main" count="23" uniqueCount="23">
  <si>
    <t>IMPLICIT PUTS AND ASSET VALUES</t>
  </si>
  <si>
    <r>
      <t>V</t>
    </r>
    <r>
      <rPr>
        <vertAlign val="subscript"/>
        <sz val="10"/>
        <rFont val="Arial"/>
        <family val="2"/>
      </rPr>
      <t>a</t>
    </r>
  </si>
  <si>
    <t>Actual asset value</t>
  </si>
  <si>
    <t>X</t>
  </si>
  <si>
    <t>Money-back guarantee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</si>
  <si>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</si>
  <si>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</si>
  <si>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</si>
  <si>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</si>
  <si>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</si>
  <si>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</si>
  <si>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</si>
  <si>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</si>
  <si>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</si>
  <si>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</si>
  <si>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</si>
  <si>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</si>
  <si>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</si>
  <si>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</si>
  <si>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</si>
  <si>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=-B3*(1-B11)+B4*EXP(-B5*B6)*(1-B12)</t>
  </si>
  <si>
    <t>Put + asset value</t>
  </si>
  <si>
    <t>&lt;-- =B3+B14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</si>
</sst>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0" fillId="0" borderId="0" xfId="1" applyFont="1" applyAlignment="1"/>
    <xf numFmtId="0" fontId="0" fillId="0" borderId="0" xfId="1" applyNumberFormat="1" applyFont="1" applyAlignment="1"/>
    <xf numFmtId="9" fontId="0" fillId="2" borderId="0" xfId="1" applyFont="1" applyFill="1" applyAlignment="1"/>
    <xf numFmtId="0" fontId="0" fillId="2" borderId="0" xfId="1" applyNumberFormat="1" applyFont="1" applyFill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2" borderId="0" xfId="1" applyNumberFormat="1" applyFont="1" applyFill="1" applyAlignment="1"/>
    <xf numFmtId="2" fontId="0" fillId="2" borderId="0" xfId="0" applyNumberFormat="1" applyFill="1" applyAlignment="1"/>
    <xf numFmtId="0" fontId="0" fillId="0" borderId="0" xfId="0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13532</xdr:colOff>
      <xdr:row>0</xdr:row>
      <xdr:rowOff>201930</xdr:rowOff>
    </xdr:from>
    <xdr:to>
      <xdr:col>14</xdr:col>
      <xdr:colOff>475372</xdr:colOff>
      <xdr:row>23</xdr:row>
      <xdr:rowOff>57706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315E0EA-5D78-DBBF-9577-94755E3BB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32170" y="201930"/>
          <a:ext cx="5956254" cy="3957569"/>
        </a:xfrm>
        <a:prstGeom prst="rect">
          <a:avLst/>
        </a:prstGeom>
      </xdr:spPr>
    </xdr:pic>
    <xdr:clientData/>
  </xdr:twoCellAnchor>
  <xdr:twoCellAnchor editAs="oneCell">
    <xdr:from>
      <xdr:col>0</xdr:col>
      <xdr:colOff>59121</xdr:colOff>
      <xdr:row>17</xdr:row>
      <xdr:rowOff>82637</xdr:rowOff>
    </xdr:from>
    <xdr:to>
      <xdr:col>4</xdr:col>
      <xdr:colOff>400510</xdr:colOff>
      <xdr:row>47</xdr:row>
      <xdr:rowOff>143074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0E5C33A-B39F-84EE-C9F4-7891D393D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121" y="3163482"/>
          <a:ext cx="5652923" cy="51861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D14"/>
  <sheetViews>
    <sheetView tabSelected="1" zoomScale="145" zoomScaleNormal="145" workbookViewId="0">
      <selection activeCell="F29" sqref="F29"/>
    </sheetView>
  </sheetViews>
  <sheetFormatPr defaultRowHeight="13.8" x14ac:dyDescent="0.25"/>
  <cols>
    <col min="1" max="1" width="16.88671875" style="11" customWidth="1"/>
    <col min="2" max="2" width="8.88671875" style="11"/>
    <col min="3" max="3" width="42.6640625" style="11" bestFit="1" customWidth="1"/>
  </cols>
  <sheetData>
    <row r="1" spans="1:4" ht="17.399999999999999" x14ac:dyDescent="0.3">
      <c r="A1" s="1" t="s">
        <v>0</v>
      </c>
      <c r="B1" s="1"/>
      <c r="C1" s="1"/>
    </row>
    <row r="2" spans="1:4" ht="15.6" x14ac:dyDescent="0.35">
      <c r="A2" s="2" t="s">
        <v>1</v>
      </c>
      <c r="B2" s="3">
        <v>96.705896183351769</v>
      </c>
      <c r="C2" s="2" t="s">
        <v>2</v>
      </c>
    </row>
    <row r="3" spans="1:4" x14ac:dyDescent="0.25">
      <c r="A3" s="4" t="s">
        <v>3</v>
      </c>
      <c r="B3" s="5">
        <v>85</v>
      </c>
      <c r="C3" s="4" t="s">
        <v>4</v>
      </c>
    </row>
    <row r="4" spans="1:4" x14ac:dyDescent="0.25">
      <c r="A4" s="2" t="s">
        <v>5</v>
      </c>
      <c r="B4" s="6">
        <v>0.1</v>
      </c>
      <c r="C4" s="2" t="s">
        <v>6</v>
      </c>
    </row>
    <row r="5" spans="1:4" x14ac:dyDescent="0.25">
      <c r="A5" s="2" t="s">
        <v>7</v>
      </c>
      <c r="B5" s="3">
        <v>1</v>
      </c>
      <c r="C5" s="2" t="s">
        <v>8</v>
      </c>
    </row>
    <row r="6" spans="1:4" x14ac:dyDescent="0.25">
      <c r="A6" s="2" t="s">
        <v>9</v>
      </c>
      <c r="B6" s="2">
        <v>0.3</v>
      </c>
      <c r="C6" s="2" t="s">
        <v>10</v>
      </c>
    </row>
    <row r="7" spans="1:4" ht="15.6" x14ac:dyDescent="0.35">
      <c r="A7" s="2" t="s">
        <v>11</v>
      </c>
      <c r="B7" s="7">
        <f>(LN(B2/B3)+(B4+0.5*B6^2)*B5)/(B6*SQRT(B5))</f>
        <v>0.91341039361592369</v>
      </c>
      <c r="C7" s="2" t="s">
        <v>12</v>
      </c>
    </row>
    <row r="8" spans="1:4" ht="15.6" x14ac:dyDescent="0.35">
      <c r="A8" s="2" t="s">
        <v>13</v>
      </c>
      <c r="B8" s="7">
        <f>B7-SQRT(B5)*B6</f>
        <v>0.61341039361592364</v>
      </c>
      <c r="C8" s="2" t="s">
        <v>14</v>
      </c>
    </row>
    <row r="9" spans="1:4" x14ac:dyDescent="0.25">
      <c r="A9" s="2"/>
      <c r="B9" s="8"/>
      <c r="C9" s="2"/>
    </row>
    <row r="10" spans="1:4" ht="15.6" x14ac:dyDescent="0.35">
      <c r="A10" s="2" t="s">
        <v>15</v>
      </c>
      <c r="B10" s="8">
        <f>NORMSDIST(B7)</f>
        <v>0.81948662938793482</v>
      </c>
      <c r="C10" s="2" t="s">
        <v>16</v>
      </c>
    </row>
    <row r="11" spans="1:4" ht="15.6" x14ac:dyDescent="0.35">
      <c r="A11" s="2" t="s">
        <v>17</v>
      </c>
      <c r="B11" s="8">
        <f>NORMSDIST(B8)</f>
        <v>0.73019749232852493</v>
      </c>
      <c r="C11" s="2" t="s">
        <v>18</v>
      </c>
    </row>
    <row r="12" spans="1:4" x14ac:dyDescent="0.25">
      <c r="A12" s="2"/>
      <c r="B12" s="8"/>
      <c r="C12" s="2"/>
    </row>
    <row r="13" spans="1:4" x14ac:dyDescent="0.25">
      <c r="A13" s="4" t="s">
        <v>19</v>
      </c>
      <c r="B13" s="9">
        <f>-B2*(1-B10)+B3*EXP(-B4*B5)*(1-B11)</f>
        <v>3.2941220976749186</v>
      </c>
      <c r="C13" s="2" t="s">
        <v>20</v>
      </c>
      <c r="D13">
        <f>[1]!BSPut(B2,B3,B5,B4,B6)</f>
        <v>3.294122097674915</v>
      </c>
    </row>
    <row r="14" spans="1:4" x14ac:dyDescent="0.25">
      <c r="A14" s="4" t="s">
        <v>21</v>
      </c>
      <c r="B14" s="10">
        <f>B2+B13</f>
        <v>100.00001828102668</v>
      </c>
      <c r="C14" s="2" t="s">
        <v>22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2024-12-06T08:31:28Z</dcterms:modified>
</cp:coreProperties>
</file>