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C100AD16-5D50-48B3-B941-56D212A23BC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11" i="1" s="1"/>
  <c r="B12" i="1" s="1"/>
  <c r="C12" i="1"/>
  <c r="C11" i="1"/>
  <c r="C9" i="1"/>
  <c r="C8" i="1"/>
</calcChain>
</file>

<file path=xl/sharedStrings.xml><?xml version="1.0" encoding="utf-8"?>
<sst xmlns="http://schemas.openxmlformats.org/spreadsheetml/2006/main" count="11" uniqueCount="11">
  <si>
    <t>QUANTILES FOR LOGNORMAL DISTRIBUTION</t>
  </si>
  <si>
    <r>
      <t>Initial value, V</t>
    </r>
    <r>
      <rPr>
        <vertAlign val="subscript"/>
        <sz val="10"/>
        <rFont val="Arial"/>
        <family val="2"/>
      </rPr>
      <t>0</t>
    </r>
  </si>
  <si>
    <r>
      <t xml:space="preserve">Mean, </t>
    </r>
    <r>
      <rPr>
        <i/>
        <sz val="10"/>
        <rFont val="Symbol"/>
        <family val="1"/>
        <charset val="2"/>
      </rPr>
      <t>m</t>
    </r>
  </si>
  <si>
    <r>
      <t xml:space="preserve">Sigma, </t>
    </r>
    <r>
      <rPr>
        <i/>
        <sz val="10"/>
        <rFont val="Symbol"/>
        <family val="1"/>
        <charset val="2"/>
      </rPr>
      <t>s</t>
    </r>
  </si>
  <si>
    <t>Time period, T</t>
  </si>
  <si>
    <t>&lt;-- in years</t>
  </si>
  <si>
    <r>
      <t>Parameters of normal distribution of ln(V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</si>
  <si>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Mean</t>
  </si>
  <si>
    <t>Sigma</t>
  </si>
  <si>
    <t>Cutoff</t>
  </si>
  <si>
    <t>VaR at 1%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</si>
</sst>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i/>
      <sz val="10"/>
      <name val="Symbol"/>
      <family val="1"/>
      <charset val="2"/>
    </font>
    <font>
      <b/>
      <sz val="10"/>
      <name val="Arial"/>
      <family val="2"/>
    </font>
    <font>
      <b/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9" fontId="0" fillId="0" borderId="0" xfId="0" applyNumberFormat="1" applyAlignment="1"/>
    <xf numFmtId="0" fontId="5" fillId="0" borderId="0" xfId="0" applyFont="1" applyAlignment="1"/>
    <xf numFmtId="176" fontId="0" fillId="0" borderId="0" xfId="0" applyNumberFormat="1" applyAlignment="1"/>
    <xf numFmtId="177" fontId="0" fillId="0" borderId="0" xfId="0" applyNumberFormat="1" applyAlignment="1"/>
    <xf numFmtId="0" fontId="0" fillId="2" borderId="0" xfId="0" applyFill="1" applyAlignment="1"/>
    <xf numFmtId="177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365760</xdr:colOff>
      <xdr:row>1</xdr:row>
      <xdr:rowOff>45720</xdr:rowOff>
    </xdr:from>
    <xdr:to>
      <xdr:col>10</xdr:col>
      <xdr:colOff>15240</xdr:colOff>
      <xdr:row>17</xdr:row>
      <xdr:rowOff>657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2B688C0-63E8-99AF-9981-D3842E76E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282440" y="220980"/>
          <a:ext cx="3314700" cy="27889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98"/>
      <sheetName val="Page 398（中文）"/>
      <sheetName val="Page 400"/>
      <sheetName val="Page 400（中文）"/>
      <sheetName val="Page 401"/>
      <sheetName val="Page 401（中文）"/>
      <sheetName val="Page 402"/>
      <sheetName val="Page 402（中文）"/>
      <sheetName val="Page 404"/>
      <sheetName val="Page 404（中文）"/>
      <sheetName val="Page 405, top"/>
      <sheetName val="Page 405, top（中文）"/>
      <sheetName val="Page 405, bottom"/>
      <sheetName val="Page 405, bottom（中文）"/>
      <sheetName val="Page 406-7"/>
      <sheetName val="Page 406-7（中文）"/>
      <sheetName val="Page 410"/>
      <sheetName val="Page 410（中文）"/>
      <sheetName val="Page 411"/>
      <sheetName val="Page 411（中文）"/>
      <sheetName val="Page 412"/>
      <sheetName val="Page 412（中文）"/>
      <sheetName val="Page 414"/>
      <sheetName val="Page 414（中文）"/>
      <sheetName val="Page 417"/>
      <sheetName val="Page 417（中文）"/>
    </sheetNames>
    <sheetDataSet>
      <sheetData sheetId="0">
        <row r="11">
          <cell r="A11">
            <v>0</v>
          </cell>
        </row>
      </sheetData>
      <sheetData sheetId="1" refreshError="1"/>
      <sheetData sheetId="2" refreshError="1"/>
      <sheetData sheetId="3" refreshError="1"/>
      <sheetData sheetId="4">
        <row r="15">
          <cell r="E15">
            <v>-20</v>
          </cell>
        </row>
      </sheetData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 refreshError="1"/>
      <sheetData sheetId="14">
        <row r="4">
          <cell r="X4" t="str">
            <v>Bootstrapped Return Frequency Distribution
5,000 Iterations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2"/>
  <sheetViews>
    <sheetView tabSelected="1" zoomScale="145" zoomScaleNormal="145" workbookViewId="0">
      <selection activeCell="C18" sqref="C18"/>
    </sheetView>
  </sheetViews>
  <sheetFormatPr defaultRowHeight="13.8" x14ac:dyDescent="0.25"/>
  <cols>
    <col min="1" max="1" width="14.44140625" style="3" customWidth="1"/>
    <col min="2" max="2" width="8.88671875" style="3"/>
    <col min="3" max="3" width="24.88671875" style="3" bestFit="1" customWidth="1"/>
  </cols>
  <sheetData>
    <row r="1" spans="1:3" x14ac:dyDescent="0.25">
      <c r="A1" s="1" t="s">
        <v>0</v>
      </c>
      <c r="B1" s="2"/>
      <c r="C1" s="2"/>
    </row>
    <row r="2" spans="1:3" ht="15.6" x14ac:dyDescent="0.35">
      <c r="A2" s="3" t="s">
        <v>1</v>
      </c>
      <c r="B2" s="3">
        <v>100</v>
      </c>
    </row>
    <row r="3" spans="1:3" x14ac:dyDescent="0.25">
      <c r="A3" s="3" t="s">
        <v>2</v>
      </c>
      <c r="B3" s="4">
        <v>0.1</v>
      </c>
    </row>
    <row r="4" spans="1:3" x14ac:dyDescent="0.25">
      <c r="A4" s="3" t="s">
        <v>3</v>
      </c>
      <c r="B4" s="4">
        <v>0.3</v>
      </c>
    </row>
    <row r="5" spans="1:3" x14ac:dyDescent="0.25">
      <c r="A5" s="3" t="s">
        <v>4</v>
      </c>
      <c r="B5" s="3">
        <v>1</v>
      </c>
      <c r="C5" s="3" t="s">
        <v>5</v>
      </c>
    </row>
    <row r="7" spans="1:3" ht="15.6" x14ac:dyDescent="0.35">
      <c r="A7" s="5" t="s">
        <v>6</v>
      </c>
    </row>
    <row r="8" spans="1:3" x14ac:dyDescent="0.25">
      <c r="A8" s="3" t="s">
        <v>7</v>
      </c>
      <c r="B8" s="6">
        <f>LN(B2)+(B3-B4^2/2)*B5</f>
        <v>4.6601701859880915</v>
      </c>
      <c r="C8" s="3" t="str">
        <f ca="1">[2]!getformula(B8)</f>
        <v>&lt;--  =LN(B2)+(B3-B4^2/2)*B5</v>
      </c>
    </row>
    <row r="9" spans="1:3" x14ac:dyDescent="0.25">
      <c r="A9" s="3" t="s">
        <v>8</v>
      </c>
      <c r="B9" s="6">
        <f>B4*B5</f>
        <v>0.3</v>
      </c>
      <c r="C9" s="3" t="str">
        <f ca="1">[2]!getformula(B9)</f>
        <v>&lt;--  =B4*B5</v>
      </c>
    </row>
    <row r="11" spans="1:3" x14ac:dyDescent="0.25">
      <c r="A11" s="3" t="s">
        <v>9</v>
      </c>
      <c r="B11" s="7">
        <f>LOGINV(0.01,B8,B9)</f>
        <v>52.576319764049934</v>
      </c>
      <c r="C11" s="3" t="str">
        <f ca="1">[2]!getformula(B11)</f>
        <v>&lt;--  =LOGINV(0.01,B8,B9)</v>
      </c>
    </row>
    <row r="12" spans="1:3" x14ac:dyDescent="0.25">
      <c r="A12" s="8" t="s">
        <v>10</v>
      </c>
      <c r="B12" s="9">
        <f>B2-B11</f>
        <v>47.423680235950066</v>
      </c>
      <c r="C12" s="3" t="str">
        <f ca="1">[2]!getformula(B12)</f>
        <v>&lt;--  =B2-B11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2024-11-12T11:08:13Z</dcterms:modified>
</cp:coreProperties>
</file>