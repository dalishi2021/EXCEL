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5\"/>
    </mc:Choice>
  </mc:AlternateContent>
  <xr:revisionPtr revIDLastSave="0" documentId="13_ncr:1_{EF5AFC0B-0EC7-4B4F-846C-BFA38393E63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B9" i="1" a="1"/>
  <c r="B9" i="1" s="1"/>
  <c r="B12" i="1" s="1"/>
  <c r="B8" i="1" a="1"/>
  <c r="B8" i="1" s="1"/>
  <c r="H5" i="1"/>
  <c r="B11" i="1" l="1"/>
  <c r="B14" i="1"/>
  <c r="B15" i="1" l="1"/>
  <c r="A16" i="1" s="1"/>
  <c r="B16" i="1"/>
</calcChain>
</file>

<file path=xl/sharedStrings.xml><?xml version="1.0" encoding="utf-8"?>
<sst xmlns="http://schemas.openxmlformats.org/spreadsheetml/2006/main" count="19" uniqueCount="19">
  <si>
    <t>VaR FOR 3 ASSET PROBLEM</t>
  </si>
  <si>
    <t>Mean
returns</t>
  </si>
  <si>
    <t>Variance-covariance matrix</t>
  </si>
  <si>
    <t>Portfolio
proportions</t>
  </si>
  <si>
    <t>Asset 1</t>
  </si>
  <si>
    <t>Asset 2</t>
  </si>
  <si>
    <t>Asset 3</t>
  </si>
  <si>
    <t>Initial investment</t>
  </si>
  <si>
    <t>Mean return</t>
  </si>
  <si>
    <t>&lt;-- {=MMULT(TRANSPOSE(B5:B7),H5:H7)}</t>
  </si>
  <si>
    <t>Portfolio sigma</t>
  </si>
  <si>
    <t>&lt;-- {=SQRT(MMULT(MMULT(TRANSPOSE(H5:H7),D5:F7),H5:H7))}</t>
  </si>
  <si>
    <t>Mean investment value</t>
  </si>
  <si>
    <t>Sigma of investment value</t>
  </si>
  <si>
    <t>Cutoff</t>
  </si>
  <si>
    <t>&lt;-- =NORMINV(0.01,(1+B10)*B9,B11*B9)</t>
  </si>
  <si>
    <t>Cumulative PDF</t>
  </si>
  <si>
    <t>&lt;-- =NORMDIST(B16,B13,B14,TRUE)</t>
  </si>
  <si>
    <t>&lt;-- =B9-B16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</si>
</sst>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9" fontId="0" fillId="0" borderId="0" xfId="0" applyNumberFormat="1" applyAlignment="1">
      <alignment horizontal="center"/>
    </xf>
    <xf numFmtId="2" fontId="0" fillId="0" borderId="0" xfId="0" applyNumberFormat="1" applyAlignment="1"/>
    <xf numFmtId="2" fontId="0" fillId="0" borderId="0" xfId="0" applyNumberFormat="1" applyAlignment="1">
      <alignment horizontal="center"/>
    </xf>
    <xf numFmtId="176" fontId="0" fillId="0" borderId="0" xfId="0" applyNumberFormat="1" applyAlignment="1"/>
    <xf numFmtId="0" fontId="0" fillId="2" borderId="0" xfId="0" applyFill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365760</xdr:colOff>
      <xdr:row>3</xdr:row>
      <xdr:rowOff>30480</xdr:rowOff>
    </xdr:from>
    <xdr:to>
      <xdr:col>19</xdr:col>
      <xdr:colOff>342900</xdr:colOff>
      <xdr:row>25</xdr:row>
      <xdr:rowOff>121920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A9BCB89-947B-21D4-67D7-B7CD4EDA2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048500" y="762000"/>
          <a:ext cx="6073140" cy="39471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98"/>
      <sheetName val="Page 398（中文）"/>
      <sheetName val="Page 400"/>
      <sheetName val="Page 400（中文）"/>
      <sheetName val="Page 401"/>
      <sheetName val="Page 401（中文）"/>
      <sheetName val="Page 402"/>
      <sheetName val="Page 402（中文）"/>
      <sheetName val="Page 404"/>
      <sheetName val="Page 404（中文）"/>
      <sheetName val="Page 405, top"/>
      <sheetName val="Page 405, top（中文）"/>
      <sheetName val="Page 405, bottom"/>
      <sheetName val="Page 405, bottom（中文）"/>
      <sheetName val="Page 406-7"/>
      <sheetName val="Page 406-7（中文）"/>
      <sheetName val="Page 410"/>
      <sheetName val="Page 410（中文）"/>
      <sheetName val="Page 411"/>
      <sheetName val="Page 411（中文）"/>
      <sheetName val="Page 412"/>
      <sheetName val="Page 412（中文）"/>
      <sheetName val="Page 414"/>
      <sheetName val="Page 414（中文）"/>
      <sheetName val="Page 417"/>
      <sheetName val="Page 417（中文）"/>
    </sheetNames>
    <sheetDataSet>
      <sheetData sheetId="0">
        <row r="11">
          <cell r="A11">
            <v>0</v>
          </cell>
        </row>
      </sheetData>
      <sheetData sheetId="1" refreshError="1"/>
      <sheetData sheetId="2" refreshError="1"/>
      <sheetData sheetId="3" refreshError="1"/>
      <sheetData sheetId="4">
        <row r="15">
          <cell r="E15">
            <v>-20</v>
          </cell>
        </row>
      </sheetData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 refreshError="1"/>
      <sheetData sheetId="14">
        <row r="4">
          <cell r="X4" t="str">
            <v>Bootstrapped Return Frequency Distribution
5,000 Iterations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H18"/>
  <sheetViews>
    <sheetView tabSelected="1" zoomScale="160" zoomScaleNormal="160" workbookViewId="0">
      <selection activeCell="N31" sqref="N31"/>
    </sheetView>
  </sheetViews>
  <sheetFormatPr defaultRowHeight="13.8" x14ac:dyDescent="0.25"/>
  <cols>
    <col min="1" max="1" width="23.33203125" style="2" customWidth="1"/>
    <col min="2" max="7" width="8.88671875" style="2"/>
    <col min="8" max="8" width="11.88671875" style="2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ht="26.4" x14ac:dyDescent="0.25">
      <c r="B2" s="3" t="s">
        <v>1</v>
      </c>
      <c r="D2" s="4" t="s">
        <v>2</v>
      </c>
      <c r="E2" s="4"/>
      <c r="F2" s="4"/>
      <c r="H2" s="3" t="s">
        <v>3</v>
      </c>
    </row>
    <row r="3" spans="1:8" x14ac:dyDescent="0.25">
      <c r="A3" s="2" t="s">
        <v>4</v>
      </c>
      <c r="B3" s="5">
        <v>0.1</v>
      </c>
      <c r="D3" s="6">
        <v>0.1</v>
      </c>
      <c r="E3" s="6">
        <v>0.04</v>
      </c>
      <c r="F3" s="6">
        <v>0.03</v>
      </c>
      <c r="H3" s="7">
        <v>0.3</v>
      </c>
    </row>
    <row r="4" spans="1:8" x14ac:dyDescent="0.25">
      <c r="A4" s="2" t="s">
        <v>5</v>
      </c>
      <c r="B4" s="5">
        <v>0.12</v>
      </c>
      <c r="D4" s="6">
        <v>0.04</v>
      </c>
      <c r="E4" s="6">
        <v>0.2</v>
      </c>
      <c r="F4" s="6">
        <v>-0.04</v>
      </c>
      <c r="H4" s="7">
        <v>0.25</v>
      </c>
    </row>
    <row r="5" spans="1:8" x14ac:dyDescent="0.25">
      <c r="A5" s="2" t="s">
        <v>6</v>
      </c>
      <c r="B5" s="5">
        <v>0.13</v>
      </c>
      <c r="D5" s="6">
        <v>0.03</v>
      </c>
      <c r="E5" s="6">
        <v>-0.04</v>
      </c>
      <c r="F5" s="6">
        <v>0.6</v>
      </c>
      <c r="H5" s="7">
        <f>1-H4-H3</f>
        <v>0.45</v>
      </c>
    </row>
    <row r="7" spans="1:8" x14ac:dyDescent="0.25">
      <c r="A7" s="2" t="s">
        <v>7</v>
      </c>
      <c r="B7" s="2">
        <v>100</v>
      </c>
    </row>
    <row r="8" spans="1:8" x14ac:dyDescent="0.25">
      <c r="A8" s="2" t="s">
        <v>8</v>
      </c>
      <c r="B8" s="2">
        <f t="array" ref="B8">MMULT(TRANSPOSE(B3:B5),H3:H5)</f>
        <v>0.11849999999999999</v>
      </c>
      <c r="C8" s="2" t="s">
        <v>9</v>
      </c>
    </row>
    <row r="9" spans="1:8" x14ac:dyDescent="0.25">
      <c r="A9" s="2" t="s">
        <v>10</v>
      </c>
      <c r="B9" s="8">
        <f t="array" ref="B9">SQRT(MMULT(MMULT(TRANSPOSE(H3:H5),D3:F5),H3:H5))</f>
        <v>0.38483762809787714</v>
      </c>
      <c r="C9" s="2" t="s">
        <v>11</v>
      </c>
    </row>
    <row r="11" spans="1:8" x14ac:dyDescent="0.25">
      <c r="A11" s="2" t="s">
        <v>12</v>
      </c>
      <c r="B11" s="8">
        <f>(1+B8)*B7</f>
        <v>111.85000000000001</v>
      </c>
    </row>
    <row r="12" spans="1:8" x14ac:dyDescent="0.25">
      <c r="A12" s="2" t="s">
        <v>13</v>
      </c>
      <c r="B12" s="8">
        <f>B9*B7</f>
        <v>38.483762809787713</v>
      </c>
    </row>
    <row r="14" spans="1:8" x14ac:dyDescent="0.25">
      <c r="A14" s="2" t="s">
        <v>14</v>
      </c>
      <c r="B14" s="8">
        <f>NORMINV(0.01,(1+B8)*B7,B9*B7)</f>
        <v>22.323380202358393</v>
      </c>
      <c r="C14" s="2" t="s">
        <v>15</v>
      </c>
    </row>
    <row r="15" spans="1:8" x14ac:dyDescent="0.25">
      <c r="A15" s="2" t="s">
        <v>16</v>
      </c>
      <c r="B15" s="2">
        <f>NORMDIST(B14,B11,B12,TRUE)</f>
        <v>9.9999999999999985E-3</v>
      </c>
      <c r="C15" s="2" t="s">
        <v>17</v>
      </c>
    </row>
    <row r="16" spans="1:8" x14ac:dyDescent="0.25">
      <c r="A16" s="2" t="str">
        <f>"VaR at "&amp;TEXT(B15,"0.00%")&amp;" level"</f>
        <v>VaR at 1.00% level</v>
      </c>
      <c r="B16" s="8">
        <f>B7-B14</f>
        <v>77.676619797641607</v>
      </c>
      <c r="C16" s="2" t="s">
        <v>18</v>
      </c>
    </row>
    <row r="18" spans="2:6" x14ac:dyDescent="0.25">
      <c r="B18" s="9" t="str">
        <f>"Note that the functions in cells "&amp;CHAR(COLUMN(B8)+64)&amp;ROW(B8)&amp;" and "&amp;CHAR(COLUMN(B9)+64)&amp;ROW(B9)&amp;" are array functions:  You must press [Ctrl]+[Shift]+[Enter] when after you write the function in the cell.  The curly brackets {} are not written--they appear automatically."</f>
        <v>Note that the functions in cells B8 and B9 are array functions:  You must press [Ctrl]+[Shift]+[Enter] when after you write the function in the cell.  The curly brackets {} are not written--they appear automatically.</v>
      </c>
      <c r="C18" s="9"/>
      <c r="D18" s="9"/>
      <c r="E18" s="9"/>
      <c r="F18" s="9"/>
    </row>
  </sheetData>
  <mergeCells count="3">
    <mergeCell ref="A1:H1"/>
    <mergeCell ref="D2:F2"/>
    <mergeCell ref="B18:F1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2024-11-12T11:08:02Z</dcterms:modified>
</cp:coreProperties>
</file>