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5\"/>
    </mc:Choice>
  </mc:AlternateContent>
  <xr:revisionPtr revIDLastSave="0" documentId="13_ncr:1_{743249C4-F672-48AF-A8DB-0956E1DCA59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2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5" i="2" l="1"/>
  <c r="J45" i="2"/>
  <c r="I45" i="2"/>
  <c r="K44" i="2"/>
  <c r="J44" i="2"/>
  <c r="I44" i="2"/>
  <c r="K43" i="2"/>
  <c r="J43" i="2"/>
  <c r="I4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K12" i="2"/>
  <c r="J12" i="2"/>
  <c r="I12" i="2"/>
  <c r="K11" i="2"/>
  <c r="J11" i="2"/>
  <c r="I11" i="2"/>
  <c r="K10" i="2"/>
  <c r="J10" i="2"/>
  <c r="I10" i="2"/>
  <c r="K9" i="2"/>
  <c r="J9" i="2"/>
  <c r="I9" i="2"/>
  <c r="A9" i="2"/>
  <c r="A10" i="2" s="1"/>
  <c r="A11" i="2" s="1"/>
  <c r="A12" i="2" s="1"/>
  <c r="A13" i="2" s="1"/>
  <c r="A14" i="2" s="1"/>
  <c r="A15" i="2" s="1"/>
  <c r="AF8" i="2"/>
  <c r="AF9" i="2" s="1"/>
  <c r="AF10" i="2" s="1"/>
  <c r="AF11" i="2" s="1"/>
  <c r="AF12" i="2" s="1"/>
  <c r="AF13" i="2" s="1"/>
  <c r="AF14" i="2" s="1"/>
  <c r="AF15" i="2" s="1"/>
  <c r="AF16" i="2" s="1"/>
  <c r="AF17" i="2" s="1"/>
  <c r="AF18" i="2" s="1"/>
  <c r="AF19" i="2" s="1"/>
  <c r="AF20" i="2" s="1"/>
  <c r="AF21" i="2" s="1"/>
  <c r="AF22" i="2" s="1"/>
  <c r="AF23" i="2" s="1"/>
  <c r="AF24" i="2" s="1"/>
  <c r="AF25" i="2" s="1"/>
  <c r="AF26" i="2" s="1"/>
  <c r="AF27" i="2" s="1"/>
  <c r="AF28" i="2" s="1"/>
  <c r="AF29" i="2" s="1"/>
  <c r="AF30" i="2" s="1"/>
  <c r="AF31" i="2" s="1"/>
  <c r="AF32" i="2" s="1"/>
  <c r="AF33" i="2" s="1"/>
  <c r="AF34" i="2" s="1"/>
  <c r="AF35" i="2" s="1"/>
  <c r="AF36" i="2" s="1"/>
  <c r="AF37" i="2" s="1"/>
  <c r="AF38" i="2" s="1"/>
  <c r="AF39" i="2" s="1"/>
  <c r="AF40" i="2" s="1"/>
  <c r="AF41" i="2" s="1"/>
  <c r="AF42" i="2" s="1"/>
  <c r="AF43" i="2" s="1"/>
  <c r="AF44" i="2" s="1"/>
  <c r="AF45" i="2" s="1"/>
  <c r="AE8" i="2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E28" i="2" s="1"/>
  <c r="AE29" i="2" s="1"/>
  <c r="AE30" i="2" s="1"/>
  <c r="AE31" i="2" s="1"/>
  <c r="AE32" i="2" s="1"/>
  <c r="AE33" i="2" s="1"/>
  <c r="AE34" i="2" s="1"/>
  <c r="AE35" i="2" s="1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K8" i="2"/>
  <c r="J8" i="2"/>
  <c r="I8" i="2"/>
  <c r="A8" i="2"/>
  <c r="AF7" i="2"/>
  <c r="AE7" i="2"/>
  <c r="AD7" i="2"/>
  <c r="AD8" i="2" s="1"/>
  <c r="K7" i="2"/>
  <c r="J7" i="2"/>
  <c r="I7" i="2"/>
  <c r="F7" i="2"/>
  <c r="A7" i="2"/>
  <c r="AF6" i="2"/>
  <c r="AE6" i="2"/>
  <c r="AD6" i="2"/>
  <c r="AC6" i="2"/>
  <c r="AC7" i="2" s="1"/>
  <c r="AC8" i="2" s="1"/>
  <c r="AC9" i="2" s="1"/>
  <c r="AC10" i="2" s="1"/>
  <c r="AC11" i="2" s="1"/>
  <c r="AC12" i="2" s="1"/>
  <c r="AC13" i="2" s="1"/>
  <c r="AC14" i="2" s="1"/>
  <c r="AC15" i="2" s="1"/>
  <c r="AC16" i="2" s="1"/>
  <c r="AC17" i="2" s="1"/>
  <c r="AC18" i="2" s="1"/>
  <c r="AC19" i="2" s="1"/>
  <c r="AC20" i="2" s="1"/>
  <c r="AC21" i="2" s="1"/>
  <c r="AC22" i="2" s="1"/>
  <c r="AC23" i="2" s="1"/>
  <c r="AC24" i="2" s="1"/>
  <c r="AC25" i="2" s="1"/>
  <c r="AC26" i="2" s="1"/>
  <c r="AC27" i="2" s="1"/>
  <c r="AC28" i="2" s="1"/>
  <c r="AC29" i="2" s="1"/>
  <c r="AC30" i="2" s="1"/>
  <c r="AC31" i="2" s="1"/>
  <c r="AC32" i="2" s="1"/>
  <c r="AC33" i="2" s="1"/>
  <c r="AC34" i="2" s="1"/>
  <c r="AC35" i="2" s="1"/>
  <c r="AC36" i="2" s="1"/>
  <c r="AC37" i="2" s="1"/>
  <c r="AC38" i="2" s="1"/>
  <c r="AC39" i="2" s="1"/>
  <c r="AC40" i="2" s="1"/>
  <c r="AC41" i="2" s="1"/>
  <c r="AC42" i="2" s="1"/>
  <c r="AC43" i="2" s="1"/>
  <c r="AC44" i="2" s="1"/>
  <c r="AC45" i="2" s="1"/>
  <c r="F6" i="2"/>
  <c r="A6" i="2"/>
  <c r="B3" i="2"/>
  <c r="F11" i="1"/>
  <c r="I9" i="1"/>
  <c r="H9" i="1"/>
  <c r="F8" i="1"/>
  <c r="F6" i="1"/>
  <c r="B3" i="1"/>
  <c r="G6" i="1" s="1"/>
  <c r="H6" i="1" s="1"/>
  <c r="I6" i="1" s="1"/>
  <c r="F15" i="2" l="1"/>
  <c r="A16" i="2"/>
  <c r="A17" i="2" s="1"/>
  <c r="A18" i="2" s="1"/>
  <c r="A19" i="2" s="1"/>
  <c r="A20" i="2" s="1"/>
  <c r="A21" i="2" s="1"/>
  <c r="A22" i="2" s="1"/>
  <c r="A23" i="2" s="1"/>
  <c r="AH8" i="2"/>
  <c r="AD9" i="2"/>
  <c r="F14" i="2"/>
  <c r="F22" i="2"/>
  <c r="AH7" i="2"/>
  <c r="F11" i="2"/>
  <c r="F19" i="2"/>
  <c r="F8" i="2"/>
  <c r="F16" i="2"/>
  <c r="F13" i="2"/>
  <c r="F21" i="2"/>
  <c r="AH6" i="2"/>
  <c r="F10" i="2"/>
  <c r="F18" i="2"/>
  <c r="F12" i="2"/>
  <c r="F20" i="2"/>
  <c r="F9" i="2"/>
  <c r="F17" i="2"/>
  <c r="AD10" i="2" l="1"/>
  <c r="AH9" i="2"/>
  <c r="F23" i="2"/>
  <c r="A24" i="2"/>
  <c r="A25" i="2" l="1"/>
  <c r="F24" i="2"/>
  <c r="AD11" i="2"/>
  <c r="AH10" i="2"/>
  <c r="AH11" i="2" l="1"/>
  <c r="AD12" i="2"/>
  <c r="A26" i="2"/>
  <c r="F25" i="2"/>
  <c r="A27" i="2" l="1"/>
  <c r="F26" i="2"/>
  <c r="AD13" i="2"/>
  <c r="AH12" i="2"/>
  <c r="AH13" i="2" l="1"/>
  <c r="AD14" i="2"/>
  <c r="A28" i="2"/>
  <c r="F27" i="2"/>
  <c r="A29" i="2" l="1"/>
  <c r="F28" i="2"/>
  <c r="AH14" i="2"/>
  <c r="AD15" i="2"/>
  <c r="AD16" i="2" l="1"/>
  <c r="AH15" i="2"/>
  <c r="A30" i="2"/>
  <c r="F29" i="2"/>
  <c r="A31" i="2" l="1"/>
  <c r="F30" i="2"/>
  <c r="AH16" i="2"/>
  <c r="AD17" i="2"/>
  <c r="AD18" i="2" l="1"/>
  <c r="AH17" i="2"/>
  <c r="A32" i="2"/>
  <c r="F31" i="2"/>
  <c r="A33" i="2" l="1"/>
  <c r="F32" i="2"/>
  <c r="AD19" i="2"/>
  <c r="AH18" i="2"/>
  <c r="AH19" i="2" l="1"/>
  <c r="AD20" i="2"/>
  <c r="A34" i="2"/>
  <c r="F33" i="2"/>
  <c r="A35" i="2" l="1"/>
  <c r="F34" i="2"/>
  <c r="AD21" i="2"/>
  <c r="AH20" i="2"/>
  <c r="AH21" i="2" l="1"/>
  <c r="AD22" i="2"/>
  <c r="A36" i="2"/>
  <c r="F35" i="2"/>
  <c r="A37" i="2" l="1"/>
  <c r="F36" i="2"/>
  <c r="AH22" i="2"/>
  <c r="AD23" i="2"/>
  <c r="AD24" i="2" l="1"/>
  <c r="AH23" i="2"/>
  <c r="A38" i="2"/>
  <c r="F37" i="2"/>
  <c r="A39" i="2" l="1"/>
  <c r="F38" i="2"/>
  <c r="AH24" i="2"/>
  <c r="AD25" i="2"/>
  <c r="F39" i="2" l="1"/>
  <c r="A40" i="2"/>
  <c r="AD26" i="2"/>
  <c r="AH25" i="2"/>
  <c r="A41" i="2" l="1"/>
  <c r="F40" i="2"/>
  <c r="AD27" i="2"/>
  <c r="AH26" i="2"/>
  <c r="AD28" i="2" l="1"/>
  <c r="AH27" i="2"/>
  <c r="A42" i="2"/>
  <c r="F41" i="2"/>
  <c r="A43" i="2" l="1"/>
  <c r="F42" i="2"/>
  <c r="AD29" i="2"/>
  <c r="AH28" i="2"/>
  <c r="AH29" i="2" l="1"/>
  <c r="AD30" i="2"/>
  <c r="A44" i="2"/>
  <c r="F43" i="2"/>
  <c r="A45" i="2" l="1"/>
  <c r="F45" i="2" s="1"/>
  <c r="F44" i="2"/>
  <c r="AH30" i="2"/>
  <c r="AD31" i="2"/>
  <c r="AD32" i="2" l="1"/>
  <c r="AH31" i="2"/>
  <c r="AH32" i="2" l="1"/>
  <c r="AD33" i="2"/>
  <c r="AD34" i="2" l="1"/>
  <c r="AH33" i="2"/>
  <c r="AD35" i="2" l="1"/>
  <c r="AH34" i="2"/>
  <c r="AH35" i="2" l="1"/>
  <c r="AD36" i="2"/>
  <c r="AD37" i="2" l="1"/>
  <c r="AH36" i="2"/>
  <c r="AH37" i="2" l="1"/>
  <c r="AD38" i="2"/>
  <c r="AH38" i="2" l="1"/>
  <c r="AD39" i="2"/>
  <c r="AD40" i="2" l="1"/>
  <c r="AH39" i="2"/>
  <c r="AH40" i="2" l="1"/>
  <c r="AD41" i="2"/>
  <c r="AD42" i="2" l="1"/>
  <c r="AH41" i="2"/>
  <c r="AD43" i="2" l="1"/>
  <c r="AH42" i="2"/>
  <c r="AH43" i="2" l="1"/>
  <c r="AD44" i="2"/>
  <c r="AD45" i="2" l="1"/>
  <c r="AH45" i="2" s="1"/>
  <c r="AH44" i="2"/>
</calcChain>
</file>

<file path=xl/sharedStrings.xml><?xml version="1.0" encoding="utf-8"?>
<sst xmlns="http://schemas.openxmlformats.org/spreadsheetml/2006/main" count="47" uniqueCount="26">
  <si>
    <t>BOOTSTRAPPING DATA--INITIAL POSITION</t>
  </si>
  <si>
    <t>Units of Index held</t>
  </si>
  <si>
    <t>Bond maturity</t>
  </si>
  <si>
    <t>Date</t>
  </si>
  <si>
    <t>Index
value</t>
  </si>
  <si>
    <t>Ruble
interest rate</t>
  </si>
  <si>
    <t>Ruble
exchange rate</t>
  </si>
  <si>
    <t>Total 
index
value</t>
  </si>
  <si>
    <t>Ruble
bond 
value</t>
  </si>
  <si>
    <t>Dollar
bond value</t>
  </si>
  <si>
    <t>Portfolio
value</t>
  </si>
  <si>
    <t>EXCHANGE RATE AND INDEX DATA</t>
  </si>
  <si>
    <t>Return data (to be bootstrapped)</t>
  </si>
  <si>
    <t>Data with random series</t>
  </si>
  <si>
    <t>Data with random series, sorted</t>
  </si>
  <si>
    <t>Bootstrapped data</t>
  </si>
  <si>
    <t>Daily rates of return over 39 (40?) days</t>
  </si>
  <si>
    <t>Day</t>
  </si>
  <si>
    <t>Index</t>
  </si>
  <si>
    <t>Foreign
interest rate</t>
  </si>
  <si>
    <t>Exchange
rate</t>
  </si>
  <si>
    <t>Interest</t>
  </si>
  <si>
    <t>Exchange</t>
  </si>
  <si>
    <t>Random</t>
  </si>
  <si>
    <t>Value</t>
  </si>
  <si>
    <t>Bond maturity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</si>
</sst>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mm\ d\,\ yyyy"/>
    <numFmt numFmtId="177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176" fontId="0" fillId="0" borderId="0" xfId="0" applyNumberFormat="1" applyAlignment="1"/>
    <xf numFmtId="176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0" fontId="0" fillId="0" borderId="0" xfId="1" applyNumberFormat="1" applyFont="1" applyAlignment="1"/>
    <xf numFmtId="2" fontId="0" fillId="0" borderId="0" xfId="0" applyNumberFormat="1" applyAlignment="1"/>
    <xf numFmtId="4" fontId="0" fillId="0" borderId="0" xfId="0" applyNumberFormat="1" applyAlignment="1"/>
    <xf numFmtId="0" fontId="4" fillId="0" borderId="0" xfId="0" applyFont="1" applyAlignme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14" fontId="0" fillId="0" borderId="0" xfId="0" applyNumberFormat="1" applyAlignment="1"/>
    <xf numFmtId="177" fontId="0" fillId="0" borderId="0" xfId="0" applyNumberFormat="1" applyAlignment="1"/>
    <xf numFmtId="177" fontId="0" fillId="0" borderId="0" xfId="1" applyNumberFormat="1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487680</xdr:colOff>
      <xdr:row>48</xdr:row>
      <xdr:rowOff>76200</xdr:rowOff>
    </xdr:from>
    <xdr:to>
      <xdr:col>34</xdr:col>
      <xdr:colOff>224790</xdr:colOff>
      <xdr:row>63</xdr:row>
      <xdr:rowOff>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3131AD0-C8C2-8C37-71E3-877836D7DA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87680" y="8694420"/>
          <a:ext cx="22875240" cy="2552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137160</xdr:colOff>
      <xdr:row>6</xdr:row>
      <xdr:rowOff>15240</xdr:rowOff>
    </xdr:from>
    <xdr:to>
      <xdr:col>5</xdr:col>
      <xdr:colOff>243840</xdr:colOff>
      <xdr:row>7</xdr:row>
      <xdr:rowOff>30480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48999967-85ED-49E2-A5B3-B07D548FF333}"/>
            </a:ext>
          </a:extLst>
        </xdr:cNvPr>
        <xdr:cNvSpPr>
          <a:spLocks noChangeShapeType="1"/>
        </xdr:cNvSpPr>
      </xdr:nvSpPr>
      <xdr:spPr bwMode="auto">
        <a:xfrm flipV="1">
          <a:off x="4029075" y="1428750"/>
          <a:ext cx="1143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320040</xdr:colOff>
      <xdr:row>6</xdr:row>
      <xdr:rowOff>30480</xdr:rowOff>
    </xdr:from>
    <xdr:to>
      <xdr:col>6</xdr:col>
      <xdr:colOff>175260</xdr:colOff>
      <xdr:row>10</xdr:row>
      <xdr:rowOff>15240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id="{02E7CED2-DBED-4660-A1E8-A591B92166CB}"/>
            </a:ext>
          </a:extLst>
        </xdr:cNvPr>
        <xdr:cNvSpPr>
          <a:spLocks noChangeShapeType="1"/>
        </xdr:cNvSpPr>
      </xdr:nvSpPr>
      <xdr:spPr bwMode="auto">
        <a:xfrm flipV="1">
          <a:off x="4219575" y="1438275"/>
          <a:ext cx="457200" cy="6762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152400</xdr:colOff>
      <xdr:row>6</xdr:row>
      <xdr:rowOff>7620</xdr:rowOff>
    </xdr:from>
    <xdr:to>
      <xdr:col>7</xdr:col>
      <xdr:colOff>228600</xdr:colOff>
      <xdr:row>7</xdr:row>
      <xdr:rowOff>106680</xdr:rowOff>
    </xdr:to>
    <xdr:sp macro="" textlink="">
      <xdr:nvSpPr>
        <xdr:cNvPr id="4" name="Line 7">
          <a:extLst>
            <a:ext uri="{FF2B5EF4-FFF2-40B4-BE49-F238E27FC236}">
              <a16:creationId xmlns:a16="http://schemas.microsoft.com/office/drawing/2014/main" id="{14294D96-4E29-4589-B426-D0A07AA4921E}"/>
            </a:ext>
          </a:extLst>
        </xdr:cNvPr>
        <xdr:cNvSpPr>
          <a:spLocks noChangeShapeType="1"/>
        </xdr:cNvSpPr>
      </xdr:nvSpPr>
      <xdr:spPr bwMode="auto">
        <a:xfrm flipV="1">
          <a:off x="5267325" y="1419225"/>
          <a:ext cx="76200" cy="2667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297180</xdr:colOff>
      <xdr:row>6</xdr:row>
      <xdr:rowOff>7620</xdr:rowOff>
    </xdr:from>
    <xdr:to>
      <xdr:col>8</xdr:col>
      <xdr:colOff>297180</xdr:colOff>
      <xdr:row>7</xdr:row>
      <xdr:rowOff>60960</xdr:rowOff>
    </xdr:to>
    <xdr:sp macro="" textlink="">
      <xdr:nvSpPr>
        <xdr:cNvPr id="5" name="Line 8">
          <a:extLst>
            <a:ext uri="{FF2B5EF4-FFF2-40B4-BE49-F238E27FC236}">
              <a16:creationId xmlns:a16="http://schemas.microsoft.com/office/drawing/2014/main" id="{8759F2CB-C932-4912-9E94-BBD538A0CB1F}"/>
            </a:ext>
          </a:extLst>
        </xdr:cNvPr>
        <xdr:cNvSpPr>
          <a:spLocks noChangeShapeType="1"/>
        </xdr:cNvSpPr>
      </xdr:nvSpPr>
      <xdr:spPr bwMode="auto">
        <a:xfrm flipV="1">
          <a:off x="6019800" y="1419225"/>
          <a:ext cx="0" cy="219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0</xdr:row>
          <xdr:rowOff>182880</xdr:rowOff>
        </xdr:from>
        <xdr:to>
          <xdr:col>20</xdr:col>
          <xdr:colOff>289560</xdr:colOff>
          <xdr:row>12</xdr:row>
          <xdr:rowOff>152400</xdr:rowOff>
        </xdr:to>
        <xdr:pic>
          <xdr:nvPicPr>
            <xdr:cNvPr id="6" name="图片 5">
              <a:extLst>
                <a:ext uri="{FF2B5EF4-FFF2-40B4-BE49-F238E27FC236}">
                  <a16:creationId xmlns:a16="http://schemas.microsoft.com/office/drawing/2014/main" id="{3A86FF1A-79E8-DB17-EA36-B3084A58239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]Page 405, top'!$A$1:$I$12" spid="_x0000_s10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979920" y="182880"/>
              <a:ext cx="6347460" cy="24460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5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98"/>
      <sheetName val="Page 398（中文）"/>
      <sheetName val="Page 400"/>
      <sheetName val="Page 400（中文）"/>
      <sheetName val="Page 401"/>
      <sheetName val="Page 401（中文）"/>
      <sheetName val="Page 402"/>
      <sheetName val="Page 402（中文）"/>
      <sheetName val="Page 404"/>
      <sheetName val="Page 404（中文）"/>
      <sheetName val="Page 405, top"/>
      <sheetName val="Page 405, top（中文）"/>
      <sheetName val="Page 405, bottom"/>
      <sheetName val="Page 405, bottom（中文）"/>
      <sheetName val="Page 406-7"/>
      <sheetName val="Page 406-7（中文）"/>
      <sheetName val="Page 410"/>
      <sheetName val="Page 410（中文）"/>
      <sheetName val="Page 411"/>
      <sheetName val="Page 411（中文）"/>
      <sheetName val="Page 412"/>
      <sheetName val="Page 412（中文）"/>
      <sheetName val="Page 414"/>
      <sheetName val="Page 414（中文）"/>
      <sheetName val="Page 417"/>
      <sheetName val="Page 417（中文）"/>
    </sheetNames>
    <sheetDataSet>
      <sheetData sheetId="0">
        <row r="11">
          <cell r="A11">
            <v>0</v>
          </cell>
        </row>
      </sheetData>
      <sheetData sheetId="1" refreshError="1"/>
      <sheetData sheetId="2" refreshError="1"/>
      <sheetData sheetId="3" refreshError="1"/>
      <sheetData sheetId="4">
        <row r="15">
          <cell r="E15">
            <v>-20</v>
          </cell>
        </row>
      </sheetData>
      <sheetData sheetId="5" refreshError="1"/>
      <sheetData sheetId="6"/>
      <sheetData sheetId="7" refreshError="1"/>
      <sheetData sheetId="8"/>
      <sheetData sheetId="9" refreshError="1"/>
      <sheetData sheetId="10"/>
      <sheetData sheetId="11" refreshError="1"/>
      <sheetData sheetId="12"/>
      <sheetData sheetId="13" refreshError="1"/>
      <sheetData sheetId="14">
        <row r="4">
          <cell r="X4" t="str">
            <v>Bootstrapped Return Frequency Distribution
5,000 Iterations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A3B7-2A36-47EF-B8E4-296F867CA09C}">
  <sheetPr codeName="Sheet1"/>
  <dimension ref="A1:AH45"/>
  <sheetViews>
    <sheetView tabSelected="1" workbookViewId="0">
      <selection activeCell="A6" sqref="A6"/>
    </sheetView>
  </sheetViews>
  <sheetFormatPr defaultRowHeight="13.8" x14ac:dyDescent="0.25"/>
  <cols>
    <col min="1" max="1" width="20.88671875" style="2" customWidth="1"/>
    <col min="2" max="2" width="12.88671875" style="2" customWidth="1"/>
    <col min="3" max="3" width="12.33203125" style="2" customWidth="1"/>
    <col min="4" max="4" width="10.44140625" style="2" customWidth="1"/>
    <col min="5" max="5" width="8.88671875" style="2"/>
    <col min="6" max="6" width="8.6640625" style="2" customWidth="1"/>
    <col min="7" max="7" width="16.6640625" style="2" customWidth="1"/>
    <col min="8" max="8" width="11.33203125" style="2" bestFit="1" customWidth="1"/>
    <col min="9" max="28" width="8.88671875" style="2"/>
    <col min="29" max="29" width="12.77734375" style="2" customWidth="1"/>
    <col min="30" max="30" width="8.88671875" style="2"/>
    <col min="31" max="31" width="9.109375" style="8" customWidth="1"/>
    <col min="32" max="34" width="8.88671875" style="2"/>
  </cols>
  <sheetData>
    <row r="1" spans="1:34" ht="17.399999999999999" x14ac:dyDescent="0.3">
      <c r="A1" s="1" t="s">
        <v>11</v>
      </c>
      <c r="B1" s="1"/>
      <c r="C1" s="1"/>
      <c r="D1" s="1"/>
      <c r="E1" s="1"/>
      <c r="F1" s="1"/>
    </row>
    <row r="2" spans="1:34" x14ac:dyDescent="0.25">
      <c r="A2" s="2" t="s">
        <v>1</v>
      </c>
      <c r="B2" s="2">
        <v>2</v>
      </c>
      <c r="I2" s="11" t="s">
        <v>12</v>
      </c>
      <c r="M2" s="11" t="s">
        <v>13</v>
      </c>
      <c r="U2" s="11" t="s">
        <v>14</v>
      </c>
      <c r="AC2" s="11" t="s">
        <v>15</v>
      </c>
    </row>
    <row r="3" spans="1:34" x14ac:dyDescent="0.25">
      <c r="A3" s="2" t="s">
        <v>25</v>
      </c>
      <c r="B3" s="3">
        <f>DATE(2000,5,8)</f>
        <v>36654</v>
      </c>
      <c r="I3" s="2" t="s">
        <v>16</v>
      </c>
    </row>
    <row r="5" spans="1:34" ht="26.4" x14ac:dyDescent="0.25">
      <c r="A5" s="12" t="s">
        <v>17</v>
      </c>
      <c r="B5" s="12" t="s">
        <v>18</v>
      </c>
      <c r="C5" s="13" t="s">
        <v>19</v>
      </c>
      <c r="D5" s="13" t="s">
        <v>20</v>
      </c>
      <c r="E5" s="12"/>
      <c r="F5" s="13" t="s">
        <v>10</v>
      </c>
      <c r="G5" s="14"/>
      <c r="H5" s="14" t="s">
        <v>17</v>
      </c>
      <c r="I5" s="14" t="s">
        <v>18</v>
      </c>
      <c r="J5" s="14" t="s">
        <v>21</v>
      </c>
      <c r="K5" s="14" t="s">
        <v>22</v>
      </c>
      <c r="L5" s="14"/>
      <c r="M5" s="14" t="s">
        <v>17</v>
      </c>
      <c r="N5" s="14" t="s">
        <v>18</v>
      </c>
      <c r="O5" s="14" t="s">
        <v>23</v>
      </c>
      <c r="P5" s="14" t="s">
        <v>21</v>
      </c>
      <c r="Q5" s="14" t="s">
        <v>23</v>
      </c>
      <c r="R5" s="14" t="s">
        <v>22</v>
      </c>
      <c r="S5" s="14" t="s">
        <v>23</v>
      </c>
      <c r="T5" s="14"/>
      <c r="U5" s="14" t="s">
        <v>17</v>
      </c>
      <c r="V5" s="14" t="s">
        <v>18</v>
      </c>
      <c r="W5" s="14" t="s">
        <v>23</v>
      </c>
      <c r="X5" s="14" t="s">
        <v>21</v>
      </c>
      <c r="Y5" s="14" t="s">
        <v>23</v>
      </c>
      <c r="Z5" s="14" t="s">
        <v>22</v>
      </c>
      <c r="AA5" s="14" t="s">
        <v>23</v>
      </c>
      <c r="AB5" s="14"/>
      <c r="AC5" s="14" t="s">
        <v>17</v>
      </c>
      <c r="AD5" s="14" t="s">
        <v>18</v>
      </c>
      <c r="AE5" s="15" t="s">
        <v>21</v>
      </c>
      <c r="AF5" s="14" t="s">
        <v>22</v>
      </c>
      <c r="AG5" s="14"/>
      <c r="AH5" s="14" t="s">
        <v>24</v>
      </c>
    </row>
    <row r="6" spans="1:34" x14ac:dyDescent="0.25">
      <c r="A6" s="7">
        <f>DATE(1997,1,2)</f>
        <v>35432</v>
      </c>
      <c r="B6" s="2">
        <v>462.71</v>
      </c>
      <c r="C6" s="8">
        <v>5.28E-2</v>
      </c>
      <c r="D6" s="9">
        <v>3.5</v>
      </c>
      <c r="E6" s="8"/>
      <c r="F6" s="10">
        <f t="shared" ref="F6:F45" si="0">$B$2*B6-D6*100*EXP(-($B$3-A6)/365*C6)</f>
        <v>632.13006833202257</v>
      </c>
      <c r="H6" s="6">
        <v>1</v>
      </c>
      <c r="M6" s="2">
        <v>1</v>
      </c>
      <c r="U6" s="2">
        <v>1</v>
      </c>
      <c r="AC6" s="16">
        <f>DATE(1997,2,10)</f>
        <v>35471</v>
      </c>
      <c r="AD6" s="17">
        <f>B45</f>
        <v>481.61</v>
      </c>
      <c r="AE6" s="18">
        <f>C45</f>
        <v>5.2999999999999999E-2</v>
      </c>
      <c r="AF6" s="17">
        <f>D45</f>
        <v>3.4</v>
      </c>
      <c r="AG6" s="17"/>
      <c r="AH6" s="17">
        <f t="shared" ref="AH6:AH45" si="1">$B$2*AD6-AF6*100*EXP(-($B$3-AC6)/365*AE6)</f>
        <v>676.88354501436413</v>
      </c>
    </row>
    <row r="7" spans="1:34" x14ac:dyDescent="0.25">
      <c r="A7" s="7">
        <f>A6+1</f>
        <v>35433</v>
      </c>
      <c r="B7" s="2">
        <v>514.71</v>
      </c>
      <c r="C7" s="8">
        <v>5.2600000000000001E-2</v>
      </c>
      <c r="D7" s="9">
        <v>3.47</v>
      </c>
      <c r="E7" s="8"/>
      <c r="F7" s="10">
        <f t="shared" si="0"/>
        <v>738.4072816962273</v>
      </c>
      <c r="H7" s="6">
        <v>2</v>
      </c>
      <c r="I7" s="17">
        <f t="shared" ref="I7:K45" si="2">LN(B7/B6)</f>
        <v>0.10650312730825967</v>
      </c>
      <c r="J7" s="17">
        <f t="shared" si="2"/>
        <v>-3.7950709685516094E-3</v>
      </c>
      <c r="K7" s="17">
        <f t="shared" si="2"/>
        <v>-8.6083745366001638E-3</v>
      </c>
      <c r="M7" s="2">
        <v>2</v>
      </c>
      <c r="N7" s="17">
        <v>3.5398267051239868E-3</v>
      </c>
      <c r="O7" s="17">
        <v>0.66914839278991867</v>
      </c>
      <c r="P7" s="17">
        <v>-3.7950709685516094E-3</v>
      </c>
      <c r="Q7" s="17">
        <v>0.13748926105987214</v>
      </c>
      <c r="R7" s="17">
        <v>-8.6083745366001638E-3</v>
      </c>
      <c r="S7" s="17">
        <v>0.3609354655623922</v>
      </c>
      <c r="U7" s="2">
        <v>2</v>
      </c>
      <c r="V7" s="17">
        <v>-3.466207976486284E-3</v>
      </c>
      <c r="W7" s="17">
        <v>3.5423042355574141E-2</v>
      </c>
      <c r="X7" s="17">
        <v>-2.4552697005878959E-2</v>
      </c>
      <c r="Y7" s="17">
        <v>9.8067683560104868E-2</v>
      </c>
      <c r="Z7" s="17">
        <v>-2.9282597790883341E-3</v>
      </c>
      <c r="AA7" s="17">
        <v>9.2540978688093745E-3</v>
      </c>
      <c r="AC7" s="16">
        <f>AC6+1</f>
        <v>35472</v>
      </c>
      <c r="AD7" s="17">
        <f>AD6*EXP(V7)</f>
        <v>479.9435294117647</v>
      </c>
      <c r="AE7" s="18">
        <f>AE6*EXP(X7)</f>
        <v>5.1714552238805972E-2</v>
      </c>
      <c r="AF7" s="17">
        <f>AF6*EXP(Z7)</f>
        <v>3.3900584795321635</v>
      </c>
      <c r="AG7" s="17"/>
      <c r="AH7" s="17">
        <f t="shared" si="1"/>
        <v>673.155277539488</v>
      </c>
    </row>
    <row r="8" spans="1:34" x14ac:dyDescent="0.25">
      <c r="A8" s="7">
        <f t="shared" ref="A8:A45" si="3">A7+1</f>
        <v>35434</v>
      </c>
      <c r="B8" s="2">
        <v>456.5</v>
      </c>
      <c r="C8" s="8">
        <v>5.2300000000000006E-2</v>
      </c>
      <c r="D8" s="9">
        <v>3.46</v>
      </c>
      <c r="E8" s="8"/>
      <c r="F8" s="10">
        <f t="shared" si="0"/>
        <v>622.49295823484567</v>
      </c>
      <c r="H8" s="6">
        <v>3</v>
      </c>
      <c r="I8" s="17">
        <f t="shared" si="2"/>
        <v>-0.12001493522842108</v>
      </c>
      <c r="J8" s="17">
        <f t="shared" si="2"/>
        <v>-5.7197486727868412E-3</v>
      </c>
      <c r="K8" s="17">
        <f t="shared" si="2"/>
        <v>-2.8860048891349867E-3</v>
      </c>
      <c r="M8" s="2">
        <v>3</v>
      </c>
      <c r="N8" s="17">
        <v>7.042282625412951E-3</v>
      </c>
      <c r="O8" s="17">
        <v>0.67472332974165461</v>
      </c>
      <c r="P8" s="17">
        <v>-5.7197486727868412E-3</v>
      </c>
      <c r="Q8" s="17">
        <v>0.38335466472467772</v>
      </c>
      <c r="R8" s="17">
        <v>-2.8860048891349867E-3</v>
      </c>
      <c r="S8" s="17">
        <v>0.79535175730226682</v>
      </c>
      <c r="U8" s="2">
        <v>3</v>
      </c>
      <c r="V8" s="17">
        <v>1.7391742711869239E-2</v>
      </c>
      <c r="W8" s="17">
        <v>4.9138944348393165E-2</v>
      </c>
      <c r="X8" s="17">
        <v>1.8921481520379623E-3</v>
      </c>
      <c r="Y8" s="17">
        <v>0.10552206670800857</v>
      </c>
      <c r="Z8" s="17">
        <v>2.877699827614974E-3</v>
      </c>
      <c r="AA8" s="17">
        <v>2.4294985018283199E-2</v>
      </c>
      <c r="AC8" s="16">
        <f t="shared" ref="AC8:AC45" si="4">AC7+1</f>
        <v>35473</v>
      </c>
      <c r="AD8" s="17">
        <f t="shared" ref="AD8:AD45" si="5">AD7*EXP(V8)</f>
        <v>488.36359133126939</v>
      </c>
      <c r="AE8" s="18">
        <f t="shared" ref="AE8:AE45" si="6">AE7*EXP(X8)</f>
        <v>5.1812496466530987E-2</v>
      </c>
      <c r="AF8" s="17">
        <f t="shared" ref="AF8:AF45" si="7">AF7*EXP(Z8)</f>
        <v>3.3998281005106419</v>
      </c>
      <c r="AG8" s="17"/>
      <c r="AH8" s="17">
        <f t="shared" si="1"/>
        <v>689.21946831823243</v>
      </c>
    </row>
    <row r="9" spans="1:34" x14ac:dyDescent="0.25">
      <c r="A9" s="7">
        <f t="shared" si="3"/>
        <v>35435</v>
      </c>
      <c r="B9" s="2">
        <v>487.39</v>
      </c>
      <c r="C9" s="8">
        <v>5.2400000000000002E-2</v>
      </c>
      <c r="D9" s="9">
        <v>3.45</v>
      </c>
      <c r="E9" s="8"/>
      <c r="F9" s="10">
        <f t="shared" si="0"/>
        <v>685.16780390985764</v>
      </c>
      <c r="H9" s="6">
        <v>4</v>
      </c>
      <c r="I9" s="17">
        <f t="shared" si="2"/>
        <v>6.547592391647146E-2</v>
      </c>
      <c r="J9" s="17">
        <f t="shared" si="2"/>
        <v>1.9102202561192452E-3</v>
      </c>
      <c r="K9" s="17">
        <f t="shared" si="2"/>
        <v>-2.8943580263644146E-3</v>
      </c>
      <c r="M9" s="2">
        <v>4</v>
      </c>
      <c r="N9" s="17">
        <v>-1.7699577099400975E-2</v>
      </c>
      <c r="O9" s="17">
        <v>0.73296643888908886</v>
      </c>
      <c r="P9" s="17">
        <v>1.9102202561192452E-3</v>
      </c>
      <c r="Q9" s="17">
        <v>0.56452214923782962</v>
      </c>
      <c r="R9" s="17">
        <v>-2.8943580263644146E-3</v>
      </c>
      <c r="S9" s="17">
        <v>0.59796192085910826</v>
      </c>
      <c r="U9" s="2">
        <v>4</v>
      </c>
      <c r="V9" s="17">
        <v>-6.8965790590603286E-3</v>
      </c>
      <c r="W9" s="17">
        <v>0.1010259740936425</v>
      </c>
      <c r="X9" s="17">
        <v>-1.8709079358117313E-3</v>
      </c>
      <c r="Y9" s="17">
        <v>0.1077552413640479</v>
      </c>
      <c r="Z9" s="17">
        <v>1.1628037995119214E-2</v>
      </c>
      <c r="AA9" s="17">
        <v>2.9245595284604686E-2</v>
      </c>
      <c r="AC9" s="16">
        <f t="shared" si="4"/>
        <v>35474</v>
      </c>
      <c r="AD9" s="17">
        <f t="shared" si="5"/>
        <v>485.00714053174175</v>
      </c>
      <c r="AE9" s="18">
        <f t="shared" si="6"/>
        <v>5.1715650678743078E-2</v>
      </c>
      <c r="AF9" s="17">
        <f t="shared" si="7"/>
        <v>3.4395921718616438</v>
      </c>
      <c r="AG9" s="17"/>
      <c r="AH9" s="17">
        <f t="shared" si="1"/>
        <v>679.0115148799606</v>
      </c>
    </row>
    <row r="10" spans="1:34" x14ac:dyDescent="0.25">
      <c r="A10" s="7">
        <f t="shared" si="3"/>
        <v>35436</v>
      </c>
      <c r="B10" s="2">
        <v>470.42</v>
      </c>
      <c r="C10" s="8">
        <v>5.2499999999999998E-2</v>
      </c>
      <c r="D10" s="9">
        <v>3.45</v>
      </c>
      <c r="E10" s="8"/>
      <c r="F10" s="10">
        <f t="shared" si="0"/>
        <v>651.28286466530949</v>
      </c>
      <c r="H10" s="6">
        <v>5</v>
      </c>
      <c r="I10" s="17">
        <f t="shared" si="2"/>
        <v>-3.5438711264096888E-2</v>
      </c>
      <c r="J10" s="17">
        <f t="shared" si="2"/>
        <v>1.9065782705814474E-3</v>
      </c>
      <c r="K10" s="17">
        <f t="shared" si="2"/>
        <v>0</v>
      </c>
      <c r="M10" s="2">
        <v>5</v>
      </c>
      <c r="N10" s="17">
        <v>7.1174677688639549E-3</v>
      </c>
      <c r="O10" s="17">
        <v>0.86778552483849802</v>
      </c>
      <c r="P10" s="17">
        <v>1.9065782705814474E-3</v>
      </c>
      <c r="Q10" s="17">
        <v>0.37800154720998247</v>
      </c>
      <c r="R10" s="17">
        <v>0</v>
      </c>
      <c r="S10" s="17">
        <v>0.56535858211188872</v>
      </c>
      <c r="U10" s="2">
        <v>5</v>
      </c>
      <c r="V10" s="17">
        <v>-6.9444723528110461E-3</v>
      </c>
      <c r="W10" s="17">
        <v>0.12878193587219755</v>
      </c>
      <c r="X10" s="17">
        <v>3.7807228399059311E-3</v>
      </c>
      <c r="Y10" s="17">
        <v>0.12435425915551068</v>
      </c>
      <c r="Z10" s="17">
        <v>5.8309203107931437E-3</v>
      </c>
      <c r="AA10" s="17">
        <v>4.8225731309623043E-2</v>
      </c>
      <c r="AC10" s="16">
        <f t="shared" si="4"/>
        <v>35475</v>
      </c>
      <c r="AD10" s="17">
        <f t="shared" si="5"/>
        <v>481.65068973221412</v>
      </c>
      <c r="AE10" s="18">
        <f t="shared" si="6"/>
        <v>5.191154329495043E-2</v>
      </c>
      <c r="AF10" s="17">
        <f t="shared" si="7"/>
        <v>3.4597067459660975</v>
      </c>
      <c r="AG10" s="17"/>
      <c r="AH10" s="17">
        <f t="shared" si="1"/>
        <v>670.74054680515087</v>
      </c>
    </row>
    <row r="11" spans="1:34" x14ac:dyDescent="0.25">
      <c r="A11" s="7">
        <f t="shared" si="3"/>
        <v>35437</v>
      </c>
      <c r="B11" s="2">
        <v>466.45</v>
      </c>
      <c r="C11" s="8">
        <v>5.2400000000000002E-2</v>
      </c>
      <c r="D11" s="9">
        <v>3.46</v>
      </c>
      <c r="E11" s="8"/>
      <c r="F11" s="10">
        <f t="shared" si="0"/>
        <v>642.36494086233074</v>
      </c>
      <c r="H11" s="6">
        <v>6</v>
      </c>
      <c r="I11" s="17">
        <f t="shared" si="2"/>
        <v>-8.4750792804276116E-3</v>
      </c>
      <c r="J11" s="17">
        <f t="shared" si="2"/>
        <v>-1.9065782705815315E-3</v>
      </c>
      <c r="K11" s="17">
        <f t="shared" si="2"/>
        <v>2.8943580263643353E-3</v>
      </c>
      <c r="M11" s="2">
        <v>6</v>
      </c>
      <c r="N11" s="17">
        <v>-3.5524016043677721E-3</v>
      </c>
      <c r="O11" s="17">
        <v>0.51579843789072788</v>
      </c>
      <c r="P11" s="17">
        <v>-1.9065782705815315E-3</v>
      </c>
      <c r="Q11" s="17">
        <v>0.68782880302893901</v>
      </c>
      <c r="R11" s="17">
        <v>2.8943580263643353E-3</v>
      </c>
      <c r="S11" s="17">
        <v>0.23371897277080866</v>
      </c>
      <c r="U11" s="2">
        <v>6</v>
      </c>
      <c r="V11" s="17">
        <v>7.042282625412951E-3</v>
      </c>
      <c r="W11" s="17">
        <v>0.14187213486830808</v>
      </c>
      <c r="X11" s="17">
        <v>0</v>
      </c>
      <c r="Y11" s="17">
        <v>0.12907554258453047</v>
      </c>
      <c r="Z11" s="17">
        <v>-5.7971176843259579E-3</v>
      </c>
      <c r="AA11" s="17">
        <v>4.9502232622542275E-2</v>
      </c>
      <c r="AC11" s="16">
        <f t="shared" si="4"/>
        <v>35476</v>
      </c>
      <c r="AD11" s="17">
        <f t="shared" si="5"/>
        <v>485.05458153244183</v>
      </c>
      <c r="AE11" s="18">
        <f t="shared" si="6"/>
        <v>5.191154329495043E-2</v>
      </c>
      <c r="AF11" s="17">
        <f t="shared" si="7"/>
        <v>3.4397084410761201</v>
      </c>
      <c r="AG11" s="17"/>
      <c r="AH11" s="17">
        <f t="shared" si="1"/>
        <v>679.198062058912</v>
      </c>
    </row>
    <row r="12" spans="1:34" x14ac:dyDescent="0.25">
      <c r="A12" s="7">
        <f t="shared" si="3"/>
        <v>35438</v>
      </c>
      <c r="B12" s="2">
        <v>705.27</v>
      </c>
      <c r="C12" s="8">
        <v>5.2400000000000002E-2</v>
      </c>
      <c r="D12" s="9">
        <v>3.45</v>
      </c>
      <c r="E12" s="8"/>
      <c r="F12" s="10">
        <f t="shared" si="0"/>
        <v>1120.8030454371524</v>
      </c>
      <c r="H12" s="6">
        <v>7</v>
      </c>
      <c r="I12" s="17">
        <f t="shared" si="2"/>
        <v>0.41342987481107041</v>
      </c>
      <c r="J12" s="17">
        <f t="shared" si="2"/>
        <v>0</v>
      </c>
      <c r="K12" s="17">
        <f t="shared" si="2"/>
        <v>-2.8943580263644146E-3</v>
      </c>
      <c r="M12" s="2">
        <v>7</v>
      </c>
      <c r="N12" s="17">
        <v>3.5524016043679218E-3</v>
      </c>
      <c r="O12" s="17">
        <v>0.36190861128580498</v>
      </c>
      <c r="P12" s="17">
        <v>0</v>
      </c>
      <c r="Q12" s="17">
        <v>0.96318872841900305</v>
      </c>
      <c r="R12" s="17">
        <v>-2.8943580263644146E-3</v>
      </c>
      <c r="S12" s="17">
        <v>0.19723270460979236</v>
      </c>
      <c r="U12" s="2">
        <v>7</v>
      </c>
      <c r="V12" s="17">
        <v>6.9686693160934355E-3</v>
      </c>
      <c r="W12" s="17">
        <v>0.14900202969075393</v>
      </c>
      <c r="X12" s="17">
        <v>-3.7950709685516094E-3</v>
      </c>
      <c r="Y12" s="17">
        <v>0.13748926105987214</v>
      </c>
      <c r="Z12" s="17">
        <v>0</v>
      </c>
      <c r="AA12" s="17">
        <v>9.5822169576866567E-2</v>
      </c>
      <c r="AC12" s="16">
        <f t="shared" si="4"/>
        <v>35477</v>
      </c>
      <c r="AD12" s="17">
        <f t="shared" si="5"/>
        <v>488.44657161308834</v>
      </c>
      <c r="AE12" s="18">
        <f t="shared" si="6"/>
        <v>5.1714908661257435E-2</v>
      </c>
      <c r="AF12" s="17">
        <f t="shared" si="7"/>
        <v>3.4397084410761201</v>
      </c>
      <c r="AG12" s="17"/>
      <c r="AH12" s="17">
        <f t="shared" si="1"/>
        <v>685.75611944888794</v>
      </c>
    </row>
    <row r="13" spans="1:34" x14ac:dyDescent="0.25">
      <c r="A13" s="7">
        <f t="shared" si="3"/>
        <v>35439</v>
      </c>
      <c r="B13" s="2">
        <v>605.37</v>
      </c>
      <c r="C13" s="8">
        <v>5.2499999999999998E-2</v>
      </c>
      <c r="D13" s="9">
        <v>3.43</v>
      </c>
      <c r="E13" s="8"/>
      <c r="F13" s="10">
        <f t="shared" si="0"/>
        <v>922.73720838594181</v>
      </c>
      <c r="H13" s="6">
        <v>8</v>
      </c>
      <c r="I13" s="17">
        <f t="shared" si="2"/>
        <v>-0.152740866872138</v>
      </c>
      <c r="J13" s="17">
        <f t="shared" si="2"/>
        <v>1.9065782705814474E-3</v>
      </c>
      <c r="K13" s="17">
        <f t="shared" si="2"/>
        <v>-5.8139698654198447E-3</v>
      </c>
      <c r="M13" s="2">
        <v>8</v>
      </c>
      <c r="N13" s="17">
        <v>1.4084739881739023E-2</v>
      </c>
      <c r="O13" s="17">
        <v>0.33032792807364686</v>
      </c>
      <c r="P13" s="17">
        <v>1.9065782705814474E-3</v>
      </c>
      <c r="Q13" s="17">
        <v>0.74277078319197831</v>
      </c>
      <c r="R13" s="17">
        <v>-5.8139698654198447E-3</v>
      </c>
      <c r="S13" s="17">
        <v>0.52947621481566132</v>
      </c>
      <c r="U13" s="2">
        <v>8</v>
      </c>
      <c r="V13" s="17">
        <v>1.0471299867295437E-2</v>
      </c>
      <c r="W13" s="17">
        <v>0.21259856889673845</v>
      </c>
      <c r="X13" s="17">
        <v>3.7950709685515343E-3</v>
      </c>
      <c r="Y13" s="17">
        <v>0.17925437858259929</v>
      </c>
      <c r="Z13" s="17">
        <v>1.1594332780919227E-2</v>
      </c>
      <c r="AA13" s="17">
        <v>0.14716608789479846</v>
      </c>
      <c r="AC13" s="16">
        <f t="shared" si="4"/>
        <v>35478</v>
      </c>
      <c r="AD13" s="17">
        <f t="shared" si="5"/>
        <v>493.58811447217352</v>
      </c>
      <c r="AE13" s="18">
        <f t="shared" si="6"/>
        <v>5.1911543294950423E-2</v>
      </c>
      <c r="AF13" s="17">
        <f t="shared" si="7"/>
        <v>3.479821659047853</v>
      </c>
      <c r="AG13" s="17"/>
      <c r="AH13" s="17">
        <f t="shared" si="1"/>
        <v>692.7888530130715</v>
      </c>
    </row>
    <row r="14" spans="1:34" x14ac:dyDescent="0.25">
      <c r="A14" s="7">
        <f t="shared" si="3"/>
        <v>35440</v>
      </c>
      <c r="B14" s="2">
        <v>651.99</v>
      </c>
      <c r="C14" s="8">
        <v>5.2499999999999998E-2</v>
      </c>
      <c r="D14" s="9">
        <v>3.47</v>
      </c>
      <c r="E14" s="8"/>
      <c r="F14" s="10">
        <f t="shared" si="0"/>
        <v>1012.5766640833629</v>
      </c>
      <c r="H14" s="6">
        <v>9</v>
      </c>
      <c r="I14" s="17">
        <f t="shared" si="2"/>
        <v>7.4189383039818216E-2</v>
      </c>
      <c r="J14" s="17">
        <f t="shared" si="2"/>
        <v>0</v>
      </c>
      <c r="K14" s="17">
        <f t="shared" si="2"/>
        <v>1.1594332780919227E-2</v>
      </c>
      <c r="M14" s="2">
        <v>9</v>
      </c>
      <c r="N14" s="17">
        <v>-3.5026305512021118E-3</v>
      </c>
      <c r="O14" s="17">
        <v>0.53060981579554767</v>
      </c>
      <c r="P14" s="17">
        <v>0</v>
      </c>
      <c r="Q14" s="17">
        <v>0.22803497034754017</v>
      </c>
      <c r="R14" s="17">
        <v>1.1594332780919227E-2</v>
      </c>
      <c r="S14" s="17">
        <v>0.14716608789479846</v>
      </c>
      <c r="U14" s="2">
        <v>9</v>
      </c>
      <c r="V14" s="17">
        <v>6.920442844573757E-3</v>
      </c>
      <c r="W14" s="17">
        <v>0.2275556558438403</v>
      </c>
      <c r="X14" s="17">
        <v>3.7878833169371563E-3</v>
      </c>
      <c r="Y14" s="17">
        <v>0.19890095923715645</v>
      </c>
      <c r="Z14" s="17">
        <v>-2.8943580263644146E-3</v>
      </c>
      <c r="AA14" s="17">
        <v>0.19723270460979236</v>
      </c>
      <c r="AC14" s="16">
        <f t="shared" si="4"/>
        <v>35479</v>
      </c>
      <c r="AD14" s="17">
        <f t="shared" si="5"/>
        <v>497.01580971156358</v>
      </c>
      <c r="AE14" s="18">
        <f t="shared" si="6"/>
        <v>5.2108551049390467E-2</v>
      </c>
      <c r="AF14" s="17">
        <f t="shared" si="7"/>
        <v>3.4697643710159229</v>
      </c>
      <c r="AG14" s="17"/>
      <c r="AH14" s="17">
        <f t="shared" si="1"/>
        <v>700.63945254314876</v>
      </c>
    </row>
    <row r="15" spans="1:34" x14ac:dyDescent="0.25">
      <c r="A15" s="7">
        <f t="shared" si="3"/>
        <v>35441</v>
      </c>
      <c r="B15" s="2">
        <v>581.5</v>
      </c>
      <c r="C15" s="8">
        <v>5.2600000000000001E-2</v>
      </c>
      <c r="D15" s="9">
        <v>3.4430000000000001</v>
      </c>
      <c r="E15" s="8"/>
      <c r="F15" s="10">
        <f t="shared" si="0"/>
        <v>873.91856256842925</v>
      </c>
      <c r="H15" s="6">
        <v>10</v>
      </c>
      <c r="I15" s="17">
        <f t="shared" si="2"/>
        <v>-0.11441825242700146</v>
      </c>
      <c r="J15" s="17">
        <f t="shared" si="2"/>
        <v>1.9029501460860636E-3</v>
      </c>
      <c r="K15" s="17">
        <f t="shared" si="2"/>
        <v>-7.8114096023811416E-3</v>
      </c>
      <c r="M15" s="2">
        <v>10</v>
      </c>
      <c r="N15" s="17">
        <v>3.5026305512020745E-3</v>
      </c>
      <c r="O15" s="17">
        <v>0.56026059289438912</v>
      </c>
      <c r="P15" s="17">
        <v>1.9029501460860636E-3</v>
      </c>
      <c r="Q15" s="17">
        <v>0.72874622828330593</v>
      </c>
      <c r="R15" s="17">
        <v>-7.8114096023811416E-3</v>
      </c>
      <c r="S15" s="17">
        <v>0.48253088678219069</v>
      </c>
      <c r="U15" s="2">
        <v>10</v>
      </c>
      <c r="V15" s="17">
        <v>1.4084739881739023E-2</v>
      </c>
      <c r="W15" s="17">
        <v>0.33032792807364686</v>
      </c>
      <c r="X15" s="17">
        <v>1.8993358036523157E-3</v>
      </c>
      <c r="Y15" s="17">
        <v>0.20980729245782337</v>
      </c>
      <c r="Z15" s="17">
        <v>-8.7591800898814652E-3</v>
      </c>
      <c r="AA15" s="17">
        <v>0.20765226334228437</v>
      </c>
      <c r="AC15" s="16">
        <f t="shared" si="4"/>
        <v>35480</v>
      </c>
      <c r="AD15" s="17">
        <f t="shared" si="5"/>
        <v>504.06567935286239</v>
      </c>
      <c r="AE15" s="18">
        <f t="shared" si="6"/>
        <v>5.2207616735796145E-2</v>
      </c>
      <c r="AF15" s="17">
        <f t="shared" si="7"/>
        <v>3.4395047980128775</v>
      </c>
      <c r="AG15" s="17"/>
      <c r="AH15" s="17">
        <f t="shared" si="1"/>
        <v>717.34899044163626</v>
      </c>
    </row>
    <row r="16" spans="1:34" x14ac:dyDescent="0.25">
      <c r="A16" s="7">
        <f t="shared" si="3"/>
        <v>35442</v>
      </c>
      <c r="B16" s="2">
        <v>654.16999999999996</v>
      </c>
      <c r="C16" s="8">
        <v>5.2699999999999997E-2</v>
      </c>
      <c r="D16" s="9">
        <v>3.42</v>
      </c>
      <c r="E16" s="8"/>
      <c r="F16" s="10">
        <f t="shared" si="0"/>
        <v>1021.2436538343517</v>
      </c>
      <c r="H16" s="6">
        <v>11</v>
      </c>
      <c r="I16" s="17">
        <f t="shared" si="2"/>
        <v>0.11775628455815361</v>
      </c>
      <c r="J16" s="17">
        <f t="shared" si="2"/>
        <v>1.8993358036523157E-3</v>
      </c>
      <c r="K16" s="17">
        <f t="shared" si="2"/>
        <v>-6.7026332818729811E-3</v>
      </c>
      <c r="M16" s="2">
        <v>11</v>
      </c>
      <c r="N16" s="17">
        <v>6.9686693160934355E-3</v>
      </c>
      <c r="O16" s="17">
        <v>0.14900202969075393</v>
      </c>
      <c r="P16" s="17">
        <v>1.8993358036523157E-3</v>
      </c>
      <c r="Q16" s="17">
        <v>0.20980729245782337</v>
      </c>
      <c r="R16" s="17">
        <v>-6.7026332818729811E-3</v>
      </c>
      <c r="S16" s="17">
        <v>0.28085441440655556</v>
      </c>
      <c r="U16" s="2">
        <v>11</v>
      </c>
      <c r="V16" s="17">
        <v>3.4542348680876036E-3</v>
      </c>
      <c r="W16" s="17">
        <v>0.33827111543661403</v>
      </c>
      <c r="X16" s="17">
        <v>0</v>
      </c>
      <c r="Y16" s="17">
        <v>0.22803497034754017</v>
      </c>
      <c r="Z16" s="17">
        <v>2.8943580263643353E-3</v>
      </c>
      <c r="AA16" s="17">
        <v>0.23371897277080866</v>
      </c>
      <c r="AC16" s="16">
        <f t="shared" si="4"/>
        <v>35481</v>
      </c>
      <c r="AD16" s="17">
        <f t="shared" si="5"/>
        <v>505.80985125373735</v>
      </c>
      <c r="AE16" s="18">
        <f t="shared" si="6"/>
        <v>5.2207616735796145E-2</v>
      </c>
      <c r="AF16" s="17">
        <f t="shared" si="7"/>
        <v>3.4494743771375518</v>
      </c>
      <c r="AG16" s="17"/>
      <c r="AH16" s="17">
        <f t="shared" si="1"/>
        <v>719.95277132955653</v>
      </c>
    </row>
    <row r="17" spans="1:34" x14ac:dyDescent="0.25">
      <c r="A17" s="7">
        <f t="shared" si="3"/>
        <v>35443</v>
      </c>
      <c r="B17" s="2">
        <v>500.71</v>
      </c>
      <c r="C17" s="8">
        <v>5.28E-2</v>
      </c>
      <c r="D17" s="9">
        <v>3.42</v>
      </c>
      <c r="E17" s="8"/>
      <c r="F17" s="10">
        <f t="shared" si="0"/>
        <v>714.37744986228631</v>
      </c>
      <c r="H17" s="6">
        <v>12</v>
      </c>
      <c r="I17" s="17">
        <f t="shared" si="2"/>
        <v>-0.26734016534126709</v>
      </c>
      <c r="J17" s="17">
        <f t="shared" si="2"/>
        <v>1.8957351648991973E-3</v>
      </c>
      <c r="K17" s="17">
        <f t="shared" si="2"/>
        <v>0</v>
      </c>
      <c r="M17" s="2">
        <v>12</v>
      </c>
      <c r="N17" s="17">
        <v>3.4662079764863291E-3</v>
      </c>
      <c r="O17" s="17">
        <v>0.3719517029864261</v>
      </c>
      <c r="P17" s="17">
        <v>1.8957351648991973E-3</v>
      </c>
      <c r="Q17" s="17">
        <v>0.26789517160090193</v>
      </c>
      <c r="R17" s="17">
        <v>0</v>
      </c>
      <c r="S17" s="17">
        <v>9.5822169576866567E-2</v>
      </c>
      <c r="U17" s="2">
        <v>12</v>
      </c>
      <c r="V17" s="17">
        <v>3.4071583216143558E-3</v>
      </c>
      <c r="W17" s="17">
        <v>0.36103379061915941</v>
      </c>
      <c r="X17" s="17">
        <v>1.8957351648991973E-3</v>
      </c>
      <c r="Y17" s="17">
        <v>0.26789517160090193</v>
      </c>
      <c r="Z17" s="17">
        <v>5.8823699030666129E-3</v>
      </c>
      <c r="AA17" s="17">
        <v>0.27142680919598927</v>
      </c>
      <c r="AC17" s="16">
        <f t="shared" si="4"/>
        <v>35482</v>
      </c>
      <c r="AD17" s="17">
        <f t="shared" si="5"/>
        <v>507.53616473924501</v>
      </c>
      <c r="AE17" s="18">
        <f t="shared" si="6"/>
        <v>5.2306682422201829E-2</v>
      </c>
      <c r="AF17" s="17">
        <f t="shared" si="7"/>
        <v>3.4698252584185996</v>
      </c>
      <c r="AG17" s="17"/>
      <c r="AH17" s="17">
        <f t="shared" si="1"/>
        <v>721.73600577191201</v>
      </c>
    </row>
    <row r="18" spans="1:34" x14ac:dyDescent="0.25">
      <c r="A18" s="7">
        <f t="shared" si="3"/>
        <v>35444</v>
      </c>
      <c r="B18" s="2">
        <v>561.88</v>
      </c>
      <c r="C18" s="8">
        <v>5.28E-2</v>
      </c>
      <c r="D18" s="9">
        <v>3.41</v>
      </c>
      <c r="E18" s="8"/>
      <c r="F18" s="10">
        <f t="shared" si="0"/>
        <v>837.51535111414933</v>
      </c>
      <c r="H18" s="6">
        <v>13</v>
      </c>
      <c r="I18" s="17">
        <f t="shared" si="2"/>
        <v>0.11526121278710334</v>
      </c>
      <c r="J18" s="17">
        <f t="shared" si="2"/>
        <v>0</v>
      </c>
      <c r="K18" s="17">
        <f t="shared" si="2"/>
        <v>-2.9282597790883341E-3</v>
      </c>
      <c r="M18" s="2">
        <v>13</v>
      </c>
      <c r="N18" s="17">
        <v>3.4542348680876036E-3</v>
      </c>
      <c r="O18" s="17">
        <v>0.33827111543661403</v>
      </c>
      <c r="P18" s="17">
        <v>0</v>
      </c>
      <c r="Q18" s="17">
        <v>0.35831957724993391</v>
      </c>
      <c r="R18" s="17">
        <v>-2.9282597790883341E-3</v>
      </c>
      <c r="S18" s="17">
        <v>9.2540978688093745E-3</v>
      </c>
      <c r="U18" s="2">
        <v>13</v>
      </c>
      <c r="V18" s="17">
        <v>3.4188067487854611E-3</v>
      </c>
      <c r="W18" s="17">
        <v>0.3613212478515031</v>
      </c>
      <c r="X18" s="17">
        <v>1.9029501460860636E-3</v>
      </c>
      <c r="Y18" s="17">
        <v>0.32627238900480826</v>
      </c>
      <c r="Z18" s="17">
        <v>-6.7026332818729811E-3</v>
      </c>
      <c r="AA18" s="17">
        <v>0.28085441440655556</v>
      </c>
      <c r="AC18" s="16">
        <f t="shared" si="4"/>
        <v>35483</v>
      </c>
      <c r="AD18" s="17">
        <f t="shared" si="5"/>
        <v>509.27430228972185</v>
      </c>
      <c r="AE18" s="18">
        <f t="shared" si="6"/>
        <v>5.2406314198244118E-2</v>
      </c>
      <c r="AF18" s="17">
        <f t="shared" si="7"/>
        <v>3.4466460597710165</v>
      </c>
      <c r="AG18" s="17"/>
      <c r="AH18" s="17">
        <f t="shared" si="1"/>
        <v>727.22320754112388</v>
      </c>
    </row>
    <row r="19" spans="1:34" x14ac:dyDescent="0.25">
      <c r="A19" s="7">
        <f t="shared" si="3"/>
        <v>35445</v>
      </c>
      <c r="B19" s="2">
        <v>533.4</v>
      </c>
      <c r="C19" s="8">
        <v>5.28E-2</v>
      </c>
      <c r="D19" s="9">
        <v>3.42</v>
      </c>
      <c r="E19" s="8"/>
      <c r="F19" s="10">
        <f t="shared" si="0"/>
        <v>779.67439211288286</v>
      </c>
      <c r="H19" s="6">
        <v>14</v>
      </c>
      <c r="I19" s="17">
        <f t="shared" si="2"/>
        <v>-5.201669221479522E-2</v>
      </c>
      <c r="J19" s="17">
        <f t="shared" si="2"/>
        <v>0</v>
      </c>
      <c r="K19" s="17">
        <f t="shared" si="2"/>
        <v>2.9282597790883597E-3</v>
      </c>
      <c r="M19" s="2">
        <v>14</v>
      </c>
      <c r="N19" s="17">
        <v>-3.4542348680875576E-3</v>
      </c>
      <c r="O19" s="17">
        <v>0.40995081398181821</v>
      </c>
      <c r="P19" s="17">
        <v>0</v>
      </c>
      <c r="Q19" s="17">
        <v>0.54354413935212809</v>
      </c>
      <c r="R19" s="17">
        <v>2.9282597790883597E-3</v>
      </c>
      <c r="S19" s="17">
        <v>0.43231829010262385</v>
      </c>
      <c r="U19" s="2">
        <v>14</v>
      </c>
      <c r="V19" s="17">
        <v>3.5524016043679218E-3</v>
      </c>
      <c r="W19" s="17">
        <v>0.36190861128580498</v>
      </c>
      <c r="X19" s="17">
        <v>1.8674141747954624E-3</v>
      </c>
      <c r="Y19" s="17">
        <v>0.33404724378990841</v>
      </c>
      <c r="Z19" s="17">
        <v>-5.8309203107932096E-3</v>
      </c>
      <c r="AA19" s="17">
        <v>0.32588205015583971</v>
      </c>
      <c r="AC19" s="16">
        <f t="shared" si="4"/>
        <v>35484</v>
      </c>
      <c r="AD19" s="17">
        <f t="shared" si="5"/>
        <v>511.08666635480989</v>
      </c>
      <c r="AE19" s="18">
        <f t="shared" si="6"/>
        <v>5.2504269925717474E-2</v>
      </c>
      <c r="AF19" s="17">
        <f t="shared" si="7"/>
        <v>3.4266074198886267</v>
      </c>
      <c r="AG19" s="17"/>
      <c r="AH19" s="17">
        <f t="shared" si="1"/>
        <v>732.59104167782993</v>
      </c>
    </row>
    <row r="20" spans="1:34" x14ac:dyDescent="0.25">
      <c r="A20" s="7">
        <f t="shared" si="3"/>
        <v>35446</v>
      </c>
      <c r="B20" s="2">
        <v>645.5</v>
      </c>
      <c r="C20" s="8">
        <v>5.2900000000000003E-2</v>
      </c>
      <c r="D20" s="9">
        <v>3.46</v>
      </c>
      <c r="E20" s="8"/>
      <c r="F20" s="10">
        <f t="shared" si="0"/>
        <v>1000.5703103580772</v>
      </c>
      <c r="H20" s="6">
        <v>15</v>
      </c>
      <c r="I20" s="17">
        <f t="shared" si="2"/>
        <v>0.19075359853878326</v>
      </c>
      <c r="J20" s="17">
        <f t="shared" si="2"/>
        <v>1.8921481520379623E-3</v>
      </c>
      <c r="K20" s="17">
        <f t="shared" si="2"/>
        <v>1.1628037995119214E-2</v>
      </c>
      <c r="M20" s="2">
        <v>15</v>
      </c>
      <c r="N20" s="17">
        <v>6.8965790590604587E-3</v>
      </c>
      <c r="O20" s="17">
        <v>0.62897857894450482</v>
      </c>
      <c r="P20" s="17">
        <v>1.8921481520379623E-3</v>
      </c>
      <c r="Q20" s="17">
        <v>0.10552206670800857</v>
      </c>
      <c r="R20" s="17">
        <v>1.1628037995119214E-2</v>
      </c>
      <c r="S20" s="17">
        <v>2.9245595284604686E-2</v>
      </c>
      <c r="U20" s="2">
        <v>15</v>
      </c>
      <c r="V20" s="17">
        <v>3.4662079764863291E-3</v>
      </c>
      <c r="W20" s="17">
        <v>0.3719517029864261</v>
      </c>
      <c r="X20" s="17">
        <v>0</v>
      </c>
      <c r="Y20" s="17">
        <v>0.35831957724993391</v>
      </c>
      <c r="Z20" s="17">
        <v>-8.6083745366001638E-3</v>
      </c>
      <c r="AA20" s="17">
        <v>0.3609354655623922</v>
      </c>
      <c r="AC20" s="16">
        <f t="shared" si="4"/>
        <v>35485</v>
      </c>
      <c r="AD20" s="17">
        <f t="shared" si="5"/>
        <v>512.86127283520864</v>
      </c>
      <c r="AE20" s="18">
        <f t="shared" si="6"/>
        <v>5.2504269925717474E-2</v>
      </c>
      <c r="AF20" s="17">
        <f t="shared" si="7"/>
        <v>3.3972364991467243</v>
      </c>
      <c r="AG20" s="17"/>
      <c r="AH20" s="17">
        <f t="shared" si="1"/>
        <v>738.58108700457183</v>
      </c>
    </row>
    <row r="21" spans="1:34" x14ac:dyDescent="0.25">
      <c r="A21" s="7">
        <f t="shared" si="3"/>
        <v>35447</v>
      </c>
      <c r="B21" s="2">
        <v>615.92999999999995</v>
      </c>
      <c r="C21" s="8">
        <v>5.3099999999999994E-2</v>
      </c>
      <c r="D21" s="9">
        <v>3.41</v>
      </c>
      <c r="E21" s="8"/>
      <c r="F21" s="10">
        <f t="shared" si="0"/>
        <v>945.77505458720771</v>
      </c>
      <c r="H21" s="6">
        <v>16</v>
      </c>
      <c r="I21" s="17">
        <f t="shared" si="2"/>
        <v>-4.6891889573914575E-2</v>
      </c>
      <c r="J21" s="17">
        <f t="shared" si="2"/>
        <v>3.7735893836392666E-3</v>
      </c>
      <c r="K21" s="17">
        <f t="shared" si="2"/>
        <v>-1.4556297774207375E-2</v>
      </c>
      <c r="M21" s="2">
        <v>16</v>
      </c>
      <c r="N21" s="17">
        <v>6.8493418455747683E-3</v>
      </c>
      <c r="O21" s="17">
        <v>0.92418467076458044</v>
      </c>
      <c r="P21" s="17">
        <v>3.7735893836392666E-3</v>
      </c>
      <c r="Q21" s="17">
        <v>0.42968070411024417</v>
      </c>
      <c r="R21" s="17">
        <v>-1.4556297774207375E-2</v>
      </c>
      <c r="S21" s="17">
        <v>0.40655920156758829</v>
      </c>
      <c r="U21" s="2">
        <v>16</v>
      </c>
      <c r="V21" s="17">
        <v>-1.0398707220898622E-2</v>
      </c>
      <c r="W21" s="17">
        <v>0.38614808272683199</v>
      </c>
      <c r="X21" s="17">
        <v>1.9065782705814474E-3</v>
      </c>
      <c r="Y21" s="17">
        <v>0.37800154720998247</v>
      </c>
      <c r="Z21" s="17">
        <v>-2.9282597790883341E-3</v>
      </c>
      <c r="AA21" s="17">
        <v>0.3687727016352027</v>
      </c>
      <c r="AC21" s="16">
        <f t="shared" si="4"/>
        <v>35486</v>
      </c>
      <c r="AD21" s="17">
        <f t="shared" si="5"/>
        <v>507.55581139208579</v>
      </c>
      <c r="AE21" s="18">
        <f t="shared" si="6"/>
        <v>5.2604468914125325E-2</v>
      </c>
      <c r="AF21" s="17">
        <f t="shared" si="7"/>
        <v>3.38730305909074</v>
      </c>
      <c r="AG21" s="17"/>
      <c r="AH21" s="17">
        <f t="shared" si="1"/>
        <v>728.86036970132386</v>
      </c>
    </row>
    <row r="22" spans="1:34" x14ac:dyDescent="0.25">
      <c r="A22" s="7">
        <f t="shared" si="3"/>
        <v>35448</v>
      </c>
      <c r="B22" s="2">
        <v>461.79</v>
      </c>
      <c r="C22" s="8">
        <v>5.3200000000000004E-2</v>
      </c>
      <c r="D22" s="9">
        <v>3.4</v>
      </c>
      <c r="E22" s="8"/>
      <c r="F22" s="10">
        <f t="shared" si="0"/>
        <v>638.38675946418209</v>
      </c>
      <c r="H22" s="6">
        <v>17</v>
      </c>
      <c r="I22" s="17">
        <f t="shared" si="2"/>
        <v>-0.28802307842268976</v>
      </c>
      <c r="J22" s="17">
        <f t="shared" si="2"/>
        <v>1.8814680997057919E-3</v>
      </c>
      <c r="K22" s="17">
        <f t="shared" si="2"/>
        <v>-2.936859673309825E-3</v>
      </c>
      <c r="M22" s="2">
        <v>17</v>
      </c>
      <c r="N22" s="17">
        <v>3.4071583216143558E-3</v>
      </c>
      <c r="O22" s="17">
        <v>0.36103379061915941</v>
      </c>
      <c r="P22" s="17">
        <v>1.8814680997057919E-3</v>
      </c>
      <c r="Q22" s="17">
        <v>0.73884720025497508</v>
      </c>
      <c r="R22" s="17">
        <v>-2.936859673309825E-3</v>
      </c>
      <c r="S22" s="17">
        <v>0.39763722963054349</v>
      </c>
      <c r="U22" s="2">
        <v>17</v>
      </c>
      <c r="V22" s="17">
        <v>3.4423441909726986E-3</v>
      </c>
      <c r="W22" s="17">
        <v>0.38741857366300259</v>
      </c>
      <c r="X22" s="17">
        <v>-5.7197486727868412E-3</v>
      </c>
      <c r="Y22" s="17">
        <v>0.38335466472467772</v>
      </c>
      <c r="Z22" s="17">
        <v>-5.7637047167501294E-3</v>
      </c>
      <c r="AA22" s="17">
        <v>0.37275358598768132</v>
      </c>
      <c r="AC22" s="16">
        <f t="shared" si="4"/>
        <v>35487</v>
      </c>
      <c r="AD22" s="17">
        <f t="shared" si="5"/>
        <v>509.30600384516191</v>
      </c>
      <c r="AE22" s="18">
        <f t="shared" si="6"/>
        <v>5.2304443426021953E-2</v>
      </c>
      <c r="AF22" s="17">
        <f t="shared" si="7"/>
        <v>3.3678358001304485</v>
      </c>
      <c r="AG22" s="17"/>
      <c r="AH22" s="17">
        <f t="shared" si="1"/>
        <v>733.69167432777431</v>
      </c>
    </row>
    <row r="23" spans="1:34" x14ac:dyDescent="0.25">
      <c r="A23" s="7">
        <f t="shared" si="3"/>
        <v>35449</v>
      </c>
      <c r="B23" s="2">
        <v>639.95000000000005</v>
      </c>
      <c r="C23" s="8">
        <v>5.3399999999999996E-2</v>
      </c>
      <c r="D23" s="9">
        <v>3.49</v>
      </c>
      <c r="E23" s="8"/>
      <c r="F23" s="10">
        <f t="shared" si="0"/>
        <v>987.30810990185955</v>
      </c>
      <c r="H23" s="6">
        <v>18</v>
      </c>
      <c r="I23" s="17">
        <f t="shared" si="2"/>
        <v>0.32627980601170792</v>
      </c>
      <c r="J23" s="17">
        <f t="shared" si="2"/>
        <v>3.7523496185503718E-3</v>
      </c>
      <c r="K23" s="17">
        <f t="shared" si="2"/>
        <v>2.6126304592220213E-2</v>
      </c>
      <c r="M23" s="2">
        <v>18</v>
      </c>
      <c r="N23" s="17">
        <v>-1.3698844358161915E-2</v>
      </c>
      <c r="O23" s="17">
        <v>0.57164746021694524</v>
      </c>
      <c r="P23" s="17">
        <v>3.7523496185503718E-3</v>
      </c>
      <c r="Q23" s="17">
        <v>0.61180404441505498</v>
      </c>
      <c r="R23" s="17">
        <v>2.6126304592220213E-2</v>
      </c>
      <c r="S23" s="17">
        <v>0.54487183690353636</v>
      </c>
      <c r="U23" s="2">
        <v>18</v>
      </c>
      <c r="V23" s="17">
        <v>-3.4542348680875576E-3</v>
      </c>
      <c r="W23" s="17">
        <v>0.40995081398181821</v>
      </c>
      <c r="X23" s="17">
        <v>3.7735893836392666E-3</v>
      </c>
      <c r="Y23" s="17">
        <v>0.42968070411024417</v>
      </c>
      <c r="Z23" s="17">
        <v>-1.4727806710243398E-2</v>
      </c>
      <c r="AA23" s="17">
        <v>0.38286473424805578</v>
      </c>
      <c r="AC23" s="16">
        <f t="shared" si="4"/>
        <v>35488</v>
      </c>
      <c r="AD23" s="17">
        <f t="shared" si="5"/>
        <v>507.54977624569585</v>
      </c>
      <c r="AE23" s="18">
        <f t="shared" si="6"/>
        <v>5.2502191794362288E-2</v>
      </c>
      <c r="AF23" s="17">
        <f t="shared" si="7"/>
        <v>3.3185984346314652</v>
      </c>
      <c r="AG23" s="17"/>
      <c r="AH23" s="17">
        <f t="shared" si="1"/>
        <v>734.48181145254034</v>
      </c>
    </row>
    <row r="24" spans="1:34" x14ac:dyDescent="0.25">
      <c r="A24" s="7">
        <f t="shared" si="3"/>
        <v>35450</v>
      </c>
      <c r="B24" s="2">
        <v>584.41</v>
      </c>
      <c r="C24" s="8">
        <v>5.3499999999999999E-2</v>
      </c>
      <c r="D24" s="9">
        <v>3.47</v>
      </c>
      <c r="E24" s="8"/>
      <c r="F24" s="10">
        <f t="shared" si="0"/>
        <v>877.95825021921667</v>
      </c>
      <c r="H24" s="6">
        <v>19</v>
      </c>
      <c r="I24" s="17">
        <f t="shared" si="2"/>
        <v>-9.078725700423812E-2</v>
      </c>
      <c r="J24" s="17">
        <f t="shared" si="2"/>
        <v>1.8709079358118241E-3</v>
      </c>
      <c r="K24" s="17">
        <f t="shared" si="2"/>
        <v>-5.7471422555679594E-3</v>
      </c>
      <c r="M24" s="2">
        <v>19</v>
      </c>
      <c r="N24" s="17">
        <v>-1.0398707220898622E-2</v>
      </c>
      <c r="O24" s="17">
        <v>0.38614808272683199</v>
      </c>
      <c r="P24" s="17">
        <v>1.8709079358118241E-3</v>
      </c>
      <c r="Q24" s="17">
        <v>0.47555243631447053</v>
      </c>
      <c r="R24" s="17">
        <v>-5.7471422555679594E-3</v>
      </c>
      <c r="S24" s="17">
        <v>0.81237486455930186</v>
      </c>
      <c r="U24" s="2">
        <v>19</v>
      </c>
      <c r="V24" s="17">
        <v>3.4662079764863291E-3</v>
      </c>
      <c r="W24" s="17">
        <v>0.41347285468385353</v>
      </c>
      <c r="X24" s="17">
        <v>1.8709079358118241E-3</v>
      </c>
      <c r="Y24" s="17">
        <v>0.47555243631447053</v>
      </c>
      <c r="Z24" s="17">
        <v>2.9027596579614102E-3</v>
      </c>
      <c r="AA24" s="17">
        <v>0.39159333827844645</v>
      </c>
      <c r="AC24" s="16">
        <f t="shared" si="4"/>
        <v>35489</v>
      </c>
      <c r="AD24" s="17">
        <f t="shared" si="5"/>
        <v>509.31210185766014</v>
      </c>
      <c r="AE24" s="18">
        <f t="shared" si="6"/>
        <v>5.2600510505587693E-2</v>
      </c>
      <c r="AF24" s="17">
        <f t="shared" si="7"/>
        <v>3.3282455231042309</v>
      </c>
      <c r="AG24" s="17"/>
      <c r="AH24" s="17">
        <f t="shared" si="1"/>
        <v>737.23854465833381</v>
      </c>
    </row>
    <row r="25" spans="1:34" x14ac:dyDescent="0.25">
      <c r="A25" s="7">
        <f t="shared" si="3"/>
        <v>35451</v>
      </c>
      <c r="B25" s="2">
        <v>444.27</v>
      </c>
      <c r="C25" s="8">
        <v>5.3399999999999996E-2</v>
      </c>
      <c r="D25" s="9">
        <v>3.48</v>
      </c>
      <c r="E25" s="8"/>
      <c r="F25" s="10">
        <f t="shared" si="0"/>
        <v>596.70110171046713</v>
      </c>
      <c r="H25" s="6">
        <v>20</v>
      </c>
      <c r="I25" s="17">
        <f t="shared" si="2"/>
        <v>-0.27417030558004118</v>
      </c>
      <c r="J25" s="17">
        <f t="shared" si="2"/>
        <v>-1.8709079358117313E-3</v>
      </c>
      <c r="K25" s="17">
        <f t="shared" si="2"/>
        <v>2.877699827614974E-3</v>
      </c>
      <c r="M25" s="2">
        <v>20</v>
      </c>
      <c r="N25" s="17">
        <v>3.4782643763247925E-3</v>
      </c>
      <c r="O25" s="17">
        <v>0.92823285012551948</v>
      </c>
      <c r="P25" s="17">
        <v>-1.8709079358117313E-3</v>
      </c>
      <c r="Q25" s="17">
        <v>0.1077552413640479</v>
      </c>
      <c r="R25" s="17">
        <v>2.877699827614974E-3</v>
      </c>
      <c r="S25" s="17">
        <v>2.4294985018283199E-2</v>
      </c>
      <c r="U25" s="2">
        <v>20</v>
      </c>
      <c r="V25" s="17">
        <v>1.0291686036547506E-2</v>
      </c>
      <c r="W25" s="17">
        <v>0.46573833913612095</v>
      </c>
      <c r="X25" s="17">
        <v>-7.5472056353829663E-3</v>
      </c>
      <c r="Y25" s="17">
        <v>0.49450616627041222</v>
      </c>
      <c r="Z25" s="17">
        <v>-2.936859673309825E-3</v>
      </c>
      <c r="AA25" s="17">
        <v>0.39763722963054349</v>
      </c>
      <c r="AC25" s="16">
        <f t="shared" si="4"/>
        <v>35490</v>
      </c>
      <c r="AD25" s="17">
        <f t="shared" si="5"/>
        <v>514.5808477389462</v>
      </c>
      <c r="AE25" s="18">
        <f t="shared" si="6"/>
        <v>5.2205017945395303E-2</v>
      </c>
      <c r="AF25" s="17">
        <f t="shared" si="7"/>
        <v>3.3184852723033385</v>
      </c>
      <c r="AG25" s="17"/>
      <c r="AH25" s="17">
        <f t="shared" si="1"/>
        <v>748.2066506028209</v>
      </c>
    </row>
    <row r="26" spans="1:34" x14ac:dyDescent="0.25">
      <c r="A26" s="7">
        <f t="shared" si="3"/>
        <v>35452</v>
      </c>
      <c r="B26" s="2">
        <v>670.63</v>
      </c>
      <c r="C26" s="8">
        <v>5.3499999999999999E-2</v>
      </c>
      <c r="D26" s="9">
        <v>3.46</v>
      </c>
      <c r="E26" s="8"/>
      <c r="F26" s="10">
        <f t="shared" si="0"/>
        <v>1051.1514354582557</v>
      </c>
      <c r="H26" s="6">
        <v>21</v>
      </c>
      <c r="I26" s="17">
        <f t="shared" si="2"/>
        <v>0.41178508337124109</v>
      </c>
      <c r="J26" s="17">
        <f t="shared" si="2"/>
        <v>1.8709079358118241E-3</v>
      </c>
      <c r="K26" s="17">
        <f t="shared" si="2"/>
        <v>-5.7637047167501294E-3</v>
      </c>
      <c r="M26" s="2">
        <v>21</v>
      </c>
      <c r="N26" s="17">
        <v>3.4662079764863291E-3</v>
      </c>
      <c r="O26" s="17">
        <v>0.41347285468385353</v>
      </c>
      <c r="P26" s="17">
        <v>1.8709079358118241E-3</v>
      </c>
      <c r="Q26" s="17">
        <v>0.88930826069049629</v>
      </c>
      <c r="R26" s="17">
        <v>-5.7637047167501294E-3</v>
      </c>
      <c r="S26" s="17">
        <v>0.37275358598768132</v>
      </c>
      <c r="U26" s="2">
        <v>21</v>
      </c>
      <c r="V26" s="17">
        <v>3.4188067487854611E-3</v>
      </c>
      <c r="W26" s="17">
        <v>0.49335986900425288</v>
      </c>
      <c r="X26" s="17">
        <v>1.9102202561192452E-3</v>
      </c>
      <c r="Y26" s="17">
        <v>0.49525371557718767</v>
      </c>
      <c r="Z26" s="17">
        <v>-1.4556297774207375E-2</v>
      </c>
      <c r="AA26" s="17">
        <v>0.40655920156758829</v>
      </c>
      <c r="AC26" s="16">
        <f t="shared" si="4"/>
        <v>35491</v>
      </c>
      <c r="AD26" s="17">
        <f t="shared" si="5"/>
        <v>516.34311091613438</v>
      </c>
      <c r="AE26" s="18">
        <f t="shared" si="6"/>
        <v>5.2304836335348256E-2</v>
      </c>
      <c r="AF26" s="17">
        <f t="shared" si="7"/>
        <v>3.2705302828191867</v>
      </c>
      <c r="AG26" s="17"/>
      <c r="AH26" s="17">
        <f t="shared" si="1"/>
        <v>755.83967999530319</v>
      </c>
    </row>
    <row r="27" spans="1:34" x14ac:dyDescent="0.25">
      <c r="A27" s="7">
        <f t="shared" si="3"/>
        <v>35453</v>
      </c>
      <c r="B27" s="2">
        <v>472.35</v>
      </c>
      <c r="C27" s="8">
        <v>5.3600000000000002E-2</v>
      </c>
      <c r="D27" s="9">
        <v>3.44</v>
      </c>
      <c r="E27" s="8"/>
      <c r="F27" s="10">
        <f t="shared" si="0"/>
        <v>656.32098767165212</v>
      </c>
      <c r="H27" s="6">
        <v>22</v>
      </c>
      <c r="I27" s="17">
        <f t="shared" si="2"/>
        <v>-0.35049733287361934</v>
      </c>
      <c r="J27" s="17">
        <f t="shared" si="2"/>
        <v>1.8674141747954624E-3</v>
      </c>
      <c r="K27" s="17">
        <f t="shared" si="2"/>
        <v>-5.7971176843259579E-3</v>
      </c>
      <c r="M27" s="2">
        <v>22</v>
      </c>
      <c r="N27" s="17">
        <v>-2.8072018778686376E-2</v>
      </c>
      <c r="O27" s="17">
        <v>0.62286958006869808</v>
      </c>
      <c r="P27" s="17">
        <v>1.8674141747954624E-3</v>
      </c>
      <c r="Q27" s="17">
        <v>0.33404724378990841</v>
      </c>
      <c r="R27" s="17">
        <v>-5.7971176843259579E-3</v>
      </c>
      <c r="S27" s="17">
        <v>4.9502232622542275E-2</v>
      </c>
      <c r="U27" s="2">
        <v>22</v>
      </c>
      <c r="V27" s="17">
        <v>3.4188067487854611E-3</v>
      </c>
      <c r="W27" s="17">
        <v>0.49335986900425288</v>
      </c>
      <c r="X27" s="17">
        <v>-1.8921481520379265E-3</v>
      </c>
      <c r="Y27" s="17">
        <v>0.51623944343338124</v>
      </c>
      <c r="Z27" s="17">
        <v>2.9282597790883597E-3</v>
      </c>
      <c r="AA27" s="17">
        <v>0.43231829010262385</v>
      </c>
      <c r="AC27" s="16">
        <f t="shared" si="4"/>
        <v>35492</v>
      </c>
      <c r="AD27" s="17">
        <f t="shared" si="5"/>
        <v>518.11140924118956</v>
      </c>
      <c r="AE27" s="18">
        <f t="shared" si="6"/>
        <v>5.2205961408438334E-2</v>
      </c>
      <c r="AF27" s="17">
        <f t="shared" si="7"/>
        <v>3.2801212807160169</v>
      </c>
      <c r="AG27" s="17"/>
      <c r="AH27" s="17">
        <f t="shared" si="1"/>
        <v>758.43719234676564</v>
      </c>
    </row>
    <row r="28" spans="1:34" x14ac:dyDescent="0.25">
      <c r="A28" s="7">
        <f t="shared" si="3"/>
        <v>35454</v>
      </c>
      <c r="B28" s="2">
        <v>740.74</v>
      </c>
      <c r="C28" s="8">
        <v>5.2300000000000006E-2</v>
      </c>
      <c r="D28" s="9">
        <v>3.45</v>
      </c>
      <c r="E28" s="8"/>
      <c r="F28" s="10">
        <f t="shared" si="0"/>
        <v>1190.9812679542197</v>
      </c>
      <c r="H28" s="6">
        <v>23</v>
      </c>
      <c r="I28" s="17">
        <f t="shared" si="2"/>
        <v>0.44992945031615561</v>
      </c>
      <c r="J28" s="17">
        <f t="shared" si="2"/>
        <v>-2.4552697005878959E-2</v>
      </c>
      <c r="K28" s="17">
        <f t="shared" si="2"/>
        <v>2.9027596579614102E-3</v>
      </c>
      <c r="M28" s="2">
        <v>23</v>
      </c>
      <c r="N28" s="17">
        <v>7.0922283094918366E-3</v>
      </c>
      <c r="O28" s="17">
        <v>0.53756354165360642</v>
      </c>
      <c r="P28" s="17">
        <v>-2.4552697005878959E-2</v>
      </c>
      <c r="Q28" s="17">
        <v>9.8067683560104868E-2</v>
      </c>
      <c r="R28" s="17">
        <v>2.9027596579614102E-3</v>
      </c>
      <c r="S28" s="17">
        <v>0.39159333827844645</v>
      </c>
      <c r="U28" s="2">
        <v>23</v>
      </c>
      <c r="V28" s="17">
        <v>-3.418806748785609E-3</v>
      </c>
      <c r="W28" s="17">
        <v>0.49860049076755653</v>
      </c>
      <c r="X28" s="17">
        <v>1.9065782705814474E-3</v>
      </c>
      <c r="Y28" s="17">
        <v>0.53245941622193027</v>
      </c>
      <c r="Z28" s="17">
        <v>0</v>
      </c>
      <c r="AA28" s="17">
        <v>0.47613862597511813</v>
      </c>
      <c r="AC28" s="16">
        <f t="shared" si="4"/>
        <v>35493</v>
      </c>
      <c r="AD28" s="17">
        <f t="shared" si="5"/>
        <v>516.34311091613426</v>
      </c>
      <c r="AE28" s="18">
        <f t="shared" si="6"/>
        <v>5.2305591105782673E-2</v>
      </c>
      <c r="AF28" s="17">
        <f t="shared" si="7"/>
        <v>3.2801212807160169</v>
      </c>
      <c r="AG28" s="17"/>
      <c r="AH28" s="17">
        <f t="shared" si="1"/>
        <v>754.94889127740373</v>
      </c>
    </row>
    <row r="29" spans="1:34" x14ac:dyDescent="0.25">
      <c r="A29" s="7">
        <f t="shared" si="3"/>
        <v>35455</v>
      </c>
      <c r="B29" s="2">
        <v>445.77</v>
      </c>
      <c r="C29" s="8">
        <v>5.2400000000000002E-2</v>
      </c>
      <c r="D29" s="9">
        <v>3.42</v>
      </c>
      <c r="E29" s="8"/>
      <c r="F29" s="10">
        <f t="shared" si="0"/>
        <v>603.62067306031736</v>
      </c>
      <c r="H29" s="6">
        <v>24</v>
      </c>
      <c r="I29" s="17">
        <f t="shared" si="2"/>
        <v>-0.50784656259493333</v>
      </c>
      <c r="J29" s="17">
        <f t="shared" si="2"/>
        <v>1.9102202561192452E-3</v>
      </c>
      <c r="K29" s="17">
        <f t="shared" si="2"/>
        <v>-8.7336799687546662E-3</v>
      </c>
      <c r="M29" s="2">
        <v>24</v>
      </c>
      <c r="N29" s="17">
        <v>7.042282625412951E-3</v>
      </c>
      <c r="O29" s="17">
        <v>0.14187213486830808</v>
      </c>
      <c r="P29" s="17">
        <v>1.9102202561192452E-3</v>
      </c>
      <c r="Q29" s="17">
        <v>0.49525371557718767</v>
      </c>
      <c r="R29" s="17">
        <v>-8.7336799687546662E-3</v>
      </c>
      <c r="S29" s="17">
        <v>0.92802975932575893</v>
      </c>
      <c r="U29" s="2">
        <v>24</v>
      </c>
      <c r="V29" s="17">
        <v>-3.5524016043677721E-3</v>
      </c>
      <c r="W29" s="17">
        <v>0.51579843789072788</v>
      </c>
      <c r="X29" s="17">
        <v>0</v>
      </c>
      <c r="Y29" s="17">
        <v>0.54354413935212809</v>
      </c>
      <c r="Z29" s="17">
        <v>-7.8114096023811416E-3</v>
      </c>
      <c r="AA29" s="17">
        <v>0.48253088678219069</v>
      </c>
      <c r="AC29" s="16">
        <f t="shared" si="4"/>
        <v>35494</v>
      </c>
      <c r="AD29" s="17">
        <f t="shared" si="5"/>
        <v>514.51210697671536</v>
      </c>
      <c r="AE29" s="18">
        <f t="shared" si="6"/>
        <v>5.2305591105782673E-2</v>
      </c>
      <c r="AF29" s="17">
        <f t="shared" si="7"/>
        <v>3.2545987232003593</v>
      </c>
      <c r="AG29" s="17"/>
      <c r="AH29" s="17">
        <f t="shared" si="1"/>
        <v>753.40845823299401</v>
      </c>
    </row>
    <row r="30" spans="1:34" x14ac:dyDescent="0.25">
      <c r="A30" s="7">
        <f t="shared" si="3"/>
        <v>35456</v>
      </c>
      <c r="B30" s="2">
        <v>458.26</v>
      </c>
      <c r="C30" s="8">
        <v>5.2499999999999998E-2</v>
      </c>
      <c r="D30" s="9">
        <v>3.41</v>
      </c>
      <c r="E30" s="8"/>
      <c r="F30" s="10">
        <f t="shared" si="0"/>
        <v>629.49554855864471</v>
      </c>
      <c r="H30" s="6">
        <v>25</v>
      </c>
      <c r="I30" s="17">
        <f t="shared" si="2"/>
        <v>2.7633584694830793E-2</v>
      </c>
      <c r="J30" s="17">
        <f t="shared" si="2"/>
        <v>1.9065782705814474E-3</v>
      </c>
      <c r="K30" s="17">
        <f t="shared" si="2"/>
        <v>-2.9282597790883341E-3</v>
      </c>
      <c r="M30" s="2">
        <v>25</v>
      </c>
      <c r="N30" s="17">
        <v>1.0471299867295437E-2</v>
      </c>
      <c r="O30" s="17">
        <v>0.21259856889673845</v>
      </c>
      <c r="P30" s="17">
        <v>1.9065782705814474E-3</v>
      </c>
      <c r="Q30" s="17">
        <v>0.53245941622193027</v>
      </c>
      <c r="R30" s="17">
        <v>-2.9282597790883341E-3</v>
      </c>
      <c r="S30" s="17">
        <v>0.3687727016352027</v>
      </c>
      <c r="U30" s="2">
        <v>25</v>
      </c>
      <c r="V30" s="17">
        <v>-3.5026305512021118E-3</v>
      </c>
      <c r="W30" s="17">
        <v>0.53060981579554767</v>
      </c>
      <c r="X30" s="17">
        <v>1.9102202561192452E-3</v>
      </c>
      <c r="Y30" s="17">
        <v>0.56452214923782962</v>
      </c>
      <c r="Z30" s="17">
        <v>-2.9197101033348618E-3</v>
      </c>
      <c r="AA30" s="17">
        <v>0.51658910797278645</v>
      </c>
      <c r="AC30" s="16">
        <f t="shared" si="4"/>
        <v>35495</v>
      </c>
      <c r="AD30" s="17">
        <f t="shared" si="5"/>
        <v>512.7131135956779</v>
      </c>
      <c r="AE30" s="18">
        <f t="shared" si="6"/>
        <v>5.2405601796233499E-2</v>
      </c>
      <c r="AF30" s="17">
        <f t="shared" si="7"/>
        <v>3.2451100971851976</v>
      </c>
      <c r="AG30" s="17"/>
      <c r="AH30" s="17">
        <f t="shared" si="1"/>
        <v>750.66190198148536</v>
      </c>
    </row>
    <row r="31" spans="1:34" x14ac:dyDescent="0.25">
      <c r="A31" s="7">
        <f t="shared" si="3"/>
        <v>35457</v>
      </c>
      <c r="B31" s="2">
        <v>640.42999999999995</v>
      </c>
      <c r="C31" s="8">
        <v>5.2600000000000001E-2</v>
      </c>
      <c r="D31" s="9">
        <v>3.41</v>
      </c>
      <c r="E31" s="8"/>
      <c r="F31" s="10">
        <f t="shared" si="0"/>
        <v>993.88838764820343</v>
      </c>
      <c r="H31" s="6">
        <v>26</v>
      </c>
      <c r="I31" s="17">
        <f t="shared" si="2"/>
        <v>0.33470311711556067</v>
      </c>
      <c r="J31" s="17">
        <f t="shared" si="2"/>
        <v>1.9029501460860636E-3</v>
      </c>
      <c r="K31" s="17">
        <f t="shared" si="2"/>
        <v>0</v>
      </c>
      <c r="M31" s="2">
        <v>26</v>
      </c>
      <c r="N31" s="17">
        <v>3.4662079764863291E-3</v>
      </c>
      <c r="O31" s="17">
        <v>0.97871920085214303</v>
      </c>
      <c r="P31" s="17">
        <v>1.9029501460860636E-3</v>
      </c>
      <c r="Q31" s="17">
        <v>0.32627238900480826</v>
      </c>
      <c r="R31" s="17">
        <v>0</v>
      </c>
      <c r="S31" s="17">
        <v>0.47613862597511813</v>
      </c>
      <c r="U31" s="2">
        <v>26</v>
      </c>
      <c r="V31" s="17">
        <v>7.0922283094918366E-3</v>
      </c>
      <c r="W31" s="17">
        <v>0.53756354165360642</v>
      </c>
      <c r="X31" s="17">
        <v>3.7523496185503718E-3</v>
      </c>
      <c r="Y31" s="17">
        <v>0.61180404441505498</v>
      </c>
      <c r="Z31" s="17">
        <v>-5.8139698654198447E-3</v>
      </c>
      <c r="AA31" s="17">
        <v>0.52947621481566132</v>
      </c>
      <c r="AC31" s="16">
        <f t="shared" si="4"/>
        <v>35496</v>
      </c>
      <c r="AD31" s="17">
        <f t="shared" si="5"/>
        <v>516.36231725116318</v>
      </c>
      <c r="AE31" s="18">
        <f t="shared" si="6"/>
        <v>5.260261533682084E-2</v>
      </c>
      <c r="AF31" s="17">
        <f t="shared" si="7"/>
        <v>3.2262978647377474</v>
      </c>
      <c r="AG31" s="17"/>
      <c r="AH31" s="17">
        <f t="shared" si="1"/>
        <v>759.68463782667868</v>
      </c>
    </row>
    <row r="32" spans="1:34" x14ac:dyDescent="0.25">
      <c r="A32" s="7">
        <f t="shared" si="3"/>
        <v>35458</v>
      </c>
      <c r="B32" s="2">
        <v>786.16</v>
      </c>
      <c r="C32" s="8">
        <v>5.2600000000000001E-2</v>
      </c>
      <c r="D32" s="9">
        <v>3.43</v>
      </c>
      <c r="E32" s="8"/>
      <c r="F32" s="10">
        <f t="shared" si="0"/>
        <v>1283.6236687751625</v>
      </c>
      <c r="H32" s="6">
        <v>27</v>
      </c>
      <c r="I32" s="17">
        <f t="shared" si="2"/>
        <v>0.20502050830741422</v>
      </c>
      <c r="J32" s="17">
        <f t="shared" si="2"/>
        <v>0</v>
      </c>
      <c r="K32" s="17">
        <f t="shared" si="2"/>
        <v>5.8479698824231204E-3</v>
      </c>
      <c r="M32" s="2">
        <v>27</v>
      </c>
      <c r="N32" s="17">
        <v>-6.9444723528110461E-3</v>
      </c>
      <c r="O32" s="17">
        <v>0.12878193587219755</v>
      </c>
      <c r="P32" s="17">
        <v>0</v>
      </c>
      <c r="Q32" s="17">
        <v>0.66857905970766773</v>
      </c>
      <c r="R32" s="17">
        <v>5.8479698824231204E-3</v>
      </c>
      <c r="S32" s="17">
        <v>0.63295640073576775</v>
      </c>
      <c r="U32" s="2">
        <v>27</v>
      </c>
      <c r="V32" s="17">
        <v>3.5026305512020745E-3</v>
      </c>
      <c r="W32" s="17">
        <v>0.56026059289438912</v>
      </c>
      <c r="X32" s="17">
        <v>0</v>
      </c>
      <c r="Y32" s="17">
        <v>0.61764766811348992</v>
      </c>
      <c r="Z32" s="17">
        <v>2.6126304592220213E-2</v>
      </c>
      <c r="AA32" s="17">
        <v>0.54487183690353636</v>
      </c>
      <c r="AC32" s="16">
        <f t="shared" si="4"/>
        <v>35497</v>
      </c>
      <c r="AD32" s="17">
        <f t="shared" si="5"/>
        <v>518.17411485555328</v>
      </c>
      <c r="AE32" s="18">
        <f t="shared" si="6"/>
        <v>5.260261533682084E-2</v>
      </c>
      <c r="AF32" s="17">
        <f t="shared" si="7"/>
        <v>3.3116998670396294</v>
      </c>
      <c r="AG32" s="17"/>
      <c r="AH32" s="17">
        <f t="shared" si="1"/>
        <v>756.04030955482813</v>
      </c>
    </row>
    <row r="33" spans="1:34" x14ac:dyDescent="0.25">
      <c r="A33" s="7">
        <f t="shared" si="3"/>
        <v>35459</v>
      </c>
      <c r="B33" s="2">
        <v>459.27</v>
      </c>
      <c r="C33" s="8">
        <v>5.28E-2</v>
      </c>
      <c r="D33" s="9">
        <v>3.42</v>
      </c>
      <c r="E33" s="8"/>
      <c r="F33" s="10">
        <f t="shared" si="0"/>
        <v>630.8323145441052</v>
      </c>
      <c r="H33" s="6">
        <v>28</v>
      </c>
      <c r="I33" s="17">
        <f t="shared" si="2"/>
        <v>-0.53752206164207195</v>
      </c>
      <c r="J33" s="17">
        <f t="shared" si="2"/>
        <v>3.7950709685515343E-3</v>
      </c>
      <c r="K33" s="17">
        <f t="shared" si="2"/>
        <v>-2.9197101033348618E-3</v>
      </c>
      <c r="M33" s="2">
        <v>28</v>
      </c>
      <c r="N33" s="17">
        <v>-6.9930354909706373E-3</v>
      </c>
      <c r="O33" s="17">
        <v>0.80489944556927728</v>
      </c>
      <c r="P33" s="17">
        <v>3.7950709685515343E-3</v>
      </c>
      <c r="Q33" s="17">
        <v>0.17925437858259929</v>
      </c>
      <c r="R33" s="17">
        <v>-2.9197101033348618E-3</v>
      </c>
      <c r="S33" s="17">
        <v>0.51658910797278645</v>
      </c>
      <c r="U33" s="2">
        <v>28</v>
      </c>
      <c r="V33" s="17">
        <v>-1.3698844358161915E-2</v>
      </c>
      <c r="W33" s="17">
        <v>0.57164746021694524</v>
      </c>
      <c r="X33" s="17">
        <v>0</v>
      </c>
      <c r="Y33" s="17">
        <v>0.66857905970766773</v>
      </c>
      <c r="Z33" s="17">
        <v>8.7591800898815537E-3</v>
      </c>
      <c r="AA33" s="17">
        <v>0.56420528457480867</v>
      </c>
      <c r="AC33" s="16">
        <f t="shared" si="4"/>
        <v>35498</v>
      </c>
      <c r="AD33" s="17">
        <f t="shared" si="5"/>
        <v>511.12412689833485</v>
      </c>
      <c r="AE33" s="18">
        <f t="shared" si="6"/>
        <v>5.260261533682084E-2</v>
      </c>
      <c r="AF33" s="17">
        <f t="shared" si="7"/>
        <v>3.3408350564857257</v>
      </c>
      <c r="AG33" s="17"/>
      <c r="AH33" s="17">
        <f t="shared" si="1"/>
        <v>739.43352615311414</v>
      </c>
    </row>
    <row r="34" spans="1:34" x14ac:dyDescent="0.25">
      <c r="A34" s="7">
        <f t="shared" si="3"/>
        <v>35460</v>
      </c>
      <c r="B34" s="2">
        <v>687.33</v>
      </c>
      <c r="C34" s="8">
        <v>5.2699999999999997E-2</v>
      </c>
      <c r="D34" s="9">
        <v>3.44</v>
      </c>
      <c r="E34" s="8"/>
      <c r="F34" s="10">
        <f t="shared" si="0"/>
        <v>1085.1332525086209</v>
      </c>
      <c r="H34" s="6">
        <v>29</v>
      </c>
      <c r="I34" s="17">
        <f t="shared" si="2"/>
        <v>0.40317625382441274</v>
      </c>
      <c r="J34" s="17">
        <f t="shared" si="2"/>
        <v>-1.8957351648992008E-3</v>
      </c>
      <c r="K34" s="17">
        <f t="shared" si="2"/>
        <v>5.8309203107931437E-3</v>
      </c>
      <c r="M34" s="2">
        <v>29</v>
      </c>
      <c r="N34" s="17">
        <v>1.7391742711869239E-2</v>
      </c>
      <c r="O34" s="17">
        <v>4.9138944348393165E-2</v>
      </c>
      <c r="P34" s="17">
        <v>-1.8957351648992008E-3</v>
      </c>
      <c r="Q34" s="17">
        <v>0.86223072267371781</v>
      </c>
      <c r="R34" s="17">
        <v>5.8309203107931437E-3</v>
      </c>
      <c r="S34" s="17">
        <v>0.69894158050177913</v>
      </c>
      <c r="U34" s="2">
        <v>29</v>
      </c>
      <c r="V34" s="17">
        <v>-2.8072018778686376E-2</v>
      </c>
      <c r="W34" s="17">
        <v>0.62286958006869808</v>
      </c>
      <c r="X34" s="17">
        <v>5.6657375356772999E-3</v>
      </c>
      <c r="Y34" s="17">
        <v>0.67766061627567797</v>
      </c>
      <c r="Z34" s="17">
        <v>0</v>
      </c>
      <c r="AA34" s="17">
        <v>0.56535858211188872</v>
      </c>
      <c r="AC34" s="16">
        <f t="shared" si="4"/>
        <v>35499</v>
      </c>
      <c r="AD34" s="17">
        <f t="shared" si="5"/>
        <v>496.97536213990344</v>
      </c>
      <c r="AE34" s="18">
        <f t="shared" si="6"/>
        <v>5.2901493833052773E-2</v>
      </c>
      <c r="AF34" s="17">
        <f t="shared" si="7"/>
        <v>3.3408350564857257</v>
      </c>
      <c r="AG34" s="17"/>
      <c r="AH34" s="17">
        <f t="shared" si="1"/>
        <v>711.36262405599427</v>
      </c>
    </row>
    <row r="35" spans="1:34" x14ac:dyDescent="0.25">
      <c r="A35" s="7">
        <f t="shared" si="3"/>
        <v>35461</v>
      </c>
      <c r="B35" s="2">
        <v>475.49</v>
      </c>
      <c r="C35" s="8">
        <v>5.2699999999999997E-2</v>
      </c>
      <c r="D35" s="9">
        <v>3.42</v>
      </c>
      <c r="E35" s="8"/>
      <c r="F35" s="10">
        <f t="shared" si="0"/>
        <v>663.09498468889024</v>
      </c>
      <c r="H35" s="6">
        <v>30</v>
      </c>
      <c r="I35" s="17">
        <f t="shared" si="2"/>
        <v>-0.36846867496642771</v>
      </c>
      <c r="J35" s="17">
        <f t="shared" si="2"/>
        <v>0</v>
      </c>
      <c r="K35" s="17">
        <f t="shared" si="2"/>
        <v>-5.8309203107932096E-3</v>
      </c>
      <c r="M35" s="2">
        <v>30</v>
      </c>
      <c r="N35" s="17">
        <v>3.4423441909726986E-3</v>
      </c>
      <c r="O35" s="17">
        <v>0.38741857366300259</v>
      </c>
      <c r="P35" s="17">
        <v>0</v>
      </c>
      <c r="Q35" s="17">
        <v>0.12907554258453047</v>
      </c>
      <c r="R35" s="17">
        <v>-5.8309203107932096E-3</v>
      </c>
      <c r="S35" s="17">
        <v>0.32588205015583971</v>
      </c>
      <c r="U35" s="2">
        <v>30</v>
      </c>
      <c r="V35" s="17">
        <v>6.8965790590604587E-3</v>
      </c>
      <c r="W35" s="17">
        <v>0.62897857894450482</v>
      </c>
      <c r="X35" s="17">
        <v>-1.9065782705815315E-3</v>
      </c>
      <c r="Y35" s="17">
        <v>0.68782880302893901</v>
      </c>
      <c r="Z35" s="17">
        <v>-2.8943580263644146E-3</v>
      </c>
      <c r="AA35" s="17">
        <v>0.59796192085910826</v>
      </c>
      <c r="AC35" s="16">
        <f t="shared" si="4"/>
        <v>35500</v>
      </c>
      <c r="AD35" s="17">
        <f t="shared" si="5"/>
        <v>500.41463800246339</v>
      </c>
      <c r="AE35" s="18">
        <f t="shared" si="6"/>
        <v>5.2800729082894578E-2</v>
      </c>
      <c r="AF35" s="17">
        <f t="shared" si="7"/>
        <v>3.3311794638369232</v>
      </c>
      <c r="AG35" s="17"/>
      <c r="AH35" s="17">
        <f t="shared" si="1"/>
        <v>718.92726806011478</v>
      </c>
    </row>
    <row r="36" spans="1:34" x14ac:dyDescent="0.25">
      <c r="A36" s="7">
        <f t="shared" si="3"/>
        <v>35462</v>
      </c>
      <c r="B36" s="2">
        <v>636.02</v>
      </c>
      <c r="C36" s="8">
        <v>5.2699999999999997E-2</v>
      </c>
      <c r="D36" s="9">
        <v>3.37</v>
      </c>
      <c r="E36" s="8"/>
      <c r="F36" s="10">
        <f t="shared" si="0"/>
        <v>988.32286880920424</v>
      </c>
      <c r="H36" s="6">
        <v>31</v>
      </c>
      <c r="I36" s="17">
        <f t="shared" si="2"/>
        <v>0.29088415811648605</v>
      </c>
      <c r="J36" s="17">
        <f t="shared" si="2"/>
        <v>0</v>
      </c>
      <c r="K36" s="17">
        <f t="shared" si="2"/>
        <v>-1.4727806710243398E-2</v>
      </c>
      <c r="M36" s="2">
        <v>31</v>
      </c>
      <c r="N36" s="17">
        <v>-6.8965790590603286E-3</v>
      </c>
      <c r="O36" s="17">
        <v>0.1010259740936425</v>
      </c>
      <c r="P36" s="17">
        <v>0</v>
      </c>
      <c r="Q36" s="17">
        <v>0.61764766811348992</v>
      </c>
      <c r="R36" s="17">
        <v>-1.4727806710243398E-2</v>
      </c>
      <c r="S36" s="17">
        <v>0.38286473424805578</v>
      </c>
      <c r="U36" s="2">
        <v>31</v>
      </c>
      <c r="V36" s="17">
        <v>0</v>
      </c>
      <c r="W36" s="17">
        <v>0.63192648347906033</v>
      </c>
      <c r="X36" s="17">
        <v>1.9029501460860636E-3</v>
      </c>
      <c r="Y36" s="17">
        <v>0.72874622828330593</v>
      </c>
      <c r="Z36" s="17">
        <v>5.8479698824231204E-3</v>
      </c>
      <c r="AA36" s="17">
        <v>0.63295640073576775</v>
      </c>
      <c r="AC36" s="16">
        <f t="shared" si="4"/>
        <v>35501</v>
      </c>
      <c r="AD36" s="17">
        <f t="shared" si="5"/>
        <v>500.41463800246339</v>
      </c>
      <c r="AE36" s="18">
        <f t="shared" si="6"/>
        <v>5.2901301900195326E-2</v>
      </c>
      <c r="AF36" s="17">
        <f t="shared" si="7"/>
        <v>3.3507171733022423</v>
      </c>
      <c r="AG36" s="17"/>
      <c r="AH36" s="17">
        <f t="shared" si="1"/>
        <v>717.32294612977512</v>
      </c>
    </row>
    <row r="37" spans="1:34" x14ac:dyDescent="0.25">
      <c r="A37" s="7">
        <f t="shared" si="3"/>
        <v>35463</v>
      </c>
      <c r="B37" s="2">
        <v>544.75</v>
      </c>
      <c r="C37" s="8">
        <v>5.2900000000000003E-2</v>
      </c>
      <c r="D37" s="9">
        <v>3.39</v>
      </c>
      <c r="E37" s="8"/>
      <c r="F37" s="10">
        <f t="shared" si="0"/>
        <v>804.24409698091824</v>
      </c>
      <c r="H37" s="6">
        <v>32</v>
      </c>
      <c r="I37" s="17">
        <f t="shared" si="2"/>
        <v>-0.15490303556184123</v>
      </c>
      <c r="J37" s="17">
        <f t="shared" si="2"/>
        <v>3.7878833169371563E-3</v>
      </c>
      <c r="K37" s="17">
        <f t="shared" si="2"/>
        <v>5.9171770280885185E-3</v>
      </c>
      <c r="M37" s="2">
        <v>32</v>
      </c>
      <c r="N37" s="17">
        <v>-3.466207976486284E-3</v>
      </c>
      <c r="O37" s="17">
        <v>3.5423042355574141E-2</v>
      </c>
      <c r="P37" s="17">
        <v>3.7878833169371563E-3</v>
      </c>
      <c r="Q37" s="17">
        <v>0.19890095923715645</v>
      </c>
      <c r="R37" s="17">
        <v>5.9171770280885185E-3</v>
      </c>
      <c r="S37" s="17">
        <v>0.89402011381063518</v>
      </c>
      <c r="U37" s="2">
        <v>32</v>
      </c>
      <c r="V37" s="17">
        <v>3.5398267051239868E-3</v>
      </c>
      <c r="W37" s="17">
        <v>0.66914839278991867</v>
      </c>
      <c r="X37" s="17">
        <v>1.8814680997057919E-3</v>
      </c>
      <c r="Y37" s="17">
        <v>0.73884720025497508</v>
      </c>
      <c r="Z37" s="17">
        <v>5.8309203107931437E-3</v>
      </c>
      <c r="AA37" s="17">
        <v>0.69894158050177913</v>
      </c>
      <c r="AC37" s="16">
        <f t="shared" si="4"/>
        <v>35502</v>
      </c>
      <c r="AD37" s="17">
        <f t="shared" si="5"/>
        <v>502.1891579953799</v>
      </c>
      <c r="AE37" s="18">
        <f t="shared" si="6"/>
        <v>5.3000927704150512E-2</v>
      </c>
      <c r="AF37" s="17">
        <f t="shared" si="7"/>
        <v>3.3703120105730155</v>
      </c>
      <c r="AG37" s="17"/>
      <c r="AH37" s="17">
        <f t="shared" si="1"/>
        <v>719.26238570517091</v>
      </c>
    </row>
    <row r="38" spans="1:34" x14ac:dyDescent="0.25">
      <c r="A38" s="7">
        <f t="shared" si="3"/>
        <v>35464</v>
      </c>
      <c r="B38" s="2">
        <v>669.12</v>
      </c>
      <c r="C38" s="8">
        <v>5.28E-2</v>
      </c>
      <c r="D38" s="9">
        <v>3.41</v>
      </c>
      <c r="E38" s="8"/>
      <c r="F38" s="10">
        <f t="shared" si="0"/>
        <v>1051.1660030762378</v>
      </c>
      <c r="H38" s="6">
        <v>33</v>
      </c>
      <c r="I38" s="17">
        <f t="shared" si="2"/>
        <v>0.20563644241553952</v>
      </c>
      <c r="J38" s="17">
        <f t="shared" si="2"/>
        <v>-1.8921481520379265E-3</v>
      </c>
      <c r="K38" s="17">
        <f t="shared" si="2"/>
        <v>5.8823699030666129E-3</v>
      </c>
      <c r="M38" s="2">
        <v>33</v>
      </c>
      <c r="N38" s="17">
        <v>6.920442844573757E-3</v>
      </c>
      <c r="O38" s="17">
        <v>0.2275556558438403</v>
      </c>
      <c r="P38" s="17">
        <v>-1.8921481520379265E-3</v>
      </c>
      <c r="Q38" s="17">
        <v>0.51623944343338124</v>
      </c>
      <c r="R38" s="17">
        <v>5.8823699030666129E-3</v>
      </c>
      <c r="S38" s="17">
        <v>0.27142680919598927</v>
      </c>
      <c r="U38" s="2">
        <v>33</v>
      </c>
      <c r="V38" s="17">
        <v>7.042282625412951E-3</v>
      </c>
      <c r="W38" s="17">
        <v>0.67472332974165461</v>
      </c>
      <c r="X38" s="17">
        <v>1.9065782705814474E-3</v>
      </c>
      <c r="Y38" s="17">
        <v>0.74277078319197831</v>
      </c>
      <c r="Z38" s="17">
        <v>-2.8860048891349867E-3</v>
      </c>
      <c r="AA38" s="17">
        <v>0.79535175730226682</v>
      </c>
      <c r="AC38" s="16">
        <f t="shared" si="4"/>
        <v>35503</v>
      </c>
      <c r="AD38" s="17">
        <f t="shared" si="5"/>
        <v>505.73819798121298</v>
      </c>
      <c r="AE38" s="18">
        <f t="shared" si="6"/>
        <v>5.3102074512746213E-2</v>
      </c>
      <c r="AF38" s="17">
        <f t="shared" si="7"/>
        <v>3.3605992958451392</v>
      </c>
      <c r="AG38" s="17"/>
      <c r="AH38" s="17">
        <f t="shared" si="1"/>
        <v>727.23151748959992</v>
      </c>
    </row>
    <row r="39" spans="1:34" x14ac:dyDescent="0.25">
      <c r="A39" s="7">
        <f t="shared" si="3"/>
        <v>35465</v>
      </c>
      <c r="B39" s="2">
        <v>757.02</v>
      </c>
      <c r="C39" s="8">
        <v>5.3099999999999994E-2</v>
      </c>
      <c r="D39" s="9">
        <v>3.44</v>
      </c>
      <c r="E39" s="8"/>
      <c r="F39" s="10">
        <f t="shared" si="0"/>
        <v>1224.6814464386184</v>
      </c>
      <c r="H39" s="6">
        <v>34</v>
      </c>
      <c r="I39" s="17">
        <f t="shared" si="2"/>
        <v>0.1234262569274361</v>
      </c>
      <c r="J39" s="17">
        <f t="shared" si="2"/>
        <v>5.6657375356772999E-3</v>
      </c>
      <c r="K39" s="17">
        <f t="shared" si="2"/>
        <v>8.7591800898815537E-3</v>
      </c>
      <c r="M39" s="2">
        <v>34</v>
      </c>
      <c r="N39" s="17">
        <v>1.0291686036547506E-2</v>
      </c>
      <c r="O39" s="17">
        <v>0.46573833913612095</v>
      </c>
      <c r="P39" s="17">
        <v>5.6657375356772999E-3</v>
      </c>
      <c r="Q39" s="17">
        <v>0.67766061627567797</v>
      </c>
      <c r="R39" s="17">
        <v>8.7591800898815537E-3</v>
      </c>
      <c r="S39" s="17">
        <v>0.56420528457480867</v>
      </c>
      <c r="U39" s="2">
        <v>34</v>
      </c>
      <c r="V39" s="17">
        <v>-1.7699577099400975E-2</v>
      </c>
      <c r="W39" s="17">
        <v>0.73296643888908886</v>
      </c>
      <c r="X39" s="17">
        <v>1.8814680997057919E-3</v>
      </c>
      <c r="Y39" s="17">
        <v>0.75638594171838669</v>
      </c>
      <c r="Z39" s="17">
        <v>-8.7591800898814652E-3</v>
      </c>
      <c r="AA39" s="17">
        <v>0.8107969553743315</v>
      </c>
      <c r="AC39" s="16">
        <f t="shared" si="4"/>
        <v>35504</v>
      </c>
      <c r="AD39" s="17">
        <f t="shared" si="5"/>
        <v>496.86559801663026</v>
      </c>
      <c r="AE39" s="18">
        <f t="shared" si="6"/>
        <v>5.3202078419549888E-2</v>
      </c>
      <c r="AF39" s="17">
        <f t="shared" si="7"/>
        <v>3.33129174384649</v>
      </c>
      <c r="AG39" s="17"/>
      <c r="AH39" s="17">
        <f t="shared" si="1"/>
        <v>712.01297955499274</v>
      </c>
    </row>
    <row r="40" spans="1:34" x14ac:dyDescent="0.25">
      <c r="A40" s="7">
        <f t="shared" si="3"/>
        <v>35466</v>
      </c>
      <c r="B40" s="2">
        <v>450.91</v>
      </c>
      <c r="C40" s="8">
        <v>5.3200000000000004E-2</v>
      </c>
      <c r="D40" s="9">
        <v>3.41</v>
      </c>
      <c r="E40" s="8"/>
      <c r="F40" s="10">
        <f t="shared" si="0"/>
        <v>615.03654786397658</v>
      </c>
      <c r="H40" s="6">
        <v>35</v>
      </c>
      <c r="I40" s="17">
        <f t="shared" si="2"/>
        <v>-0.51812191012010222</v>
      </c>
      <c r="J40" s="17">
        <f t="shared" si="2"/>
        <v>1.8814680997057919E-3</v>
      </c>
      <c r="K40" s="17">
        <f t="shared" si="2"/>
        <v>-8.7591800898814652E-3</v>
      </c>
      <c r="M40" s="2">
        <v>35</v>
      </c>
      <c r="N40" s="17">
        <v>-3.418806748785609E-3</v>
      </c>
      <c r="O40" s="17">
        <v>0.74730214961196784</v>
      </c>
      <c r="P40" s="17">
        <v>1.8814680997057919E-3</v>
      </c>
      <c r="Q40" s="17">
        <v>0.75638594171838669</v>
      </c>
      <c r="R40" s="17">
        <v>-8.7591800898814652E-3</v>
      </c>
      <c r="S40" s="17">
        <v>0.20765226334228437</v>
      </c>
      <c r="U40" s="2">
        <v>35</v>
      </c>
      <c r="V40" s="17">
        <v>-3.418806748785609E-3</v>
      </c>
      <c r="W40" s="17">
        <v>0.74730214961196784</v>
      </c>
      <c r="X40" s="17">
        <v>-1.8957351648992008E-3</v>
      </c>
      <c r="Y40" s="17">
        <v>0.86223072267371781</v>
      </c>
      <c r="Z40" s="17">
        <v>-5.7471422555679594E-3</v>
      </c>
      <c r="AA40" s="17">
        <v>0.81237486455930186</v>
      </c>
      <c r="AC40" s="16">
        <f t="shared" si="4"/>
        <v>35505</v>
      </c>
      <c r="AD40" s="17">
        <f t="shared" si="5"/>
        <v>495.1698109926827</v>
      </c>
      <c r="AE40" s="18">
        <f t="shared" si="6"/>
        <v>5.3101316907391644E-2</v>
      </c>
      <c r="AF40" s="17">
        <f t="shared" si="7"/>
        <v>3.3122012467470832</v>
      </c>
      <c r="AG40" s="17"/>
      <c r="AH40" s="17">
        <f t="shared" si="1"/>
        <v>710.10613224383587</v>
      </c>
    </row>
    <row r="41" spans="1:34" x14ac:dyDescent="0.25">
      <c r="A41" s="7">
        <f t="shared" si="3"/>
        <v>35467</v>
      </c>
      <c r="B41" s="2">
        <v>790.82</v>
      </c>
      <c r="C41" s="8">
        <v>5.28E-2</v>
      </c>
      <c r="D41" s="9">
        <v>3.42</v>
      </c>
      <c r="E41" s="8"/>
      <c r="F41" s="10">
        <f t="shared" si="0"/>
        <v>1293.5991691384193</v>
      </c>
      <c r="H41" s="6">
        <v>36</v>
      </c>
      <c r="I41" s="17">
        <f t="shared" si="2"/>
        <v>0.56180261877376558</v>
      </c>
      <c r="J41" s="17">
        <f t="shared" si="2"/>
        <v>-7.5472056353829663E-3</v>
      </c>
      <c r="K41" s="17">
        <f t="shared" si="2"/>
        <v>2.9282597790883597E-3</v>
      </c>
      <c r="M41" s="2">
        <v>36</v>
      </c>
      <c r="N41" s="17">
        <v>3.4188067487854611E-3</v>
      </c>
      <c r="O41" s="17">
        <v>0.3613212478515031</v>
      </c>
      <c r="P41" s="17">
        <v>-7.5472056353829663E-3</v>
      </c>
      <c r="Q41" s="17">
        <v>0.49450616627041222</v>
      </c>
      <c r="R41" s="17">
        <v>2.9282597790883597E-3</v>
      </c>
      <c r="S41" s="17">
        <v>0.86732474547025173</v>
      </c>
      <c r="U41" s="2">
        <v>36</v>
      </c>
      <c r="V41" s="17">
        <v>-6.9930354909706373E-3</v>
      </c>
      <c r="W41" s="17">
        <v>0.80489944556927728</v>
      </c>
      <c r="X41" s="17">
        <v>-3.7664827954770048E-3</v>
      </c>
      <c r="Y41" s="17">
        <v>0.87025133963304224</v>
      </c>
      <c r="Z41" s="17">
        <v>0</v>
      </c>
      <c r="AA41" s="17">
        <v>0.83623419180790859</v>
      </c>
      <c r="AC41" s="16">
        <f t="shared" si="4"/>
        <v>35506</v>
      </c>
      <c r="AD41" s="17">
        <f t="shared" si="5"/>
        <v>491.71915028890089</v>
      </c>
      <c r="AE41" s="18">
        <f t="shared" si="6"/>
        <v>5.2901687896461595E-2</v>
      </c>
      <c r="AF41" s="17">
        <f t="shared" si="7"/>
        <v>3.3122012467470832</v>
      </c>
      <c r="AG41" s="17"/>
      <c r="AH41" s="17">
        <f t="shared" si="1"/>
        <v>702.98800639309036</v>
      </c>
    </row>
    <row r="42" spans="1:34" x14ac:dyDescent="0.25">
      <c r="A42" s="7">
        <f t="shared" si="3"/>
        <v>35468</v>
      </c>
      <c r="B42" s="2">
        <v>453.69</v>
      </c>
      <c r="C42" s="8">
        <v>5.2999999999999999E-2</v>
      </c>
      <c r="D42" s="9">
        <v>3.42</v>
      </c>
      <c r="E42" s="8"/>
      <c r="F42" s="10">
        <f t="shared" si="0"/>
        <v>619.48465219196419</v>
      </c>
      <c r="H42" s="6">
        <v>37</v>
      </c>
      <c r="I42" s="17">
        <f t="shared" si="2"/>
        <v>-0.55565623639060924</v>
      </c>
      <c r="J42" s="17">
        <f t="shared" si="2"/>
        <v>3.7807228399059311E-3</v>
      </c>
      <c r="K42" s="17">
        <f t="shared" si="2"/>
        <v>0</v>
      </c>
      <c r="M42" s="2">
        <v>37</v>
      </c>
      <c r="N42" s="17">
        <v>0</v>
      </c>
      <c r="O42" s="17">
        <v>0.63192648347906033</v>
      </c>
      <c r="P42" s="17">
        <v>3.7807228399059311E-3</v>
      </c>
      <c r="Q42" s="17">
        <v>0.12435425915551068</v>
      </c>
      <c r="R42" s="17">
        <v>0</v>
      </c>
      <c r="S42" s="17">
        <v>0.83623419180790859</v>
      </c>
      <c r="U42" s="2">
        <v>37</v>
      </c>
      <c r="V42" s="17">
        <v>7.1174677688639549E-3</v>
      </c>
      <c r="W42" s="17">
        <v>0.86778552483849802</v>
      </c>
      <c r="X42" s="17">
        <v>1.8709079358118241E-3</v>
      </c>
      <c r="Y42" s="17">
        <v>0.88930826069049629</v>
      </c>
      <c r="Z42" s="17">
        <v>2.9282597790883597E-3</v>
      </c>
      <c r="AA42" s="17">
        <v>0.86732474547025173</v>
      </c>
      <c r="AC42" s="16">
        <f t="shared" si="4"/>
        <v>35507</v>
      </c>
      <c r="AD42" s="17">
        <f t="shared" si="5"/>
        <v>495.23142993382157</v>
      </c>
      <c r="AE42" s="18">
        <f t="shared" si="6"/>
        <v>5.3000754727728382E-2</v>
      </c>
      <c r="AF42" s="17">
        <f t="shared" si="7"/>
        <v>3.3219144468841715</v>
      </c>
      <c r="AG42" s="17"/>
      <c r="AH42" s="17">
        <f t="shared" si="1"/>
        <v>709.23692450203691</v>
      </c>
    </row>
    <row r="43" spans="1:34" x14ac:dyDescent="0.25">
      <c r="A43" s="7">
        <f t="shared" si="3"/>
        <v>35469</v>
      </c>
      <c r="B43" s="2">
        <v>467.14</v>
      </c>
      <c r="C43" s="8">
        <v>5.3099999999999994E-2</v>
      </c>
      <c r="D43" s="9">
        <v>3.44</v>
      </c>
      <c r="E43" s="8"/>
      <c r="F43" s="10">
        <f t="shared" si="0"/>
        <v>644.75301454133341</v>
      </c>
      <c r="H43" s="6">
        <v>38</v>
      </c>
      <c r="I43" s="17">
        <f t="shared" si="2"/>
        <v>2.9214853178571785E-2</v>
      </c>
      <c r="J43" s="17">
        <f t="shared" si="2"/>
        <v>1.8850146957712041E-3</v>
      </c>
      <c r="K43" s="17">
        <f t="shared" si="2"/>
        <v>5.8309203107931437E-3</v>
      </c>
      <c r="M43" s="2">
        <v>38</v>
      </c>
      <c r="N43" s="17">
        <v>0</v>
      </c>
      <c r="O43" s="17">
        <v>0.96674682817263813</v>
      </c>
      <c r="P43" s="17">
        <v>1.8850146957712041E-3</v>
      </c>
      <c r="Q43" s="17">
        <v>0.97657194046015228</v>
      </c>
      <c r="R43" s="17">
        <v>5.8309203107931437E-3</v>
      </c>
      <c r="S43" s="17">
        <v>4.8225731309623043E-2</v>
      </c>
      <c r="U43" s="2">
        <v>38</v>
      </c>
      <c r="V43" s="17">
        <v>6.8493418455747683E-3</v>
      </c>
      <c r="W43" s="17">
        <v>0.92418467076458044</v>
      </c>
      <c r="X43" s="17">
        <v>1.8814680997057919E-3</v>
      </c>
      <c r="Y43" s="17">
        <v>0.95853428825378884</v>
      </c>
      <c r="Z43" s="17">
        <v>5.9171770280885185E-3</v>
      </c>
      <c r="AA43" s="17">
        <v>0.89402011381063518</v>
      </c>
      <c r="AC43" s="16">
        <f t="shared" si="4"/>
        <v>35508</v>
      </c>
      <c r="AD43" s="17">
        <f t="shared" si="5"/>
        <v>498.6350823732293</v>
      </c>
      <c r="AE43" s="18">
        <f t="shared" si="6"/>
        <v>5.3100567825144079E-2</v>
      </c>
      <c r="AF43" s="17">
        <f t="shared" si="7"/>
        <v>3.3416290726817035</v>
      </c>
      <c r="AG43" s="17"/>
      <c r="AH43" s="17">
        <f t="shared" si="1"/>
        <v>714.42280550102089</v>
      </c>
    </row>
    <row r="44" spans="1:34" x14ac:dyDescent="0.25">
      <c r="A44" s="7">
        <f t="shared" si="3"/>
        <v>35470</v>
      </c>
      <c r="B44" s="2">
        <v>562.05999999999995</v>
      </c>
      <c r="C44" s="8">
        <v>5.3200000000000004E-2</v>
      </c>
      <c r="D44" s="9">
        <v>3.41</v>
      </c>
      <c r="E44" s="8"/>
      <c r="F44" s="10">
        <f t="shared" si="0"/>
        <v>837.1693004338066</v>
      </c>
      <c r="H44" s="6">
        <v>39</v>
      </c>
      <c r="I44" s="17">
        <f t="shared" si="2"/>
        <v>0.18497960715158623</v>
      </c>
      <c r="J44" s="17">
        <f t="shared" si="2"/>
        <v>1.8814680997057919E-3</v>
      </c>
      <c r="K44" s="17">
        <f t="shared" si="2"/>
        <v>-8.7591800898814652E-3</v>
      </c>
      <c r="M44" s="2">
        <v>39</v>
      </c>
      <c r="N44" s="17">
        <v>-3.418806748785609E-3</v>
      </c>
      <c r="O44" s="17">
        <v>0.49860049076755653</v>
      </c>
      <c r="P44" s="17">
        <v>1.8814680997057919E-3</v>
      </c>
      <c r="Q44" s="17">
        <v>0.95853428825378884</v>
      </c>
      <c r="R44" s="17">
        <v>-8.7591800898814652E-3</v>
      </c>
      <c r="S44" s="17">
        <v>0.8107969553743315</v>
      </c>
      <c r="U44" s="2">
        <v>39</v>
      </c>
      <c r="V44" s="17">
        <v>3.4782643763247925E-3</v>
      </c>
      <c r="W44" s="17">
        <v>0.92823285012551948</v>
      </c>
      <c r="X44" s="17">
        <v>0</v>
      </c>
      <c r="Y44" s="17">
        <v>0.96318872841900305</v>
      </c>
      <c r="Z44" s="17">
        <v>-2.936859673309825E-3</v>
      </c>
      <c r="AA44" s="17">
        <v>0.91769258979122625</v>
      </c>
      <c r="AC44" s="16">
        <f t="shared" si="4"/>
        <v>35509</v>
      </c>
      <c r="AD44" s="17">
        <f t="shared" si="5"/>
        <v>500.37248684142867</v>
      </c>
      <c r="AE44" s="18">
        <f t="shared" si="6"/>
        <v>5.3100567825144079E-2</v>
      </c>
      <c r="AF44" s="17">
        <f t="shared" si="7"/>
        <v>3.331829573934836</v>
      </c>
      <c r="AG44" s="17"/>
      <c r="AH44" s="17">
        <f t="shared" si="1"/>
        <v>718.68604760193034</v>
      </c>
    </row>
    <row r="45" spans="1:34" x14ac:dyDescent="0.25">
      <c r="A45" s="7">
        <f t="shared" si="3"/>
        <v>35471</v>
      </c>
      <c r="B45" s="2">
        <v>481.61</v>
      </c>
      <c r="C45" s="8">
        <v>5.2999999999999999E-2</v>
      </c>
      <c r="D45" s="9">
        <v>3.4</v>
      </c>
      <c r="E45" s="8"/>
      <c r="F45" s="10">
        <f t="shared" si="0"/>
        <v>676.88354501436413</v>
      </c>
      <c r="H45" s="6">
        <v>40</v>
      </c>
      <c r="I45" s="17">
        <f t="shared" si="2"/>
        <v>-0.15447394786227564</v>
      </c>
      <c r="J45" s="17">
        <f t="shared" si="2"/>
        <v>-3.7664827954770048E-3</v>
      </c>
      <c r="K45" s="17">
        <f t="shared" si="2"/>
        <v>-2.936859673309825E-3</v>
      </c>
      <c r="M45" s="2">
        <v>40</v>
      </c>
      <c r="N45" s="17">
        <v>3.4188067487854611E-3</v>
      </c>
      <c r="O45" s="17">
        <v>0.49335986900425288</v>
      </c>
      <c r="P45" s="17">
        <v>-3.7664827954770048E-3</v>
      </c>
      <c r="Q45" s="17">
        <v>0.87025133963304224</v>
      </c>
      <c r="R45" s="17">
        <v>-2.936859673309825E-3</v>
      </c>
      <c r="S45" s="17">
        <v>0.91769258979122625</v>
      </c>
      <c r="U45" s="2">
        <v>40</v>
      </c>
      <c r="V45" s="17">
        <v>0</v>
      </c>
      <c r="W45" s="17">
        <v>0.96674682817263813</v>
      </c>
      <c r="X45" s="17">
        <v>1.8850146957712041E-3</v>
      </c>
      <c r="Y45" s="17">
        <v>0.97657194046015228</v>
      </c>
      <c r="Z45" s="17">
        <v>-8.7336799687546662E-3</v>
      </c>
      <c r="AA45" s="17">
        <v>0.92802975932575893</v>
      </c>
      <c r="AC45" s="16">
        <f t="shared" si="4"/>
        <v>35510</v>
      </c>
      <c r="AD45" s="17">
        <f t="shared" si="5"/>
        <v>500.37248684142867</v>
      </c>
      <c r="AE45" s="18">
        <f t="shared" si="6"/>
        <v>5.3200757575757554E-2</v>
      </c>
      <c r="AF45" s="17">
        <f t="shared" si="7"/>
        <v>3.3028571428571416</v>
      </c>
      <c r="AG45" s="17"/>
      <c r="AH45" s="17">
        <f t="shared" si="1"/>
        <v>721.1858543260588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2"/>
  <dimension ref="A1:I11"/>
  <sheetViews>
    <sheetView workbookViewId="0">
      <selection activeCell="L23" sqref="L23"/>
    </sheetView>
  </sheetViews>
  <sheetFormatPr defaultRowHeight="13.8" x14ac:dyDescent="0.25"/>
  <cols>
    <col min="1" max="1" width="18.33203125" style="2" customWidth="1"/>
    <col min="2" max="2" width="12.88671875" style="2" customWidth="1"/>
    <col min="3" max="3" width="8.88671875" style="2"/>
    <col min="4" max="4" width="10.5546875" style="2" customWidth="1"/>
    <col min="5" max="5" width="6.109375" style="2" customWidth="1"/>
    <col min="6" max="9" width="8.88671875" style="2"/>
  </cols>
  <sheetData>
    <row r="1" spans="1:9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9" x14ac:dyDescent="0.25">
      <c r="A2" s="2" t="s">
        <v>1</v>
      </c>
      <c r="B2" s="2">
        <v>2</v>
      </c>
    </row>
    <row r="3" spans="1:9" x14ac:dyDescent="0.25">
      <c r="A3" s="2" t="s">
        <v>2</v>
      </c>
      <c r="B3" s="3">
        <f>DATE(2000,5,8)</f>
        <v>36654</v>
      </c>
    </row>
    <row r="4" spans="1:9" x14ac:dyDescent="0.25">
      <c r="B4" s="3"/>
    </row>
    <row r="5" spans="1:9" ht="39.6" x14ac:dyDescent="0.25">
      <c r="A5" s="4" t="s">
        <v>3</v>
      </c>
      <c r="B5" s="5" t="s">
        <v>4</v>
      </c>
      <c r="C5" s="5" t="s">
        <v>5</v>
      </c>
      <c r="D5" s="5" t="s">
        <v>6</v>
      </c>
      <c r="E5" s="6"/>
      <c r="F5" s="5" t="s">
        <v>7</v>
      </c>
      <c r="G5" s="5" t="s">
        <v>8</v>
      </c>
      <c r="H5" s="5" t="s">
        <v>9</v>
      </c>
      <c r="I5" s="5" t="s">
        <v>10</v>
      </c>
    </row>
    <row r="6" spans="1:9" x14ac:dyDescent="0.25">
      <c r="A6" s="7">
        <v>35471</v>
      </c>
      <c r="B6" s="2">
        <v>293</v>
      </c>
      <c r="C6" s="8">
        <v>5.2999999999999999E-2</v>
      </c>
      <c r="D6" s="9">
        <v>3.4</v>
      </c>
      <c r="E6" s="8"/>
      <c r="F6" s="10">
        <f>B2*B6</f>
        <v>586</v>
      </c>
      <c r="G6" s="2">
        <f>-100*EXP(-(B3-A6)/365*C6)</f>
        <v>-84.216604407539975</v>
      </c>
      <c r="H6" s="2">
        <f>G6*D6</f>
        <v>-286.3364549856359</v>
      </c>
      <c r="I6" s="10">
        <f>F6+H6</f>
        <v>299.6635450143641</v>
      </c>
    </row>
    <row r="8" spans="1:9" x14ac:dyDescent="0.25">
      <c r="F8" s="6" t="e">
        <f ca="1">ggetformula(F6)</f>
        <v>#NAME?</v>
      </c>
    </row>
    <row r="9" spans="1:9" x14ac:dyDescent="0.25">
      <c r="H9" s="6" t="e">
        <f ca="1">ggetformula(H6)</f>
        <v>#NAME?</v>
      </c>
      <c r="I9" s="6" t="e">
        <f ca="1">ggetformula(I6)</f>
        <v>#NAME?</v>
      </c>
    </row>
    <row r="11" spans="1:9" x14ac:dyDescent="0.25">
      <c r="F11" s="2" t="e">
        <f ca="1">ggetformula(G6)</f>
        <v>#NAME?</v>
      </c>
    </row>
  </sheetData>
  <mergeCells count="1">
    <mergeCell ref="A1:I1"/>
  </mergeCells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2024-11-12T11:08:06Z</dcterms:modified>
</cp:coreProperties>
</file>