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F3F39ACE-C99C-4ACC-85DB-70ECD197EAA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6" i="1"/>
  <c r="A8" i="1"/>
  <c r="C6" i="1"/>
</calcChain>
</file>

<file path=xl/sharedStrings.xml><?xml version="1.0" encoding="utf-8"?>
<sst xmlns="http://schemas.openxmlformats.org/spreadsheetml/2006/main" count="7" uniqueCount="7">
  <si>
    <t>PROBABILITY OF END-YEAR PORTFOLIO VALUE</t>
  </si>
  <si>
    <t>Mean</t>
  </si>
  <si>
    <t>Sigma</t>
  </si>
  <si>
    <t>Initial investment</t>
  </si>
  <si>
    <t>Cutoff</t>
  </si>
  <si>
    <t>Probability that portfolio worth less than cutoff</t>
  </si>
  <si>
    <t>Portfolio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</si>
</sst>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9" fontId="4" fillId="0" borderId="0" xfId="0" applyNumberFormat="1" applyFont="1" applyAlignment="1"/>
    <xf numFmtId="0" fontId="4" fillId="2" borderId="0" xfId="0" applyFont="1" applyFill="1" applyAlignment="1">
      <alignment vertical="center" wrapText="1"/>
    </xf>
    <xf numFmtId="10" fontId="4" fillId="2" borderId="0" xfId="1" applyNumberFormat="1" applyFont="1" applyFill="1" applyAlignment="1"/>
    <xf numFmtId="0" fontId="4" fillId="3" borderId="0" xfId="0" applyFont="1" applyFill="1" applyAlignment="1">
      <alignment horizontal="center" vertical="center" wrapText="1"/>
    </xf>
    <xf numFmtId="0" fontId="5" fillId="0" borderId="0" xfId="0" applyFont="1" applyAlignment="1"/>
    <xf numFmtId="176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End-of-Year Portfolio Value</a:t>
            </a:r>
          </a:p>
        </c:rich>
      </c:tx>
      <c:layout>
        <c:manualLayout>
          <c:xMode val="edge"/>
          <c:yMode val="edge"/>
          <c:x val="0.26697899904030414"/>
          <c:y val="2.53624758843297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7639413913678"/>
          <c:y val="0.14130522278412261"/>
          <c:w val="0.75175665519243517"/>
          <c:h val="0.706526113920613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'[1]Page 398'!$A$11:$A$36</c:f>
              <c:numCache>
                <c:formatCode>General</c:formatCode>
                <c:ptCount val="2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'[1]Page 398'!$B$11:$B$36</c:f>
              <c:numCache>
                <c:formatCode>General</c:formatCode>
                <c:ptCount val="26"/>
                <c:pt idx="0">
                  <c:v>4.4610075254961786E-6</c:v>
                </c:pt>
                <c:pt idx="1">
                  <c:v>1.6009021720694022E-5</c:v>
                </c:pt>
                <c:pt idx="2">
                  <c:v>5.140929987637017E-5</c:v>
                </c:pt>
                <c:pt idx="3">
                  <c:v>1.4772828039793357E-4</c:v>
                </c:pt>
                <c:pt idx="4">
                  <c:v>3.7986620079324805E-4</c:v>
                </c:pt>
                <c:pt idx="5">
                  <c:v>8.7406296979031619E-4</c:v>
                </c:pt>
                <c:pt idx="6">
                  <c:v>1.7996988837729354E-3</c:v>
                </c:pt>
                <c:pt idx="7">
                  <c:v>3.3159046264249559E-3</c:v>
                </c:pt>
                <c:pt idx="8">
                  <c:v>5.4670024891997878E-3</c:v>
                </c:pt>
                <c:pt idx="9">
                  <c:v>8.0656908173047798E-3</c:v>
                </c:pt>
                <c:pt idx="10">
                  <c:v>1.0648266850745075E-2</c:v>
                </c:pt>
                <c:pt idx="11">
                  <c:v>1.2579440923099771E-2</c:v>
                </c:pt>
                <c:pt idx="12">
                  <c:v>1.329807601338109E-2</c:v>
                </c:pt>
                <c:pt idx="13">
                  <c:v>1.2579440923099771E-2</c:v>
                </c:pt>
                <c:pt idx="14">
                  <c:v>1.0648266850745075E-2</c:v>
                </c:pt>
                <c:pt idx="15">
                  <c:v>8.0656908173047798E-3</c:v>
                </c:pt>
                <c:pt idx="16">
                  <c:v>5.4670024891997878E-3</c:v>
                </c:pt>
                <c:pt idx="17">
                  <c:v>3.3159046264249559E-3</c:v>
                </c:pt>
                <c:pt idx="18">
                  <c:v>1.7996988837729354E-3</c:v>
                </c:pt>
                <c:pt idx="19">
                  <c:v>8.7406296979031619E-4</c:v>
                </c:pt>
                <c:pt idx="20">
                  <c:v>3.7986620079324805E-4</c:v>
                </c:pt>
                <c:pt idx="21">
                  <c:v>1.4772828039793357E-4</c:v>
                </c:pt>
                <c:pt idx="22">
                  <c:v>5.140929987637017E-5</c:v>
                </c:pt>
                <c:pt idx="23">
                  <c:v>1.6009021720694022E-5</c:v>
                </c:pt>
                <c:pt idx="24">
                  <c:v>4.4610075254961786E-6</c:v>
                </c:pt>
                <c:pt idx="25">
                  <c:v>1.1123620798546142E-6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73-42DD-AAE2-03CF21CD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831280"/>
        <c:axId val="1"/>
      </c:scatterChart>
      <c:valAx>
        <c:axId val="662831280"/>
        <c:scaling>
          <c:orientation val="minMax"/>
          <c:max val="2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25"/>
      </c:valAx>
      <c:valAx>
        <c:axId val="1"/>
        <c:scaling>
          <c:orientation val="minMax"/>
        </c:scaling>
        <c:delete val="0"/>
        <c:axPos val="l"/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28312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</xdr:colOff>
      <xdr:row>9</xdr:row>
      <xdr:rowOff>0</xdr:rowOff>
    </xdr:from>
    <xdr:to>
      <xdr:col>3</xdr:col>
      <xdr:colOff>1478280</xdr:colOff>
      <xdr:row>24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4162DF2-B565-46B9-A4D4-8016578AA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571500</xdr:colOff>
      <xdr:row>7</xdr:row>
      <xdr:rowOff>289560</xdr:rowOff>
    </xdr:from>
    <xdr:to>
      <xdr:col>1</xdr:col>
      <xdr:colOff>38100</xdr:colOff>
      <xdr:row>9</xdr:row>
      <xdr:rowOff>60960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BCEF2013-BBE5-4915-96B8-3DB63955256C}"/>
            </a:ext>
          </a:extLst>
        </xdr:cNvPr>
        <xdr:cNvSpPr>
          <a:spLocks noChangeShapeType="1"/>
        </xdr:cNvSpPr>
      </xdr:nvSpPr>
      <xdr:spPr bwMode="auto">
        <a:xfrm>
          <a:off x="571500" y="1866900"/>
          <a:ext cx="657225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487680</xdr:colOff>
      <xdr:row>3</xdr:row>
      <xdr:rowOff>144780</xdr:rowOff>
    </xdr:from>
    <xdr:to>
      <xdr:col>15</xdr:col>
      <xdr:colOff>419100</xdr:colOff>
      <xdr:row>43</xdr:row>
      <xdr:rowOff>83820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7C880647-125D-AD21-D565-718EA411E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117080" y="716280"/>
          <a:ext cx="6637020" cy="7277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98"/>
      <sheetName val="Page 398（中文）"/>
      <sheetName val="Page 400"/>
      <sheetName val="Page 400（中文）"/>
      <sheetName val="Page 401"/>
      <sheetName val="Page 401（中文）"/>
      <sheetName val="Page 402"/>
      <sheetName val="Page 402（中文）"/>
      <sheetName val="Page 404"/>
      <sheetName val="Page 404（中文）"/>
      <sheetName val="Page 405, top"/>
      <sheetName val="Page 405, top（中文）"/>
      <sheetName val="Page 405, bottom"/>
      <sheetName val="Page 405, bottom（中文）"/>
      <sheetName val="Page 406-7"/>
      <sheetName val="Page 406-7（中文）"/>
      <sheetName val="Page 410"/>
      <sheetName val="Page 410（中文）"/>
      <sheetName val="Page 411"/>
      <sheetName val="Page 411（中文）"/>
      <sheetName val="Page 412"/>
      <sheetName val="Page 412（中文）"/>
      <sheetName val="Page 414"/>
      <sheetName val="Page 414（中文）"/>
      <sheetName val="Page 417"/>
      <sheetName val="Page 417（中文）"/>
    </sheetNames>
    <sheetDataSet>
      <sheetData sheetId="0">
        <row r="11">
          <cell r="A11">
            <v>0</v>
          </cell>
          <cell r="B11">
            <v>4.4610075254961786E-6</v>
          </cell>
        </row>
        <row r="12">
          <cell r="A12">
            <v>10</v>
          </cell>
          <cell r="B12">
            <v>1.6009021720694022E-5</v>
          </cell>
        </row>
        <row r="13">
          <cell r="A13">
            <v>20</v>
          </cell>
          <cell r="B13">
            <v>5.140929987637017E-5</v>
          </cell>
        </row>
        <row r="14">
          <cell r="A14">
            <v>30</v>
          </cell>
          <cell r="B14">
            <v>1.4772828039793357E-4</v>
          </cell>
        </row>
        <row r="15">
          <cell r="A15">
            <v>40</v>
          </cell>
          <cell r="B15">
            <v>3.7986620079324805E-4</v>
          </cell>
        </row>
        <row r="16">
          <cell r="A16">
            <v>50</v>
          </cell>
          <cell r="B16">
            <v>8.7406296979031619E-4</v>
          </cell>
        </row>
        <row r="17">
          <cell r="A17">
            <v>60</v>
          </cell>
          <cell r="B17">
            <v>1.7996988837729354E-3</v>
          </cell>
        </row>
        <row r="18">
          <cell r="A18">
            <v>70</v>
          </cell>
          <cell r="B18">
            <v>3.3159046264249559E-3</v>
          </cell>
        </row>
        <row r="19">
          <cell r="A19">
            <v>80</v>
          </cell>
          <cell r="B19">
            <v>5.4670024891997878E-3</v>
          </cell>
        </row>
        <row r="20">
          <cell r="A20">
            <v>90</v>
          </cell>
          <cell r="B20">
            <v>8.0656908173047798E-3</v>
          </cell>
        </row>
        <row r="21">
          <cell r="A21">
            <v>100</v>
          </cell>
          <cell r="B21">
            <v>1.0648266850745075E-2</v>
          </cell>
        </row>
        <row r="22">
          <cell r="A22">
            <v>110</v>
          </cell>
          <cell r="B22">
            <v>1.2579440923099771E-2</v>
          </cell>
        </row>
        <row r="23">
          <cell r="A23">
            <v>120</v>
          </cell>
          <cell r="B23">
            <v>1.329807601338109E-2</v>
          </cell>
        </row>
        <row r="24">
          <cell r="A24">
            <v>130</v>
          </cell>
          <cell r="B24">
            <v>1.2579440923099771E-2</v>
          </cell>
        </row>
        <row r="25">
          <cell r="A25">
            <v>140</v>
          </cell>
          <cell r="B25">
            <v>1.0648266850745075E-2</v>
          </cell>
        </row>
        <row r="26">
          <cell r="A26">
            <v>150</v>
          </cell>
          <cell r="B26">
            <v>8.0656908173047798E-3</v>
          </cell>
        </row>
        <row r="27">
          <cell r="A27">
            <v>160</v>
          </cell>
          <cell r="B27">
            <v>5.4670024891997878E-3</v>
          </cell>
        </row>
        <row r="28">
          <cell r="A28">
            <v>170</v>
          </cell>
          <cell r="B28">
            <v>3.3159046264249559E-3</v>
          </cell>
        </row>
        <row r="29">
          <cell r="A29">
            <v>180</v>
          </cell>
          <cell r="B29">
            <v>1.7996988837729354E-3</v>
          </cell>
        </row>
        <row r="30">
          <cell r="A30">
            <v>190</v>
          </cell>
          <cell r="B30">
            <v>8.7406296979031619E-4</v>
          </cell>
        </row>
        <row r="31">
          <cell r="A31">
            <v>200</v>
          </cell>
          <cell r="B31">
            <v>3.7986620079324805E-4</v>
          </cell>
        </row>
        <row r="32">
          <cell r="A32">
            <v>210</v>
          </cell>
          <cell r="B32">
            <v>1.4772828039793357E-4</v>
          </cell>
        </row>
        <row r="33">
          <cell r="A33">
            <v>220</v>
          </cell>
          <cell r="B33">
            <v>5.140929987637017E-5</v>
          </cell>
        </row>
        <row r="34">
          <cell r="A34">
            <v>230</v>
          </cell>
          <cell r="B34">
            <v>1.6009021720694022E-5</v>
          </cell>
        </row>
        <row r="35">
          <cell r="A35">
            <v>240</v>
          </cell>
          <cell r="B35">
            <v>4.4610075254961786E-6</v>
          </cell>
        </row>
        <row r="36">
          <cell r="A36">
            <v>250</v>
          </cell>
          <cell r="B36">
            <v>1.1123620798546142E-6</v>
          </cell>
        </row>
      </sheetData>
      <sheetData sheetId="1" refreshError="1"/>
      <sheetData sheetId="2" refreshError="1"/>
      <sheetData sheetId="3" refreshError="1"/>
      <sheetData sheetId="4">
        <row r="15">
          <cell r="E15">
            <v>-20</v>
          </cell>
        </row>
      </sheetData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 refreshError="1"/>
      <sheetData sheetId="14">
        <row r="4">
          <cell r="X4" t="str">
            <v>Bootstrapped Return Frequency Distribution
5,000 Iterations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D36"/>
  <sheetViews>
    <sheetView tabSelected="1" workbookViewId="0">
      <selection activeCell="S45" sqref="S45"/>
    </sheetView>
  </sheetViews>
  <sheetFormatPr defaultRowHeight="13.8" x14ac:dyDescent="0.25"/>
  <cols>
    <col min="1" max="1" width="17.33203125" style="2" customWidth="1"/>
    <col min="2" max="2" width="12.44140625" style="2" bestFit="1" customWidth="1"/>
    <col min="3" max="3" width="39.5546875" style="2" customWidth="1"/>
    <col min="4" max="4" width="27.33203125" style="2" customWidth="1"/>
  </cols>
  <sheetData>
    <row r="1" spans="1:4" ht="17.399999999999999" x14ac:dyDescent="0.3">
      <c r="A1" s="1" t="s">
        <v>0</v>
      </c>
      <c r="B1" s="1"/>
      <c r="C1" s="1"/>
      <c r="D1" s="1"/>
    </row>
    <row r="2" spans="1:4" x14ac:dyDescent="0.25">
      <c r="A2" s="2" t="s">
        <v>1</v>
      </c>
      <c r="B2" s="3">
        <v>0.2</v>
      </c>
    </row>
    <row r="3" spans="1:4" x14ac:dyDescent="0.25">
      <c r="A3" s="2" t="s">
        <v>2</v>
      </c>
      <c r="B3" s="3">
        <v>0.3</v>
      </c>
    </row>
    <row r="4" spans="1:4" x14ac:dyDescent="0.25">
      <c r="A4" s="2" t="s">
        <v>3</v>
      </c>
      <c r="B4" s="2">
        <v>100</v>
      </c>
    </row>
    <row r="5" spans="1:4" x14ac:dyDescent="0.25">
      <c r="A5" s="2" t="s">
        <v>4</v>
      </c>
      <c r="B5" s="2">
        <v>80</v>
      </c>
    </row>
    <row r="6" spans="1:4" ht="39.6" x14ac:dyDescent="0.25">
      <c r="A6" s="4" t="s">
        <v>5</v>
      </c>
      <c r="B6" s="5">
        <f>NORMDIST(B5,(1+B2)*B4,B4*B3,TRUE)</f>
        <v>9.1211219725867876E-2</v>
      </c>
      <c r="C6" s="2" t="str">
        <f ca="1">[2]!getformula(B6)</f>
        <v>&lt;--  =NORMDIST(B5,(1+B2)*B4,B4*B3,TRUE)</v>
      </c>
    </row>
    <row r="8" spans="1:4" x14ac:dyDescent="0.25">
      <c r="A8" s="6" t="str">
        <f ca="1">"Data table header: "&amp;[2]!ggetformula(B10)</f>
        <v>Data table header: =NORMDIST(B5,(1+B2)*B4,B4*B3,FALSE)</v>
      </c>
      <c r="B8" s="6"/>
      <c r="C8" s="6"/>
    </row>
    <row r="10" spans="1:4" x14ac:dyDescent="0.25">
      <c r="A10" s="7" t="s">
        <v>6</v>
      </c>
      <c r="B10" s="8">
        <f>NORMDIST(B5,(1+B2)*B4,B4*B3,FALSE)</f>
        <v>5.4670024891997878E-3</v>
      </c>
    </row>
    <row r="11" spans="1:4" x14ac:dyDescent="0.25">
      <c r="A11" s="9">
        <v>0</v>
      </c>
      <c r="B11" s="8">
        <f t="dataTable" ref="B11:B36" dt2D="0" dtr="0" r1="B5"/>
        <v>4.4610075254961786E-6</v>
      </c>
    </row>
    <row r="12" spans="1:4" x14ac:dyDescent="0.25">
      <c r="A12" s="9">
        <v>10</v>
      </c>
      <c r="B12" s="8">
        <v>1.6009021720694022E-5</v>
      </c>
    </row>
    <row r="13" spans="1:4" x14ac:dyDescent="0.25">
      <c r="A13" s="9">
        <v>20</v>
      </c>
      <c r="B13" s="8">
        <v>5.140929987637017E-5</v>
      </c>
    </row>
    <row r="14" spans="1:4" x14ac:dyDescent="0.25">
      <c r="A14" s="9">
        <v>30</v>
      </c>
      <c r="B14" s="8">
        <v>1.4772828039793357E-4</v>
      </c>
    </row>
    <row r="15" spans="1:4" x14ac:dyDescent="0.25">
      <c r="A15" s="9">
        <v>40</v>
      </c>
      <c r="B15" s="8">
        <v>3.7986620079324805E-4</v>
      </c>
    </row>
    <row r="16" spans="1:4" x14ac:dyDescent="0.25">
      <c r="A16" s="9">
        <v>50</v>
      </c>
      <c r="B16" s="8">
        <v>8.7406296979031619E-4</v>
      </c>
    </row>
    <row r="17" spans="1:2" x14ac:dyDescent="0.25">
      <c r="A17" s="9">
        <v>60</v>
      </c>
      <c r="B17" s="8">
        <v>1.7996988837729354E-3</v>
      </c>
    </row>
    <row r="18" spans="1:2" x14ac:dyDescent="0.25">
      <c r="A18" s="9">
        <v>70</v>
      </c>
      <c r="B18" s="8">
        <v>3.3159046264249559E-3</v>
      </c>
    </row>
    <row r="19" spans="1:2" x14ac:dyDescent="0.25">
      <c r="A19" s="9">
        <v>80</v>
      </c>
      <c r="B19" s="8">
        <v>5.4670024891997878E-3</v>
      </c>
    </row>
    <row r="20" spans="1:2" x14ac:dyDescent="0.25">
      <c r="A20" s="9">
        <v>90</v>
      </c>
      <c r="B20" s="8">
        <v>8.0656908173047798E-3</v>
      </c>
    </row>
    <row r="21" spans="1:2" x14ac:dyDescent="0.25">
      <c r="A21" s="9">
        <v>100</v>
      </c>
      <c r="B21" s="8">
        <v>1.0648266850745075E-2</v>
      </c>
    </row>
    <row r="22" spans="1:2" x14ac:dyDescent="0.25">
      <c r="A22" s="9">
        <v>110</v>
      </c>
      <c r="B22" s="8">
        <v>1.2579440923099771E-2</v>
      </c>
    </row>
    <row r="23" spans="1:2" x14ac:dyDescent="0.25">
      <c r="A23" s="9">
        <v>120</v>
      </c>
      <c r="B23" s="8">
        <v>1.329807601338109E-2</v>
      </c>
    </row>
    <row r="24" spans="1:2" x14ac:dyDescent="0.25">
      <c r="A24" s="9">
        <v>130</v>
      </c>
      <c r="B24" s="8">
        <v>1.2579440923099771E-2</v>
      </c>
    </row>
    <row r="25" spans="1:2" x14ac:dyDescent="0.25">
      <c r="A25" s="9">
        <v>140</v>
      </c>
      <c r="B25" s="8">
        <v>1.0648266850745075E-2</v>
      </c>
    </row>
    <row r="26" spans="1:2" x14ac:dyDescent="0.25">
      <c r="A26" s="9">
        <v>150</v>
      </c>
      <c r="B26" s="8">
        <v>8.0656908173047798E-3</v>
      </c>
    </row>
    <row r="27" spans="1:2" x14ac:dyDescent="0.25">
      <c r="A27" s="9">
        <v>160</v>
      </c>
      <c r="B27" s="8">
        <v>5.4670024891997878E-3</v>
      </c>
    </row>
    <row r="28" spans="1:2" x14ac:dyDescent="0.25">
      <c r="A28" s="9">
        <v>170</v>
      </c>
      <c r="B28" s="8">
        <v>3.3159046264249559E-3</v>
      </c>
    </row>
    <row r="29" spans="1:2" x14ac:dyDescent="0.25">
      <c r="A29" s="9">
        <v>180</v>
      </c>
      <c r="B29" s="8">
        <v>1.7996988837729354E-3</v>
      </c>
    </row>
    <row r="30" spans="1:2" x14ac:dyDescent="0.25">
      <c r="A30" s="9">
        <v>190</v>
      </c>
      <c r="B30" s="8">
        <v>8.7406296979031619E-4</v>
      </c>
    </row>
    <row r="31" spans="1:2" x14ac:dyDescent="0.25">
      <c r="A31" s="9">
        <v>200</v>
      </c>
      <c r="B31" s="8">
        <v>3.7986620079324805E-4</v>
      </c>
    </row>
    <row r="32" spans="1:2" x14ac:dyDescent="0.25">
      <c r="A32" s="9">
        <v>210</v>
      </c>
      <c r="B32" s="8">
        <v>1.4772828039793357E-4</v>
      </c>
    </row>
    <row r="33" spans="1:2" x14ac:dyDescent="0.25">
      <c r="A33" s="9">
        <v>220</v>
      </c>
      <c r="B33" s="8">
        <v>5.140929987637017E-5</v>
      </c>
    </row>
    <row r="34" spans="1:2" x14ac:dyDescent="0.25">
      <c r="A34" s="9">
        <v>230</v>
      </c>
      <c r="B34" s="8">
        <v>1.6009021720694022E-5</v>
      </c>
    </row>
    <row r="35" spans="1:2" x14ac:dyDescent="0.25">
      <c r="A35" s="9">
        <v>240</v>
      </c>
      <c r="B35" s="8">
        <v>4.4610075254961786E-6</v>
      </c>
    </row>
    <row r="36" spans="1:2" x14ac:dyDescent="0.25">
      <c r="A36" s="9">
        <v>250</v>
      </c>
      <c r="B36" s="8">
        <v>1.1123620798546142E-6</v>
      </c>
    </row>
  </sheetData>
  <mergeCells count="2">
    <mergeCell ref="A1:D1"/>
    <mergeCell ref="A8:C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2024-11-12T11:08:23Z</dcterms:modified>
</cp:coreProperties>
</file>